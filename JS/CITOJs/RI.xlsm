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C:\NFBase\GitHub\CodeITestOn\JS\CITOJs\"/>
    </mc:Choice>
  </mc:AlternateContent>
  <xr:revisionPtr revIDLastSave="0" documentId="8_{2745F625-0942-44AF-A484-9ABDF0C7283C}" xr6:coauthVersionLast="47" xr6:coauthVersionMax="47" xr10:uidLastSave="{00000000-0000-0000-0000-000000000000}"/>
  <bookViews>
    <workbookView xWindow="-120" yWindow="-120" windowWidth="29040" windowHeight="16440" activeTab="1" xr2:uid="{00000000-000D-0000-FFFF-FFFF00000000}"/>
  </bookViews>
  <sheets>
    <sheet name="Front Page" sheetId="4" r:id="rId1"/>
    <sheet name="ReadMe" sheetId="5" r:id="rId2"/>
    <sheet name="Objects" sheetId="1" r:id="rId3"/>
    <sheet name="Screen" sheetId="3"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Q95" i="3" l="1"/>
  <c r="GO100" i="3" s="1"/>
  <c r="GR95" i="3"/>
  <c r="GF96" i="3"/>
  <c r="GD98" i="3" s="1"/>
  <c r="GQ98" i="3"/>
  <c r="GC155" i="3"/>
  <c r="GE155" i="3"/>
  <c r="GC157" i="3"/>
  <c r="GE157" i="3"/>
  <c r="GC162" i="3"/>
  <c r="GE162" i="3"/>
  <c r="GC164" i="3"/>
  <c r="GE164" i="3"/>
  <c r="GD170" i="3"/>
  <c r="GE170" i="3"/>
  <c r="GD171" i="3"/>
  <c r="GE171" i="3"/>
  <c r="GD177" i="3"/>
  <c r="GE177" i="3"/>
  <c r="GD178" i="3"/>
  <c r="GE178" i="3"/>
  <c r="GC183" i="3"/>
  <c r="GD183" i="3"/>
  <c r="GC184" i="3"/>
  <c r="GD184" i="3"/>
  <c r="GC190" i="3"/>
  <c r="GD190" i="3"/>
  <c r="GC191" i="3"/>
  <c r="GD191" i="3"/>
  <c r="GR100" i="3" l="1"/>
  <c r="GR98" i="3"/>
  <c r="GQ100" i="3"/>
  <c r="GO98" i="3"/>
  <c r="GC101" i="3"/>
  <c r="GF100" i="3"/>
  <c r="GF99" i="3"/>
  <c r="GF98" i="3"/>
  <c r="GF101" i="3"/>
  <c r="GE100" i="3"/>
  <c r="GE99" i="3"/>
  <c r="GE98" i="3"/>
  <c r="GD101" i="3"/>
  <c r="GC100" i="3"/>
  <c r="GC99" i="3"/>
  <c r="GC98" i="3"/>
  <c r="GE101" i="3"/>
  <c r="GD100" i="3"/>
  <c r="GD99" i="3"/>
  <c r="GI98" i="3" l="1" a="1"/>
  <c r="GI98" i="3" s="1"/>
  <c r="Y4" i="1"/>
  <c r="V5" i="1" s="1"/>
  <c r="X4" i="1"/>
  <c r="V4" i="1" s="1"/>
  <c r="GJ98" i="3" l="1"/>
  <c r="GL98" i="3"/>
  <c r="GJ100" i="3"/>
  <c r="GL101" i="3"/>
  <c r="GJ101" i="3"/>
  <c r="GI101" i="3"/>
  <c r="GJ99" i="3"/>
  <c r="GL100" i="3"/>
  <c r="GK99" i="3"/>
  <c r="GI99" i="3"/>
  <c r="GK101" i="3"/>
  <c r="GL99" i="3"/>
  <c r="GK100" i="3"/>
  <c r="GI100" i="3"/>
  <c r="GK98" i="3"/>
  <c r="Y7" i="1"/>
  <c r="Y8" i="1"/>
  <c r="Y9" i="1"/>
  <c r="Y10" i="1"/>
  <c r="Y11" i="1"/>
  <c r="Y12" i="1"/>
  <c r="Y13" i="1"/>
  <c r="Y14" i="1"/>
  <c r="Y15" i="1"/>
  <c r="Y16" i="1"/>
  <c r="Y17" i="1"/>
  <c r="Y18" i="1"/>
  <c r="Y19" i="1"/>
  <c r="Y20" i="1"/>
  <c r="Y21" i="1"/>
  <c r="Y22" i="1"/>
  <c r="Y23" i="1"/>
  <c r="Y24" i="1"/>
  <c r="X24" i="1"/>
  <c r="X23" i="1"/>
  <c r="X22" i="1"/>
  <c r="X21" i="1"/>
  <c r="X20" i="1"/>
  <c r="X19" i="1"/>
  <c r="X18" i="1"/>
  <c r="X17" i="1"/>
  <c r="X16" i="1"/>
  <c r="X15" i="1"/>
  <c r="X14" i="1"/>
  <c r="X13" i="1"/>
  <c r="X12" i="1"/>
  <c r="X11" i="1"/>
  <c r="X10" i="1"/>
  <c r="X9" i="1"/>
  <c r="X8" i="1"/>
  <c r="X7" i="1"/>
  <c r="X6" i="1"/>
  <c r="BU24" i="1"/>
  <c r="BU23" i="1"/>
  <c r="BU22" i="1"/>
  <c r="BU21" i="1"/>
  <c r="BU20" i="1"/>
  <c r="BU19" i="1"/>
  <c r="BU18" i="1"/>
  <c r="BU17" i="1"/>
  <c r="BU7" i="1"/>
  <c r="BU8" i="1"/>
  <c r="BU9" i="1"/>
  <c r="BU10" i="1"/>
  <c r="BU11" i="1"/>
  <c r="BU12" i="1"/>
  <c r="BU13" i="1"/>
  <c r="BU14" i="1"/>
  <c r="BU15" i="1"/>
  <c r="BU16" i="1"/>
  <c r="BU6" i="1"/>
  <c r="Y6" i="1"/>
  <c r="AB13" i="1" l="1" a="1"/>
  <c r="AB15" i="1" a="1"/>
  <c r="AD15" i="1" s="1"/>
  <c r="AB9" i="1" a="1"/>
  <c r="AB9" i="1" s="1"/>
  <c r="AB8" i="1" a="1"/>
  <c r="AE8" i="1" s="1"/>
  <c r="AB7" i="1" a="1"/>
  <c r="AB7" i="1" s="1"/>
  <c r="AB21" i="1" a="1"/>
  <c r="AD21" i="1" s="1"/>
  <c r="AB11" i="1" a="1"/>
  <c r="AB11" i="1" s="1"/>
  <c r="AB22" i="1" a="1"/>
  <c r="AB18" i="1" a="1"/>
  <c r="AC18" i="1" s="1"/>
  <c r="AB14" i="1" a="1"/>
  <c r="AC14" i="1" s="1"/>
  <c r="AB12" i="1" a="1"/>
  <c r="AC12" i="1" s="1"/>
  <c r="AB6" i="1" a="1"/>
  <c r="AB6" i="1" s="1"/>
  <c r="AB10" i="1" a="1"/>
  <c r="AC10" i="1" s="1"/>
  <c r="AB19" i="1" a="1"/>
  <c r="AC19" i="1" s="1"/>
  <c r="AB17" i="1" a="1"/>
  <c r="AD17" i="1" s="1"/>
  <c r="AB20" i="1" a="1"/>
  <c r="AD20" i="1" s="1"/>
  <c r="AB23" i="1" a="1"/>
  <c r="AD23" i="1" s="1"/>
  <c r="AB16" i="1" a="1"/>
  <c r="AE16" i="1" s="1"/>
  <c r="AB24" i="1" a="1"/>
  <c r="AD24" i="1" s="1"/>
  <c r="AF9" i="1" a="1"/>
  <c r="AF21" i="1" a="1"/>
  <c r="AF14" i="1" a="1"/>
  <c r="AF6" i="1" a="1"/>
  <c r="AF17" i="1" a="1"/>
  <c r="AF12" i="1" a="1"/>
  <c r="AF7" i="1" a="1"/>
  <c r="AF20" i="1" a="1"/>
  <c r="AF8" i="1" a="1"/>
  <c r="AF15" i="1" a="1"/>
  <c r="AF16" i="1" a="1"/>
  <c r="AF11" i="1" a="1"/>
  <c r="AF23" i="1" a="1"/>
  <c r="AF24" i="1" a="1"/>
  <c r="AF19" i="1" a="1"/>
  <c r="AF10" i="1" a="1"/>
  <c r="AF22" i="1" a="1"/>
  <c r="AF13" i="1" a="1"/>
  <c r="AF18" i="1" a="1"/>
  <c r="AE9" i="1" l="1"/>
  <c r="AD12" i="1"/>
  <c r="AD9" i="1"/>
  <c r="AC9" i="1"/>
  <c r="AB12" i="1"/>
  <c r="AE24" i="1"/>
  <c r="AE12" i="1"/>
  <c r="AE19" i="1"/>
  <c r="AC6" i="1"/>
  <c r="AD6" i="1"/>
  <c r="AE6" i="1"/>
  <c r="AB23" i="1"/>
  <c r="AD7" i="1"/>
  <c r="AE23" i="1"/>
  <c r="AC23" i="1"/>
  <c r="AE10" i="1"/>
  <c r="AE14" i="1"/>
  <c r="AD14" i="1"/>
  <c r="AB14" i="1"/>
  <c r="AC7" i="1"/>
  <c r="AB10" i="1"/>
  <c r="AE7" i="1"/>
  <c r="AD10" i="1"/>
  <c r="AC24" i="1"/>
  <c r="AB24" i="1"/>
  <c r="AB13" i="1"/>
  <c r="AD13" i="1"/>
  <c r="AE13" i="1"/>
  <c r="AC13" i="1"/>
  <c r="AC22" i="1"/>
  <c r="AE22" i="1"/>
  <c r="AB22" i="1"/>
  <c r="AD22" i="1"/>
  <c r="AB19" i="1"/>
  <c r="AD19" i="1"/>
  <c r="AB17" i="1"/>
  <c r="AE17" i="1"/>
  <c r="AC17" i="1"/>
  <c r="AC16" i="1"/>
  <c r="AD16" i="1"/>
  <c r="AB16" i="1"/>
  <c r="AE20" i="1"/>
  <c r="AC20" i="1"/>
  <c r="AB20" i="1"/>
  <c r="AC11" i="1"/>
  <c r="AE11" i="1"/>
  <c r="AD11" i="1"/>
  <c r="AB15" i="1"/>
  <c r="AE15" i="1"/>
  <c r="AC15" i="1"/>
  <c r="AE21" i="1"/>
  <c r="AC21" i="1"/>
  <c r="AB21" i="1"/>
  <c r="AD8" i="1"/>
  <c r="AB8" i="1"/>
  <c r="AC8" i="1"/>
  <c r="AD18" i="1"/>
  <c r="AE18" i="1"/>
  <c r="AB18" i="1"/>
  <c r="AF18" i="1"/>
  <c r="AG18" i="1"/>
  <c r="AH18" i="1"/>
  <c r="AG19" i="1"/>
  <c r="AH19" i="1"/>
  <c r="AF19" i="1"/>
  <c r="AF16" i="1"/>
  <c r="AG16" i="1"/>
  <c r="AH16" i="1"/>
  <c r="AG10" i="1"/>
  <c r="AH10" i="1"/>
  <c r="AF10" i="1"/>
  <c r="AH12" i="1"/>
  <c r="AF12" i="1"/>
  <c r="AG12" i="1"/>
  <c r="AF13" i="1"/>
  <c r="AG13" i="1"/>
  <c r="AH13" i="1"/>
  <c r="AF15" i="1"/>
  <c r="AG15" i="1"/>
  <c r="AH15" i="1"/>
  <c r="AH7" i="1"/>
  <c r="AF7" i="1"/>
  <c r="AG7" i="1"/>
  <c r="AF14" i="1"/>
  <c r="AG14" i="1"/>
  <c r="AH14" i="1"/>
  <c r="AF24" i="1"/>
  <c r="AG24" i="1"/>
  <c r="AH24" i="1"/>
  <c r="AF20" i="1"/>
  <c r="AG20" i="1"/>
  <c r="AH20" i="1"/>
  <c r="AG17" i="1"/>
  <c r="AH17" i="1"/>
  <c r="AF17" i="1"/>
  <c r="AF23" i="1"/>
  <c r="AG23" i="1"/>
  <c r="AH23" i="1"/>
  <c r="AF11" i="1"/>
  <c r="AG11" i="1"/>
  <c r="AH11" i="1"/>
  <c r="AF8" i="1"/>
  <c r="AG8" i="1"/>
  <c r="AH8" i="1"/>
  <c r="AF9" i="1"/>
  <c r="AG9" i="1"/>
  <c r="AH9" i="1"/>
  <c r="AF22" i="1"/>
  <c r="AG22" i="1"/>
  <c r="AH22" i="1"/>
  <c r="AF6" i="1"/>
  <c r="AG6" i="1"/>
  <c r="AH6" i="1"/>
  <c r="AF21" i="1"/>
  <c r="AG21" i="1"/>
  <c r="AH21" i="1"/>
  <c r="AJ9" i="1" l="1" a="1"/>
  <c r="AJ9" i="1" s="1"/>
  <c r="AK23" i="1" a="1"/>
  <c r="AK23" i="1" s="1"/>
  <c r="BS23" i="1" s="1"/>
  <c r="AK24" i="1" a="1"/>
  <c r="AK24" i="1" s="1"/>
  <c r="BS24" i="1" s="1"/>
  <c r="AJ10" i="1" a="1"/>
  <c r="AJ10" i="1" s="1"/>
  <c r="AK13" i="1" a="1"/>
  <c r="AK13" i="1" s="1"/>
  <c r="BS13" i="1" s="1"/>
  <c r="AJ12" i="1" a="1"/>
  <c r="AJ12" i="1" s="1"/>
  <c r="BR12" i="1" s="1"/>
  <c r="AJ16" i="1" a="1"/>
  <c r="AJ16" i="1" s="1"/>
  <c r="AK22" i="1" a="1"/>
  <c r="AK22" i="1" s="1"/>
  <c r="BS22" i="1" s="1"/>
  <c r="AL19" i="1" a="1"/>
  <c r="AL19" i="1" s="1"/>
  <c r="BT19" i="1" s="1"/>
  <c r="AK18" i="1" a="1"/>
  <c r="AK18" i="1" s="1"/>
  <c r="BS18" i="1" s="1"/>
  <c r="AL21" i="1" a="1"/>
  <c r="AL21" i="1" s="1"/>
  <c r="BT21" i="1" s="1"/>
  <c r="AL6" i="1" a="1"/>
  <c r="AL6" i="1" s="1"/>
  <c r="BT6" i="1" s="1"/>
  <c r="AL7" i="1" a="1"/>
  <c r="AL7" i="1" s="1"/>
  <c r="BT7" i="1" s="1"/>
  <c r="AK8" i="1" a="1"/>
  <c r="AK8" i="1" s="1"/>
  <c r="BS8" i="1" s="1"/>
  <c r="AJ20" i="1" a="1"/>
  <c r="AJ20" i="1" s="1"/>
  <c r="AL14" i="1" a="1"/>
  <c r="AL14" i="1" s="1"/>
  <c r="BT14" i="1" s="1"/>
  <c r="AK15" i="1" a="1"/>
  <c r="AK15" i="1" s="1"/>
  <c r="BS15" i="1" s="1"/>
  <c r="AL18" i="1" a="1"/>
  <c r="AL18" i="1" s="1"/>
  <c r="BT18" i="1" s="1"/>
  <c r="AK21" i="1" a="1"/>
  <c r="AK6" i="1" a="1"/>
  <c r="AK6" i="1" s="1"/>
  <c r="AJ21" i="1" a="1"/>
  <c r="AJ21" i="1" s="1"/>
  <c r="AJ6" i="1" a="1"/>
  <c r="AJ6" i="1" s="1"/>
  <c r="BR6" i="1" s="1"/>
  <c r="AL22" i="1" a="1"/>
  <c r="AL22" i="1" s="1"/>
  <c r="BT22" i="1" s="1"/>
  <c r="AJ22" i="1" a="1"/>
  <c r="AJ22" i="1" s="1"/>
  <c r="AL11" i="1" a="1"/>
  <c r="AL11" i="1" s="1"/>
  <c r="BT11" i="1" s="1"/>
  <c r="AJ8" i="1" a="1"/>
  <c r="AJ8" i="1" s="1"/>
  <c r="BR8" i="1" s="1"/>
  <c r="AK11" i="1" a="1"/>
  <c r="AK11" i="1" s="1"/>
  <c r="AL9" i="1" a="1"/>
  <c r="AL9" i="1" s="1"/>
  <c r="BT9" i="1" s="1"/>
  <c r="AJ11" i="1" a="1"/>
  <c r="AJ11" i="1" s="1"/>
  <c r="BR11" i="1" s="1"/>
  <c r="AK9" i="1" a="1"/>
  <c r="AK9" i="1" s="1"/>
  <c r="AL23" i="1" a="1"/>
  <c r="AL23" i="1" s="1"/>
  <c r="AL20" i="1" a="1"/>
  <c r="AL20" i="1" s="1"/>
  <c r="BT20" i="1" s="1"/>
  <c r="AJ23" i="1" a="1"/>
  <c r="AJ23" i="1" s="1"/>
  <c r="BR23" i="1" s="1"/>
  <c r="AL8" i="1" a="1"/>
  <c r="AL8" i="1" s="1"/>
  <c r="AJ17" i="1" a="1"/>
  <c r="AJ17" i="1" s="1"/>
  <c r="BR17" i="1" s="1"/>
  <c r="AL17" i="1" a="1"/>
  <c r="AL17" i="1" s="1"/>
  <c r="AK17" i="1" a="1"/>
  <c r="AK17" i="1" s="1"/>
  <c r="AL24" i="1" a="1"/>
  <c r="AL24" i="1" s="1"/>
  <c r="BT24" i="1" s="1"/>
  <c r="AK20" i="1" a="1"/>
  <c r="AK20" i="1" s="1"/>
  <c r="BS20" i="1" s="1"/>
  <c r="AJ24" i="1" a="1"/>
  <c r="AJ24" i="1" s="1"/>
  <c r="AK14" i="1" a="1"/>
  <c r="AK14" i="1" s="1"/>
  <c r="BS14" i="1" s="1"/>
  <c r="AJ14" i="1" a="1"/>
  <c r="AJ14" i="1" s="1"/>
  <c r="AL13" i="1" a="1"/>
  <c r="AL13" i="1" s="1"/>
  <c r="BT13" i="1" s="1"/>
  <c r="AL15" i="1" a="1"/>
  <c r="AL15" i="1" s="1"/>
  <c r="BT15" i="1" s="1"/>
  <c r="AJ13" i="1" a="1"/>
  <c r="AJ13" i="1" s="1"/>
  <c r="AY13" i="1" s="1" a="1"/>
  <c r="AY13" i="1" s="1"/>
  <c r="AK7" i="1" a="1"/>
  <c r="AK7" i="1" s="1"/>
  <c r="BS7" i="1" s="1"/>
  <c r="AJ7" i="1" a="1"/>
  <c r="AJ7" i="1" s="1"/>
  <c r="BR7" i="1" s="1"/>
  <c r="AJ15" i="1" a="1"/>
  <c r="AJ15" i="1" s="1"/>
  <c r="AK12" i="1" a="1"/>
  <c r="AK12" i="1" s="1"/>
  <c r="AL12" i="1" a="1"/>
  <c r="AL12" i="1" s="1"/>
  <c r="BT12" i="1" s="1"/>
  <c r="AL10" i="1" a="1"/>
  <c r="AL10" i="1" s="1"/>
  <c r="BT10" i="1" s="1"/>
  <c r="AK10" i="1" a="1"/>
  <c r="AK10" i="1" s="1"/>
  <c r="BS10" i="1" s="1"/>
  <c r="AK19" i="1" a="1"/>
  <c r="AK19" i="1" s="1"/>
  <c r="BS19" i="1" s="1"/>
  <c r="AJ18" i="1" a="1"/>
  <c r="AJ18" i="1" s="1"/>
  <c r="BR18" i="1" s="1"/>
  <c r="AL16" i="1" a="1"/>
  <c r="AL16" i="1" s="1"/>
  <c r="BT16" i="1" s="1"/>
  <c r="AK16" i="1" a="1"/>
  <c r="AK16" i="1" s="1"/>
  <c r="BS16" i="1" s="1"/>
  <c r="AJ19" i="1" a="1"/>
  <c r="AJ19" i="1" s="1"/>
  <c r="BR19" i="1" s="1"/>
  <c r="AK21" i="1"/>
  <c r="BT17" i="1"/>
  <c r="BA15" i="1" l="1" a="1"/>
  <c r="BA15" i="1" s="1"/>
  <c r="BF13" i="1" a="1"/>
  <c r="BF13" i="1" s="1"/>
  <c r="AW13" i="1" a="1"/>
  <c r="AW13" i="1" s="1"/>
  <c r="BH19" i="1" a="1"/>
  <c r="BH19" i="1" s="1"/>
  <c r="BG19" i="1" a="1"/>
  <c r="BG19" i="1" s="1"/>
  <c r="AV19" i="1" a="1"/>
  <c r="AV19" i="1" s="1"/>
  <c r="AS19" i="1" a="1"/>
  <c r="AS19" i="1" s="1"/>
  <c r="BC12" i="1" a="1"/>
  <c r="BC12" i="1" s="1"/>
  <c r="AP19" i="1" a="1"/>
  <c r="AP19" i="1" s="1"/>
  <c r="BF19" i="1" a="1"/>
  <c r="BF19" i="1" s="1"/>
  <c r="AV12" i="1" a="1"/>
  <c r="AV12" i="1" s="1"/>
  <c r="AR12" i="1" a="1"/>
  <c r="AR12" i="1" s="1"/>
  <c r="AU19" i="1" a="1"/>
  <c r="AU19" i="1" s="1"/>
  <c r="AO19" i="1" a="1"/>
  <c r="AO19" i="1" s="1"/>
  <c r="AY12" i="1" a="1"/>
  <c r="AY12" i="1" s="1"/>
  <c r="BS9" i="1"/>
  <c r="BD9" i="1" a="1"/>
  <c r="BD9" i="1" s="1"/>
  <c r="AS9" i="1" a="1"/>
  <c r="AS9" i="1" s="1"/>
  <c r="AQ9" i="1" a="1"/>
  <c r="AQ9" i="1" s="1"/>
  <c r="BH18" i="1" a="1"/>
  <c r="BH18" i="1" s="1"/>
  <c r="AX18" i="1" a="1"/>
  <c r="AX18" i="1" s="1"/>
  <c r="BG12" i="1" a="1"/>
  <c r="BG12" i="1" s="1"/>
  <c r="BF12" i="1" a="1"/>
  <c r="BF12" i="1" s="1"/>
  <c r="AZ24" i="1" a="1"/>
  <c r="AZ24" i="1" s="1"/>
  <c r="BB18" i="1" a="1"/>
  <c r="BB18" i="1" s="1"/>
  <c r="AU18" i="1" a="1"/>
  <c r="AU18" i="1" s="1"/>
  <c r="AY19" i="1" a="1"/>
  <c r="AY19" i="1" s="1"/>
  <c r="AZ19" i="1" a="1"/>
  <c r="AZ19" i="1" s="1"/>
  <c r="AX12" i="1" a="1"/>
  <c r="AX12" i="1" s="1"/>
  <c r="BA18" i="1" a="1"/>
  <c r="BA18" i="1" s="1"/>
  <c r="BE18" i="1" a="1"/>
  <c r="BE18" i="1" s="1"/>
  <c r="AZ18" i="1" a="1"/>
  <c r="AZ18" i="1" s="1"/>
  <c r="BA12" i="1" a="1"/>
  <c r="BA12" i="1" s="1"/>
  <c r="AT18" i="1" a="1"/>
  <c r="AT18" i="1" s="1"/>
  <c r="BD18" i="1" a="1"/>
  <c r="BD18" i="1" s="1"/>
  <c r="BD12" i="1" a="1"/>
  <c r="BD12" i="1" s="1"/>
  <c r="AQ18" i="1" a="1"/>
  <c r="AQ18" i="1" s="1"/>
  <c r="AS18" i="1" a="1"/>
  <c r="AS18" i="1" s="1"/>
  <c r="AW18" i="1" a="1"/>
  <c r="AW18" i="1" s="1"/>
  <c r="AP7" i="1" a="1"/>
  <c r="AP7" i="1" s="1"/>
  <c r="BC18" i="1" a="1"/>
  <c r="BC18" i="1" s="1"/>
  <c r="AR18" i="1" a="1"/>
  <c r="AR18" i="1" s="1"/>
  <c r="AZ12" i="1" a="1"/>
  <c r="AZ12" i="1" s="1"/>
  <c r="AO18" i="1" a="1"/>
  <c r="AO18" i="1" s="1"/>
  <c r="BF18" i="1" a="1"/>
  <c r="BF18" i="1" s="1"/>
  <c r="BE12" i="1" a="1"/>
  <c r="BE12" i="1" s="1"/>
  <c r="AQ12" i="1" a="1"/>
  <c r="AQ12" i="1" s="1"/>
  <c r="AP12" i="1" a="1"/>
  <c r="AP12" i="1" s="1"/>
  <c r="BE13" i="1" a="1"/>
  <c r="BE13" i="1" s="1"/>
  <c r="BC21" i="1" a="1"/>
  <c r="BC21" i="1" s="1"/>
  <c r="AW21" i="1" a="1"/>
  <c r="AW21" i="1" s="1"/>
  <c r="BR21" i="1"/>
  <c r="AV21" i="1" a="1"/>
  <c r="AV21" i="1" s="1"/>
  <c r="AT21" i="1" a="1"/>
  <c r="AT21" i="1" s="1"/>
  <c r="BE21" i="1" a="1"/>
  <c r="BE21" i="1" s="1"/>
  <c r="BD19" i="1" a="1"/>
  <c r="BD19" i="1" s="1"/>
  <c r="AU13" i="1" a="1"/>
  <c r="AU13" i="1" s="1"/>
  <c r="BC13" i="1" a="1"/>
  <c r="BC13" i="1" s="1"/>
  <c r="BB13" i="1" a="1"/>
  <c r="BB13" i="1" s="1"/>
  <c r="AR13" i="1" a="1"/>
  <c r="AR13" i="1" s="1"/>
  <c r="BH13" i="1" a="1"/>
  <c r="BH13" i="1" s="1"/>
  <c r="BG18" i="1" a="1"/>
  <c r="BG18" i="1" s="1"/>
  <c r="BA19" i="1" a="1"/>
  <c r="BA19" i="1" s="1"/>
  <c r="BC9" i="1" a="1"/>
  <c r="BC9" i="1" s="1"/>
  <c r="BT8" i="1"/>
  <c r="AY8" i="1" a="1"/>
  <c r="AY8" i="1" s="1"/>
  <c r="BG8" i="1" a="1"/>
  <c r="BG8" i="1" s="1"/>
  <c r="AV18" i="1" a="1"/>
  <c r="AV18" i="1" s="1"/>
  <c r="BG21" i="1" a="1"/>
  <c r="BG21" i="1" s="1"/>
  <c r="AT19" i="1" a="1"/>
  <c r="AT19" i="1" s="1"/>
  <c r="AX19" i="1" a="1"/>
  <c r="AX19" i="1" s="1"/>
  <c r="BC19" i="1" a="1"/>
  <c r="BC19" i="1" s="1"/>
  <c r="AS12" i="1" a="1"/>
  <c r="AS12" i="1" s="1"/>
  <c r="BB12" i="1" a="1"/>
  <c r="BB12" i="1" s="1"/>
  <c r="AT12" i="1" a="1"/>
  <c r="AT12" i="1" s="1"/>
  <c r="BR9" i="1"/>
  <c r="BD13" i="1" a="1"/>
  <c r="BD13" i="1" s="1"/>
  <c r="AS13" i="1" a="1"/>
  <c r="AS13" i="1" s="1"/>
  <c r="AU21" i="1" a="1"/>
  <c r="AU21" i="1" s="1"/>
  <c r="AY18" i="1" a="1"/>
  <c r="AY18" i="1" s="1"/>
  <c r="BB21" i="1" a="1"/>
  <c r="BB21" i="1" s="1"/>
  <c r="AR19" i="1" a="1"/>
  <c r="AR19" i="1" s="1"/>
  <c r="AQ19" i="1" a="1"/>
  <c r="AQ19" i="1" s="1"/>
  <c r="AW19" i="1" a="1"/>
  <c r="AW19" i="1" s="1"/>
  <c r="AO12" i="1" a="1"/>
  <c r="AO12" i="1" s="1"/>
  <c r="AW12" i="1" a="1"/>
  <c r="AW12" i="1" s="1"/>
  <c r="AT13" i="1" a="1"/>
  <c r="AT13" i="1" s="1"/>
  <c r="AZ13" i="1" a="1"/>
  <c r="AZ13" i="1" s="1"/>
  <c r="AS21" i="1" a="1"/>
  <c r="AS21" i="1" s="1"/>
  <c r="BE19" i="1" a="1"/>
  <c r="BE19" i="1" s="1"/>
  <c r="AU12" i="1" a="1"/>
  <c r="AU12" i="1" s="1"/>
  <c r="AX13" i="1" a="1"/>
  <c r="AX13" i="1" s="1"/>
  <c r="BR13" i="1"/>
  <c r="AP18" i="1" a="1"/>
  <c r="AP18" i="1" s="1"/>
  <c r="BB19" i="1" a="1"/>
  <c r="BB19" i="1" s="1"/>
  <c r="BH12" i="1" a="1"/>
  <c r="BH12" i="1" s="1"/>
  <c r="BS12" i="1"/>
  <c r="BD24" i="1" a="1"/>
  <c r="BD24" i="1" s="1"/>
  <c r="BA13" i="1" a="1"/>
  <c r="BA13" i="1" s="1"/>
  <c r="AP13" i="1" a="1"/>
  <c r="AP13" i="1" s="1"/>
  <c r="AO13" i="1" a="1"/>
  <c r="AO13" i="1" s="1"/>
  <c r="AV13" i="1" a="1"/>
  <c r="AV13" i="1" s="1"/>
  <c r="AQ13" i="1" a="1"/>
  <c r="AQ13" i="1" s="1"/>
  <c r="AQ8" i="1" a="1"/>
  <c r="AQ8" i="1" s="1"/>
  <c r="BA8" i="1" a="1"/>
  <c r="BA8" i="1" s="1"/>
  <c r="BE8" i="1" a="1"/>
  <c r="BE8" i="1" s="1"/>
  <c r="AX24" i="1" a="1"/>
  <c r="AX24" i="1" s="1"/>
  <c r="BA20" i="1" a="1"/>
  <c r="BA20" i="1" s="1"/>
  <c r="BD8" i="1" a="1"/>
  <c r="BD8" i="1" s="1"/>
  <c r="AT8" i="1" a="1"/>
  <c r="AT8" i="1" s="1"/>
  <c r="AV8" i="1" a="1"/>
  <c r="AV8" i="1" s="1"/>
  <c r="BH8" i="1" a="1"/>
  <c r="BH8" i="1" s="1"/>
  <c r="AS8" i="1" a="1"/>
  <c r="AS8" i="1" s="1"/>
  <c r="BB8" i="1" a="1"/>
  <c r="BB8" i="1" s="1"/>
  <c r="AZ8" i="1" a="1"/>
  <c r="AZ8" i="1" s="1"/>
  <c r="AP8" i="1" a="1"/>
  <c r="AP8" i="1" s="1"/>
  <c r="BF8" i="1" a="1"/>
  <c r="BF8" i="1" s="1"/>
  <c r="BF21" i="1" a="1"/>
  <c r="BF21" i="1" s="1"/>
  <c r="AO8" i="1" a="1"/>
  <c r="AO8" i="1" s="1"/>
  <c r="AU8" i="1" a="1"/>
  <c r="AU8" i="1" s="1"/>
  <c r="BG13" i="1" a="1"/>
  <c r="BG13" i="1" s="1"/>
  <c r="AW8" i="1" a="1"/>
  <c r="AW8" i="1" s="1"/>
  <c r="AR8" i="1" a="1"/>
  <c r="AR8" i="1" s="1"/>
  <c r="BH15" i="1" a="1"/>
  <c r="BH15" i="1" s="1"/>
  <c r="BC8" i="1" a="1"/>
  <c r="BC8" i="1" s="1"/>
  <c r="AX8" i="1" a="1"/>
  <c r="AX8" i="1" s="1"/>
  <c r="AO15" i="1" a="1"/>
  <c r="AO15" i="1" s="1"/>
  <c r="BE7" i="1" a="1"/>
  <c r="BE7" i="1" s="1"/>
  <c r="AS24" i="1" a="1"/>
  <c r="AS24" i="1" s="1"/>
  <c r="AZ21" i="1" a="1"/>
  <c r="AZ21" i="1" s="1"/>
  <c r="BE20" i="1" a="1"/>
  <c r="BE20" i="1" s="1"/>
  <c r="BH7" i="1" a="1"/>
  <c r="BH7" i="1" s="1"/>
  <c r="AT20" i="1" a="1"/>
  <c r="AT20" i="1" s="1"/>
  <c r="AT7" i="1" a="1"/>
  <c r="AT7" i="1" s="1"/>
  <c r="BR16" i="1"/>
  <c r="BH16" i="1" a="1"/>
  <c r="BH16" i="1" s="1"/>
  <c r="AW16" i="1" a="1"/>
  <c r="AW16" i="1" s="1"/>
  <c r="AQ16" i="1" a="1"/>
  <c r="AQ16" i="1" s="1"/>
  <c r="BF16" i="1" a="1"/>
  <c r="BF16" i="1" s="1"/>
  <c r="AP16" i="1" a="1"/>
  <c r="AP16" i="1" s="1"/>
  <c r="AY16" i="1" a="1"/>
  <c r="AY16" i="1" s="1"/>
  <c r="BD16" i="1" a="1"/>
  <c r="BD16" i="1" s="1"/>
  <c r="AU16" i="1" a="1"/>
  <c r="AU16" i="1" s="1"/>
  <c r="AX16" i="1" a="1"/>
  <c r="AX16" i="1" s="1"/>
  <c r="AZ16" i="1" a="1"/>
  <c r="AZ16" i="1" s="1"/>
  <c r="AS16" i="1" a="1"/>
  <c r="AS16" i="1" s="1"/>
  <c r="BE16" i="1" a="1"/>
  <c r="BE16" i="1" s="1"/>
  <c r="AT16" i="1" a="1"/>
  <c r="AT16" i="1" s="1"/>
  <c r="AO16" i="1" a="1"/>
  <c r="AO16" i="1" s="1"/>
  <c r="BG16" i="1" a="1"/>
  <c r="BG16" i="1" s="1"/>
  <c r="BB16" i="1" a="1"/>
  <c r="BB16" i="1" s="1"/>
  <c r="BA16" i="1" a="1"/>
  <c r="BA16" i="1" s="1"/>
  <c r="BC16" i="1" a="1"/>
  <c r="BC16" i="1" s="1"/>
  <c r="AR16" i="1" a="1"/>
  <c r="AR16" i="1" s="1"/>
  <c r="AV16" i="1" a="1"/>
  <c r="AV16" i="1" s="1"/>
  <c r="BT23" i="1"/>
  <c r="BB23" i="1" a="1"/>
  <c r="BB23" i="1" s="1"/>
  <c r="AZ23" i="1" a="1"/>
  <c r="AZ23" i="1" s="1"/>
  <c r="BD23" i="1" a="1"/>
  <c r="BD23" i="1" s="1"/>
  <c r="AT23" i="1" a="1"/>
  <c r="AT23" i="1" s="1"/>
  <c r="AR23" i="1" a="1"/>
  <c r="AR23" i="1" s="1"/>
  <c r="BG23" i="1" a="1"/>
  <c r="BG23" i="1" s="1"/>
  <c r="AO23" i="1" a="1"/>
  <c r="AO23" i="1" s="1"/>
  <c r="AS23" i="1" a="1"/>
  <c r="AS23" i="1" s="1"/>
  <c r="BC23" i="1" a="1"/>
  <c r="BC23" i="1" s="1"/>
  <c r="AY23" i="1" a="1"/>
  <c r="AY23" i="1" s="1"/>
  <c r="AU23" i="1" a="1"/>
  <c r="AU23" i="1" s="1"/>
  <c r="BF23" i="1" a="1"/>
  <c r="BF23" i="1" s="1"/>
  <c r="BA23" i="1" a="1"/>
  <c r="BA23" i="1" s="1"/>
  <c r="BH23" i="1" a="1"/>
  <c r="BH23" i="1" s="1"/>
  <c r="AX23" i="1" a="1"/>
  <c r="AX23" i="1" s="1"/>
  <c r="AP23" i="1" a="1"/>
  <c r="AP23" i="1" s="1"/>
  <c r="AW23" i="1" a="1"/>
  <c r="AW23" i="1" s="1"/>
  <c r="AV23" i="1" a="1"/>
  <c r="AV23" i="1" s="1"/>
  <c r="BE23" i="1" a="1"/>
  <c r="BE23" i="1" s="1"/>
  <c r="AQ23" i="1" a="1"/>
  <c r="AQ23" i="1" s="1"/>
  <c r="AU6" i="1" a="1"/>
  <c r="AU6" i="1" s="1"/>
  <c r="AY6" i="1" a="1"/>
  <c r="AY6" i="1" s="1"/>
  <c r="AP6" i="1" a="1"/>
  <c r="AP6" i="1" s="1"/>
  <c r="BE6" i="1" a="1"/>
  <c r="BE6" i="1" s="1"/>
  <c r="BC6" i="1" a="1"/>
  <c r="BC6" i="1" s="1"/>
  <c r="AS6" i="1" a="1"/>
  <c r="AS6" i="1" s="1"/>
  <c r="AZ6" i="1" a="1"/>
  <c r="AZ6" i="1" s="1"/>
  <c r="BH6" i="1" a="1"/>
  <c r="BH6" i="1" s="1"/>
  <c r="AQ6" i="1" a="1"/>
  <c r="AQ6" i="1" s="1"/>
  <c r="BG6" i="1" a="1"/>
  <c r="BG6" i="1" s="1"/>
  <c r="AR6" i="1" a="1"/>
  <c r="AR6" i="1" s="1"/>
  <c r="AT6" i="1" a="1"/>
  <c r="AT6" i="1" s="1"/>
  <c r="BD6" i="1" a="1"/>
  <c r="BD6" i="1" s="1"/>
  <c r="BA6" i="1" a="1"/>
  <c r="BA6" i="1" s="1"/>
  <c r="BS6" i="1"/>
  <c r="BF6" i="1" a="1"/>
  <c r="BF6" i="1" s="1"/>
  <c r="AO6" i="1" a="1"/>
  <c r="AO6" i="1" s="1"/>
  <c r="AW6" i="1" a="1"/>
  <c r="AW6" i="1" s="1"/>
  <c r="AX6" i="1" a="1"/>
  <c r="AX6" i="1" s="1"/>
  <c r="AV6" i="1" a="1"/>
  <c r="AV6" i="1" s="1"/>
  <c r="BB6" i="1" a="1"/>
  <c r="BB6" i="1" s="1"/>
  <c r="BF10" i="1" a="1"/>
  <c r="BF10" i="1" s="1"/>
  <c r="AX10" i="1" a="1"/>
  <c r="AX10" i="1" s="1"/>
  <c r="BE10" i="1" a="1"/>
  <c r="BE10" i="1" s="1"/>
  <c r="AO10" i="1" a="1"/>
  <c r="AO10" i="1" s="1"/>
  <c r="AR10" i="1" a="1"/>
  <c r="AR10" i="1" s="1"/>
  <c r="BG10" i="1" a="1"/>
  <c r="BG10" i="1" s="1"/>
  <c r="AV10" i="1" a="1"/>
  <c r="AV10" i="1" s="1"/>
  <c r="AW10" i="1" a="1"/>
  <c r="AW10" i="1" s="1"/>
  <c r="AY10" i="1" a="1"/>
  <c r="AY10" i="1" s="1"/>
  <c r="AZ10" i="1" a="1"/>
  <c r="AZ10" i="1" s="1"/>
  <c r="BR10" i="1"/>
  <c r="AT10" i="1" a="1"/>
  <c r="AT10" i="1" s="1"/>
  <c r="AP10" i="1" a="1"/>
  <c r="AP10" i="1" s="1"/>
  <c r="BA10" i="1" a="1"/>
  <c r="BA10" i="1" s="1"/>
  <c r="BB10" i="1" a="1"/>
  <c r="BB10" i="1" s="1"/>
  <c r="AS10" i="1" a="1"/>
  <c r="AS10" i="1" s="1"/>
  <c r="BH10" i="1" a="1"/>
  <c r="BH10" i="1" s="1"/>
  <c r="AQ10" i="1" a="1"/>
  <c r="AQ10" i="1" s="1"/>
  <c r="AU10" i="1" a="1"/>
  <c r="AU10" i="1" s="1"/>
  <c r="BC10" i="1" a="1"/>
  <c r="BC10" i="1" s="1"/>
  <c r="BD10" i="1" a="1"/>
  <c r="BD10" i="1" s="1"/>
  <c r="BF7" i="1" a="1"/>
  <c r="BF7" i="1" s="1"/>
  <c r="AQ7" i="1" a="1"/>
  <c r="AQ7" i="1" s="1"/>
  <c r="AT15" i="1" a="1"/>
  <c r="AT15" i="1" s="1"/>
  <c r="AR15" i="1" a="1"/>
  <c r="AR15" i="1" s="1"/>
  <c r="BC15" i="1" a="1"/>
  <c r="BC15" i="1" s="1"/>
  <c r="AQ24" i="1" a="1"/>
  <c r="AQ24" i="1" s="1"/>
  <c r="BB24" i="1" a="1"/>
  <c r="BB24" i="1" s="1"/>
  <c r="AV24" i="1" a="1"/>
  <c r="AV24" i="1" s="1"/>
  <c r="BE9" i="1" a="1"/>
  <c r="BE9" i="1" s="1"/>
  <c r="AV9" i="1" a="1"/>
  <c r="AV9" i="1" s="1"/>
  <c r="AP9" i="1" a="1"/>
  <c r="AP9" i="1" s="1"/>
  <c r="AU20" i="1" a="1"/>
  <c r="AU20" i="1" s="1"/>
  <c r="BC20" i="1" a="1"/>
  <c r="BC20" i="1" s="1"/>
  <c r="AW20" i="1" a="1"/>
  <c r="AW20" i="1" s="1"/>
  <c r="AW24" i="1" a="1"/>
  <c r="AW24" i="1" s="1"/>
  <c r="BB7" i="1" a="1"/>
  <c r="BB7" i="1" s="1"/>
  <c r="BD7" i="1" a="1"/>
  <c r="BD7" i="1" s="1"/>
  <c r="BC7" i="1" a="1"/>
  <c r="BC7" i="1" s="1"/>
  <c r="BF15" i="1" a="1"/>
  <c r="BF15" i="1" s="1"/>
  <c r="AV15" i="1" a="1"/>
  <c r="AV15" i="1" s="1"/>
  <c r="AX15" i="1" a="1"/>
  <c r="AX15" i="1" s="1"/>
  <c r="BR24" i="1"/>
  <c r="AR24" i="1" a="1"/>
  <c r="AR24" i="1" s="1"/>
  <c r="AO24" i="1" a="1"/>
  <c r="AO24" i="1" s="1"/>
  <c r="AO9" i="1" a="1"/>
  <c r="AO9" i="1" s="1"/>
  <c r="AY9" i="1" a="1"/>
  <c r="AY9" i="1" s="1"/>
  <c r="AW9" i="1" a="1"/>
  <c r="AW9" i="1" s="1"/>
  <c r="BF20" i="1" a="1"/>
  <c r="BF20" i="1" s="1"/>
  <c r="BG20" i="1" a="1"/>
  <c r="BG20" i="1" s="1"/>
  <c r="AR20" i="1" a="1"/>
  <c r="AR20" i="1" s="1"/>
  <c r="BC24" i="1" a="1"/>
  <c r="BC24" i="1" s="1"/>
  <c r="AP20" i="1" a="1"/>
  <c r="AP20" i="1" s="1"/>
  <c r="AO7" i="1" a="1"/>
  <c r="AO7" i="1" s="1"/>
  <c r="AW7" i="1" a="1"/>
  <c r="AW7" i="1" s="1"/>
  <c r="BA7" i="1" a="1"/>
  <c r="BA7" i="1" s="1"/>
  <c r="AP15" i="1" a="1"/>
  <c r="AP15" i="1" s="1"/>
  <c r="AY15" i="1" a="1"/>
  <c r="AY15" i="1" s="1"/>
  <c r="AQ15" i="1" a="1"/>
  <c r="AQ15" i="1" s="1"/>
  <c r="AT24" i="1" a="1"/>
  <c r="AT24" i="1" s="1"/>
  <c r="BE24" i="1" a="1"/>
  <c r="BE24" i="1" s="1"/>
  <c r="BB9" i="1" a="1"/>
  <c r="BB9" i="1" s="1"/>
  <c r="AR9" i="1" a="1"/>
  <c r="AR9" i="1" s="1"/>
  <c r="BG9" i="1" a="1"/>
  <c r="BG9" i="1" s="1"/>
  <c r="AZ20" i="1" a="1"/>
  <c r="AZ20" i="1" s="1"/>
  <c r="BB20" i="1" a="1"/>
  <c r="BB20" i="1" s="1"/>
  <c r="BH20" i="1" a="1"/>
  <c r="BH20" i="1" s="1"/>
  <c r="AQ20" i="1" a="1"/>
  <c r="AQ20" i="1" s="1"/>
  <c r="AR7" i="1" a="1"/>
  <c r="AR7" i="1" s="1"/>
  <c r="AY7" i="1" a="1"/>
  <c r="AY7" i="1" s="1"/>
  <c r="AZ7" i="1" a="1"/>
  <c r="AZ7" i="1" s="1"/>
  <c r="BD15" i="1" a="1"/>
  <c r="BD15" i="1" s="1"/>
  <c r="BE15" i="1" a="1"/>
  <c r="BE15" i="1" s="1"/>
  <c r="AZ15" i="1" a="1"/>
  <c r="AZ15" i="1" s="1"/>
  <c r="AU24" i="1" a="1"/>
  <c r="AU24" i="1" s="1"/>
  <c r="AY24" i="1" a="1"/>
  <c r="AY24" i="1" s="1"/>
  <c r="BF9" i="1" a="1"/>
  <c r="BF9" i="1" s="1"/>
  <c r="AX9" i="1" a="1"/>
  <c r="AX9" i="1" s="1"/>
  <c r="AT9" i="1" a="1"/>
  <c r="AT9" i="1" s="1"/>
  <c r="AX20" i="1" a="1"/>
  <c r="AX20" i="1" s="1"/>
  <c r="AS20" i="1" a="1"/>
  <c r="AS20" i="1" s="1"/>
  <c r="AY20" i="1" a="1"/>
  <c r="AY20" i="1" s="1"/>
  <c r="AQ21" i="1" a="1"/>
  <c r="AQ21" i="1" s="1"/>
  <c r="AS15" i="1" a="1"/>
  <c r="AS15" i="1" s="1"/>
  <c r="BG7" i="1" a="1"/>
  <c r="BG7" i="1" s="1"/>
  <c r="AX7" i="1" a="1"/>
  <c r="AX7" i="1" s="1"/>
  <c r="AV7" i="1" a="1"/>
  <c r="AV7" i="1" s="1"/>
  <c r="AW15" i="1" a="1"/>
  <c r="AW15" i="1" s="1"/>
  <c r="BG15" i="1" a="1"/>
  <c r="BG15" i="1" s="1"/>
  <c r="BR15" i="1"/>
  <c r="BG24" i="1" a="1"/>
  <c r="BG24" i="1" s="1"/>
  <c r="BH24" i="1" a="1"/>
  <c r="BH24" i="1" s="1"/>
  <c r="BA9" i="1" a="1"/>
  <c r="BA9" i="1" s="1"/>
  <c r="AZ9" i="1" a="1"/>
  <c r="AZ9" i="1" s="1"/>
  <c r="AV20" i="1" a="1"/>
  <c r="AV20" i="1" s="1"/>
  <c r="BD20" i="1" a="1"/>
  <c r="BD20" i="1" s="1"/>
  <c r="BR20" i="1"/>
  <c r="BB15" i="1" a="1"/>
  <c r="BB15" i="1" s="1"/>
  <c r="BF24" i="1" a="1"/>
  <c r="BF24" i="1" s="1"/>
  <c r="AS7" i="1" a="1"/>
  <c r="AS7" i="1" s="1"/>
  <c r="AU7" i="1" a="1"/>
  <c r="AU7" i="1" s="1"/>
  <c r="AU15" i="1" a="1"/>
  <c r="AU15" i="1" s="1"/>
  <c r="BA24" i="1" a="1"/>
  <c r="BA24" i="1" s="1"/>
  <c r="AP24" i="1" a="1"/>
  <c r="AP24" i="1" s="1"/>
  <c r="AU9" i="1" a="1"/>
  <c r="AU9" i="1" s="1"/>
  <c r="BH9" i="1" a="1"/>
  <c r="BH9" i="1" s="1"/>
  <c r="AO20" i="1" a="1"/>
  <c r="AO20" i="1" s="1"/>
  <c r="BS21" i="1"/>
  <c r="BA21" i="1" a="1"/>
  <c r="BA21" i="1" s="1"/>
  <c r="AY21" i="1" a="1"/>
  <c r="AY21" i="1" s="1"/>
  <c r="BD21" i="1" a="1"/>
  <c r="BD21" i="1" s="1"/>
  <c r="AR21" i="1" a="1"/>
  <c r="AR21" i="1" s="1"/>
  <c r="AP21" i="1" a="1"/>
  <c r="AP21" i="1" s="1"/>
  <c r="BH21" i="1" a="1"/>
  <c r="BH21" i="1" s="1"/>
  <c r="AO21" i="1" a="1"/>
  <c r="AO21" i="1" s="1"/>
  <c r="AX21" i="1" a="1"/>
  <c r="AX21" i="1" s="1"/>
  <c r="BS17" i="1"/>
  <c r="AO17" i="1" a="1"/>
  <c r="AO17" i="1" s="1"/>
  <c r="BD17" i="1" a="1"/>
  <c r="BD17" i="1" s="1"/>
  <c r="BH17" i="1" a="1"/>
  <c r="BH17" i="1" s="1"/>
  <c r="AP17" i="1" a="1"/>
  <c r="AP17" i="1" s="1"/>
  <c r="BF17" i="1" a="1"/>
  <c r="BF17" i="1" s="1"/>
  <c r="AX17" i="1" a="1"/>
  <c r="AX17" i="1" s="1"/>
  <c r="AS17" i="1" a="1"/>
  <c r="AS17" i="1" s="1"/>
  <c r="AV17" i="1" a="1"/>
  <c r="AV17" i="1" s="1"/>
  <c r="AR17" i="1" a="1"/>
  <c r="AR17" i="1" s="1"/>
  <c r="BE17" i="1" a="1"/>
  <c r="BE17" i="1" s="1"/>
  <c r="AT17" i="1" a="1"/>
  <c r="AT17" i="1" s="1"/>
  <c r="BA17" i="1" a="1"/>
  <c r="BA17" i="1" s="1"/>
  <c r="AY17" i="1" a="1"/>
  <c r="AY17" i="1" s="1"/>
  <c r="AZ17" i="1" a="1"/>
  <c r="AZ17" i="1" s="1"/>
  <c r="BG17" i="1" a="1"/>
  <c r="BG17" i="1" s="1"/>
  <c r="AQ17" i="1" a="1"/>
  <c r="AQ17" i="1" s="1"/>
  <c r="BB17" i="1" a="1"/>
  <c r="BB17" i="1" s="1"/>
  <c r="AW17" i="1" a="1"/>
  <c r="AW17" i="1" s="1"/>
  <c r="AU17" i="1" a="1"/>
  <c r="AU17" i="1" s="1"/>
  <c r="BC17" i="1" a="1"/>
  <c r="BC17" i="1" s="1"/>
  <c r="BS11" i="1"/>
  <c r="AZ11" i="1" a="1"/>
  <c r="AZ11" i="1" s="1"/>
  <c r="AV11" i="1" a="1"/>
  <c r="AV11" i="1" s="1"/>
  <c r="BG11" i="1" a="1"/>
  <c r="BG11" i="1" s="1"/>
  <c r="BD11" i="1" a="1"/>
  <c r="BD11" i="1" s="1"/>
  <c r="AY11" i="1" a="1"/>
  <c r="AY11" i="1" s="1"/>
  <c r="BB11" i="1" a="1"/>
  <c r="BB11" i="1" s="1"/>
  <c r="BC11" i="1" a="1"/>
  <c r="BC11" i="1" s="1"/>
  <c r="AX11" i="1" a="1"/>
  <c r="AX11" i="1" s="1"/>
  <c r="BF11" i="1" a="1"/>
  <c r="BF11" i="1" s="1"/>
  <c r="AQ11" i="1" a="1"/>
  <c r="AQ11" i="1" s="1"/>
  <c r="AT11" i="1" a="1"/>
  <c r="AT11" i="1" s="1"/>
  <c r="BH11" i="1" a="1"/>
  <c r="BH11" i="1" s="1"/>
  <c r="AS11" i="1" a="1"/>
  <c r="AS11" i="1" s="1"/>
  <c r="AU11" i="1" a="1"/>
  <c r="AU11" i="1" s="1"/>
  <c r="AO11" i="1" a="1"/>
  <c r="AO11" i="1" s="1"/>
  <c r="BE11" i="1" a="1"/>
  <c r="BE11" i="1" s="1"/>
  <c r="AP11" i="1" a="1"/>
  <c r="AP11" i="1" s="1"/>
  <c r="AR11" i="1" a="1"/>
  <c r="AR11" i="1" s="1"/>
  <c r="BA11" i="1" a="1"/>
  <c r="BA11" i="1" s="1"/>
  <c r="AW11" i="1" a="1"/>
  <c r="AW11" i="1" s="1"/>
  <c r="AQ14" i="1" a="1"/>
  <c r="AQ14" i="1" s="1"/>
  <c r="BB14" i="1" a="1"/>
  <c r="BB14" i="1" s="1"/>
  <c r="BA14" i="1" a="1"/>
  <c r="BA14" i="1" s="1"/>
  <c r="AZ14" i="1" a="1"/>
  <c r="AZ14" i="1" s="1"/>
  <c r="AX14" i="1" a="1"/>
  <c r="AX14" i="1" s="1"/>
  <c r="AW14" i="1" a="1"/>
  <c r="AW14" i="1" s="1"/>
  <c r="AP14" i="1" a="1"/>
  <c r="AP14" i="1" s="1"/>
  <c r="AS14" i="1" a="1"/>
  <c r="AS14" i="1" s="1"/>
  <c r="BR14" i="1"/>
  <c r="BC14" i="1" a="1"/>
  <c r="BC14" i="1" s="1"/>
  <c r="AV14" i="1" a="1"/>
  <c r="AV14" i="1" s="1"/>
  <c r="BG14" i="1" a="1"/>
  <c r="BG14" i="1" s="1"/>
  <c r="BD14" i="1" a="1"/>
  <c r="BD14" i="1" s="1"/>
  <c r="AY14" i="1" a="1"/>
  <c r="AY14" i="1" s="1"/>
  <c r="BE14" i="1" a="1"/>
  <c r="BE14" i="1" s="1"/>
  <c r="BH14" i="1" a="1"/>
  <c r="BH14" i="1" s="1"/>
  <c r="BF14" i="1" a="1"/>
  <c r="BF14" i="1" s="1"/>
  <c r="AT14" i="1" a="1"/>
  <c r="AT14" i="1" s="1"/>
  <c r="AO14" i="1" a="1"/>
  <c r="AO14" i="1" s="1"/>
  <c r="AR14" i="1" a="1"/>
  <c r="AR14" i="1" s="1"/>
  <c r="AU14" i="1" a="1"/>
  <c r="AU14" i="1" s="1"/>
  <c r="BF22" i="1" a="1"/>
  <c r="BF22" i="1" s="1"/>
  <c r="AY22" i="1" a="1"/>
  <c r="AY22" i="1" s="1"/>
  <c r="BR22" i="1"/>
  <c r="BC22" i="1" a="1"/>
  <c r="BC22" i="1" s="1"/>
  <c r="AS22" i="1" a="1"/>
  <c r="AS22" i="1" s="1"/>
  <c r="BG22" i="1" a="1"/>
  <c r="BG22" i="1" s="1"/>
  <c r="AU22" i="1" a="1"/>
  <c r="AU22" i="1" s="1"/>
  <c r="AV22" i="1" a="1"/>
  <c r="AV22" i="1" s="1"/>
  <c r="AP22" i="1" a="1"/>
  <c r="AP22" i="1" s="1"/>
  <c r="AW22" i="1" a="1"/>
  <c r="AW22" i="1" s="1"/>
  <c r="AZ22" i="1" a="1"/>
  <c r="AZ22" i="1" s="1"/>
  <c r="AR22" i="1" a="1"/>
  <c r="AR22" i="1" s="1"/>
  <c r="BA22" i="1" a="1"/>
  <c r="BA22" i="1" s="1"/>
  <c r="BB22" i="1" a="1"/>
  <c r="BB22" i="1" s="1"/>
  <c r="AO22" i="1" a="1"/>
  <c r="AO22" i="1" s="1"/>
  <c r="BD22" i="1" a="1"/>
  <c r="BD22" i="1" s="1"/>
  <c r="AX22" i="1" a="1"/>
  <c r="AX22" i="1" s="1"/>
  <c r="BE22" i="1" a="1"/>
  <c r="BE22" i="1" s="1"/>
  <c r="BH22" i="1" a="1"/>
  <c r="BH22" i="1" s="1"/>
  <c r="AT22" i="1" a="1"/>
  <c r="AT22" i="1" s="1"/>
  <c r="AQ22" i="1" a="1"/>
  <c r="AQ22" i="1" s="1"/>
  <c r="BJ12" i="1" l="1" a="1"/>
  <c r="BJ12" i="1" s="1"/>
  <c r="BL12" i="1" s="1"/>
  <c r="BJ13" i="1" a="1"/>
  <c r="BJ13" i="1" s="1"/>
  <c r="BN13" i="1" s="1"/>
  <c r="BJ24" i="1" a="1"/>
  <c r="BJ24" i="1" s="1"/>
  <c r="BN24" i="1" s="1"/>
  <c r="BJ18" i="1" a="1"/>
  <c r="BJ18" i="1" s="1"/>
  <c r="BL18" i="1" s="1"/>
  <c r="BJ19" i="1" a="1"/>
  <c r="BJ19" i="1" s="1"/>
  <c r="BQ19" i="1" s="1"/>
  <c r="BJ21" i="1" a="1"/>
  <c r="BJ21" i="1" s="1"/>
  <c r="BN21" i="1" s="1"/>
  <c r="BJ8" i="1" a="1"/>
  <c r="BJ8" i="1" s="1"/>
  <c r="BO8" i="1" s="1"/>
  <c r="BJ16" i="1" a="1"/>
  <c r="BJ16" i="1" s="1"/>
  <c r="BL16" i="1" s="1"/>
  <c r="BJ14" i="1" a="1"/>
  <c r="BJ14" i="1" s="1"/>
  <c r="BO14" i="1" s="1"/>
  <c r="BJ11" i="1" a="1"/>
  <c r="BJ11" i="1" s="1"/>
  <c r="BP11" i="1" s="1"/>
  <c r="BJ20" i="1" a="1"/>
  <c r="BJ20" i="1" s="1"/>
  <c r="BP20" i="1" s="1"/>
  <c r="BJ15" i="1" a="1"/>
  <c r="BJ15" i="1" s="1"/>
  <c r="BQ15" i="1" s="1"/>
  <c r="BJ10" i="1" a="1"/>
  <c r="BJ10" i="1" s="1"/>
  <c r="BO10" i="1" s="1"/>
  <c r="BJ7" i="1" a="1"/>
  <c r="BJ7" i="1" s="1"/>
  <c r="BO7" i="1" s="1"/>
  <c r="BJ6" i="1" a="1"/>
  <c r="BJ6" i="1" s="1"/>
  <c r="BL6" i="1" s="1"/>
  <c r="BJ23" i="1" a="1"/>
  <c r="BJ23" i="1" s="1"/>
  <c r="BQ23" i="1" s="1"/>
  <c r="BJ17" i="1" a="1"/>
  <c r="BJ17" i="1" s="1"/>
  <c r="BN17" i="1" s="1"/>
  <c r="BJ9" i="1" a="1"/>
  <c r="BJ9" i="1" s="1"/>
  <c r="BN9" i="1" s="1"/>
  <c r="BJ22" i="1" a="1"/>
  <c r="BJ22" i="1" s="1"/>
  <c r="BN12" i="1"/>
  <c r="BP12" i="1"/>
  <c r="BQ12" i="1" l="1"/>
  <c r="BO12" i="1"/>
  <c r="BQ14" i="1"/>
  <c r="BP14" i="1"/>
  <c r="BL14" i="1"/>
  <c r="CN14" i="1" s="1"/>
  <c r="BQ11" i="1"/>
  <c r="BN18" i="1"/>
  <c r="BQ13" i="1"/>
  <c r="BQ18" i="1"/>
  <c r="BO13" i="1"/>
  <c r="BO18" i="1"/>
  <c r="BO11" i="1"/>
  <c r="BQ10" i="1"/>
  <c r="BZ10" i="1" s="1" a="1"/>
  <c r="BZ10" i="1" s="1"/>
  <c r="CW10" i="1" s="1"/>
  <c r="BL11" i="1"/>
  <c r="CN11" i="1" s="1"/>
  <c r="BN11" i="1"/>
  <c r="BP13" i="1"/>
  <c r="BL13" i="1"/>
  <c r="CN13" i="1" s="1"/>
  <c r="BL24" i="1"/>
  <c r="BQ24" i="1"/>
  <c r="BP24" i="1"/>
  <c r="BO24" i="1"/>
  <c r="BP19" i="1"/>
  <c r="BN19" i="1"/>
  <c r="BO19" i="1"/>
  <c r="BN10" i="1"/>
  <c r="BL10" i="1"/>
  <c r="CN10" i="1" s="1"/>
  <c r="BL19" i="1"/>
  <c r="CN19" i="1" s="1"/>
  <c r="BP10" i="1"/>
  <c r="BQ7" i="1"/>
  <c r="BO21" i="1"/>
  <c r="BQ21" i="1"/>
  <c r="BN7" i="1"/>
  <c r="BP21" i="1"/>
  <c r="BL21" i="1"/>
  <c r="CN21" i="1" s="1"/>
  <c r="BP18" i="1"/>
  <c r="BN14" i="1"/>
  <c r="BZ14" i="1" s="1" a="1"/>
  <c r="BZ14" i="1" s="1"/>
  <c r="CW14" i="1" s="1"/>
  <c r="BO20" i="1"/>
  <c r="BN8" i="1"/>
  <c r="BP8" i="1"/>
  <c r="BL23" i="1"/>
  <c r="CN23" i="1" s="1"/>
  <c r="BN16" i="1"/>
  <c r="BQ16" i="1"/>
  <c r="BO16" i="1"/>
  <c r="BP16" i="1"/>
  <c r="BP9" i="1"/>
  <c r="BN23" i="1"/>
  <c r="BO23" i="1"/>
  <c r="BP17" i="1"/>
  <c r="BP7" i="1"/>
  <c r="BP15" i="1"/>
  <c r="BQ20" i="1"/>
  <c r="BQ8" i="1"/>
  <c r="BL7" i="1"/>
  <c r="BO15" i="1"/>
  <c r="BN20" i="1"/>
  <c r="BL8" i="1"/>
  <c r="BL9" i="1"/>
  <c r="CN9" i="1" s="1"/>
  <c r="BL15" i="1"/>
  <c r="CN15" i="1" s="1"/>
  <c r="BN15" i="1"/>
  <c r="BQ9" i="1"/>
  <c r="BO9" i="1"/>
  <c r="BP23" i="1"/>
  <c r="BO6" i="1"/>
  <c r="BQ6" i="1"/>
  <c r="BL20" i="1"/>
  <c r="CN20" i="1" s="1"/>
  <c r="BL17" i="1"/>
  <c r="CN17" i="1" s="1"/>
  <c r="BN6" i="1"/>
  <c r="BP6" i="1"/>
  <c r="BQ17" i="1"/>
  <c r="BO17" i="1"/>
  <c r="BL22" i="1"/>
  <c r="CN22" i="1" s="1"/>
  <c r="BQ22" i="1"/>
  <c r="BP22" i="1"/>
  <c r="BN22" i="1"/>
  <c r="BO22" i="1"/>
  <c r="CN12" i="1"/>
  <c r="CN16" i="1"/>
  <c r="CN18" i="1"/>
  <c r="CN6" i="1"/>
  <c r="BY14" i="1" a="1"/>
  <c r="BY14" i="1" s="1"/>
  <c r="BW12" i="1" a="1"/>
  <c r="BW12" i="1" s="1"/>
  <c r="BX11" i="1" l="1" a="1"/>
  <c r="BX11" i="1" s="1"/>
  <c r="BV12" i="1" a="1"/>
  <c r="BV12" i="1" s="1"/>
  <c r="CA7" i="1" a="1"/>
  <c r="CA7" i="1" s="1"/>
  <c r="CX7" i="1" s="1"/>
  <c r="BY12" i="1" a="1"/>
  <c r="BY12" i="1" s="1"/>
  <c r="BY11" i="1" a="1"/>
  <c r="BY11" i="1" s="1"/>
  <c r="CB12" i="1" a="1"/>
  <c r="CB12" i="1" s="1"/>
  <c r="CY12" i="1" s="1"/>
  <c r="CB21" i="1" a="1"/>
  <c r="CB21" i="1" s="1"/>
  <c r="CY21" i="1" s="1"/>
  <c r="CC12" i="1" a="1"/>
  <c r="CC12" i="1" s="1"/>
  <c r="CZ12" i="1" s="1"/>
  <c r="BZ11" i="1" a="1"/>
  <c r="BZ11" i="1" s="1"/>
  <c r="CW11" i="1" s="1"/>
  <c r="BZ12" i="1" a="1"/>
  <c r="BZ12" i="1" s="1"/>
  <c r="CW12" i="1" s="1"/>
  <c r="CA12" i="1" a="1"/>
  <c r="CA12" i="1" s="1"/>
  <c r="CX12" i="1" s="1"/>
  <c r="BX12" i="1" a="1"/>
  <c r="BX12" i="1" s="1"/>
  <c r="CB11" i="1" a="1"/>
  <c r="CB11" i="1" s="1"/>
  <c r="CY11" i="1" s="1"/>
  <c r="BZ19" i="1" a="1"/>
  <c r="BZ19" i="1" s="1"/>
  <c r="CW19" i="1" s="1"/>
  <c r="BV13" i="1" a="1"/>
  <c r="BV13" i="1" s="1"/>
  <c r="BV11" i="1" a="1"/>
  <c r="BV11" i="1" s="1"/>
  <c r="CB18" i="1" a="1"/>
  <c r="CB18" i="1" s="1"/>
  <c r="CY18" i="1" s="1"/>
  <c r="BW13" i="1" a="1"/>
  <c r="BW13" i="1" s="1"/>
  <c r="CA19" i="1" a="1"/>
  <c r="CA19" i="1" s="1"/>
  <c r="CX19" i="1" s="1"/>
  <c r="BX13" i="1" a="1"/>
  <c r="BX13" i="1" s="1"/>
  <c r="BY13" i="1" a="1"/>
  <c r="BY13" i="1" s="1"/>
  <c r="CA10" i="1" a="1"/>
  <c r="CA10" i="1" s="1"/>
  <c r="CX10" i="1" s="1"/>
  <c r="BZ24" i="1" a="1"/>
  <c r="BZ24" i="1" s="1"/>
  <c r="CW24" i="1" s="1"/>
  <c r="CA11" i="1" a="1"/>
  <c r="CA11" i="1" s="1"/>
  <c r="CX11" i="1" s="1"/>
  <c r="CC11" i="1" a="1"/>
  <c r="CC11" i="1" s="1"/>
  <c r="CZ11" i="1" s="1"/>
  <c r="CC13" i="1" a="1"/>
  <c r="CC13" i="1" s="1"/>
  <c r="CZ13" i="1" s="1"/>
  <c r="CB13" i="1" a="1"/>
  <c r="CB13" i="1" s="1"/>
  <c r="CY13" i="1" s="1"/>
  <c r="CB24" i="1" a="1"/>
  <c r="CB24" i="1" s="1"/>
  <c r="CY24" i="1" s="1"/>
  <c r="BW11" i="1" a="1"/>
  <c r="BW11" i="1" s="1"/>
  <c r="CC14" i="1" a="1"/>
  <c r="CC14" i="1" s="1"/>
  <c r="CZ14" i="1" s="1"/>
  <c r="CA24" i="1" a="1"/>
  <c r="CA24" i="1" s="1"/>
  <c r="CX24" i="1" s="1"/>
  <c r="CB10" i="1" a="1"/>
  <c r="CB10" i="1" s="1"/>
  <c r="CY10" i="1" s="1"/>
  <c r="BW24" i="1" a="1"/>
  <c r="BW24" i="1" s="1"/>
  <c r="CC10" i="1" a="1"/>
  <c r="CC10" i="1" s="1"/>
  <c r="CZ10" i="1" s="1"/>
  <c r="CA13" i="1" a="1"/>
  <c r="CA13" i="1" s="1"/>
  <c r="CX13" i="1" s="1"/>
  <c r="BZ13" i="1" a="1"/>
  <c r="BZ13" i="1" s="1"/>
  <c r="CW13" i="1" s="1"/>
  <c r="BV24" i="1" a="1"/>
  <c r="BV24" i="1" s="1"/>
  <c r="CN24" i="1"/>
  <c r="BY10" i="1" a="1"/>
  <c r="BY10" i="1" s="1"/>
  <c r="BX24" i="1" a="1"/>
  <c r="BX24" i="1" s="1"/>
  <c r="CC24" i="1" a="1"/>
  <c r="CC24" i="1" s="1"/>
  <c r="CZ24" i="1" s="1"/>
  <c r="BX7" i="1" a="1"/>
  <c r="BX7" i="1" s="1"/>
  <c r="BY24" i="1" a="1"/>
  <c r="BY24" i="1" s="1"/>
  <c r="BY21" i="1" a="1"/>
  <c r="BY21" i="1" s="1"/>
  <c r="BZ18" i="1" a="1"/>
  <c r="BZ18" i="1" s="1"/>
  <c r="CW18" i="1" s="1"/>
  <c r="BV10" i="1" a="1"/>
  <c r="BV10" i="1" s="1"/>
  <c r="CB7" i="1" a="1"/>
  <c r="CB7" i="1" s="1"/>
  <c r="CY7" i="1" s="1"/>
  <c r="BZ21" i="1" a="1"/>
  <c r="BZ21" i="1" s="1"/>
  <c r="CW21" i="1" s="1"/>
  <c r="BY19" i="1" a="1"/>
  <c r="BY19" i="1" s="1"/>
  <c r="BX19" i="1" a="1"/>
  <c r="BX19" i="1" s="1"/>
  <c r="CC19" i="1" a="1"/>
  <c r="CC19" i="1" s="1"/>
  <c r="CZ19" i="1" s="1"/>
  <c r="BW14" i="1" a="1"/>
  <c r="BW14" i="1" s="1"/>
  <c r="CB19" i="1" a="1"/>
  <c r="CB19" i="1" s="1"/>
  <c r="CY19" i="1" s="1"/>
  <c r="BW7" i="1" a="1"/>
  <c r="BW7" i="1" s="1"/>
  <c r="CC7" i="1" a="1"/>
  <c r="CC7" i="1" s="1"/>
  <c r="CZ7" i="1" s="1"/>
  <c r="CA21" i="1" a="1"/>
  <c r="CA21" i="1" s="1"/>
  <c r="CX21" i="1" s="1"/>
  <c r="BX10" i="1" a="1"/>
  <c r="BX10" i="1" s="1"/>
  <c r="CC21" i="1" a="1"/>
  <c r="CC21" i="1" s="1"/>
  <c r="CZ21" i="1" s="1"/>
  <c r="BV19" i="1" a="1"/>
  <c r="BV19" i="1" s="1"/>
  <c r="BW19" i="1" a="1"/>
  <c r="BW19" i="1" s="1"/>
  <c r="BV14" i="1" a="1"/>
  <c r="BV14" i="1" s="1"/>
  <c r="BV15" i="1" a="1"/>
  <c r="BV15" i="1" s="1"/>
  <c r="CN7" i="1"/>
  <c r="CA14" i="1" a="1"/>
  <c r="CA14" i="1" s="1"/>
  <c r="CX14" i="1" s="1"/>
  <c r="BW10" i="1" a="1"/>
  <c r="BW10" i="1" s="1"/>
  <c r="BZ7" i="1" a="1"/>
  <c r="BZ7" i="1" s="1"/>
  <c r="CW7" i="1" s="1"/>
  <c r="CB14" i="1" a="1"/>
  <c r="CB14" i="1" s="1"/>
  <c r="CY14" i="1" s="1"/>
  <c r="BY7" i="1" a="1"/>
  <c r="BY7" i="1" s="1"/>
  <c r="BX14" i="1" a="1"/>
  <c r="BX14" i="1" s="1"/>
  <c r="CC18" i="1" a="1"/>
  <c r="CC18" i="1" s="1"/>
  <c r="CZ18" i="1" s="1"/>
  <c r="BV21" i="1" a="1"/>
  <c r="BV21" i="1" s="1"/>
  <c r="BX18" i="1" a="1"/>
  <c r="BX18" i="1" s="1"/>
  <c r="BY18" i="1" a="1"/>
  <c r="BY18" i="1" s="1"/>
  <c r="BZ9" i="1" a="1"/>
  <c r="BZ9" i="1" s="1"/>
  <c r="CW9" i="1" s="1"/>
  <c r="BV18" i="1" a="1"/>
  <c r="BV18" i="1" s="1"/>
  <c r="BW21" i="1" a="1"/>
  <c r="BW21" i="1" s="1"/>
  <c r="BX21" i="1" a="1"/>
  <c r="BX21" i="1" s="1"/>
  <c r="CA18" i="1" a="1"/>
  <c r="CA18" i="1" s="1"/>
  <c r="CX18" i="1" s="1"/>
  <c r="BY23" i="1" a="1"/>
  <c r="BY23" i="1" s="1"/>
  <c r="BW18" i="1" a="1"/>
  <c r="BW18" i="1" s="1"/>
  <c r="CC16" i="1" a="1"/>
  <c r="CC16" i="1" s="1"/>
  <c r="CZ16" i="1" s="1"/>
  <c r="BY17" i="1" a="1"/>
  <c r="BY17" i="1" s="1"/>
  <c r="BZ8" i="1" a="1"/>
  <c r="BZ8" i="1" s="1"/>
  <c r="CW8" i="1" s="1"/>
  <c r="BV16" i="1" a="1"/>
  <c r="BV16" i="1" s="1"/>
  <c r="CA16" i="1" a="1"/>
  <c r="CA16" i="1" s="1"/>
  <c r="CX16" i="1" s="1"/>
  <c r="BW16" i="1" a="1"/>
  <c r="BW16" i="1" s="1"/>
  <c r="BY16" i="1" a="1"/>
  <c r="BY16" i="1" s="1"/>
  <c r="CA8" i="1" a="1"/>
  <c r="CA8" i="1" s="1"/>
  <c r="CX8" i="1" s="1"/>
  <c r="BY9" i="1" a="1"/>
  <c r="BY9" i="1" s="1"/>
  <c r="CB16" i="1" a="1"/>
  <c r="CB16" i="1" s="1"/>
  <c r="CY16" i="1" s="1"/>
  <c r="CB9" i="1" a="1"/>
  <c r="CB9" i="1" s="1"/>
  <c r="CY9" i="1" s="1"/>
  <c r="CA9" i="1" a="1"/>
  <c r="CA9" i="1" s="1"/>
  <c r="CX9" i="1" s="1"/>
  <c r="CB8" i="1" a="1"/>
  <c r="CB8" i="1" s="1"/>
  <c r="CY8" i="1" s="1"/>
  <c r="CC9" i="1" a="1"/>
  <c r="CC9" i="1" s="1"/>
  <c r="CZ9" i="1" s="1"/>
  <c r="BX16" i="1" a="1"/>
  <c r="BX16" i="1" s="1"/>
  <c r="BX9" i="1" a="1"/>
  <c r="BX9" i="1" s="1"/>
  <c r="BW9" i="1" a="1"/>
  <c r="BW9" i="1" s="1"/>
  <c r="BZ16" i="1" a="1"/>
  <c r="BZ16" i="1" s="1"/>
  <c r="CW16" i="1" s="1"/>
  <c r="BV9" i="1" a="1"/>
  <c r="BV9" i="1" s="1"/>
  <c r="BX23" i="1" a="1"/>
  <c r="BX23" i="1" s="1"/>
  <c r="CB15" i="1" a="1"/>
  <c r="CB15" i="1" s="1"/>
  <c r="CY15" i="1" s="1"/>
  <c r="BW23" i="1" a="1"/>
  <c r="BW23" i="1" s="1"/>
  <c r="CC23" i="1" a="1"/>
  <c r="CC23" i="1" s="1"/>
  <c r="CZ23" i="1" s="1"/>
  <c r="BZ23" i="1" a="1"/>
  <c r="BZ23" i="1" s="1"/>
  <c r="CW23" i="1" s="1"/>
  <c r="BV23" i="1" a="1"/>
  <c r="BV23" i="1" s="1"/>
  <c r="CC15" i="1" a="1"/>
  <c r="CC15" i="1" s="1"/>
  <c r="CZ15" i="1" s="1"/>
  <c r="BY20" i="1" a="1"/>
  <c r="BY20" i="1" s="1"/>
  <c r="BY15" i="1" a="1"/>
  <c r="BY15" i="1" s="1"/>
  <c r="CA23" i="1" a="1"/>
  <c r="CA23" i="1" s="1"/>
  <c r="CX23" i="1" s="1"/>
  <c r="CB23" i="1" a="1"/>
  <c r="CB23" i="1" s="1"/>
  <c r="CY23" i="1" s="1"/>
  <c r="BZ15" i="1" a="1"/>
  <c r="BZ15" i="1" s="1"/>
  <c r="CW15" i="1" s="1"/>
  <c r="CC20" i="1" a="1"/>
  <c r="CC20" i="1" s="1"/>
  <c r="CZ20" i="1" s="1"/>
  <c r="BX15" i="1" a="1"/>
  <c r="BX15" i="1" s="1"/>
  <c r="BW20" i="1" a="1"/>
  <c r="BW20" i="1" s="1"/>
  <c r="CA15" i="1" a="1"/>
  <c r="CA15" i="1" s="1"/>
  <c r="CX15" i="1" s="1"/>
  <c r="CA20" i="1" a="1"/>
  <c r="CA20" i="1" s="1"/>
  <c r="CX20" i="1" s="1"/>
  <c r="CB20" i="1" a="1"/>
  <c r="CB20" i="1" s="1"/>
  <c r="CY20" i="1" s="1"/>
  <c r="BX8" i="1" a="1"/>
  <c r="BX8" i="1" s="1"/>
  <c r="BZ20" i="1" a="1"/>
  <c r="BZ20" i="1" s="1"/>
  <c r="CW20" i="1" s="1"/>
  <c r="BX20" i="1" a="1"/>
  <c r="BX20" i="1" s="1"/>
  <c r="BW15" i="1" a="1"/>
  <c r="BW15" i="1" s="1"/>
  <c r="BV20" i="1" a="1"/>
  <c r="BV20" i="1" s="1"/>
  <c r="CC8" i="1" a="1"/>
  <c r="CC8" i="1" s="1"/>
  <c r="CZ8" i="1" s="1"/>
  <c r="BV7" i="1" a="1"/>
  <c r="BV7" i="1" s="1"/>
  <c r="BV8" i="1" a="1"/>
  <c r="BV8" i="1" s="1"/>
  <c r="BW8" i="1" a="1"/>
  <c r="BW8" i="1" s="1"/>
  <c r="CA6" i="1" a="1"/>
  <c r="CA6" i="1" s="1"/>
  <c r="CX6" i="1" s="1"/>
  <c r="BY8" i="1" a="1"/>
  <c r="BY8" i="1" s="1"/>
  <c r="CN8" i="1"/>
  <c r="CB6" i="1" a="1"/>
  <c r="CB6" i="1" s="1"/>
  <c r="CY6" i="1" s="1"/>
  <c r="BX6" i="1" a="1"/>
  <c r="BX6" i="1" s="1"/>
  <c r="CC6" i="1" a="1"/>
  <c r="CC6" i="1" s="1"/>
  <c r="CZ6" i="1" s="1"/>
  <c r="BY6" i="1" a="1"/>
  <c r="BY6" i="1" s="1"/>
  <c r="BZ6" i="1" a="1"/>
  <c r="BZ6" i="1" s="1"/>
  <c r="CW6" i="1" s="1"/>
  <c r="BV6" i="1" a="1"/>
  <c r="BV6" i="1" s="1"/>
  <c r="BW6" i="1" a="1"/>
  <c r="BW6" i="1" s="1"/>
  <c r="BW17" i="1" a="1"/>
  <c r="BW17" i="1" s="1"/>
  <c r="BX17" i="1" a="1"/>
  <c r="BX17" i="1" s="1"/>
  <c r="CC17" i="1" a="1"/>
  <c r="CC17" i="1" s="1"/>
  <c r="CZ17" i="1" s="1"/>
  <c r="CA17" i="1" a="1"/>
  <c r="CA17" i="1" s="1"/>
  <c r="CX17" i="1" s="1"/>
  <c r="BV17" i="1" a="1"/>
  <c r="BV17" i="1" s="1"/>
  <c r="BZ17" i="1" a="1"/>
  <c r="BZ17" i="1" s="1"/>
  <c r="CW17" i="1" s="1"/>
  <c r="CB17" i="1" a="1"/>
  <c r="CB17" i="1" s="1"/>
  <c r="CY17" i="1" s="1"/>
  <c r="BW22" i="1" a="1"/>
  <c r="BW22" i="1" s="1"/>
  <c r="CA22" i="1" a="1"/>
  <c r="CA22" i="1" s="1"/>
  <c r="CX22" i="1" s="1"/>
  <c r="BV22" i="1" a="1"/>
  <c r="BV22" i="1" s="1"/>
  <c r="BZ22" i="1" a="1"/>
  <c r="BZ22" i="1" s="1"/>
  <c r="CB22" i="1" a="1"/>
  <c r="CB22" i="1" s="1"/>
  <c r="CY22" i="1" s="1"/>
  <c r="BX22" i="1" a="1"/>
  <c r="BX22" i="1" s="1"/>
  <c r="CC22" i="1" a="1"/>
  <c r="CC22" i="1" s="1"/>
  <c r="CZ22" i="1" s="1"/>
  <c r="BY22" i="1" a="1"/>
  <c r="BY22" i="1" s="1"/>
  <c r="EB12" i="1" a="1"/>
  <c r="CD12" i="1" a="1"/>
  <c r="CS12" i="1" a="1"/>
  <c r="EB11" i="1" l="1" a="1"/>
  <c r="CD11" i="1" a="1"/>
  <c r="EB13" i="1" a="1"/>
  <c r="CH12" i="1" a="1"/>
  <c r="CH24" i="1" a="1"/>
  <c r="CS11" i="1" a="1"/>
  <c r="CV11" i="1" s="1"/>
  <c r="CL12" i="1" a="1"/>
  <c r="CL12" i="1" s="1"/>
  <c r="CD13" i="1" a="1"/>
  <c r="CD10" i="1" a="1"/>
  <c r="CE10" i="1" s="1"/>
  <c r="EG10" i="1" s="1"/>
  <c r="CS13" i="1" a="1"/>
  <c r="CS13" i="1" s="1"/>
  <c r="CS19" i="1" a="1"/>
  <c r="CS14" i="1" a="1"/>
  <c r="CU14" i="1" s="1"/>
  <c r="CH14" i="1" a="1"/>
  <c r="CI14" i="1" s="1"/>
  <c r="EB24" i="1" a="1"/>
  <c r="ED24" i="1" s="1"/>
  <c r="CH13" i="1" a="1"/>
  <c r="CJ13" i="1" s="1"/>
  <c r="CL13" i="1" a="1"/>
  <c r="CL13" i="1" s="1"/>
  <c r="CO13" i="1" s="1"/>
  <c r="CL24" i="1" a="1"/>
  <c r="CL24" i="1" s="1"/>
  <c r="CO24" i="1" s="1"/>
  <c r="CL11" i="1" a="1"/>
  <c r="CL11" i="1" s="1"/>
  <c r="CO11" i="1" s="1"/>
  <c r="CD24" i="1" a="1"/>
  <c r="CS24" i="1" a="1"/>
  <c r="CT24" i="1" s="1"/>
  <c r="CH11" i="1" a="1"/>
  <c r="CJ11" i="1" s="1"/>
  <c r="CH19" i="1" a="1"/>
  <c r="CK19" i="1" s="1"/>
  <c r="CD14" i="1" a="1"/>
  <c r="CD14" i="1" s="1"/>
  <c r="EF14" i="1" s="1"/>
  <c r="CL19" i="1" a="1"/>
  <c r="CL19" i="1" s="1"/>
  <c r="CH10" i="1" a="1"/>
  <c r="CK10" i="1" s="1"/>
  <c r="CL14" i="1" a="1"/>
  <c r="CL14" i="1" s="1"/>
  <c r="CO14" i="1" s="1"/>
  <c r="CD19" i="1" a="1"/>
  <c r="CG19" i="1" s="1"/>
  <c r="EI19" i="1" s="1"/>
  <c r="EB14" i="1" a="1"/>
  <c r="EC14" i="1" s="1"/>
  <c r="EB19" i="1" a="1"/>
  <c r="EE19" i="1" s="1"/>
  <c r="EB7" i="1" a="1"/>
  <c r="ED7" i="1" s="1"/>
  <c r="CH21" i="1" a="1"/>
  <c r="CK21" i="1" s="1"/>
  <c r="CS18" i="1" a="1"/>
  <c r="CU18" i="1" s="1"/>
  <c r="EB18" i="1" a="1"/>
  <c r="EC18" i="1" s="1"/>
  <c r="CH18" i="1" a="1"/>
  <c r="CI18" i="1" s="1"/>
  <c r="EB10" i="1" a="1"/>
  <c r="EB10" i="1" s="1"/>
  <c r="CS10" i="1" a="1"/>
  <c r="CT10" i="1" s="1"/>
  <c r="CD18" i="1" a="1"/>
  <c r="CD18" i="1" s="1"/>
  <c r="EF18" i="1" s="1"/>
  <c r="CL10" i="1" a="1"/>
  <c r="CL10" i="1" s="1"/>
  <c r="CO10" i="1" s="1"/>
  <c r="EB21" i="1" a="1"/>
  <c r="EB21" i="1" s="1"/>
  <c r="CL21" i="1" a="1"/>
  <c r="CL21" i="1" s="1"/>
  <c r="CO21" i="1" s="1"/>
  <c r="CL18" i="1" a="1"/>
  <c r="CL18" i="1" s="1"/>
  <c r="CO18" i="1" s="1"/>
  <c r="CS21" i="1" a="1"/>
  <c r="CS21" i="1" s="1"/>
  <c r="CD21" i="1" a="1"/>
  <c r="CF21" i="1" s="1"/>
  <c r="EH21" i="1" s="1"/>
  <c r="FP21" i="1" s="1"/>
  <c r="CS15" i="1" a="1"/>
  <c r="CV15" i="1" s="1"/>
  <c r="CS23" i="1" a="1"/>
  <c r="CS23" i="1" s="1"/>
  <c r="CD16" i="1" a="1"/>
  <c r="CG16" i="1" s="1"/>
  <c r="EI16" i="1" s="1"/>
  <c r="CH9" i="1" a="1"/>
  <c r="CI9" i="1" s="1"/>
  <c r="EB9" i="1" a="1"/>
  <c r="EE9" i="1" s="1"/>
  <c r="CS16" i="1" a="1"/>
  <c r="CS16" i="1" s="1"/>
  <c r="EB16" i="1" a="1"/>
  <c r="ED16" i="1" s="1"/>
  <c r="EB15" i="1" a="1"/>
  <c r="ED15" i="1" s="1"/>
  <c r="CD20" i="1" a="1"/>
  <c r="CE20" i="1" s="1"/>
  <c r="EG20" i="1" s="1"/>
  <c r="FO20" i="1" s="1"/>
  <c r="CH7" i="1" a="1"/>
  <c r="CJ7" i="1" s="1"/>
  <c r="CD23" i="1" a="1"/>
  <c r="CE23" i="1" s="1"/>
  <c r="EG23" i="1" s="1"/>
  <c r="EB23" i="1" a="1"/>
  <c r="EE23" i="1" s="1"/>
  <c r="CL7" i="1" a="1"/>
  <c r="CL7" i="1" s="1"/>
  <c r="CO7" i="1" s="1"/>
  <c r="CS7" i="1" a="1"/>
  <c r="CU7" i="1" s="1"/>
  <c r="CD7" i="1" a="1"/>
  <c r="CG7" i="1" s="1"/>
  <c r="EI7" i="1" s="1"/>
  <c r="CD15" i="1" a="1"/>
  <c r="CD15" i="1" s="1"/>
  <c r="EF15" i="1" s="1"/>
  <c r="CD9" i="1" a="1"/>
  <c r="CG9" i="1" s="1"/>
  <c r="EI9" i="1" s="1"/>
  <c r="CL9" i="1" a="1"/>
  <c r="CL9" i="1" s="1"/>
  <c r="CO9" i="1" s="1"/>
  <c r="CS9" i="1" a="1"/>
  <c r="CV9" i="1" s="1"/>
  <c r="CL16" i="1" a="1"/>
  <c r="CL16" i="1" s="1"/>
  <c r="CO16" i="1" s="1"/>
  <c r="CH16" i="1" a="1"/>
  <c r="CK16" i="1" s="1"/>
  <c r="CS6" i="1" a="1"/>
  <c r="CT6" i="1" s="1"/>
  <c r="EB20" i="1" a="1"/>
  <c r="EC20" i="1" s="1"/>
  <c r="CL20" i="1" a="1"/>
  <c r="CL20" i="1" s="1"/>
  <c r="CO20" i="1" s="1"/>
  <c r="CH15" i="1" a="1"/>
  <c r="CI15" i="1" s="1"/>
  <c r="CS8" i="1" a="1"/>
  <c r="CS8" i="1" s="1"/>
  <c r="CL15" i="1" a="1"/>
  <c r="CL15" i="1" s="1"/>
  <c r="CO15" i="1" s="1"/>
  <c r="CH20" i="1" a="1"/>
  <c r="CK20" i="1" s="1"/>
  <c r="CH6" i="1" a="1"/>
  <c r="CI6" i="1" s="1"/>
  <c r="CS20" i="1" a="1"/>
  <c r="CT20" i="1" s="1"/>
  <c r="CL6" i="1" a="1"/>
  <c r="CL6" i="1" s="1"/>
  <c r="CO6" i="1" s="1"/>
  <c r="CD8" i="1" a="1"/>
  <c r="CF8" i="1" s="1"/>
  <c r="EH8" i="1" s="1"/>
  <c r="CH8" i="1" a="1"/>
  <c r="CH23" i="1" a="1"/>
  <c r="CH23" i="1" s="1"/>
  <c r="CL23" i="1" a="1"/>
  <c r="CL23" i="1" s="1"/>
  <c r="CO23" i="1" s="1"/>
  <c r="CD6" i="1" a="1"/>
  <c r="CD6" i="1" s="1"/>
  <c r="EF6" i="1" s="1"/>
  <c r="EB8" i="1" a="1"/>
  <c r="ED8" i="1" s="1"/>
  <c r="EB17" i="1" a="1"/>
  <c r="EB17" i="1" s="1"/>
  <c r="CL8" i="1" a="1"/>
  <c r="CL8" i="1" s="1"/>
  <c r="CO8" i="1" s="1"/>
  <c r="CD17" i="1" a="1"/>
  <c r="CG17" i="1" s="1"/>
  <c r="EI17" i="1" s="1"/>
  <c r="EB6" i="1" a="1"/>
  <c r="EE6" i="1" s="1"/>
  <c r="CL17" i="1" a="1"/>
  <c r="CL17" i="1" s="1"/>
  <c r="CO17" i="1" s="1"/>
  <c r="CH17" i="1" a="1"/>
  <c r="CJ17" i="1" s="1"/>
  <c r="CS17" i="1" a="1"/>
  <c r="CV17" i="1" s="1"/>
  <c r="CW22" i="1"/>
  <c r="CL22" i="1" a="1"/>
  <c r="CL22" i="1" s="1"/>
  <c r="CO22" i="1" s="1"/>
  <c r="CH22" i="1" a="1"/>
  <c r="EB22" i="1" a="1"/>
  <c r="CD22" i="1" a="1"/>
  <c r="CS22" i="1" a="1"/>
  <c r="EB15" i="1"/>
  <c r="CO12" i="1"/>
  <c r="CO19" i="1"/>
  <c r="EE10" i="1"/>
  <c r="EB12" i="1"/>
  <c r="EC12" i="1"/>
  <c r="ED12" i="1"/>
  <c r="EE12" i="1"/>
  <c r="EC19" i="1"/>
  <c r="EC13" i="1"/>
  <c r="ED13" i="1"/>
  <c r="EE13" i="1"/>
  <c r="EB13" i="1"/>
  <c r="EE11" i="1"/>
  <c r="ED11" i="1"/>
  <c r="EC11" i="1"/>
  <c r="EB11" i="1"/>
  <c r="FN14" i="1"/>
  <c r="CE13" i="1"/>
  <c r="EG13" i="1" s="1"/>
  <c r="CF13" i="1"/>
  <c r="EH13" i="1" s="1"/>
  <c r="CG13" i="1"/>
  <c r="EI13" i="1" s="1"/>
  <c r="CD13" i="1"/>
  <c r="EF13" i="1" s="1"/>
  <c r="CF18" i="1"/>
  <c r="EH18" i="1" s="1"/>
  <c r="CG18" i="1"/>
  <c r="EI18" i="1" s="1"/>
  <c r="CG11" i="1"/>
  <c r="EI11" i="1" s="1"/>
  <c r="CD11" i="1"/>
  <c r="EF11" i="1" s="1"/>
  <c r="CF11" i="1"/>
  <c r="EH11" i="1" s="1"/>
  <c r="CE11" i="1"/>
  <c r="EG11" i="1" s="1"/>
  <c r="CF24" i="1"/>
  <c r="EH24" i="1" s="1"/>
  <c r="CG24" i="1"/>
  <c r="EI24" i="1" s="1"/>
  <c r="CE24" i="1"/>
  <c r="EG24" i="1" s="1"/>
  <c r="CD24" i="1"/>
  <c r="EF24" i="1" s="1"/>
  <c r="CD12" i="1"/>
  <c r="EF12" i="1" s="1"/>
  <c r="CE12" i="1"/>
  <c r="EG12" i="1" s="1"/>
  <c r="CF12" i="1"/>
  <c r="EH12" i="1" s="1"/>
  <c r="CG12" i="1"/>
  <c r="EI12" i="1" s="1"/>
  <c r="CD19" i="1"/>
  <c r="EF19" i="1" s="1"/>
  <c r="CE19" i="1"/>
  <c r="EG19" i="1" s="1"/>
  <c r="CS14" i="1"/>
  <c r="CT19" i="1"/>
  <c r="CV19" i="1"/>
  <c r="CU19" i="1"/>
  <c r="CS19" i="1"/>
  <c r="CT13" i="1"/>
  <c r="CU24" i="1"/>
  <c r="CU12" i="1"/>
  <c r="CT12" i="1"/>
  <c r="CS12" i="1"/>
  <c r="CV12" i="1"/>
  <c r="CK14" i="1"/>
  <c r="CJ14" i="1"/>
  <c r="CH14" i="1"/>
  <c r="CK11" i="1"/>
  <c r="CI11" i="1"/>
  <c r="CH11" i="1"/>
  <c r="CI12" i="1"/>
  <c r="CJ12" i="1"/>
  <c r="CK12" i="1"/>
  <c r="CH12" i="1"/>
  <c r="CH24" i="1"/>
  <c r="CI24" i="1"/>
  <c r="CJ24" i="1"/>
  <c r="CK24" i="1"/>
  <c r="CI13" i="1" l="1"/>
  <c r="CJ21" i="1"/>
  <c r="CK13" i="1"/>
  <c r="CH13" i="1"/>
  <c r="ED10" i="1"/>
  <c r="CF19" i="1"/>
  <c r="EH19" i="1" s="1"/>
  <c r="EB19" i="1"/>
  <c r="CS18" i="1"/>
  <c r="CD21" i="1"/>
  <c r="EF21" i="1" s="1"/>
  <c r="FN21" i="1" s="1"/>
  <c r="CD16" i="1"/>
  <c r="EF16" i="1" s="1"/>
  <c r="CS11" i="1"/>
  <c r="CD10" i="1"/>
  <c r="EF10" i="1" s="1"/>
  <c r="EC7" i="1"/>
  <c r="CG10" i="1"/>
  <c r="EI10" i="1" s="1"/>
  <c r="EC24" i="1"/>
  <c r="EO24" i="1" s="1" a="1"/>
  <c r="EO24" i="1" s="1"/>
  <c r="CI19" i="1"/>
  <c r="CF10" i="1"/>
  <c r="EH10" i="1" s="1"/>
  <c r="FP10" i="1" s="1"/>
  <c r="CE16" i="1"/>
  <c r="EG16" i="1" s="1"/>
  <c r="EB7" i="1"/>
  <c r="CF16" i="1"/>
  <c r="EH16" i="1" s="1"/>
  <c r="FP16" i="1" s="1"/>
  <c r="EB24" i="1"/>
  <c r="CH19" i="1"/>
  <c r="CU11" i="1"/>
  <c r="EE24" i="1"/>
  <c r="CJ19" i="1"/>
  <c r="CS9" i="1"/>
  <c r="CT11" i="1"/>
  <c r="EE7" i="1"/>
  <c r="CF23" i="1"/>
  <c r="EH23" i="1" s="1"/>
  <c r="CU13" i="1"/>
  <c r="DN13" i="1" s="1" a="1"/>
  <c r="DN13" i="1" s="1"/>
  <c r="CV13" i="1"/>
  <c r="DH13" i="1" s="1" a="1"/>
  <c r="DH13" i="1" s="1"/>
  <c r="EB16" i="1"/>
  <c r="CV21" i="1"/>
  <c r="CT21" i="1"/>
  <c r="DJ21" i="1" s="1" a="1"/>
  <c r="DJ21" i="1" s="1"/>
  <c r="ED19" i="1"/>
  <c r="CE18" i="1"/>
  <c r="EG18" i="1" s="1"/>
  <c r="FO18" i="1" s="1"/>
  <c r="CT14" i="1"/>
  <c r="CV24" i="1"/>
  <c r="CS24" i="1"/>
  <c r="CV14" i="1"/>
  <c r="ED14" i="1"/>
  <c r="CV10" i="1"/>
  <c r="EB14" i="1"/>
  <c r="EB18" i="1"/>
  <c r="CJ10" i="1"/>
  <c r="CH10" i="1"/>
  <c r="CM10" i="1" s="1" a="1"/>
  <c r="CM10" i="1" s="1"/>
  <c r="CT7" i="1"/>
  <c r="CU16" i="1"/>
  <c r="CS6" i="1"/>
  <c r="CV16" i="1"/>
  <c r="CT9" i="1"/>
  <c r="EE14" i="1"/>
  <c r="CF7" i="1"/>
  <c r="EH7" i="1" s="1"/>
  <c r="EC16" i="1"/>
  <c r="CV7" i="1"/>
  <c r="CD7" i="1"/>
  <c r="EF7" i="1" s="1"/>
  <c r="EE18" i="1"/>
  <c r="CG14" i="1"/>
  <c r="EI14" i="1" s="1"/>
  <c r="FQ14" i="1" s="1"/>
  <c r="ED18" i="1"/>
  <c r="CE7" i="1"/>
  <c r="EG7" i="1" s="1"/>
  <c r="CK9" i="1"/>
  <c r="CI10" i="1"/>
  <c r="CT16" i="1"/>
  <c r="DP16" i="1" s="1" a="1"/>
  <c r="DP16" i="1" s="1"/>
  <c r="CV20" i="1"/>
  <c r="DO20" i="1" s="1" a="1"/>
  <c r="DO20" i="1" s="1"/>
  <c r="CU21" i="1"/>
  <c r="EE15" i="1"/>
  <c r="EC15" i="1"/>
  <c r="EC10" i="1"/>
  <c r="CG21" i="1"/>
  <c r="EI21" i="1" s="1"/>
  <c r="FQ21" i="1" s="1"/>
  <c r="CH21" i="1"/>
  <c r="ED23" i="1"/>
  <c r="CE21" i="1"/>
  <c r="EG21" i="1" s="1"/>
  <c r="FO21" i="1" s="1"/>
  <c r="EE21" i="1"/>
  <c r="CH9" i="1"/>
  <c r="CI21" i="1"/>
  <c r="CE14" i="1"/>
  <c r="EG14" i="1" s="1"/>
  <c r="FO14" i="1" s="1"/>
  <c r="CJ9" i="1"/>
  <c r="CF14" i="1"/>
  <c r="EH14" i="1" s="1"/>
  <c r="FP14" i="1" s="1"/>
  <c r="CV18" i="1"/>
  <c r="CK6" i="1"/>
  <c r="CT18" i="1"/>
  <c r="CJ16" i="1"/>
  <c r="CE9" i="1"/>
  <c r="EG9" i="1" s="1"/>
  <c r="FO9" i="1" s="1"/>
  <c r="CJ18" i="1"/>
  <c r="CU10" i="1"/>
  <c r="CD8" i="1"/>
  <c r="EF8" i="1" s="1"/>
  <c r="CD9" i="1"/>
  <c r="EF9" i="1" s="1"/>
  <c r="CH18" i="1"/>
  <c r="EE16" i="1"/>
  <c r="ED20" i="1"/>
  <c r="EE20" i="1"/>
  <c r="CK18" i="1"/>
  <c r="CG15" i="1"/>
  <c r="EI15" i="1" s="1"/>
  <c r="FQ15" i="1" s="1"/>
  <c r="EB20" i="1"/>
  <c r="CS10" i="1"/>
  <c r="DT10" i="1" s="1" a="1"/>
  <c r="DT10" i="1" s="1"/>
  <c r="CF15" i="1"/>
  <c r="EH15" i="1" s="1"/>
  <c r="FP15" i="1" s="1"/>
  <c r="ED9" i="1"/>
  <c r="EC8" i="1"/>
  <c r="EC9" i="1"/>
  <c r="CI16" i="1"/>
  <c r="EB9" i="1"/>
  <c r="EE8" i="1"/>
  <c r="EB8" i="1"/>
  <c r="EC21" i="1"/>
  <c r="CH16" i="1"/>
  <c r="CJ6" i="1"/>
  <c r="CU6" i="1"/>
  <c r="CF20" i="1"/>
  <c r="EH20" i="1" s="1"/>
  <c r="FP20" i="1" s="1"/>
  <c r="ED21" i="1"/>
  <c r="CH6" i="1"/>
  <c r="CF9" i="1"/>
  <c r="EH9" i="1" s="1"/>
  <c r="CD20" i="1"/>
  <c r="EF20" i="1" s="1"/>
  <c r="FN20" i="1" s="1"/>
  <c r="CT23" i="1"/>
  <c r="CG20" i="1"/>
  <c r="EI20" i="1" s="1"/>
  <c r="FQ20" i="1" s="1"/>
  <c r="CU15" i="1"/>
  <c r="CK15" i="1"/>
  <c r="CI23" i="1"/>
  <c r="CJ15" i="1"/>
  <c r="CV23" i="1"/>
  <c r="CT15" i="1"/>
  <c r="CU23" i="1"/>
  <c r="CH15" i="1"/>
  <c r="CS15" i="1"/>
  <c r="CK7" i="1"/>
  <c r="CH7" i="1"/>
  <c r="CG23" i="1"/>
  <c r="EI23" i="1" s="1"/>
  <c r="EC23" i="1"/>
  <c r="CD23" i="1"/>
  <c r="EF23" i="1" s="1"/>
  <c r="FN23" i="1" s="1"/>
  <c r="EB23" i="1"/>
  <c r="CU9" i="1"/>
  <c r="CI7" i="1"/>
  <c r="CS7" i="1"/>
  <c r="CV6" i="1"/>
  <c r="CU20" i="1"/>
  <c r="CK23" i="1"/>
  <c r="CS20" i="1"/>
  <c r="CJ23" i="1"/>
  <c r="ED17" i="1"/>
  <c r="EE17" i="1"/>
  <c r="CE15" i="1"/>
  <c r="EG15" i="1" s="1"/>
  <c r="FO15" i="1" s="1"/>
  <c r="EC17" i="1"/>
  <c r="CH20" i="1"/>
  <c r="CT8" i="1"/>
  <c r="CU17" i="1"/>
  <c r="DN17" i="1" s="1" a="1"/>
  <c r="DN17" i="1" s="1"/>
  <c r="CU8" i="1"/>
  <c r="CT17" i="1"/>
  <c r="CE17" i="1"/>
  <c r="EG17" i="1" s="1"/>
  <c r="FO17" i="1" s="1"/>
  <c r="CI20" i="1"/>
  <c r="CV8" i="1"/>
  <c r="CF6" i="1"/>
  <c r="EH6" i="1" s="1"/>
  <c r="CE8" i="1"/>
  <c r="EG8" i="1" s="1"/>
  <c r="FO8" i="1" s="1"/>
  <c r="CD17" i="1"/>
  <c r="EF17" i="1" s="1"/>
  <c r="CJ20" i="1"/>
  <c r="CE6" i="1"/>
  <c r="EG6" i="1" s="1"/>
  <c r="FO6" i="1" s="1"/>
  <c r="CG8" i="1"/>
  <c r="EI8" i="1" s="1"/>
  <c r="CG6" i="1"/>
  <c r="EI6" i="1" s="1"/>
  <c r="FQ6" i="1" s="1"/>
  <c r="CJ8" i="1"/>
  <c r="CK8" i="1"/>
  <c r="CI8" i="1"/>
  <c r="CH8" i="1"/>
  <c r="CI17" i="1"/>
  <c r="CK17" i="1"/>
  <c r="CH17" i="1"/>
  <c r="ED6" i="1"/>
  <c r="EB6" i="1"/>
  <c r="EC6" i="1"/>
  <c r="CS17" i="1"/>
  <c r="CF17" i="1"/>
  <c r="EH17" i="1" s="1"/>
  <c r="CS22" i="1"/>
  <c r="CU22" i="1"/>
  <c r="CV22" i="1"/>
  <c r="CT22" i="1"/>
  <c r="CJ22" i="1"/>
  <c r="CK22" i="1"/>
  <c r="CH22" i="1"/>
  <c r="CI22" i="1"/>
  <c r="CD22" i="1"/>
  <c r="EF22" i="1" s="1"/>
  <c r="CE22" i="1"/>
  <c r="EG22" i="1" s="1"/>
  <c r="FO22" i="1" s="1"/>
  <c r="CG22" i="1"/>
  <c r="EI22" i="1" s="1"/>
  <c r="FQ22" i="1" s="1"/>
  <c r="CF22" i="1"/>
  <c r="EH22" i="1" s="1"/>
  <c r="FP22" i="1" s="1"/>
  <c r="EB22" i="1"/>
  <c r="EC22" i="1"/>
  <c r="ED22" i="1"/>
  <c r="EE22" i="1"/>
  <c r="FD12" i="1" a="1"/>
  <c r="FD12" i="1" s="1"/>
  <c r="EV12" i="1" a="1"/>
  <c r="EV12" i="1" s="1"/>
  <c r="EZ12" i="1" a="1"/>
  <c r="EZ12" i="1" s="1"/>
  <c r="EU12" i="1" a="1"/>
  <c r="EU12" i="1" s="1"/>
  <c r="FC12" i="1" a="1"/>
  <c r="FC12" i="1" s="1"/>
  <c r="EY12" i="1" a="1"/>
  <c r="EY12" i="1" s="1"/>
  <c r="EX12" i="1" a="1"/>
  <c r="EX12" i="1" s="1"/>
  <c r="FA12" i="1" a="1"/>
  <c r="FA12" i="1" s="1"/>
  <c r="FB12" i="1" a="1"/>
  <c r="FB12" i="1" s="1"/>
  <c r="EW12" i="1" a="1"/>
  <c r="EW12" i="1" s="1"/>
  <c r="FB13" i="1" a="1"/>
  <c r="FB13" i="1" s="1"/>
  <c r="EW13" i="1" a="1"/>
  <c r="EW13" i="1" s="1"/>
  <c r="EU13" i="1" a="1"/>
  <c r="EU13" i="1" s="1"/>
  <c r="EX13" i="1" a="1"/>
  <c r="EX13" i="1" s="1"/>
  <c r="FA13" i="1" a="1"/>
  <c r="FA13" i="1" s="1"/>
  <c r="EY13" i="1" a="1"/>
  <c r="EY13" i="1" s="1"/>
  <c r="FC13" i="1" a="1"/>
  <c r="FC13" i="1" s="1"/>
  <c r="FD13" i="1" a="1"/>
  <c r="FD13" i="1" s="1"/>
  <c r="EV13" i="1" a="1"/>
  <c r="EV13" i="1" s="1"/>
  <c r="EZ13" i="1" a="1"/>
  <c r="EZ13" i="1" s="1"/>
  <c r="EU19" i="1" a="1"/>
  <c r="EU19" i="1" s="1"/>
  <c r="EW19" i="1" a="1"/>
  <c r="EW19" i="1" s="1"/>
  <c r="EX11" i="1" a="1"/>
  <c r="EX11" i="1" s="1"/>
  <c r="EW11" i="1" a="1"/>
  <c r="EW11" i="1" s="1"/>
  <c r="FB11" i="1" a="1"/>
  <c r="FB11" i="1" s="1"/>
  <c r="EU11" i="1" a="1"/>
  <c r="EU11" i="1" s="1"/>
  <c r="FA11" i="1" a="1"/>
  <c r="FA11" i="1" s="1"/>
  <c r="FC11" i="1" a="1"/>
  <c r="FC11" i="1" s="1"/>
  <c r="EZ11" i="1" a="1"/>
  <c r="EZ11" i="1" s="1"/>
  <c r="FD11" i="1" a="1"/>
  <c r="FD11" i="1" s="1"/>
  <c r="EV11" i="1" a="1"/>
  <c r="EV11" i="1" s="1"/>
  <c r="EY11" i="1" a="1"/>
  <c r="EY11" i="1" s="1"/>
  <c r="FN6" i="1"/>
  <c r="FP6" i="1"/>
  <c r="EP13" i="1" a="1"/>
  <c r="EP13" i="1" s="1"/>
  <c r="EO13" i="1" a="1"/>
  <c r="EO13" i="1" s="1"/>
  <c r="EN13" i="1" a="1"/>
  <c r="EN13" i="1" s="1"/>
  <c r="EM13" i="1" a="1"/>
  <c r="EM13" i="1" s="1"/>
  <c r="ER13" i="1" a="1"/>
  <c r="ER13" i="1" s="1"/>
  <c r="ET13" i="1" a="1"/>
  <c r="ET13" i="1" s="1"/>
  <c r="EL13" i="1" a="1"/>
  <c r="EL13" i="1" s="1"/>
  <c r="ES13" i="1" a="1"/>
  <c r="ES13" i="1" s="1"/>
  <c r="EK13" i="1" a="1"/>
  <c r="EK13" i="1" s="1"/>
  <c r="EQ13" i="1" a="1"/>
  <c r="EQ13" i="1" s="1"/>
  <c r="EN19" i="1" a="1"/>
  <c r="EN19" i="1" s="1"/>
  <c r="ER19" i="1" a="1"/>
  <c r="ER19" i="1" s="1"/>
  <c r="EP11" i="1" a="1"/>
  <c r="EP11" i="1" s="1"/>
  <c r="ER11" i="1" a="1"/>
  <c r="ER11" i="1" s="1"/>
  <c r="EO11" i="1" a="1"/>
  <c r="EO11" i="1" s="1"/>
  <c r="EN11" i="1" a="1"/>
  <c r="EN11" i="1" s="1"/>
  <c r="EM11" i="1" a="1"/>
  <c r="EM11" i="1" s="1"/>
  <c r="ET11" i="1" a="1"/>
  <c r="ET11" i="1" s="1"/>
  <c r="EL11" i="1" a="1"/>
  <c r="EL11" i="1" s="1"/>
  <c r="ES11" i="1" a="1"/>
  <c r="ES11" i="1" s="1"/>
  <c r="EK11" i="1" a="1"/>
  <c r="EK11" i="1" s="1"/>
  <c r="EQ11" i="1" a="1"/>
  <c r="EQ11" i="1" s="1"/>
  <c r="ET12" i="1" a="1"/>
  <c r="ET12" i="1" s="1"/>
  <c r="EL12" i="1" a="1"/>
  <c r="EL12" i="1" s="1"/>
  <c r="ES12" i="1" a="1"/>
  <c r="ES12" i="1" s="1"/>
  <c r="EK12" i="1" a="1"/>
  <c r="EK12" i="1" s="1"/>
  <c r="EN12" i="1" a="1"/>
  <c r="EN12" i="1" s="1"/>
  <c r="ER12" i="1" a="1"/>
  <c r="ER12" i="1" s="1"/>
  <c r="EQ12" i="1" a="1"/>
  <c r="EQ12" i="1" s="1"/>
  <c r="EP12" i="1" a="1"/>
  <c r="EP12" i="1" s="1"/>
  <c r="EO12" i="1" a="1"/>
  <c r="EO12" i="1" s="1"/>
  <c r="EM12" i="1" a="1"/>
  <c r="EM12" i="1" s="1"/>
  <c r="FN15" i="1"/>
  <c r="FQ10" i="1"/>
  <c r="FO19" i="1"/>
  <c r="FQ12" i="1"/>
  <c r="FP19" i="1"/>
  <c r="FP12" i="1"/>
  <c r="FN24" i="1"/>
  <c r="FO10" i="1"/>
  <c r="FN19" i="1"/>
  <c r="FO12" i="1"/>
  <c r="FO24" i="1"/>
  <c r="FN10" i="1"/>
  <c r="FQ19" i="1"/>
  <c r="FN12" i="1"/>
  <c r="FP24" i="1"/>
  <c r="FP18" i="1"/>
  <c r="FN8" i="1"/>
  <c r="FN16" i="1"/>
  <c r="FO16" i="1"/>
  <c r="FN18" i="1"/>
  <c r="FQ17" i="1"/>
  <c r="FN13" i="1"/>
  <c r="FQ8" i="1"/>
  <c r="FQ16" i="1"/>
  <c r="FO11" i="1"/>
  <c r="FQ9" i="1"/>
  <c r="FP8" i="1"/>
  <c r="FP11" i="1"/>
  <c r="FP13" i="1"/>
  <c r="FP23" i="1"/>
  <c r="FN11" i="1"/>
  <c r="FN17" i="1"/>
  <c r="FO13" i="1"/>
  <c r="FQ24" i="1"/>
  <c r="FQ23" i="1"/>
  <c r="FQ11" i="1"/>
  <c r="FN9" i="1"/>
  <c r="FQ7" i="1"/>
  <c r="FO23" i="1"/>
  <c r="FQ18" i="1"/>
  <c r="FP7" i="1"/>
  <c r="FQ13" i="1"/>
  <c r="DR13" i="1" a="1"/>
  <c r="DR13" i="1" s="1"/>
  <c r="DM13" i="1" a="1"/>
  <c r="DM13" i="1" s="1"/>
  <c r="DU24" i="1" a="1"/>
  <c r="DU24" i="1" s="1"/>
  <c r="DQ24" i="1" a="1"/>
  <c r="DQ24" i="1" s="1"/>
  <c r="DT24" i="1" a="1"/>
  <c r="DT24" i="1" s="1"/>
  <c r="DM24" i="1" a="1"/>
  <c r="DM24" i="1" s="1"/>
  <c r="DL24" i="1" a="1"/>
  <c r="DL24" i="1" s="1"/>
  <c r="DP24" i="1" a="1"/>
  <c r="DP24" i="1" s="1"/>
  <c r="DS24" i="1" a="1"/>
  <c r="DS24" i="1" s="1"/>
  <c r="DO24" i="1" a="1"/>
  <c r="DO24" i="1" s="1"/>
  <c r="DN24" i="1" a="1"/>
  <c r="DN24" i="1" s="1"/>
  <c r="DR24" i="1" a="1"/>
  <c r="DR24" i="1" s="1"/>
  <c r="DQ19" i="1" a="1"/>
  <c r="DQ19" i="1" s="1"/>
  <c r="DT19" i="1" a="1"/>
  <c r="DT19" i="1" s="1"/>
  <c r="DL19" i="1" a="1"/>
  <c r="DL19" i="1" s="1"/>
  <c r="DP19" i="1" a="1"/>
  <c r="DP19" i="1" s="1"/>
  <c r="DS19" i="1" a="1"/>
  <c r="DS19" i="1" s="1"/>
  <c r="DR19" i="1" a="1"/>
  <c r="DR19" i="1" s="1"/>
  <c r="DO19" i="1" a="1"/>
  <c r="DO19" i="1" s="1"/>
  <c r="DU19" i="1" a="1"/>
  <c r="DU19" i="1" s="1"/>
  <c r="DN19" i="1" a="1"/>
  <c r="DN19" i="1" s="1"/>
  <c r="DM19" i="1" a="1"/>
  <c r="DM19" i="1" s="1"/>
  <c r="DM11" i="1" a="1"/>
  <c r="DM11" i="1" s="1"/>
  <c r="DP11" i="1" a="1"/>
  <c r="DP11" i="1" s="1"/>
  <c r="DL11" i="1" a="1"/>
  <c r="DL11" i="1" s="1"/>
  <c r="DT11" i="1" a="1"/>
  <c r="DT11" i="1" s="1"/>
  <c r="DS11" i="1" a="1"/>
  <c r="DS11" i="1" s="1"/>
  <c r="DN11" i="1" a="1"/>
  <c r="DN11" i="1" s="1"/>
  <c r="DO11" i="1" a="1"/>
  <c r="DO11" i="1" s="1"/>
  <c r="DQ11" i="1" a="1"/>
  <c r="DQ11" i="1" s="1"/>
  <c r="DR11" i="1" a="1"/>
  <c r="DR11" i="1" s="1"/>
  <c r="DU11" i="1" a="1"/>
  <c r="DU11" i="1" s="1"/>
  <c r="DL12" i="1" a="1"/>
  <c r="DL12" i="1" s="1"/>
  <c r="DP12" i="1" a="1"/>
  <c r="DP12" i="1" s="1"/>
  <c r="DO12" i="1" a="1"/>
  <c r="DO12" i="1" s="1"/>
  <c r="DS12" i="1" a="1"/>
  <c r="DS12" i="1" s="1"/>
  <c r="DN12" i="1" a="1"/>
  <c r="DN12" i="1" s="1"/>
  <c r="DR12" i="1" a="1"/>
  <c r="DR12" i="1" s="1"/>
  <c r="DQ12" i="1" a="1"/>
  <c r="DQ12" i="1" s="1"/>
  <c r="DU12" i="1" a="1"/>
  <c r="DU12" i="1" s="1"/>
  <c r="DT12" i="1" a="1"/>
  <c r="DT12" i="1" s="1"/>
  <c r="DM12" i="1" a="1"/>
  <c r="DM12" i="1" s="1"/>
  <c r="DO14" i="1" a="1"/>
  <c r="DO14" i="1" s="1"/>
  <c r="DG10" i="1" a="1"/>
  <c r="DG10" i="1" s="1"/>
  <c r="DK10" i="1" a="1"/>
  <c r="DK10" i="1" s="1"/>
  <c r="DJ24" i="1" a="1"/>
  <c r="DJ24" i="1" s="1"/>
  <c r="DB24" i="1" a="1"/>
  <c r="DB24" i="1" s="1"/>
  <c r="DF24" i="1" a="1"/>
  <c r="DF24" i="1" s="1"/>
  <c r="DI24" i="1" a="1"/>
  <c r="DI24" i="1" s="1"/>
  <c r="DE24" i="1" a="1"/>
  <c r="DE24" i="1" s="1"/>
  <c r="DH24" i="1" a="1"/>
  <c r="DH24" i="1" s="1"/>
  <c r="DK24" i="1" a="1"/>
  <c r="DK24" i="1" s="1"/>
  <c r="DD24" i="1" a="1"/>
  <c r="DD24" i="1" s="1"/>
  <c r="DC24" i="1" a="1"/>
  <c r="DC24" i="1" s="1"/>
  <c r="DG24" i="1" a="1"/>
  <c r="DG24" i="1" s="1"/>
  <c r="DJ13" i="1" a="1"/>
  <c r="DJ13" i="1" s="1"/>
  <c r="DI13" i="1" a="1"/>
  <c r="DI13" i="1" s="1"/>
  <c r="DB13" i="1" a="1"/>
  <c r="DB13" i="1" s="1"/>
  <c r="DE12" i="1" a="1"/>
  <c r="DE12" i="1" s="1"/>
  <c r="DH12" i="1" a="1"/>
  <c r="DH12" i="1" s="1"/>
  <c r="DK12" i="1" a="1"/>
  <c r="DK12" i="1" s="1"/>
  <c r="DD12" i="1" a="1"/>
  <c r="DD12" i="1" s="1"/>
  <c r="DC12" i="1" a="1"/>
  <c r="DC12" i="1" s="1"/>
  <c r="DG12" i="1" a="1"/>
  <c r="DG12" i="1" s="1"/>
  <c r="DF12" i="1" a="1"/>
  <c r="DF12" i="1" s="1"/>
  <c r="DB12" i="1" a="1"/>
  <c r="DB12" i="1" s="1"/>
  <c r="DJ12" i="1" a="1"/>
  <c r="DJ12" i="1" s="1"/>
  <c r="DI12" i="1" a="1"/>
  <c r="DI12" i="1" s="1"/>
  <c r="DI14" i="1" a="1"/>
  <c r="DI14" i="1" s="1"/>
  <c r="DD14" i="1" a="1"/>
  <c r="DD14" i="1" s="1"/>
  <c r="DJ14" i="1" a="1"/>
  <c r="DJ14" i="1" s="1"/>
  <c r="DF14" i="1" a="1"/>
  <c r="DF14" i="1" s="1"/>
  <c r="DE14" i="1" a="1"/>
  <c r="DE14" i="1" s="1"/>
  <c r="DE19" i="1" a="1"/>
  <c r="DE19" i="1" s="1"/>
  <c r="DF19" i="1" a="1"/>
  <c r="DF19" i="1" s="1"/>
  <c r="DD19" i="1" a="1"/>
  <c r="DD19" i="1" s="1"/>
  <c r="DI19" i="1" a="1"/>
  <c r="DI19" i="1" s="1"/>
  <c r="DH19" i="1" a="1"/>
  <c r="DH19" i="1" s="1"/>
  <c r="DK19" i="1" a="1"/>
  <c r="DK19" i="1" s="1"/>
  <c r="DC19" i="1" a="1"/>
  <c r="DC19" i="1" s="1"/>
  <c r="DG19" i="1" a="1"/>
  <c r="DG19" i="1" s="1"/>
  <c r="DJ19" i="1" a="1"/>
  <c r="DJ19" i="1" s="1"/>
  <c r="DB19" i="1" a="1"/>
  <c r="DB19" i="1" s="1"/>
  <c r="DG11" i="1" a="1"/>
  <c r="DG11" i="1" s="1"/>
  <c r="DJ11" i="1" a="1"/>
  <c r="DJ11" i="1" s="1"/>
  <c r="DB11" i="1" a="1"/>
  <c r="DB11" i="1" s="1"/>
  <c r="DE11" i="1" a="1"/>
  <c r="DE11" i="1" s="1"/>
  <c r="DF11" i="1" a="1"/>
  <c r="DF11" i="1" s="1"/>
  <c r="DD11" i="1" a="1"/>
  <c r="DD11" i="1" s="1"/>
  <c r="DI11" i="1" a="1"/>
  <c r="DI11" i="1" s="1"/>
  <c r="DH11" i="1" a="1"/>
  <c r="DH11" i="1" s="1"/>
  <c r="DK11" i="1" a="1"/>
  <c r="DK11" i="1" s="1"/>
  <c r="DC11" i="1" a="1"/>
  <c r="DC11" i="1" s="1"/>
  <c r="CM9" i="1" a="1"/>
  <c r="CM9" i="1" s="1"/>
  <c r="CM24" i="1" a="1"/>
  <c r="CM24" i="1" s="1"/>
  <c r="CM12" i="1" a="1"/>
  <c r="CM12" i="1" s="1"/>
  <c r="CM13" i="1" a="1"/>
  <c r="CM13" i="1" s="1"/>
  <c r="CM14" i="1" a="1"/>
  <c r="CM14" i="1" s="1"/>
  <c r="CM11" i="1" a="1"/>
  <c r="CM11" i="1" s="1"/>
  <c r="CM21" i="1" a="1"/>
  <c r="CM21" i="1" s="1"/>
  <c r="FA24" i="1" l="1" a="1"/>
  <c r="FA24" i="1" s="1"/>
  <c r="DF13" i="1" a="1"/>
  <c r="DF13" i="1" s="1"/>
  <c r="DS13" i="1" a="1"/>
  <c r="DS13" i="1" s="1"/>
  <c r="EV24" i="1" a="1"/>
  <c r="EV24" i="1" s="1"/>
  <c r="DC13" i="1" a="1"/>
  <c r="DC13" i="1" s="1"/>
  <c r="DO13" i="1" a="1"/>
  <c r="DO13" i="1" s="1"/>
  <c r="DU13" i="1" a="1"/>
  <c r="DU13" i="1" s="1"/>
  <c r="DF16" i="1" a="1"/>
  <c r="DF16" i="1" s="1"/>
  <c r="DP13" i="1" a="1"/>
  <c r="DP13" i="1" s="1"/>
  <c r="DL13" i="1" a="1"/>
  <c r="DL13" i="1" s="1"/>
  <c r="DU20" i="1" a="1"/>
  <c r="DU20" i="1" s="1"/>
  <c r="DK13" i="1" a="1"/>
  <c r="DK13" i="1" s="1"/>
  <c r="DU16" i="1" a="1"/>
  <c r="DU16" i="1" s="1"/>
  <c r="DG13" i="1" a="1"/>
  <c r="DG13" i="1" s="1"/>
  <c r="DP7" i="1" a="1"/>
  <c r="DP7" i="1" s="1"/>
  <c r="DT13" i="1" a="1"/>
  <c r="DT13" i="1" s="1"/>
  <c r="DW13" i="1" s="1" a="1"/>
  <c r="DW13" i="1" s="1"/>
  <c r="DD9" i="1" a="1"/>
  <c r="DD9" i="1" s="1"/>
  <c r="FD19" i="1" a="1"/>
  <c r="FD19" i="1" s="1"/>
  <c r="DE13" i="1" a="1"/>
  <c r="DE13" i="1" s="1"/>
  <c r="DQ13" i="1" a="1"/>
  <c r="DQ13" i="1" s="1"/>
  <c r="DD13" i="1" a="1"/>
  <c r="DD13" i="1" s="1"/>
  <c r="DP18" i="1" a="1"/>
  <c r="DP18" i="1" s="1"/>
  <c r="DU21" i="1" a="1"/>
  <c r="DU21" i="1" s="1"/>
  <c r="EM19" i="1" a="1"/>
  <c r="EM19" i="1" s="1"/>
  <c r="FC19" i="1" a="1"/>
  <c r="FC19" i="1" s="1"/>
  <c r="DP9" i="1" a="1"/>
  <c r="DP9" i="1" s="1"/>
  <c r="EO19" i="1" a="1"/>
  <c r="EO19" i="1" s="1"/>
  <c r="FB19" i="1" a="1"/>
  <c r="FB19" i="1" s="1"/>
  <c r="EP19" i="1" a="1"/>
  <c r="EP19" i="1" s="1"/>
  <c r="FA19" i="1" a="1"/>
  <c r="FA19" i="1" s="1"/>
  <c r="EX19" i="1" a="1"/>
  <c r="EX19" i="1" s="1"/>
  <c r="FF19" i="1" s="1" a="1"/>
  <c r="FF19" i="1" s="1"/>
  <c r="DT16" i="1" a="1"/>
  <c r="DT16" i="1" s="1"/>
  <c r="EQ19" i="1" a="1"/>
  <c r="EQ19" i="1" s="1"/>
  <c r="EK19" i="1" a="1"/>
  <c r="EK19" i="1" s="1"/>
  <c r="EY19" i="1" a="1"/>
  <c r="EY19" i="1" s="1"/>
  <c r="CM19" i="1" a="1"/>
  <c r="CM19" i="1" s="1"/>
  <c r="DH9" i="1" a="1"/>
  <c r="DH9" i="1" s="1"/>
  <c r="ES19" i="1" a="1"/>
  <c r="ES19" i="1" s="1"/>
  <c r="EZ19" i="1" a="1"/>
  <c r="EZ19" i="1" s="1"/>
  <c r="FB7" i="1" a="1"/>
  <c r="FB7" i="1" s="1"/>
  <c r="DR14" i="1" a="1"/>
  <c r="DR14" i="1" s="1"/>
  <c r="EY24" i="1" a="1"/>
  <c r="EY24" i="1" s="1"/>
  <c r="DC9" i="1" a="1"/>
  <c r="DC9" i="1" s="1"/>
  <c r="EL19" i="1" a="1"/>
  <c r="EL19" i="1" s="1"/>
  <c r="EV19" i="1" a="1"/>
  <c r="EV19" i="1" s="1"/>
  <c r="ET19" i="1" a="1"/>
  <c r="ET19" i="1" s="1"/>
  <c r="DF18" i="1" a="1"/>
  <c r="DF18" i="1" s="1"/>
  <c r="EY10" i="1" a="1"/>
  <c r="EY10" i="1" s="1"/>
  <c r="EP18" i="1" a="1"/>
  <c r="EP18" i="1" s="1"/>
  <c r="DG14" i="1" a="1"/>
  <c r="DG14" i="1" s="1"/>
  <c r="DG16" i="1" a="1"/>
  <c r="DG16" i="1" s="1"/>
  <c r="DS14" i="1" a="1"/>
  <c r="DS14" i="1" s="1"/>
  <c r="DQ16" i="1" a="1"/>
  <c r="DQ16" i="1" s="1"/>
  <c r="DR20" i="1" a="1"/>
  <c r="DR20" i="1" s="1"/>
  <c r="FN7" i="1"/>
  <c r="EP24" i="1" a="1"/>
  <c r="EP24" i="1" s="1"/>
  <c r="EX24" i="1" a="1"/>
  <c r="EX24" i="1" s="1"/>
  <c r="FD24" i="1" a="1"/>
  <c r="FD24" i="1" s="1"/>
  <c r="DK14" i="1" a="1"/>
  <c r="DK14" i="1" s="1"/>
  <c r="DH16" i="1" a="1"/>
  <c r="DH16" i="1" s="1"/>
  <c r="DK16" i="1" a="1"/>
  <c r="DK16" i="1" s="1"/>
  <c r="DP14" i="1" a="1"/>
  <c r="DP14" i="1" s="1"/>
  <c r="DN16" i="1" a="1"/>
  <c r="DN16" i="1" s="1"/>
  <c r="DQ20" i="1" a="1"/>
  <c r="DQ20" i="1" s="1"/>
  <c r="EQ24" i="1" a="1"/>
  <c r="EQ24" i="1" s="1"/>
  <c r="FB24" i="1" a="1"/>
  <c r="FB24" i="1" s="1"/>
  <c r="DH14" i="1" a="1"/>
  <c r="DH14" i="1" s="1"/>
  <c r="DE16" i="1" a="1"/>
  <c r="DE16" i="1" s="1"/>
  <c r="DD16" i="1" a="1"/>
  <c r="DD16" i="1" s="1"/>
  <c r="DL14" i="1" a="1"/>
  <c r="DL14" i="1" s="1"/>
  <c r="DR16" i="1" a="1"/>
  <c r="DR16" i="1" s="1"/>
  <c r="DS20" i="1" a="1"/>
  <c r="DS20" i="1" s="1"/>
  <c r="ER24" i="1" a="1"/>
  <c r="ER24" i="1" s="1"/>
  <c r="EU24" i="1" a="1"/>
  <c r="EU24" i="1" s="1"/>
  <c r="DI16" i="1" a="1"/>
  <c r="DI16" i="1" s="1"/>
  <c r="DM14" i="1" a="1"/>
  <c r="DM14" i="1" s="1"/>
  <c r="DQ14" i="1" a="1"/>
  <c r="DQ14" i="1" s="1"/>
  <c r="DS16" i="1" a="1"/>
  <c r="DS16" i="1" s="1"/>
  <c r="DT20" i="1" a="1"/>
  <c r="DT20" i="1" s="1"/>
  <c r="EK24" i="1" a="1"/>
  <c r="EK24" i="1" s="1"/>
  <c r="FF24" i="1" s="1" a="1"/>
  <c r="FF24" i="1" s="1"/>
  <c r="FC24" i="1" a="1"/>
  <c r="FC24" i="1" s="1"/>
  <c r="EK7" i="1" a="1"/>
  <c r="EK7" i="1" s="1"/>
  <c r="DT14" i="1" a="1"/>
  <c r="DT14" i="1" s="1"/>
  <c r="DL16" i="1" a="1"/>
  <c r="DL16" i="1" s="1"/>
  <c r="DN20" i="1" a="1"/>
  <c r="DN20" i="1" s="1"/>
  <c r="DM20" i="1" a="1"/>
  <c r="DM20" i="1" s="1"/>
  <c r="ES24" i="1" a="1"/>
  <c r="ES24" i="1" s="1"/>
  <c r="EW24" i="1" a="1"/>
  <c r="EW24" i="1" s="1"/>
  <c r="DU14" i="1" a="1"/>
  <c r="DU14" i="1" s="1"/>
  <c r="DB14" i="1" a="1"/>
  <c r="DB14" i="1" s="1"/>
  <c r="DJ16" i="1" a="1"/>
  <c r="DJ16" i="1" s="1"/>
  <c r="DN14" i="1" a="1"/>
  <c r="DN14" i="1" s="1"/>
  <c r="DO16" i="1" a="1"/>
  <c r="DO16" i="1" s="1"/>
  <c r="DP20" i="1" a="1"/>
  <c r="DP20" i="1" s="1"/>
  <c r="EN24" i="1" a="1"/>
  <c r="EN24" i="1" s="1"/>
  <c r="EL24" i="1" a="1"/>
  <c r="EL24" i="1" s="1"/>
  <c r="EZ24" i="1" a="1"/>
  <c r="EZ24" i="1" s="1"/>
  <c r="DB16" i="1" a="1"/>
  <c r="DB16" i="1" s="1"/>
  <c r="DC14" i="1" a="1"/>
  <c r="DC14" i="1" s="1"/>
  <c r="DC16" i="1" a="1"/>
  <c r="DC16" i="1" s="1"/>
  <c r="DM16" i="1" a="1"/>
  <c r="DM16" i="1" s="1"/>
  <c r="DL20" i="1" a="1"/>
  <c r="DL20" i="1" s="1"/>
  <c r="EM24" i="1" a="1"/>
  <c r="EM24" i="1" s="1"/>
  <c r="ET24" i="1" a="1"/>
  <c r="ET24" i="1" s="1"/>
  <c r="FA23" i="1" a="1"/>
  <c r="FA23" i="1" s="1"/>
  <c r="EZ16" i="1" a="1"/>
  <c r="EZ16" i="1" s="1"/>
  <c r="EP7" i="1" a="1"/>
  <c r="EP7" i="1" s="1"/>
  <c r="FC7" i="1" a="1"/>
  <c r="FC7" i="1" s="1"/>
  <c r="DT7" i="1" a="1"/>
  <c r="DT7" i="1" s="1"/>
  <c r="EN10" i="1" a="1"/>
  <c r="EN10" i="1" s="1"/>
  <c r="DS6" i="1" a="1"/>
  <c r="DS6" i="1" s="1"/>
  <c r="FD20" i="1" a="1"/>
  <c r="FD20" i="1" s="1"/>
  <c r="DC18" i="1" a="1"/>
  <c r="DC18" i="1" s="1"/>
  <c r="DM18" i="1" a="1"/>
  <c r="DM18" i="1" s="1"/>
  <c r="EO16" i="1" a="1"/>
  <c r="EO16" i="1" s="1"/>
  <c r="ET16" i="1" a="1"/>
  <c r="ET16" i="1" s="1"/>
  <c r="EY21" i="1" a="1"/>
  <c r="EY21" i="1" s="1"/>
  <c r="DT9" i="1" a="1"/>
  <c r="DT9" i="1" s="1"/>
  <c r="DU23" i="1" a="1"/>
  <c r="DU23" i="1" s="1"/>
  <c r="EY18" i="1" a="1"/>
  <c r="EY18" i="1" s="1"/>
  <c r="EY16" i="1" a="1"/>
  <c r="EY16" i="1" s="1"/>
  <c r="EY7" i="1" a="1"/>
  <c r="EY7" i="1" s="1"/>
  <c r="DT18" i="1" a="1"/>
  <c r="DT18" i="1" s="1"/>
  <c r="DL18" i="1" a="1"/>
  <c r="DL18" i="1" s="1"/>
  <c r="EM16" i="1" a="1"/>
  <c r="EM16" i="1" s="1"/>
  <c r="EL16" i="1" a="1"/>
  <c r="EL16" i="1" s="1"/>
  <c r="EO18" i="1" a="1"/>
  <c r="EO18" i="1" s="1"/>
  <c r="EU18" i="1" a="1"/>
  <c r="EU18" i="1" s="1"/>
  <c r="DI21" i="1" a="1"/>
  <c r="DI21" i="1" s="1"/>
  <c r="DC23" i="1" a="1"/>
  <c r="DC23" i="1" s="1"/>
  <c r="DH18" i="1" a="1"/>
  <c r="DH18" i="1" s="1"/>
  <c r="DK18" i="1" a="1"/>
  <c r="DK18" i="1" s="1"/>
  <c r="DU18" i="1" a="1"/>
  <c r="DU18" i="1" s="1"/>
  <c r="EP16" i="1" a="1"/>
  <c r="EP16" i="1" s="1"/>
  <c r="EM23" i="1" a="1"/>
  <c r="EM23" i="1" s="1"/>
  <c r="EQ18" i="1" a="1"/>
  <c r="EQ18" i="1" s="1"/>
  <c r="EP21" i="1" a="1"/>
  <c r="EP21" i="1" s="1"/>
  <c r="EU10" i="1" a="1"/>
  <c r="EU10" i="1" s="1"/>
  <c r="DK23" i="1" a="1"/>
  <c r="DK23" i="1" s="1"/>
  <c r="DD18" i="1" a="1"/>
  <c r="DD18" i="1" s="1"/>
  <c r="DG18" i="1" a="1"/>
  <c r="DG18" i="1" s="1"/>
  <c r="DR18" i="1" a="1"/>
  <c r="DR18" i="1" s="1"/>
  <c r="EN16" i="1" a="1"/>
  <c r="EN16" i="1" s="1"/>
  <c r="ER18" i="1" a="1"/>
  <c r="ER18" i="1" s="1"/>
  <c r="EX16" i="1" a="1"/>
  <c r="EX16" i="1" s="1"/>
  <c r="ET14" i="1" a="1"/>
  <c r="ET14" i="1" s="1"/>
  <c r="DJ23" i="1" a="1"/>
  <c r="DJ23" i="1" s="1"/>
  <c r="DI18" i="1" a="1"/>
  <c r="DI18" i="1" s="1"/>
  <c r="DN18" i="1" a="1"/>
  <c r="DN18" i="1" s="1"/>
  <c r="EQ16" i="1" a="1"/>
  <c r="EQ16" i="1" s="1"/>
  <c r="EK18" i="1" a="1"/>
  <c r="EK18" i="1" s="1"/>
  <c r="FB18" i="1" a="1"/>
  <c r="FB18" i="1" s="1"/>
  <c r="FB16" i="1" a="1"/>
  <c r="FB16" i="1" s="1"/>
  <c r="DM21" i="1" a="1"/>
  <c r="DM21" i="1" s="1"/>
  <c r="DE18" i="1" a="1"/>
  <c r="DE18" i="1" s="1"/>
  <c r="DO18" i="1" a="1"/>
  <c r="DO18" i="1" s="1"/>
  <c r="ER16" i="1" a="1"/>
  <c r="ER16" i="1" s="1"/>
  <c r="ES18" i="1" a="1"/>
  <c r="ES18" i="1" s="1"/>
  <c r="EV18" i="1" a="1"/>
  <c r="EV18" i="1" s="1"/>
  <c r="DT21" i="1" a="1"/>
  <c r="DT21" i="1" s="1"/>
  <c r="DJ18" i="1" a="1"/>
  <c r="DJ18" i="1" s="1"/>
  <c r="DS18" i="1" a="1"/>
  <c r="DS18" i="1" s="1"/>
  <c r="EK16" i="1" a="1"/>
  <c r="EK16" i="1" s="1"/>
  <c r="EN18" i="1" a="1"/>
  <c r="EN18" i="1" s="1"/>
  <c r="EL18" i="1" a="1"/>
  <c r="EL18" i="1" s="1"/>
  <c r="FD18" i="1" a="1"/>
  <c r="FD18" i="1" s="1"/>
  <c r="FD16" i="1" a="1"/>
  <c r="FD16" i="1" s="1"/>
  <c r="DR21" i="1" a="1"/>
  <c r="DR21" i="1" s="1"/>
  <c r="CM16" i="1" a="1"/>
  <c r="CM16" i="1" s="1"/>
  <c r="CP16" i="1" s="1"/>
  <c r="CQ16" i="1" s="1"/>
  <c r="CM18" i="1" a="1"/>
  <c r="CM18" i="1" s="1"/>
  <c r="CP18" i="1" s="1"/>
  <c r="CQ18" i="1" s="1"/>
  <c r="DB18" i="1" a="1"/>
  <c r="DB18" i="1" s="1"/>
  <c r="DQ18" i="1" a="1"/>
  <c r="DQ18" i="1" s="1"/>
  <c r="ES16" i="1" a="1"/>
  <c r="ES16" i="1" s="1"/>
  <c r="EM18" i="1" a="1"/>
  <c r="EM18" i="1" s="1"/>
  <c r="ET18" i="1" a="1"/>
  <c r="ET18" i="1" s="1"/>
  <c r="EW18" i="1" a="1"/>
  <c r="EW18" i="1" s="1"/>
  <c r="DS21" i="1" a="1"/>
  <c r="DS21" i="1" s="1"/>
  <c r="DP15" i="1" a="1"/>
  <c r="DP15" i="1" s="1"/>
  <c r="FO7" i="1"/>
  <c r="ES7" i="1" a="1"/>
  <c r="ES7" i="1" s="1"/>
  <c r="EP10" i="1" a="1"/>
  <c r="EP10" i="1" s="1"/>
  <c r="EV7" i="1" a="1"/>
  <c r="EV7" i="1" s="1"/>
  <c r="FA16" i="1" a="1"/>
  <c r="FA16" i="1" s="1"/>
  <c r="EV16" i="1" a="1"/>
  <c r="EV16" i="1" s="1"/>
  <c r="EV10" i="1" a="1"/>
  <c r="EV10" i="1" s="1"/>
  <c r="EP14" i="1" a="1"/>
  <c r="EP14" i="1" s="1"/>
  <c r="DB21" i="1" a="1"/>
  <c r="DB21" i="1" s="1"/>
  <c r="DK21" i="1" a="1"/>
  <c r="DK21" i="1" s="1"/>
  <c r="DP21" i="1" a="1"/>
  <c r="DP21" i="1" s="1"/>
  <c r="ER7" i="1" a="1"/>
  <c r="ER7" i="1" s="1"/>
  <c r="EQ10" i="1" a="1"/>
  <c r="EQ10" i="1" s="1"/>
  <c r="FA14" i="1" a="1"/>
  <c r="FA14" i="1" s="1"/>
  <c r="FD7" i="1" a="1"/>
  <c r="FD7" i="1" s="1"/>
  <c r="FD10" i="1" a="1"/>
  <c r="FD10" i="1" s="1"/>
  <c r="ES14" i="1" a="1"/>
  <c r="ES14" i="1" s="1"/>
  <c r="DL21" i="1" a="1"/>
  <c r="DL21" i="1" s="1"/>
  <c r="DD21" i="1" a="1"/>
  <c r="DD21" i="1" s="1"/>
  <c r="DN21" i="1" a="1"/>
  <c r="DN21" i="1" s="1"/>
  <c r="EL7" i="1" a="1"/>
  <c r="EL7" i="1" s="1"/>
  <c r="ER10" i="1" a="1"/>
  <c r="ER10" i="1" s="1"/>
  <c r="EZ7" i="1" a="1"/>
  <c r="EZ7" i="1" s="1"/>
  <c r="FC14" i="1" a="1"/>
  <c r="FC14" i="1" s="1"/>
  <c r="EW10" i="1" a="1"/>
  <c r="EW10" i="1" s="1"/>
  <c r="FA10" i="1" a="1"/>
  <c r="FA10" i="1" s="1"/>
  <c r="EM14" i="1" a="1"/>
  <c r="EM14" i="1" s="1"/>
  <c r="ET7" i="1" a="1"/>
  <c r="ET7" i="1" s="1"/>
  <c r="EK10" i="1" a="1"/>
  <c r="EK10" i="1" s="1"/>
  <c r="EP20" i="1" a="1"/>
  <c r="EP20" i="1" s="1"/>
  <c r="EX18" i="1" a="1"/>
  <c r="EX18" i="1" s="1"/>
  <c r="EZ18" i="1" a="1"/>
  <c r="EZ18" i="1" s="1"/>
  <c r="EW7" i="1" a="1"/>
  <c r="EW7" i="1" s="1"/>
  <c r="EU16" i="1" a="1"/>
  <c r="EU16" i="1" s="1"/>
  <c r="EW14" i="1" a="1"/>
  <c r="EW14" i="1" s="1"/>
  <c r="EX10" i="1" a="1"/>
  <c r="EX10" i="1" s="1"/>
  <c r="EZ10" i="1" a="1"/>
  <c r="EZ10" i="1" s="1"/>
  <c r="ER14" i="1" a="1"/>
  <c r="ER14" i="1" s="1"/>
  <c r="DH21" i="1" a="1"/>
  <c r="DH21" i="1" s="1"/>
  <c r="DC21" i="1" a="1"/>
  <c r="DC21" i="1" s="1"/>
  <c r="DD15" i="1" a="1"/>
  <c r="DD15" i="1" s="1"/>
  <c r="EM7" i="1" a="1"/>
  <c r="EM7" i="1" s="1"/>
  <c r="ES10" i="1" a="1"/>
  <c r="ES10" i="1" s="1"/>
  <c r="EU14" i="1" a="1"/>
  <c r="EU14" i="1" s="1"/>
  <c r="FA18" i="1" a="1"/>
  <c r="FA18" i="1" s="1"/>
  <c r="EZ14" i="1" a="1"/>
  <c r="EZ14" i="1" s="1"/>
  <c r="FA7" i="1" a="1"/>
  <c r="FA7" i="1" s="1"/>
  <c r="EW16" i="1" a="1"/>
  <c r="EW16" i="1" s="1"/>
  <c r="FB10" i="1" a="1"/>
  <c r="FB10" i="1" s="1"/>
  <c r="EY14" i="1" a="1"/>
  <c r="EY14" i="1" s="1"/>
  <c r="EL14" i="1" a="1"/>
  <c r="EL14" i="1" s="1"/>
  <c r="DO21" i="1" a="1"/>
  <c r="DO21" i="1" s="1"/>
  <c r="DQ21" i="1" a="1"/>
  <c r="DQ21" i="1" s="1"/>
  <c r="EN7" i="1" a="1"/>
  <c r="EN7" i="1" s="1"/>
  <c r="EM10" i="1" a="1"/>
  <c r="EM10" i="1" s="1"/>
  <c r="EL10" i="1" a="1"/>
  <c r="EL10" i="1" s="1"/>
  <c r="FB14" i="1" a="1"/>
  <c r="FB14" i="1" s="1"/>
  <c r="FC18" i="1" a="1"/>
  <c r="FC18" i="1" s="1"/>
  <c r="EX14" i="1" a="1"/>
  <c r="EX14" i="1" s="1"/>
  <c r="EX7" i="1" a="1"/>
  <c r="EX7" i="1" s="1"/>
  <c r="FC16" i="1" a="1"/>
  <c r="FC16" i="1" s="1"/>
  <c r="FD14" i="1" a="1"/>
  <c r="FD14" i="1" s="1"/>
  <c r="FC10" i="1" a="1"/>
  <c r="FC10" i="1" s="1"/>
  <c r="EO14" i="1" a="1"/>
  <c r="EO14" i="1" s="1"/>
  <c r="EQ14" i="1" a="1"/>
  <c r="EQ14" i="1" s="1"/>
  <c r="DG21" i="1" a="1"/>
  <c r="DG21" i="1" s="1"/>
  <c r="DF21" i="1" a="1"/>
  <c r="DF21" i="1" s="1"/>
  <c r="EQ7" i="1" a="1"/>
  <c r="EQ7" i="1" s="1"/>
  <c r="EO7" i="1" a="1"/>
  <c r="EO7" i="1" s="1"/>
  <c r="EO10" i="1" a="1"/>
  <c r="EO10" i="1" s="1"/>
  <c r="ET10" i="1" a="1"/>
  <c r="ET10" i="1" s="1"/>
  <c r="EX20" i="1" a="1"/>
  <c r="EX20" i="1" s="1"/>
  <c r="EU7" i="1" a="1"/>
  <c r="EU7" i="1" s="1"/>
  <c r="EV14" i="1" a="1"/>
  <c r="EV14" i="1" s="1"/>
  <c r="EK14" i="1" a="1"/>
  <c r="EK14" i="1" s="1"/>
  <c r="EN14" i="1" a="1"/>
  <c r="EN14" i="1" s="1"/>
  <c r="DE21" i="1" a="1"/>
  <c r="DE21" i="1" s="1"/>
  <c r="DM23" i="1" a="1"/>
  <c r="DM23" i="1" s="1"/>
  <c r="DB20" i="1" a="1"/>
  <c r="DB20" i="1" s="1"/>
  <c r="DU6" i="1" a="1"/>
  <c r="DU6" i="1" s="1"/>
  <c r="CM7" i="1" a="1"/>
  <c r="CM7" i="1" s="1"/>
  <c r="FC21" i="1" a="1"/>
  <c r="FC21" i="1" s="1"/>
  <c r="EX9" i="1" a="1"/>
  <c r="EX9" i="1" s="1"/>
  <c r="DL10" i="1" a="1"/>
  <c r="DL10" i="1" s="1"/>
  <c r="DH17" i="1" a="1"/>
  <c r="DH17" i="1" s="1"/>
  <c r="DS10" i="1" a="1"/>
  <c r="DS10" i="1" s="1"/>
  <c r="EM21" i="1" a="1"/>
  <c r="EM21" i="1" s="1"/>
  <c r="EV21" i="1" a="1"/>
  <c r="EV21" i="1" s="1"/>
  <c r="DH10" i="1" a="1"/>
  <c r="DH10" i="1" s="1"/>
  <c r="DP10" i="1" a="1"/>
  <c r="DP10" i="1" s="1"/>
  <c r="EK21" i="1" a="1"/>
  <c r="EK21" i="1" s="1"/>
  <c r="FA21" i="1" a="1"/>
  <c r="FA21" i="1" s="1"/>
  <c r="CM20" i="1" a="1"/>
  <c r="CM20" i="1" s="1"/>
  <c r="CP20" i="1" s="1"/>
  <c r="CQ20" i="1" s="1"/>
  <c r="FB15" i="1" a="1"/>
  <c r="FB15" i="1" s="1"/>
  <c r="DD10" i="1" a="1"/>
  <c r="DD10" i="1" s="1"/>
  <c r="DQ10" i="1" a="1"/>
  <c r="DQ10" i="1" s="1"/>
  <c r="EL9" i="1" a="1"/>
  <c r="EL9" i="1" s="1"/>
  <c r="ES21" i="1" a="1"/>
  <c r="ES21" i="1" s="1"/>
  <c r="EX15" i="1" a="1"/>
  <c r="EX15" i="1" s="1"/>
  <c r="EW21" i="1" a="1"/>
  <c r="EW21" i="1" s="1"/>
  <c r="EO21" i="1" a="1"/>
  <c r="EO21" i="1" s="1"/>
  <c r="DB10" i="1" a="1"/>
  <c r="DB10" i="1" s="1"/>
  <c r="DI10" i="1" a="1"/>
  <c r="DI10" i="1" s="1"/>
  <c r="DR10" i="1" a="1"/>
  <c r="DR10" i="1" s="1"/>
  <c r="DM10" i="1" a="1"/>
  <c r="DM10" i="1" s="1"/>
  <c r="FB21" i="1" a="1"/>
  <c r="FB21" i="1" s="1"/>
  <c r="DK20" i="1" a="1"/>
  <c r="DK20" i="1" s="1"/>
  <c r="CM6" i="1" a="1"/>
  <c r="CM6" i="1" s="1"/>
  <c r="CP6" i="1" s="1"/>
  <c r="CQ6" i="1" s="1"/>
  <c r="FD8" i="1" a="1"/>
  <c r="FD8" i="1" s="1"/>
  <c r="EV20" i="1" a="1"/>
  <c r="EV20" i="1" s="1"/>
  <c r="DJ10" i="1" a="1"/>
  <c r="DJ10" i="1" s="1"/>
  <c r="DE10" i="1" a="1"/>
  <c r="DE10" i="1" s="1"/>
  <c r="DN10" i="1" a="1"/>
  <c r="DN10" i="1" s="1"/>
  <c r="DU10" i="1" a="1"/>
  <c r="DU10" i="1" s="1"/>
  <c r="EL21" i="1" a="1"/>
  <c r="EL21" i="1" s="1"/>
  <c r="DC10" i="1" a="1"/>
  <c r="DC10" i="1" s="1"/>
  <c r="DO10" i="1" a="1"/>
  <c r="DO10" i="1" s="1"/>
  <c r="ET21" i="1" a="1"/>
  <c r="ET21" i="1" s="1"/>
  <c r="DF20" i="1" a="1"/>
  <c r="DF20" i="1" s="1"/>
  <c r="DR15" i="1" a="1"/>
  <c r="DR15" i="1" s="1"/>
  <c r="EU21" i="1" a="1"/>
  <c r="EU21" i="1" s="1"/>
  <c r="DC6" i="1" a="1"/>
  <c r="DC6" i="1" s="1"/>
  <c r="DF10" i="1" a="1"/>
  <c r="DF10" i="1" s="1"/>
  <c r="EQ21" i="1" a="1"/>
  <c r="EQ21" i="1" s="1"/>
  <c r="EL23" i="1" a="1"/>
  <c r="EL23" i="1" s="1"/>
  <c r="EY9" i="1" a="1"/>
  <c r="EY9" i="1" s="1"/>
  <c r="DB9" i="1" a="1"/>
  <c r="DB9" i="1" s="1"/>
  <c r="DN9" i="1" a="1"/>
  <c r="DN9" i="1" s="1"/>
  <c r="DQ9" i="1" a="1"/>
  <c r="DQ9" i="1" s="1"/>
  <c r="ES8" i="1" a="1"/>
  <c r="ES8" i="1" s="1"/>
  <c r="EK20" i="1" a="1"/>
  <c r="EK20" i="1" s="1"/>
  <c r="FA20" i="1" a="1"/>
  <c r="FA20" i="1" s="1"/>
  <c r="DI9" i="1" a="1"/>
  <c r="DI9" i="1" s="1"/>
  <c r="DU9" i="1" a="1"/>
  <c r="DU9" i="1" s="1"/>
  <c r="DM9" i="1" a="1"/>
  <c r="DM9" i="1" s="1"/>
  <c r="EN20" i="1" a="1"/>
  <c r="EN20" i="1" s="1"/>
  <c r="FB20" i="1" a="1"/>
  <c r="FB20" i="1" s="1"/>
  <c r="FD23" i="1" a="1"/>
  <c r="FD23" i="1" s="1"/>
  <c r="DJ9" i="1" a="1"/>
  <c r="DJ9" i="1" s="1"/>
  <c r="DS9" i="1" a="1"/>
  <c r="DS9" i="1" s="1"/>
  <c r="EO20" i="1" a="1"/>
  <c r="EO20" i="1" s="1"/>
  <c r="EY20" i="1" a="1"/>
  <c r="EY20" i="1" s="1"/>
  <c r="DU17" i="1" a="1"/>
  <c r="DU17" i="1" s="1"/>
  <c r="EX8" i="1" a="1"/>
  <c r="EX8" i="1" s="1"/>
  <c r="DF9" i="1" a="1"/>
  <c r="DF9" i="1" s="1"/>
  <c r="DR9" i="1" a="1"/>
  <c r="DR9" i="1" s="1"/>
  <c r="ER20" i="1" a="1"/>
  <c r="ER20" i="1" s="1"/>
  <c r="FC20" i="1" a="1"/>
  <c r="FC20" i="1" s="1"/>
  <c r="DI20" i="1" a="1"/>
  <c r="DI20" i="1" s="1"/>
  <c r="EQ20" i="1" a="1"/>
  <c r="EQ20" i="1" s="1"/>
  <c r="EL20" i="1" a="1"/>
  <c r="EL20" i="1" s="1"/>
  <c r="EU20" i="1" a="1"/>
  <c r="EU20" i="1" s="1"/>
  <c r="DO9" i="1" a="1"/>
  <c r="DO9" i="1" s="1"/>
  <c r="DK9" i="1" a="1"/>
  <c r="DK9" i="1" s="1"/>
  <c r="DL9" i="1" a="1"/>
  <c r="DL9" i="1" s="1"/>
  <c r="EM20" i="1" a="1"/>
  <c r="EM20" i="1" s="1"/>
  <c r="ET20" i="1" a="1"/>
  <c r="ET20" i="1" s="1"/>
  <c r="EZ20" i="1" a="1"/>
  <c r="EZ20" i="1" s="1"/>
  <c r="DE9" i="1" a="1"/>
  <c r="DE9" i="1" s="1"/>
  <c r="DG9" i="1" a="1"/>
  <c r="DG9" i="1" s="1"/>
  <c r="ES20" i="1" a="1"/>
  <c r="ES20" i="1" s="1"/>
  <c r="EW20" i="1" a="1"/>
  <c r="EW20" i="1" s="1"/>
  <c r="DG17" i="1" a="1"/>
  <c r="DG17" i="1" s="1"/>
  <c r="DR23" i="1" a="1"/>
  <c r="DR23" i="1" s="1"/>
  <c r="DS17" i="1" a="1"/>
  <c r="DS17" i="1" s="1"/>
  <c r="EM8" i="1" a="1"/>
  <c r="EM8" i="1" s="1"/>
  <c r="ET23" i="1" a="1"/>
  <c r="ET23" i="1" s="1"/>
  <c r="ES9" i="1" a="1"/>
  <c r="ES9" i="1" s="1"/>
  <c r="FC8" i="1" a="1"/>
  <c r="FC8" i="1" s="1"/>
  <c r="EU23" i="1" a="1"/>
  <c r="EU23" i="1" s="1"/>
  <c r="EW9" i="1" a="1"/>
  <c r="EW9" i="1" s="1"/>
  <c r="DH23" i="1" a="1"/>
  <c r="DH23" i="1" s="1"/>
  <c r="DE17" i="1" a="1"/>
  <c r="DE17" i="1" s="1"/>
  <c r="DO23" i="1" a="1"/>
  <c r="DO23" i="1" s="1"/>
  <c r="DO17" i="1" a="1"/>
  <c r="DO17" i="1" s="1"/>
  <c r="EL8" i="1" a="1"/>
  <c r="EL8" i="1" s="1"/>
  <c r="EN23" i="1" a="1"/>
  <c r="EN23" i="1" s="1"/>
  <c r="ET9" i="1" a="1"/>
  <c r="ET9" i="1" s="1"/>
  <c r="EW23" i="1" a="1"/>
  <c r="EW23" i="1" s="1"/>
  <c r="FD21" i="1" a="1"/>
  <c r="FD21" i="1" s="1"/>
  <c r="EU9" i="1" a="1"/>
  <c r="EU9" i="1" s="1"/>
  <c r="FA9" i="1" a="1"/>
  <c r="FA9" i="1" s="1"/>
  <c r="ER21" i="1" a="1"/>
  <c r="ER21" i="1" s="1"/>
  <c r="DF15" i="1" a="1"/>
  <c r="DF15" i="1" s="1"/>
  <c r="DG15" i="1" a="1"/>
  <c r="DG15" i="1" s="1"/>
  <c r="DQ15" i="1" a="1"/>
  <c r="DQ15" i="1" s="1"/>
  <c r="DG20" i="1" a="1"/>
  <c r="DG20" i="1" s="1"/>
  <c r="DD17" i="1" a="1"/>
  <c r="DD17" i="1" s="1"/>
  <c r="DN23" i="1" a="1"/>
  <c r="DN23" i="1" s="1"/>
  <c r="DL17" i="1" a="1"/>
  <c r="DL17" i="1" s="1"/>
  <c r="EQ23" i="1" a="1"/>
  <c r="EQ23" i="1" s="1"/>
  <c r="EO23" i="1" a="1"/>
  <c r="EO23" i="1" s="1"/>
  <c r="EM9" i="1" a="1"/>
  <c r="EM9" i="1" s="1"/>
  <c r="FB23" i="1" a="1"/>
  <c r="FB23" i="1" s="1"/>
  <c r="EZ21" i="1" a="1"/>
  <c r="EZ21" i="1" s="1"/>
  <c r="EZ9" i="1" a="1"/>
  <c r="EZ9" i="1" s="1"/>
  <c r="FB9" i="1" a="1"/>
  <c r="FB9" i="1" s="1"/>
  <c r="EN21" i="1" a="1"/>
  <c r="EN21" i="1" s="1"/>
  <c r="DE15" i="1" a="1"/>
  <c r="DE15" i="1" s="1"/>
  <c r="DU15" i="1" a="1"/>
  <c r="DU15" i="1" s="1"/>
  <c r="DI8" i="1" a="1"/>
  <c r="DI8" i="1" s="1"/>
  <c r="CM23" i="1" a="1"/>
  <c r="CM23" i="1" s="1"/>
  <c r="CP23" i="1" s="1"/>
  <c r="CQ23" i="1" s="1"/>
  <c r="DD23" i="1" a="1"/>
  <c r="DD23" i="1" s="1"/>
  <c r="DB17" i="1" a="1"/>
  <c r="DB17" i="1" s="1"/>
  <c r="DT23" i="1" a="1"/>
  <c r="DT23" i="1" s="1"/>
  <c r="DS23" i="1" a="1"/>
  <c r="DS23" i="1" s="1"/>
  <c r="DQ17" i="1" a="1"/>
  <c r="DQ17" i="1" s="1"/>
  <c r="DT17" i="1" a="1"/>
  <c r="DT17" i="1" s="1"/>
  <c r="FP9" i="1"/>
  <c r="ER23" i="1" a="1"/>
  <c r="ER23" i="1" s="1"/>
  <c r="EP23" i="1" a="1"/>
  <c r="EP23" i="1" s="1"/>
  <c r="EN9" i="1" a="1"/>
  <c r="EN9" i="1" s="1"/>
  <c r="EZ23" i="1" a="1"/>
  <c r="EZ23" i="1" s="1"/>
  <c r="FC23" i="1" a="1"/>
  <c r="FC23" i="1" s="1"/>
  <c r="FC9" i="1" a="1"/>
  <c r="FC9" i="1" s="1"/>
  <c r="DT15" i="1" a="1"/>
  <c r="DT15" i="1" s="1"/>
  <c r="DS15" i="1" a="1"/>
  <c r="DS15" i="1" s="1"/>
  <c r="DE20" i="1" a="1"/>
  <c r="DE20" i="1" s="1"/>
  <c r="CM15" i="1" a="1"/>
  <c r="CM15" i="1" s="1"/>
  <c r="CP15" i="1" s="1"/>
  <c r="CQ15" i="1" s="1"/>
  <c r="DF17" i="1" a="1"/>
  <c r="DF17" i="1" s="1"/>
  <c r="DI17" i="1" a="1"/>
  <c r="DI17" i="1" s="1"/>
  <c r="DP23" i="1" a="1"/>
  <c r="DP23" i="1" s="1"/>
  <c r="DL23" i="1" a="1"/>
  <c r="DL23" i="1" s="1"/>
  <c r="DM17" i="1" a="1"/>
  <c r="DM17" i="1" s="1"/>
  <c r="DP17" i="1" a="1"/>
  <c r="DP17" i="1" s="1"/>
  <c r="EK23" i="1" a="1"/>
  <c r="EK23" i="1" s="1"/>
  <c r="ER9" i="1" a="1"/>
  <c r="ER9" i="1" s="1"/>
  <c r="EO9" i="1" a="1"/>
  <c r="EO9" i="1" s="1"/>
  <c r="EY23" i="1" a="1"/>
  <c r="EY23" i="1" s="1"/>
  <c r="EX23" i="1" a="1"/>
  <c r="EX23" i="1" s="1"/>
  <c r="EV9" i="1" a="1"/>
  <c r="EV9" i="1" s="1"/>
  <c r="DC15" i="1" a="1"/>
  <c r="DC15" i="1" s="1"/>
  <c r="DH20" i="1" a="1"/>
  <c r="DH20" i="1" s="1"/>
  <c r="DC20" i="1" a="1"/>
  <c r="DC20" i="1" s="1"/>
  <c r="EY8" i="1" a="1"/>
  <c r="EY8" i="1" s="1"/>
  <c r="DB15" i="1" a="1"/>
  <c r="DB15" i="1" s="1"/>
  <c r="DI23" i="1" a="1"/>
  <c r="DI23" i="1" s="1"/>
  <c r="DE23" i="1" a="1"/>
  <c r="DE23" i="1" s="1"/>
  <c r="DC17" i="1" a="1"/>
  <c r="DC17" i="1" s="1"/>
  <c r="DJ17" i="1" a="1"/>
  <c r="DJ17" i="1" s="1"/>
  <c r="DQ23" i="1" a="1"/>
  <c r="DQ23" i="1" s="1"/>
  <c r="DR17" i="1" a="1"/>
  <c r="DR17" i="1" s="1"/>
  <c r="ES23" i="1" a="1"/>
  <c r="ES23" i="1" s="1"/>
  <c r="EQ9" i="1" a="1"/>
  <c r="EQ9" i="1" s="1"/>
  <c r="EP9" i="1" a="1"/>
  <c r="EP9" i="1" s="1"/>
  <c r="EV23" i="1" a="1"/>
  <c r="EV23" i="1" s="1"/>
  <c r="EX21" i="1" a="1"/>
  <c r="EX21" i="1" s="1"/>
  <c r="FD9" i="1" a="1"/>
  <c r="FD9" i="1" s="1"/>
  <c r="DJ15" i="1" a="1"/>
  <c r="DJ15" i="1" s="1"/>
  <c r="DN15" i="1" a="1"/>
  <c r="DN15" i="1" s="1"/>
  <c r="DF23" i="1" a="1"/>
  <c r="DF23" i="1" s="1"/>
  <c r="DG23" i="1" a="1"/>
  <c r="DG23" i="1" s="1"/>
  <c r="DB23" i="1" a="1"/>
  <c r="DB23" i="1" s="1"/>
  <c r="DK17" i="1" a="1"/>
  <c r="DK17" i="1" s="1"/>
  <c r="EK9" i="1" a="1"/>
  <c r="EK9" i="1" s="1"/>
  <c r="DO15" i="1" a="1"/>
  <c r="DO15" i="1" s="1"/>
  <c r="DK15" i="1" a="1"/>
  <c r="DK15" i="1" s="1"/>
  <c r="DD6" i="1" a="1"/>
  <c r="DD6" i="1" s="1"/>
  <c r="DF6" i="1" a="1"/>
  <c r="DF6" i="1" s="1"/>
  <c r="DJ6" i="1" a="1"/>
  <c r="DJ6" i="1" s="1"/>
  <c r="DB8" i="1" a="1"/>
  <c r="DB8" i="1" s="1"/>
  <c r="DO6" i="1" a="1"/>
  <c r="DO6" i="1" s="1"/>
  <c r="DU7" i="1" a="1"/>
  <c r="DU7" i="1" s="1"/>
  <c r="EV15" i="1" a="1"/>
  <c r="EV15" i="1" s="1"/>
  <c r="DD7" i="1" a="1"/>
  <c r="DD7" i="1" s="1"/>
  <c r="DT6" i="1" a="1"/>
  <c r="DT6" i="1" s="1"/>
  <c r="EY17" i="1" a="1"/>
  <c r="EY17" i="1" s="1"/>
  <c r="DG6" i="1" a="1"/>
  <c r="DG6" i="1" s="1"/>
  <c r="FD6" i="1" a="1"/>
  <c r="FD6" i="1" s="1"/>
  <c r="DK6" i="1" a="1"/>
  <c r="DK6" i="1" s="1"/>
  <c r="DG8" i="1" a="1"/>
  <c r="DG8" i="1" s="1"/>
  <c r="DM6" i="1" a="1"/>
  <c r="DM6" i="1" s="1"/>
  <c r="EK15" i="1" a="1"/>
  <c r="EK15" i="1" s="1"/>
  <c r="DD8" i="1" a="1"/>
  <c r="DD8" i="1" s="1"/>
  <c r="DQ6" i="1" a="1"/>
  <c r="DQ6" i="1" s="1"/>
  <c r="DH15" i="1" a="1"/>
  <c r="DH15" i="1" s="1"/>
  <c r="DP6" i="1" a="1"/>
  <c r="DP6" i="1" s="1"/>
  <c r="DH6" i="1" a="1"/>
  <c r="DH6" i="1" s="1"/>
  <c r="DH8" i="1" a="1"/>
  <c r="DH8" i="1" s="1"/>
  <c r="DR6" i="1" a="1"/>
  <c r="DR6" i="1" s="1"/>
  <c r="DN6" i="1" a="1"/>
  <c r="DN6" i="1" s="1"/>
  <c r="DI15" i="1" a="1"/>
  <c r="DI15" i="1" s="1"/>
  <c r="DJ20" i="1" a="1"/>
  <c r="DJ20" i="1" s="1"/>
  <c r="DB6" i="1" a="1"/>
  <c r="DB6" i="1" s="1"/>
  <c r="DE6" i="1" a="1"/>
  <c r="DE6" i="1" s="1"/>
  <c r="DI6" i="1" a="1"/>
  <c r="DI6" i="1" s="1"/>
  <c r="DL6" i="1" a="1"/>
  <c r="DL6" i="1" s="1"/>
  <c r="DM15" i="1" a="1"/>
  <c r="DM15" i="1" s="1"/>
  <c r="DL15" i="1" a="1"/>
  <c r="DL15" i="1" s="1"/>
  <c r="DB7" i="1" a="1"/>
  <c r="DB7" i="1" s="1"/>
  <c r="DR7" i="1" a="1"/>
  <c r="DR7" i="1" s="1"/>
  <c r="DI7" i="1" a="1"/>
  <c r="DI7" i="1" s="1"/>
  <c r="DM7" i="1" a="1"/>
  <c r="DM7" i="1" s="1"/>
  <c r="DL7" i="1" a="1"/>
  <c r="DL7" i="1" s="1"/>
  <c r="EK8" i="1" a="1"/>
  <c r="EK8" i="1" s="1"/>
  <c r="EQ15" i="1" a="1"/>
  <c r="EQ15" i="1" s="1"/>
  <c r="EP15" i="1" a="1"/>
  <c r="EP15" i="1" s="1"/>
  <c r="EX17" i="1" a="1"/>
  <c r="EX17" i="1" s="1"/>
  <c r="EU15" i="1" a="1"/>
  <c r="EU15" i="1" s="1"/>
  <c r="FC15" i="1" a="1"/>
  <c r="FC15" i="1" s="1"/>
  <c r="FB8" i="1" a="1"/>
  <c r="FB8" i="1" s="1"/>
  <c r="EV8" i="1" a="1"/>
  <c r="EV8" i="1" s="1"/>
  <c r="ES15" i="1" a="1"/>
  <c r="ES15" i="1" s="1"/>
  <c r="DJ7" i="1" a="1"/>
  <c r="DJ7" i="1" s="1"/>
  <c r="DE7" i="1" a="1"/>
  <c r="DE7" i="1" s="1"/>
  <c r="DQ7" i="1" a="1"/>
  <c r="DQ7" i="1" s="1"/>
  <c r="EO6" i="1" a="1"/>
  <c r="EO6" i="1" s="1"/>
  <c r="EO8" i="1" a="1"/>
  <c r="EO8" i="1" s="1"/>
  <c r="ET8" i="1" a="1"/>
  <c r="ET8" i="1" s="1"/>
  <c r="EL15" i="1" a="1"/>
  <c r="EL15" i="1" s="1"/>
  <c r="EY15" i="1" a="1"/>
  <c r="EY15" i="1" s="1"/>
  <c r="FA8" i="1" a="1"/>
  <c r="FA8" i="1" s="1"/>
  <c r="DG7" i="1" a="1"/>
  <c r="DG7" i="1" s="1"/>
  <c r="DO7" i="1" a="1"/>
  <c r="DO7" i="1" s="1"/>
  <c r="ET6" i="1" a="1"/>
  <c r="ET6" i="1" s="1"/>
  <c r="EP8" i="1" a="1"/>
  <c r="EP8" i="1" s="1"/>
  <c r="EL17" i="1" a="1"/>
  <c r="EL17" i="1" s="1"/>
  <c r="ET15" i="1" a="1"/>
  <c r="ET15" i="1" s="1"/>
  <c r="EZ15" i="1" a="1"/>
  <c r="EZ15" i="1" s="1"/>
  <c r="EW8" i="1" a="1"/>
  <c r="EW8" i="1" s="1"/>
  <c r="EU17" i="1" a="1"/>
  <c r="EU17" i="1" s="1"/>
  <c r="DP8" i="1" a="1"/>
  <c r="DP8" i="1" s="1"/>
  <c r="EM6" i="1" a="1"/>
  <c r="EM6" i="1" s="1"/>
  <c r="DC7" i="1" a="1"/>
  <c r="DC7" i="1" s="1"/>
  <c r="DN7" i="1" a="1"/>
  <c r="DN7" i="1" s="1"/>
  <c r="EQ8" i="1" a="1"/>
  <c r="EQ8" i="1" s="1"/>
  <c r="EM15" i="1" a="1"/>
  <c r="EM15" i="1" s="1"/>
  <c r="EX6" i="1" a="1"/>
  <c r="EX6" i="1" s="1"/>
  <c r="FA15" i="1" a="1"/>
  <c r="FA15" i="1" s="1"/>
  <c r="EU8" i="1" a="1"/>
  <c r="EU8" i="1" s="1"/>
  <c r="DF7" i="1" a="1"/>
  <c r="DF7" i="1" s="1"/>
  <c r="FD15" i="1" a="1"/>
  <c r="FD15" i="1" s="1"/>
  <c r="DK7" i="1" a="1"/>
  <c r="DK7" i="1" s="1"/>
  <c r="DS7" i="1" a="1"/>
  <c r="DS7" i="1" s="1"/>
  <c r="EN8" i="1" a="1"/>
  <c r="EN8" i="1" s="1"/>
  <c r="EN15" i="1" a="1"/>
  <c r="EN15" i="1" s="1"/>
  <c r="EW15" i="1" a="1"/>
  <c r="EW15" i="1" s="1"/>
  <c r="EZ8" i="1" a="1"/>
  <c r="EZ8" i="1" s="1"/>
  <c r="DH7" i="1" a="1"/>
  <c r="DH7" i="1" s="1"/>
  <c r="ER8" i="1" a="1"/>
  <c r="ER8" i="1" s="1"/>
  <c r="ER15" i="1" a="1"/>
  <c r="ER15" i="1" s="1"/>
  <c r="EO15" i="1" a="1"/>
  <c r="EO15" i="1" s="1"/>
  <c r="ES17" i="1" a="1"/>
  <c r="ES17" i="1" s="1"/>
  <c r="FA17" i="1" a="1"/>
  <c r="FA17" i="1" s="1"/>
  <c r="DK8" i="1" a="1"/>
  <c r="DK8" i="1" s="1"/>
  <c r="ET17" i="1" a="1"/>
  <c r="ET17" i="1" s="1"/>
  <c r="EV17" i="1" a="1"/>
  <c r="EV17" i="1" s="1"/>
  <c r="FB17" i="1" a="1"/>
  <c r="FB17" i="1" s="1"/>
  <c r="EM17" i="1" a="1"/>
  <c r="EM17" i="1" s="1"/>
  <c r="FD17" i="1" a="1"/>
  <c r="FD17" i="1" s="1"/>
  <c r="DD20" i="1" a="1"/>
  <c r="DD20" i="1" s="1"/>
  <c r="FP17" i="1"/>
  <c r="EN17" i="1" a="1"/>
  <c r="EN17" i="1" s="1"/>
  <c r="FC17" i="1" a="1"/>
  <c r="FC17" i="1" s="1"/>
  <c r="EQ17" i="1" a="1"/>
  <c r="EQ17" i="1" s="1"/>
  <c r="EO17" i="1" a="1"/>
  <c r="EO17" i="1" s="1"/>
  <c r="EZ17" i="1" a="1"/>
  <c r="EZ17" i="1" s="1"/>
  <c r="EY6" i="1" a="1"/>
  <c r="EY6" i="1" s="1"/>
  <c r="DO8" i="1" a="1"/>
  <c r="DO8" i="1" s="1"/>
  <c r="DN8" i="1" a="1"/>
  <c r="DN8" i="1" s="1"/>
  <c r="ER17" i="1" a="1"/>
  <c r="ER17" i="1" s="1"/>
  <c r="EP17" i="1" a="1"/>
  <c r="EP17" i="1" s="1"/>
  <c r="EW17" i="1" a="1"/>
  <c r="EW17" i="1" s="1"/>
  <c r="EK17" i="1" a="1"/>
  <c r="EK17" i="1" s="1"/>
  <c r="DC8" i="1" a="1"/>
  <c r="DC8" i="1" s="1"/>
  <c r="DJ8" i="1" a="1"/>
  <c r="DJ8" i="1" s="1"/>
  <c r="DL8" i="1" a="1"/>
  <c r="DL8" i="1" s="1"/>
  <c r="EQ6" i="1" a="1"/>
  <c r="EQ6" i="1" s="1"/>
  <c r="EV6" i="1" a="1"/>
  <c r="EV6" i="1" s="1"/>
  <c r="DU8" i="1" a="1"/>
  <c r="DU8" i="1" s="1"/>
  <c r="DM8" i="1" a="1"/>
  <c r="DM8" i="1" s="1"/>
  <c r="EN6" i="1" a="1"/>
  <c r="EN6" i="1" s="1"/>
  <c r="EW6" i="1" a="1"/>
  <c r="EW6" i="1" s="1"/>
  <c r="EZ6" i="1" a="1"/>
  <c r="EZ6" i="1" s="1"/>
  <c r="CM17" i="1" a="1"/>
  <c r="CM17" i="1" s="1"/>
  <c r="CP17" i="1" s="1"/>
  <c r="CQ17" i="1" s="1"/>
  <c r="DQ8" i="1" a="1"/>
  <c r="DQ8" i="1" s="1"/>
  <c r="DT8" i="1" a="1"/>
  <c r="DT8" i="1" s="1"/>
  <c r="ER6" i="1" a="1"/>
  <c r="ER6" i="1" s="1"/>
  <c r="FB6" i="1" a="1"/>
  <c r="FB6" i="1" s="1"/>
  <c r="EU6" i="1" a="1"/>
  <c r="EU6" i="1" s="1"/>
  <c r="DE8" i="1" a="1"/>
  <c r="DE8" i="1" s="1"/>
  <c r="DR8" i="1" a="1"/>
  <c r="DR8" i="1" s="1"/>
  <c r="ES6" i="1" a="1"/>
  <c r="ES6" i="1" s="1"/>
  <c r="FC6" i="1" a="1"/>
  <c r="FC6" i="1" s="1"/>
  <c r="DS8" i="1" a="1"/>
  <c r="DS8" i="1" s="1"/>
  <c r="EL6" i="1" a="1"/>
  <c r="EL6" i="1" s="1"/>
  <c r="FA6" i="1" a="1"/>
  <c r="FA6" i="1" s="1"/>
  <c r="DF8" i="1" a="1"/>
  <c r="DF8" i="1" s="1"/>
  <c r="EK6" i="1" a="1"/>
  <c r="EK6" i="1" s="1"/>
  <c r="EP6" i="1" a="1"/>
  <c r="EP6" i="1" s="1"/>
  <c r="CM8" i="1" a="1"/>
  <c r="CM8" i="1" s="1"/>
  <c r="CP8" i="1" s="1"/>
  <c r="CQ8" i="1" s="1"/>
  <c r="EV22" i="1" a="1"/>
  <c r="EV22" i="1" s="1"/>
  <c r="EY22" i="1" a="1"/>
  <c r="EY22" i="1" s="1"/>
  <c r="FA22" i="1" a="1"/>
  <c r="FA22" i="1" s="1"/>
  <c r="EU22" i="1" a="1"/>
  <c r="EU22" i="1" s="1"/>
  <c r="EX22" i="1" a="1"/>
  <c r="EX22" i="1" s="1"/>
  <c r="EZ22" i="1" a="1"/>
  <c r="EZ22" i="1" s="1"/>
  <c r="FB22" i="1" a="1"/>
  <c r="FB22" i="1" s="1"/>
  <c r="FD22" i="1" a="1"/>
  <c r="FD22" i="1" s="1"/>
  <c r="EW22" i="1" a="1"/>
  <c r="EW22" i="1" s="1"/>
  <c r="FC22" i="1" a="1"/>
  <c r="FC22" i="1" s="1"/>
  <c r="ET22" i="1" a="1"/>
  <c r="ET22" i="1" s="1"/>
  <c r="EO22" i="1" a="1"/>
  <c r="EO22" i="1" s="1"/>
  <c r="EL22" i="1" a="1"/>
  <c r="EL22" i="1" s="1"/>
  <c r="EM22" i="1" a="1"/>
  <c r="EM22" i="1" s="1"/>
  <c r="ES22" i="1" a="1"/>
  <c r="ES22" i="1" s="1"/>
  <c r="EK22" i="1" a="1"/>
  <c r="EK22" i="1" s="1"/>
  <c r="FN22" i="1"/>
  <c r="ER22" i="1" a="1"/>
  <c r="ER22" i="1" s="1"/>
  <c r="EN22" i="1" a="1"/>
  <c r="EN22" i="1" s="1"/>
  <c r="EQ22" i="1" a="1"/>
  <c r="EQ22" i="1" s="1"/>
  <c r="EP22" i="1" a="1"/>
  <c r="EP22" i="1" s="1"/>
  <c r="DQ22" i="1" a="1"/>
  <c r="DQ22" i="1" s="1"/>
  <c r="DO22" i="1" a="1"/>
  <c r="DO22" i="1" s="1"/>
  <c r="DP22" i="1" a="1"/>
  <c r="DP22" i="1" s="1"/>
  <c r="DL22" i="1" a="1"/>
  <c r="DL22" i="1" s="1"/>
  <c r="DT22" i="1" a="1"/>
  <c r="DT22" i="1" s="1"/>
  <c r="DS22" i="1" a="1"/>
  <c r="DS22" i="1" s="1"/>
  <c r="DR22" i="1" a="1"/>
  <c r="DR22" i="1" s="1"/>
  <c r="DN22" i="1" a="1"/>
  <c r="DN22" i="1" s="1"/>
  <c r="DM22" i="1" a="1"/>
  <c r="DM22" i="1" s="1"/>
  <c r="DD22" i="1" a="1"/>
  <c r="DD22" i="1" s="1"/>
  <c r="DU22" i="1" a="1"/>
  <c r="DU22" i="1" s="1"/>
  <c r="DH22" i="1" a="1"/>
  <c r="DH22" i="1" s="1"/>
  <c r="DF22" i="1" a="1"/>
  <c r="DF22" i="1" s="1"/>
  <c r="DG22" i="1" a="1"/>
  <c r="DG22" i="1" s="1"/>
  <c r="DC22" i="1" a="1"/>
  <c r="DC22" i="1" s="1"/>
  <c r="DK22" i="1" a="1"/>
  <c r="DK22" i="1" s="1"/>
  <c r="DJ22" i="1" a="1"/>
  <c r="DJ22" i="1" s="1"/>
  <c r="DB22" i="1" a="1"/>
  <c r="DB22" i="1" s="1"/>
  <c r="DE22" i="1" a="1"/>
  <c r="DE22" i="1" s="1"/>
  <c r="DI22" i="1" a="1"/>
  <c r="DI22" i="1" s="1"/>
  <c r="CM22" i="1" a="1"/>
  <c r="CM22" i="1" s="1"/>
  <c r="CP22" i="1" s="1"/>
  <c r="CQ22" i="1" s="1"/>
  <c r="CP14" i="1"/>
  <c r="CQ14" i="1" s="1"/>
  <c r="CP21" i="1"/>
  <c r="CQ21" i="1" s="1"/>
  <c r="CP19" i="1"/>
  <c r="CQ19" i="1" s="1"/>
  <c r="CP11" i="1"/>
  <c r="CQ11" i="1" s="1"/>
  <c r="CP13" i="1"/>
  <c r="CQ13" i="1" s="1"/>
  <c r="CP12" i="1"/>
  <c r="CQ12" i="1" s="1"/>
  <c r="CP24" i="1"/>
  <c r="CQ24" i="1" s="1"/>
  <c r="CP9" i="1"/>
  <c r="CQ9" i="1" s="1"/>
  <c r="CP7" i="1"/>
  <c r="CQ7" i="1" s="1"/>
  <c r="CP10" i="1"/>
  <c r="CQ10" i="1" s="1"/>
  <c r="FF13" i="1" a="1"/>
  <c r="FF13" i="1" s="1"/>
  <c r="FF12" i="1" a="1"/>
  <c r="FF12" i="1" s="1"/>
  <c r="FF11" i="1" a="1"/>
  <c r="FF11" i="1" s="1"/>
  <c r="DW19" i="1" a="1"/>
  <c r="DW19" i="1" s="1"/>
  <c r="DW11" i="1" a="1"/>
  <c r="DW11" i="1" s="1"/>
  <c r="DW24" i="1" a="1"/>
  <c r="DW24" i="1" s="1"/>
  <c r="DW12" i="1" a="1"/>
  <c r="DW12" i="1" s="1"/>
  <c r="DW16" i="1" l="1" a="1"/>
  <c r="DW16" i="1" s="1"/>
  <c r="DW14" i="1" a="1"/>
  <c r="DW14" i="1" s="1"/>
  <c r="FF7" i="1" a="1"/>
  <c r="FF7" i="1" s="1"/>
  <c r="FF14" i="1" a="1"/>
  <c r="FF14" i="1" s="1"/>
  <c r="FK14" i="1" s="1"/>
  <c r="DW18" i="1" a="1"/>
  <c r="DW18" i="1" s="1"/>
  <c r="FF10" i="1" a="1"/>
  <c r="FF10" i="1" s="1"/>
  <c r="FM10" i="1" s="1"/>
  <c r="FF16" i="1" a="1"/>
  <c r="FF16" i="1" s="1"/>
  <c r="DW21" i="1" a="1"/>
  <c r="DW21" i="1" s="1"/>
  <c r="DY21" i="1" s="1"/>
  <c r="FF18" i="1" a="1"/>
  <c r="FF18" i="1" s="1"/>
  <c r="FM18" i="1" s="1"/>
  <c r="FF20" i="1" a="1"/>
  <c r="FF20" i="1" s="1"/>
  <c r="FJ20" i="1" s="1"/>
  <c r="DW9" i="1" a="1"/>
  <c r="DW9" i="1" s="1"/>
  <c r="DY9" i="1" s="1"/>
  <c r="DW10" i="1" a="1"/>
  <c r="DW10" i="1" s="1"/>
  <c r="DY10" i="1" s="1"/>
  <c r="FF21" i="1" a="1"/>
  <c r="FF21" i="1" s="1"/>
  <c r="FM21" i="1" s="1"/>
  <c r="DW20" i="1" a="1"/>
  <c r="DW20" i="1" s="1"/>
  <c r="DY20" i="1" s="1"/>
  <c r="FF23" i="1" a="1"/>
  <c r="FF23" i="1" s="1"/>
  <c r="FH23" i="1" s="1"/>
  <c r="GJ23" i="1" s="1"/>
  <c r="FF9" i="1" a="1"/>
  <c r="FF9" i="1" s="1"/>
  <c r="FH9" i="1" s="1"/>
  <c r="GJ9" i="1" s="1"/>
  <c r="DW23" i="1" a="1"/>
  <c r="DW23" i="1" s="1"/>
  <c r="DY23" i="1" s="1"/>
  <c r="DW17" i="1" a="1"/>
  <c r="DW17" i="1" s="1"/>
  <c r="DY17" i="1" s="1"/>
  <c r="FF15" i="1" a="1"/>
  <c r="FF15" i="1" s="1"/>
  <c r="FK15" i="1" s="1"/>
  <c r="FF8" i="1" a="1"/>
  <c r="FF8" i="1" s="1"/>
  <c r="FL8" i="1" s="1"/>
  <c r="DW15" i="1" a="1"/>
  <c r="DW15" i="1" s="1"/>
  <c r="DY15" i="1" s="1"/>
  <c r="DW6" i="1" a="1"/>
  <c r="DW6" i="1" s="1"/>
  <c r="DY6" i="1" s="1"/>
  <c r="FH14" i="1"/>
  <c r="GJ14" i="1" s="1"/>
  <c r="DW7" i="1" a="1"/>
  <c r="DW7" i="1" s="1"/>
  <c r="DY7" i="1" s="1"/>
  <c r="DY16" i="1"/>
  <c r="FF17" i="1" a="1"/>
  <c r="FF17" i="1" s="1"/>
  <c r="FM17" i="1" s="1"/>
  <c r="DW8" i="1" a="1"/>
  <c r="DW8" i="1" s="1"/>
  <c r="DY8" i="1" s="1"/>
  <c r="FF6" i="1" a="1"/>
  <c r="FF6" i="1" s="1"/>
  <c r="FH6" i="1" s="1"/>
  <c r="GJ6" i="1" s="1"/>
  <c r="DY12" i="1"/>
  <c r="FJ14" i="1"/>
  <c r="FM14" i="1"/>
  <c r="DY24" i="1"/>
  <c r="DY13" i="1"/>
  <c r="DY14" i="1"/>
  <c r="DY11" i="1"/>
  <c r="DY19" i="1"/>
  <c r="FF22" i="1" a="1"/>
  <c r="FF22" i="1" s="1"/>
  <c r="DW22" i="1" a="1"/>
  <c r="DW22" i="1" s="1"/>
  <c r="DY22" i="1" s="1"/>
  <c r="DY18" i="1"/>
  <c r="FH24" i="1"/>
  <c r="GJ24" i="1" s="1"/>
  <c r="FJ24" i="1"/>
  <c r="FM24" i="1"/>
  <c r="FK24" i="1"/>
  <c r="FL24" i="1"/>
  <c r="FH13" i="1"/>
  <c r="GJ13" i="1" s="1"/>
  <c r="FL13" i="1"/>
  <c r="FM13" i="1"/>
  <c r="FJ13" i="1"/>
  <c r="FK13" i="1"/>
  <c r="FH19" i="1"/>
  <c r="GJ19" i="1" s="1"/>
  <c r="FL19" i="1"/>
  <c r="FJ19" i="1"/>
  <c r="FK19" i="1"/>
  <c r="FM19" i="1"/>
  <c r="FH16" i="1"/>
  <c r="GJ16" i="1" s="1"/>
  <c r="FK16" i="1"/>
  <c r="FM16" i="1"/>
  <c r="FL16" i="1"/>
  <c r="FJ16" i="1"/>
  <c r="FH12" i="1"/>
  <c r="GJ12" i="1" s="1"/>
  <c r="FL12" i="1"/>
  <c r="FM12" i="1"/>
  <c r="FK12" i="1"/>
  <c r="FJ12" i="1"/>
  <c r="FH11" i="1"/>
  <c r="GJ11" i="1" s="1"/>
  <c r="FK11" i="1"/>
  <c r="FJ11" i="1"/>
  <c r="FM11" i="1"/>
  <c r="FL11" i="1"/>
  <c r="FH10" i="1"/>
  <c r="GJ10" i="1" s="1"/>
  <c r="FK10" i="1"/>
  <c r="FL10" i="1"/>
  <c r="FJ10" i="1"/>
  <c r="FH7" i="1"/>
  <c r="GJ7" i="1" s="1"/>
  <c r="FM7" i="1"/>
  <c r="FK7" i="1"/>
  <c r="FJ7" i="1"/>
  <c r="FL7" i="1"/>
  <c r="FJ23" i="1" l="1"/>
  <c r="FK23" i="1"/>
  <c r="FJ9" i="1"/>
  <c r="FL9" i="1"/>
  <c r="FL18" i="1"/>
  <c r="FK18" i="1"/>
  <c r="FJ18" i="1"/>
  <c r="FM9" i="1"/>
  <c r="FM20" i="1"/>
  <c r="FU20" i="1" s="1" a="1"/>
  <c r="FU20" i="1" s="1"/>
  <c r="FM23" i="1"/>
  <c r="FU23" i="1" s="1" a="1"/>
  <c r="FU23" i="1" s="1"/>
  <c r="FK9" i="1"/>
  <c r="FX9" i="1" s="1" a="1"/>
  <c r="FX9" i="1" s="1"/>
  <c r="GU9" i="1" s="1"/>
  <c r="FL15" i="1"/>
  <c r="FJ15" i="1"/>
  <c r="FL14" i="1"/>
  <c r="FV14" i="1" s="1" a="1"/>
  <c r="FV14" i="1" s="1"/>
  <c r="GS14" i="1" s="1"/>
  <c r="FH15" i="1"/>
  <c r="GJ15" i="1" s="1"/>
  <c r="FH18" i="1"/>
  <c r="GJ18" i="1" s="1"/>
  <c r="FK20" i="1"/>
  <c r="FH20" i="1"/>
  <c r="FL20" i="1"/>
  <c r="FK21" i="1"/>
  <c r="FM15" i="1"/>
  <c r="FK8" i="1"/>
  <c r="FJ21" i="1"/>
  <c r="FM8" i="1"/>
  <c r="FL21" i="1"/>
  <c r="FJ8" i="1"/>
  <c r="FH8" i="1"/>
  <c r="GJ8" i="1" s="1"/>
  <c r="FH21" i="1"/>
  <c r="GJ21" i="1" s="1"/>
  <c r="FL23" i="1"/>
  <c r="FV23" i="1" s="1" a="1"/>
  <c r="FV23" i="1" s="1"/>
  <c r="FL17" i="1"/>
  <c r="FK17" i="1"/>
  <c r="FS17" i="1" s="1" a="1"/>
  <c r="FS17" i="1" s="1"/>
  <c r="FJ17" i="1"/>
  <c r="FL6" i="1"/>
  <c r="FK6" i="1"/>
  <c r="FM6" i="1"/>
  <c r="FH17" i="1"/>
  <c r="GJ17" i="1" s="1"/>
  <c r="FJ6" i="1"/>
  <c r="FR14" i="1" a="1"/>
  <c r="FR14" i="1" s="1"/>
  <c r="FS14" i="1" a="1"/>
  <c r="FS14" i="1" s="1"/>
  <c r="FU14" i="1" a="1"/>
  <c r="FU14" i="1" s="1"/>
  <c r="FH22" i="1"/>
  <c r="GJ22" i="1" s="1"/>
  <c r="FM22" i="1"/>
  <c r="FK22" i="1"/>
  <c r="FJ22" i="1"/>
  <c r="FL22" i="1"/>
  <c r="FW7" i="1" a="1"/>
  <c r="FW7" i="1" s="1"/>
  <c r="GT7" i="1" s="1"/>
  <c r="FX10" i="1" a="1"/>
  <c r="FX10" i="1" s="1"/>
  <c r="GU10" i="1" s="1"/>
  <c r="FW11" i="1" a="1"/>
  <c r="FW11" i="1" s="1"/>
  <c r="GT11" i="1" s="1"/>
  <c r="FX12" i="1" a="1"/>
  <c r="FX12" i="1" s="1"/>
  <c r="GU12" i="1" s="1"/>
  <c r="FV16" i="1" a="1"/>
  <c r="FV16" i="1" s="1"/>
  <c r="FY19" i="1" a="1"/>
  <c r="FY19" i="1" s="1"/>
  <c r="FW24" i="1" a="1"/>
  <c r="FW24" i="1" s="1"/>
  <c r="GT24" i="1" s="1"/>
  <c r="FX7" i="1" a="1"/>
  <c r="FX7" i="1" s="1"/>
  <c r="GU7" i="1" s="1"/>
  <c r="FY11" i="1" a="1"/>
  <c r="FY11" i="1" s="1"/>
  <c r="GV11" i="1" s="1"/>
  <c r="FV7" i="1" a="1"/>
  <c r="FV7" i="1" s="1"/>
  <c r="FR10" i="1" a="1"/>
  <c r="FR10" i="1" s="1"/>
  <c r="FV10" i="1" a="1"/>
  <c r="FV10" i="1" s="1"/>
  <c r="FY7" i="1" a="1"/>
  <c r="FY7" i="1" s="1"/>
  <c r="GV7" i="1" s="1"/>
  <c r="FW10" i="1" a="1"/>
  <c r="FW10" i="1" s="1"/>
  <c r="GT10" i="1" s="1"/>
  <c r="FW18" i="1" a="1"/>
  <c r="FW18" i="1" s="1"/>
  <c r="GT18" i="1" s="1"/>
  <c r="FW16" i="1" a="1"/>
  <c r="FW16" i="1" s="1"/>
  <c r="GT16" i="1" s="1"/>
  <c r="FX19" i="1" a="1"/>
  <c r="FX19" i="1" s="1"/>
  <c r="GU19" i="1" s="1"/>
  <c r="FR13" i="1" a="1"/>
  <c r="FR13" i="1" s="1"/>
  <c r="FV13" i="1" a="1"/>
  <c r="FV13" i="1" s="1"/>
  <c r="FY24" i="1" a="1"/>
  <c r="FY24" i="1" s="1"/>
  <c r="GV24" i="1" s="1"/>
  <c r="FU13" i="1" a="1"/>
  <c r="FU13" i="1" s="1"/>
  <c r="FY13" i="1" a="1"/>
  <c r="FY13" i="1" s="1"/>
  <c r="GV13" i="1" s="1"/>
  <c r="FR24" i="1" a="1"/>
  <c r="FR24" i="1" s="1"/>
  <c r="FV24" i="1" a="1"/>
  <c r="FV24" i="1" s="1"/>
  <c r="FT11" i="1" a="1"/>
  <c r="FT11" i="1" s="1"/>
  <c r="FX11" i="1" a="1"/>
  <c r="FX11" i="1" s="1"/>
  <c r="GU11" i="1" s="1"/>
  <c r="FR12" i="1" a="1"/>
  <c r="FR12" i="1" s="1"/>
  <c r="FV12" i="1" a="1"/>
  <c r="FV12" i="1" s="1"/>
  <c r="FT13" i="1" a="1"/>
  <c r="FT13" i="1" s="1"/>
  <c r="FX13" i="1" a="1"/>
  <c r="FX13" i="1" s="1"/>
  <c r="GU13" i="1" s="1"/>
  <c r="FW12" i="1" a="1"/>
  <c r="FW12" i="1" s="1"/>
  <c r="GT12" i="1" s="1"/>
  <c r="FR11" i="1" a="1"/>
  <c r="FR11" i="1" s="1"/>
  <c r="FV11" i="1" a="1"/>
  <c r="FV11" i="1" s="1"/>
  <c r="FY12" i="1" a="1"/>
  <c r="FY12" i="1" s="1"/>
  <c r="GV12" i="1" s="1"/>
  <c r="FU17" i="1" a="1"/>
  <c r="FU17" i="1" s="1"/>
  <c r="FX16" i="1" a="1"/>
  <c r="FX16" i="1" s="1"/>
  <c r="GU16" i="1" s="1"/>
  <c r="FW19" i="1" a="1"/>
  <c r="FW19" i="1" s="1"/>
  <c r="GT19" i="1" s="1"/>
  <c r="FX24" i="1" a="1"/>
  <c r="FX24" i="1" s="1"/>
  <c r="GU24" i="1" s="1"/>
  <c r="FU10" i="1" a="1"/>
  <c r="FU10" i="1" s="1"/>
  <c r="FY10" i="1" a="1"/>
  <c r="FY10" i="1" s="1"/>
  <c r="GV10" i="1" s="1"/>
  <c r="FY9" i="1" a="1"/>
  <c r="FY9" i="1" s="1"/>
  <c r="GV9" i="1" s="1"/>
  <c r="FU16" i="1" a="1"/>
  <c r="FU16" i="1" s="1"/>
  <c r="FY16" i="1" a="1"/>
  <c r="FY16" i="1" s="1"/>
  <c r="GV16" i="1" s="1"/>
  <c r="FR19" i="1" a="1"/>
  <c r="FR19" i="1" s="1"/>
  <c r="FV19" i="1" a="1"/>
  <c r="FV19" i="1" s="1"/>
  <c r="FS13" i="1" a="1"/>
  <c r="FS13" i="1" s="1"/>
  <c r="FW13" i="1" a="1"/>
  <c r="FW13" i="1" s="1"/>
  <c r="GT13" i="1" s="1"/>
  <c r="FU9" i="1" a="1"/>
  <c r="FU9" i="1" s="1"/>
  <c r="FS24" i="1" a="1"/>
  <c r="FS24" i="1" s="1"/>
  <c r="FR23" i="1" a="1"/>
  <c r="FR23" i="1" s="1"/>
  <c r="FS7" i="1" a="1"/>
  <c r="FS7" i="1" s="1"/>
  <c r="FS23" i="1" a="1"/>
  <c r="FS23" i="1" s="1"/>
  <c r="FU7" i="1" a="1"/>
  <c r="FU7" i="1" s="1"/>
  <c r="FS10" i="1" a="1"/>
  <c r="FS10" i="1" s="1"/>
  <c r="FR9" i="1" a="1"/>
  <c r="FR9" i="1" s="1"/>
  <c r="FT9" i="1" a="1"/>
  <c r="FT9" i="1" s="1"/>
  <c r="FS9" i="1" a="1"/>
  <c r="FS9" i="1" s="1"/>
  <c r="FT7" i="1" a="1"/>
  <c r="FT7" i="1" s="1"/>
  <c r="FR7" i="1" a="1"/>
  <c r="FR7" i="1" s="1"/>
  <c r="FU12" i="1" a="1"/>
  <c r="FU12" i="1" s="1"/>
  <c r="FT10" i="1" a="1"/>
  <c r="FT10" i="1" s="1"/>
  <c r="FS11" i="1" a="1"/>
  <c r="FS11" i="1" s="1"/>
  <c r="FT12" i="1" a="1"/>
  <c r="FT12" i="1" s="1"/>
  <c r="FT16" i="1" a="1"/>
  <c r="FT16" i="1" s="1"/>
  <c r="FS19" i="1" a="1"/>
  <c r="FS19" i="1" s="1"/>
  <c r="FS16" i="1" a="1"/>
  <c r="FS16" i="1" s="1"/>
  <c r="FT19" i="1" a="1"/>
  <c r="FT19" i="1" s="1"/>
  <c r="FU11" i="1" a="1"/>
  <c r="FU11" i="1" s="1"/>
  <c r="FS12" i="1" a="1"/>
  <c r="FS12" i="1" s="1"/>
  <c r="FR16" i="1" a="1"/>
  <c r="FR16" i="1" s="1"/>
  <c r="FU19" i="1" a="1"/>
  <c r="FU19" i="1" s="1"/>
  <c r="FT24" i="1" a="1"/>
  <c r="FT24" i="1" s="1"/>
  <c r="FU24" i="1" a="1"/>
  <c r="FU24" i="1" s="1"/>
  <c r="FR6" i="1" a="1"/>
  <c r="FR6" i="1" s="1"/>
  <c r="GV19" i="1"/>
  <c r="FX14" i="1" l="1" a="1"/>
  <c r="FX14" i="1" s="1"/>
  <c r="GU14" i="1" s="1"/>
  <c r="FY14" i="1" a="1"/>
  <c r="FY14" i="1" s="1"/>
  <c r="GV14" i="1" s="1"/>
  <c r="FS18" i="1" a="1"/>
  <c r="FS18" i="1" s="1"/>
  <c r="FW14" i="1" a="1"/>
  <c r="FW14" i="1" s="1"/>
  <c r="GT14" i="1" s="1"/>
  <c r="FX23" i="1" a="1"/>
  <c r="FX23" i="1" s="1"/>
  <c r="GU23" i="1" s="1"/>
  <c r="FR18" i="1" a="1"/>
  <c r="FR18" i="1" s="1"/>
  <c r="FT18" i="1" a="1"/>
  <c r="FT18" i="1" s="1"/>
  <c r="FW9" i="1" a="1"/>
  <c r="FW9" i="1" s="1"/>
  <c r="GT9" i="1" s="1"/>
  <c r="FY23" i="1" a="1"/>
  <c r="FY23" i="1" s="1"/>
  <c r="GV23" i="1" s="1"/>
  <c r="FT23" i="1" a="1"/>
  <c r="FT23" i="1" s="1"/>
  <c r="GD23" i="1" s="1" a="1"/>
  <c r="FV9" i="1" a="1"/>
  <c r="FV9" i="1" s="1"/>
  <c r="FY15" i="1" a="1"/>
  <c r="FY15" i="1" s="1"/>
  <c r="GV15" i="1" s="1"/>
  <c r="FT14" i="1" a="1"/>
  <c r="FT14" i="1" s="1"/>
  <c r="GD14" i="1" s="1" a="1"/>
  <c r="GD14" i="1" s="1"/>
  <c r="GI14" i="1" s="1" a="1"/>
  <c r="GI14" i="1" s="1"/>
  <c r="FU18" i="1" a="1"/>
  <c r="FU18" i="1" s="1"/>
  <c r="FZ18" i="1" s="1" a="1"/>
  <c r="FX18" i="1" a="1"/>
  <c r="FX18" i="1" s="1"/>
  <c r="GU18" i="1" s="1"/>
  <c r="FY18" i="1" a="1"/>
  <c r="FY18" i="1" s="1"/>
  <c r="GV18" i="1" s="1"/>
  <c r="FV18" i="1" a="1"/>
  <c r="FV18" i="1" s="1"/>
  <c r="FW23" i="1" a="1"/>
  <c r="FW23" i="1" s="1"/>
  <c r="GT23" i="1" s="1"/>
  <c r="FR17" i="1" a="1"/>
  <c r="FR17" i="1" s="1"/>
  <c r="FS20" i="1" a="1"/>
  <c r="FS20" i="1" s="1"/>
  <c r="FW15" i="1" a="1"/>
  <c r="FW15" i="1" s="1"/>
  <c r="GT15" i="1" s="1"/>
  <c r="FV15" i="1" a="1"/>
  <c r="FV15" i="1" s="1"/>
  <c r="FV20" i="1" a="1"/>
  <c r="FV20" i="1" s="1"/>
  <c r="FX15" i="1" a="1"/>
  <c r="FX15" i="1" s="1"/>
  <c r="GU15" i="1" s="1"/>
  <c r="FT15" i="1" a="1"/>
  <c r="FT15" i="1" s="1"/>
  <c r="FS15" i="1" a="1"/>
  <c r="FS15" i="1" s="1"/>
  <c r="FU15" i="1" a="1"/>
  <c r="FU15" i="1" s="1"/>
  <c r="FR15" i="1" a="1"/>
  <c r="FR15" i="1" s="1"/>
  <c r="FX20" i="1" a="1"/>
  <c r="FX20" i="1" s="1"/>
  <c r="GU20" i="1" s="1"/>
  <c r="FY20" i="1" a="1"/>
  <c r="FY20" i="1" s="1"/>
  <c r="GV20" i="1" s="1"/>
  <c r="FT17" i="1" a="1"/>
  <c r="FT17" i="1" s="1"/>
  <c r="GO17" i="1" s="1" a="1"/>
  <c r="FS6" i="1" a="1"/>
  <c r="FS6" i="1" s="1"/>
  <c r="FT6" i="1" a="1"/>
  <c r="FT6" i="1" s="1"/>
  <c r="FY8" i="1" a="1"/>
  <c r="FY8" i="1" s="1"/>
  <c r="GV8" i="1" s="1"/>
  <c r="FT20" i="1" a="1"/>
  <c r="FT20" i="1" s="1"/>
  <c r="FR20" i="1" a="1"/>
  <c r="FR20" i="1" s="1"/>
  <c r="GJ20" i="1"/>
  <c r="FW20" i="1" a="1"/>
  <c r="FW20" i="1" s="1"/>
  <c r="GT20" i="1" s="1"/>
  <c r="FX8" i="1" a="1"/>
  <c r="FX8" i="1" s="1"/>
  <c r="GU8" i="1" s="1"/>
  <c r="FR8" i="1" a="1"/>
  <c r="FR8" i="1" s="1"/>
  <c r="FW8" i="1" a="1"/>
  <c r="FW8" i="1" s="1"/>
  <c r="GT8" i="1" s="1"/>
  <c r="FU8" i="1" a="1"/>
  <c r="FU8" i="1" s="1"/>
  <c r="FS8" i="1" a="1"/>
  <c r="FS8" i="1" s="1"/>
  <c r="FT8" i="1" a="1"/>
  <c r="FT8" i="1" s="1"/>
  <c r="FV8" i="1" a="1"/>
  <c r="FV8" i="1" s="1"/>
  <c r="FY21" i="1" a="1"/>
  <c r="FY21" i="1" s="1"/>
  <c r="GV21" i="1" s="1"/>
  <c r="FW21" i="1" a="1"/>
  <c r="FW21" i="1" s="1"/>
  <c r="GT21" i="1" s="1"/>
  <c r="FX21" i="1" a="1"/>
  <c r="FX21" i="1" s="1"/>
  <c r="GU21" i="1" s="1"/>
  <c r="FV21" i="1" a="1"/>
  <c r="FV21" i="1" s="1"/>
  <c r="GS21" i="1" s="1"/>
  <c r="FW17" i="1" a="1"/>
  <c r="FW17" i="1" s="1"/>
  <c r="GT17" i="1" s="1"/>
  <c r="FS21" i="1" a="1"/>
  <c r="FS21" i="1" s="1"/>
  <c r="FT21" i="1" a="1"/>
  <c r="FT21" i="1" s="1"/>
  <c r="FR21" i="1" a="1"/>
  <c r="FR21" i="1" s="1"/>
  <c r="FU21" i="1" a="1"/>
  <c r="FU21" i="1" s="1"/>
  <c r="FV17" i="1" a="1"/>
  <c r="FV17" i="1" s="1"/>
  <c r="FX17" i="1" a="1"/>
  <c r="FX17" i="1" s="1"/>
  <c r="GU17" i="1" s="1"/>
  <c r="FY17" i="1" a="1"/>
  <c r="FY17" i="1" s="1"/>
  <c r="GV17" i="1" s="1"/>
  <c r="GH14" i="1" a="1"/>
  <c r="GH14" i="1" s="1"/>
  <c r="GK14" i="1" s="1"/>
  <c r="FV6" i="1" a="1"/>
  <c r="FV6" i="1" s="1"/>
  <c r="GH6" i="1" s="1" a="1"/>
  <c r="GH6" i="1" s="1"/>
  <c r="FY6" i="1" a="1"/>
  <c r="FY6" i="1" s="1"/>
  <c r="GV6" i="1" s="1"/>
  <c r="FX6" i="1" a="1"/>
  <c r="FX6" i="1" s="1"/>
  <c r="GU6" i="1" s="1"/>
  <c r="FU6" i="1" a="1"/>
  <c r="FU6" i="1" s="1"/>
  <c r="FW6" i="1" a="1"/>
  <c r="FW6" i="1" s="1"/>
  <c r="GT6" i="1" s="1"/>
  <c r="FZ14" i="1" a="1"/>
  <c r="FZ14" i="1" s="1"/>
  <c r="GS20" i="1"/>
  <c r="FR22" i="1" a="1"/>
  <c r="FR22" i="1" s="1"/>
  <c r="FV22" i="1" a="1"/>
  <c r="FV22" i="1" s="1"/>
  <c r="FW22" i="1" a="1"/>
  <c r="FW22" i="1" s="1"/>
  <c r="GT22" i="1" s="1"/>
  <c r="FS22" i="1" a="1"/>
  <c r="FS22" i="1" s="1"/>
  <c r="FU22" i="1" a="1"/>
  <c r="FU22" i="1" s="1"/>
  <c r="FY22" i="1" a="1"/>
  <c r="FY22" i="1" s="1"/>
  <c r="GV22" i="1" s="1"/>
  <c r="FT22" i="1" a="1"/>
  <c r="FT22" i="1" s="1"/>
  <c r="FX22" i="1" a="1"/>
  <c r="FX22" i="1" s="1"/>
  <c r="GU22" i="1" s="1"/>
  <c r="GH18" i="1" a="1"/>
  <c r="GH18" i="1" s="1"/>
  <c r="GS18" i="1"/>
  <c r="GH23" i="1" a="1"/>
  <c r="GH23" i="1" s="1"/>
  <c r="GS23" i="1"/>
  <c r="GH13" i="1" a="1"/>
  <c r="GH13" i="1" s="1"/>
  <c r="GS13" i="1"/>
  <c r="GD13" i="1" a="1"/>
  <c r="FZ7" i="1" a="1"/>
  <c r="GO7" i="1" a="1"/>
  <c r="GH19" i="1" a="1"/>
  <c r="GH19" i="1" s="1"/>
  <c r="GD19" i="1" a="1"/>
  <c r="GS19" i="1"/>
  <c r="FZ12" i="1" a="1"/>
  <c r="GO12" i="1" a="1"/>
  <c r="FZ24" i="1" a="1"/>
  <c r="GO24" i="1" a="1"/>
  <c r="GH15" i="1" a="1"/>
  <c r="GH15" i="1" s="1"/>
  <c r="GS15" i="1"/>
  <c r="GS7" i="1"/>
  <c r="GD7" i="1" a="1"/>
  <c r="GH7" i="1" a="1"/>
  <c r="GH7" i="1" s="1"/>
  <c r="GH17" i="1" a="1"/>
  <c r="GH17" i="1" s="1"/>
  <c r="GS17" i="1"/>
  <c r="GH12" i="1" a="1"/>
  <c r="GH12" i="1" s="1"/>
  <c r="GS12" i="1"/>
  <c r="GD12" i="1" a="1"/>
  <c r="GH24" i="1" a="1"/>
  <c r="GH24" i="1" s="1"/>
  <c r="GD24" i="1" a="1"/>
  <c r="GS24" i="1"/>
  <c r="GS8" i="1"/>
  <c r="FZ16" i="1" a="1"/>
  <c r="GO16" i="1" a="1"/>
  <c r="FZ10" i="1" a="1"/>
  <c r="GO10" i="1" a="1"/>
  <c r="GS16" i="1"/>
  <c r="GH16" i="1" a="1"/>
  <c r="GH16" i="1" s="1"/>
  <c r="GD16" i="1" a="1"/>
  <c r="GS10" i="1"/>
  <c r="GD10" i="1" a="1"/>
  <c r="GH10" i="1" a="1"/>
  <c r="GH10" i="1" s="1"/>
  <c r="FZ11" i="1" a="1"/>
  <c r="GO11" i="1" a="1"/>
  <c r="FZ9" i="1" a="1"/>
  <c r="GO9" i="1" a="1"/>
  <c r="GH11" i="1" a="1"/>
  <c r="GH11" i="1" s="1"/>
  <c r="GD11" i="1" a="1"/>
  <c r="GS11" i="1"/>
  <c r="GS9" i="1"/>
  <c r="GD9" i="1" a="1"/>
  <c r="GH9" i="1" a="1"/>
  <c r="GH9" i="1" s="1"/>
  <c r="FZ23" i="1" a="1"/>
  <c r="GO23" i="1" a="1"/>
  <c r="FZ13" i="1" a="1"/>
  <c r="GO13" i="1" a="1"/>
  <c r="FZ19" i="1" a="1"/>
  <c r="GO19" i="1" a="1"/>
  <c r="GO15" i="1" l="1" a="1"/>
  <c r="GH8" i="1" a="1"/>
  <c r="GH8" i="1" s="1"/>
  <c r="GD18" i="1" a="1"/>
  <c r="FZ17" i="1" a="1"/>
  <c r="GO18" i="1" a="1"/>
  <c r="GP18" i="1" s="1"/>
  <c r="GO14" i="1" a="1"/>
  <c r="GP14" i="1" s="1"/>
  <c r="GD15" i="1" a="1"/>
  <c r="GF15" i="1" s="1"/>
  <c r="FZ15" i="1" a="1"/>
  <c r="GO6" i="1" a="1"/>
  <c r="GO6" i="1" s="1"/>
  <c r="GD20" i="1" a="1"/>
  <c r="GF20" i="1" s="1"/>
  <c r="GO20" i="1" a="1"/>
  <c r="GQ20" i="1" s="1"/>
  <c r="FZ8" i="1" a="1"/>
  <c r="FZ8" i="1" s="1"/>
  <c r="FZ20" i="1" a="1"/>
  <c r="FZ20" i="1" s="1"/>
  <c r="GH20" i="1" a="1"/>
  <c r="GH20" i="1" s="1"/>
  <c r="GK20" i="1" s="1"/>
  <c r="GO8" i="1" a="1"/>
  <c r="GP8" i="1" s="1"/>
  <c r="GD8" i="1" a="1"/>
  <c r="GF8" i="1" s="1"/>
  <c r="FZ6" i="1" a="1"/>
  <c r="GC6" i="1" s="1"/>
  <c r="GD21" i="1" a="1"/>
  <c r="GF21" i="1" s="1"/>
  <c r="GD17" i="1" a="1"/>
  <c r="GD17" i="1" s="1"/>
  <c r="GL14" i="1"/>
  <c r="GM14" i="1" s="1"/>
  <c r="GO21" i="1" a="1"/>
  <c r="FZ21" i="1" a="1"/>
  <c r="GH21" i="1" a="1"/>
  <c r="GH21" i="1" s="1"/>
  <c r="GK21" i="1" s="1"/>
  <c r="GD6" i="1" a="1"/>
  <c r="GE6" i="1" s="1"/>
  <c r="GS6" i="1"/>
  <c r="GB14" i="1"/>
  <c r="GA14" i="1"/>
  <c r="GC14" i="1"/>
  <c r="GF14" i="1"/>
  <c r="GE14" i="1"/>
  <c r="GG14" i="1"/>
  <c r="GQ14" i="1"/>
  <c r="FZ22" i="1" a="1"/>
  <c r="GO22" i="1" a="1"/>
  <c r="GS22" i="1"/>
  <c r="GH22" i="1" a="1"/>
  <c r="GH22" i="1" s="1"/>
  <c r="GK22" i="1" s="1"/>
  <c r="GD22" i="1" a="1"/>
  <c r="EH37" i="3"/>
  <c r="GM21" i="1"/>
  <c r="GK9" i="1"/>
  <c r="GK11" i="1"/>
  <c r="GK10" i="1"/>
  <c r="GK16" i="1"/>
  <c r="GK8" i="1"/>
  <c r="GK24" i="1"/>
  <c r="GK12" i="1"/>
  <c r="GK17" i="1"/>
  <c r="GK7" i="1"/>
  <c r="GK15" i="1"/>
  <c r="GK19" i="1"/>
  <c r="GK13" i="1"/>
  <c r="GK23" i="1"/>
  <c r="GK18" i="1"/>
  <c r="GK6" i="1"/>
  <c r="GF12" i="1"/>
  <c r="GD12" i="1"/>
  <c r="GG12" i="1"/>
  <c r="GE12" i="1"/>
  <c r="GP17" i="1"/>
  <c r="GR17" i="1"/>
  <c r="GQ17" i="1"/>
  <c r="GO17" i="1"/>
  <c r="GP11" i="1"/>
  <c r="GR11" i="1"/>
  <c r="GQ11" i="1"/>
  <c r="GO11" i="1"/>
  <c r="GF16" i="1"/>
  <c r="GG16" i="1"/>
  <c r="GE16" i="1"/>
  <c r="GD16" i="1"/>
  <c r="GP10" i="1"/>
  <c r="GR10" i="1"/>
  <c r="GQ10" i="1"/>
  <c r="GO10" i="1"/>
  <c r="GD15" i="1"/>
  <c r="GP7" i="1"/>
  <c r="GR7" i="1"/>
  <c r="GQ7" i="1"/>
  <c r="GO7" i="1"/>
  <c r="GQ23" i="1"/>
  <c r="GO23" i="1"/>
  <c r="GP23" i="1"/>
  <c r="GR23" i="1"/>
  <c r="GP13" i="1"/>
  <c r="GR13" i="1"/>
  <c r="GQ13" i="1"/>
  <c r="GO13" i="1"/>
  <c r="GC23" i="1"/>
  <c r="GA23" i="1"/>
  <c r="GB23" i="1"/>
  <c r="FZ23" i="1"/>
  <c r="GC11" i="1"/>
  <c r="GA11" i="1"/>
  <c r="GB11" i="1"/>
  <c r="FZ11" i="1"/>
  <c r="GC10" i="1"/>
  <c r="GA10" i="1"/>
  <c r="FZ10" i="1"/>
  <c r="GB10" i="1"/>
  <c r="GP12" i="1"/>
  <c r="GR12" i="1"/>
  <c r="GQ12" i="1"/>
  <c r="GO12" i="1"/>
  <c r="FZ7" i="1"/>
  <c r="GC7" i="1"/>
  <c r="GA7" i="1"/>
  <c r="GB7" i="1"/>
  <c r="GF13" i="1"/>
  <c r="GD13" i="1"/>
  <c r="GG13" i="1"/>
  <c r="GE13" i="1"/>
  <c r="GP19" i="1"/>
  <c r="GR19" i="1"/>
  <c r="GQ19" i="1"/>
  <c r="GO19" i="1"/>
  <c r="GC13" i="1"/>
  <c r="GA13" i="1"/>
  <c r="GB13" i="1"/>
  <c r="FZ13" i="1"/>
  <c r="GR18" i="1"/>
  <c r="GQ18" i="1"/>
  <c r="GO18" i="1"/>
  <c r="GP24" i="1"/>
  <c r="GR24" i="1"/>
  <c r="GO24" i="1"/>
  <c r="GQ24" i="1"/>
  <c r="GC12" i="1"/>
  <c r="GA12" i="1"/>
  <c r="GB12" i="1"/>
  <c r="FZ12" i="1"/>
  <c r="FZ19" i="1"/>
  <c r="GC19" i="1"/>
  <c r="GA19" i="1"/>
  <c r="GB19" i="1"/>
  <c r="GB18" i="1"/>
  <c r="GC18" i="1"/>
  <c r="GA18" i="1"/>
  <c r="FZ18" i="1"/>
  <c r="GG9" i="1"/>
  <c r="GE9" i="1"/>
  <c r="GF9" i="1"/>
  <c r="GD9" i="1"/>
  <c r="GP16" i="1"/>
  <c r="GR16" i="1"/>
  <c r="GO16" i="1"/>
  <c r="GQ16" i="1"/>
  <c r="GC24" i="1"/>
  <c r="GB24" i="1"/>
  <c r="FZ24" i="1"/>
  <c r="GA24" i="1"/>
  <c r="GE19" i="1"/>
  <c r="GG19" i="1"/>
  <c r="GF19" i="1"/>
  <c r="GD19" i="1"/>
  <c r="GE23" i="1"/>
  <c r="GF23" i="1"/>
  <c r="GD23" i="1"/>
  <c r="GG23" i="1"/>
  <c r="GF11" i="1"/>
  <c r="GD11" i="1"/>
  <c r="GE11" i="1"/>
  <c r="GG11" i="1"/>
  <c r="GP9" i="1"/>
  <c r="GR9" i="1"/>
  <c r="GQ9" i="1"/>
  <c r="GO9" i="1"/>
  <c r="GC16" i="1"/>
  <c r="GA16" i="1"/>
  <c r="GB16" i="1"/>
  <c r="FZ16" i="1"/>
  <c r="GD7" i="1"/>
  <c r="GG7" i="1"/>
  <c r="GE7" i="1"/>
  <c r="GF7" i="1"/>
  <c r="GP15" i="1"/>
  <c r="GR15" i="1"/>
  <c r="GQ15" i="1"/>
  <c r="GO15" i="1"/>
  <c r="GC9" i="1"/>
  <c r="GA9" i="1"/>
  <c r="GB9" i="1"/>
  <c r="FZ9" i="1"/>
  <c r="GF10" i="1"/>
  <c r="GD10" i="1"/>
  <c r="GG10" i="1"/>
  <c r="GE10" i="1"/>
  <c r="GF24" i="1"/>
  <c r="GD24" i="1"/>
  <c r="GG24" i="1"/>
  <c r="GE24" i="1"/>
  <c r="GF18" i="1"/>
  <c r="GD18" i="1"/>
  <c r="GG18" i="1"/>
  <c r="GE18" i="1"/>
  <c r="GB15" i="1"/>
  <c r="FZ15" i="1"/>
  <c r="GC15" i="1"/>
  <c r="GA15" i="1"/>
  <c r="GC8" i="1"/>
  <c r="GC17" i="1"/>
  <c r="GA17" i="1"/>
  <c r="GB17" i="1"/>
  <c r="FZ17" i="1"/>
  <c r="GQ6" i="1"/>
  <c r="GR6" i="1" l="1"/>
  <c r="GR20" i="1"/>
  <c r="GO20" i="1"/>
  <c r="GR14" i="1"/>
  <c r="GE8" i="1"/>
  <c r="GO14" i="1"/>
  <c r="HB14" i="1" s="1" a="1"/>
  <c r="HB14" i="1" s="1"/>
  <c r="GB8" i="1"/>
  <c r="GG8" i="1"/>
  <c r="GA8" i="1"/>
  <c r="GE15" i="1"/>
  <c r="GE17" i="1"/>
  <c r="GG15" i="1"/>
  <c r="GP20" i="1"/>
  <c r="GG17" i="1"/>
  <c r="GC20" i="1"/>
  <c r="GO8" i="1"/>
  <c r="HE8" i="1" s="1" a="1"/>
  <c r="HE8" i="1" s="1"/>
  <c r="GB20" i="1"/>
  <c r="GP6" i="1"/>
  <c r="GQ8" i="1"/>
  <c r="GA20" i="1"/>
  <c r="GD20" i="1"/>
  <c r="GR8" i="1"/>
  <c r="GG20" i="1"/>
  <c r="GE20" i="1"/>
  <c r="GD8" i="1"/>
  <c r="GI8" i="1" s="1" a="1"/>
  <c r="GI8" i="1" s="1"/>
  <c r="GL8" i="1" s="1"/>
  <c r="GM8" i="1" s="1"/>
  <c r="GD6" i="1"/>
  <c r="GI6" i="1" s="1" a="1"/>
  <c r="GI6" i="1" s="1"/>
  <c r="GL6" i="1" s="1"/>
  <c r="GM6" i="1" s="1"/>
  <c r="GB6" i="1"/>
  <c r="FZ6" i="1"/>
  <c r="GF6" i="1"/>
  <c r="GA6" i="1"/>
  <c r="GG6" i="1"/>
  <c r="GD21" i="1"/>
  <c r="GI21" i="1" s="1" a="1"/>
  <c r="GI21" i="1" s="1"/>
  <c r="GE21" i="1"/>
  <c r="GG21" i="1"/>
  <c r="GF17" i="1"/>
  <c r="GA21" i="1"/>
  <c r="GB21" i="1"/>
  <c r="FZ21" i="1"/>
  <c r="GC21" i="1"/>
  <c r="GQ21" i="1"/>
  <c r="GR21" i="1"/>
  <c r="GO21" i="1"/>
  <c r="GP21" i="1"/>
  <c r="GL21" i="1"/>
  <c r="HH14" i="1" a="1"/>
  <c r="HH14" i="1" s="1"/>
  <c r="HP14" i="1" a="1"/>
  <c r="HP14" i="1" s="1"/>
  <c r="HO14" i="1" a="1"/>
  <c r="HO14" i="1" s="1"/>
  <c r="HF14" i="1" a="1"/>
  <c r="HF14" i="1" s="1"/>
  <c r="HD14" i="1" a="1"/>
  <c r="HD14" i="1" s="1"/>
  <c r="GY14" i="1" a="1"/>
  <c r="GY14" i="1" s="1"/>
  <c r="HQ14" i="1" a="1"/>
  <c r="HQ14" i="1" s="1"/>
  <c r="HK14" i="1" a="1"/>
  <c r="HK14" i="1" s="1"/>
  <c r="HL14" i="1" a="1"/>
  <c r="HL14" i="1" s="1"/>
  <c r="HN14" i="1" a="1"/>
  <c r="HN14" i="1" s="1"/>
  <c r="GX14" i="1" a="1"/>
  <c r="GX14" i="1" s="1"/>
  <c r="HC14" i="1" a="1"/>
  <c r="HC14" i="1" s="1"/>
  <c r="HA14" i="1" a="1"/>
  <c r="HA14" i="1" s="1"/>
  <c r="HE14" i="1" a="1"/>
  <c r="HE14" i="1" s="1"/>
  <c r="HM14" i="1" a="1"/>
  <c r="HM14" i="1" s="1"/>
  <c r="C19" i="3"/>
  <c r="M19" i="3"/>
  <c r="AE37" i="3"/>
  <c r="BU3" i="3"/>
  <c r="BM14" i="3"/>
  <c r="AW21" i="3"/>
  <c r="DF4" i="3"/>
  <c r="FB4" i="3"/>
  <c r="DZ2" i="3"/>
  <c r="EC17" i="3"/>
  <c r="EW11" i="3"/>
  <c r="DH16" i="3"/>
  <c r="AU28" i="3"/>
  <c r="Q63" i="3"/>
  <c r="AU32" i="3"/>
  <c r="AZ25" i="3"/>
  <c r="EZ62" i="3"/>
  <c r="EP53" i="3"/>
  <c r="EN88" i="3"/>
  <c r="CJ25" i="3"/>
  <c r="D88" i="3"/>
  <c r="CU43" i="3"/>
  <c r="DM72" i="3"/>
  <c r="BF85" i="3"/>
  <c r="BH30" i="3"/>
  <c r="HI20" i="1" a="1"/>
  <c r="HI20" i="1" s="1"/>
  <c r="GI20" i="1" a="1"/>
  <c r="GI20" i="1" s="1"/>
  <c r="GL20" i="1" s="1"/>
  <c r="GM20" i="1" s="1"/>
  <c r="AC88" i="3"/>
  <c r="DA86" i="3"/>
  <c r="AT63" i="3"/>
  <c r="DI73" i="3"/>
  <c r="EJ74" i="3"/>
  <c r="CR76" i="3"/>
  <c r="AT61" i="3"/>
  <c r="EF43" i="3"/>
  <c r="BR65" i="3"/>
  <c r="I80" i="3"/>
  <c r="CE68" i="3"/>
  <c r="AH55" i="3"/>
  <c r="BR75" i="3"/>
  <c r="AO74" i="3"/>
  <c r="CZ52" i="3"/>
  <c r="DL78" i="3"/>
  <c r="DS64" i="3"/>
  <c r="U62" i="3"/>
  <c r="BO67" i="3"/>
  <c r="CA28" i="3"/>
  <c r="BM64" i="3"/>
  <c r="CU72" i="3"/>
  <c r="AC37" i="3"/>
  <c r="BZ41" i="3"/>
  <c r="AA67" i="3"/>
  <c r="CG78" i="3"/>
  <c r="EE86" i="3"/>
  <c r="CW71" i="3"/>
  <c r="CZ80" i="3"/>
  <c r="CG68" i="3"/>
  <c r="BA39" i="3"/>
  <c r="DQ77" i="3"/>
  <c r="DU64" i="3"/>
  <c r="DD56" i="3"/>
  <c r="DE83" i="3"/>
  <c r="BI88" i="3"/>
  <c r="AQ45" i="3"/>
  <c r="CD85" i="3"/>
  <c r="CV39" i="3"/>
  <c r="CV73" i="3"/>
  <c r="BD36" i="3"/>
  <c r="FC59" i="3"/>
  <c r="CJ85" i="3"/>
  <c r="BD38" i="3"/>
  <c r="AJ62" i="3"/>
  <c r="CQ71" i="3"/>
  <c r="BY73" i="3"/>
  <c r="BN66" i="3"/>
  <c r="CM83" i="3"/>
  <c r="CE67" i="3"/>
  <c r="AH76" i="3"/>
  <c r="BL88" i="3"/>
  <c r="CQ68" i="3"/>
  <c r="AH58" i="3"/>
  <c r="BN67" i="3"/>
  <c r="EK79" i="3"/>
  <c r="AI52" i="3"/>
  <c r="ED69" i="3"/>
  <c r="AP39" i="3"/>
  <c r="BJ73" i="3"/>
  <c r="CE72" i="3"/>
  <c r="BI55" i="3"/>
  <c r="AG70" i="3"/>
  <c r="DR73" i="3"/>
  <c r="DX81" i="3"/>
  <c r="CB79" i="3"/>
  <c r="CJ67" i="3"/>
  <c r="CJ86" i="3"/>
  <c r="DM70" i="3"/>
  <c r="BY67" i="3"/>
  <c r="BJ70" i="3"/>
  <c r="CK70" i="3"/>
  <c r="CI61" i="3"/>
  <c r="E9" i="3"/>
  <c r="AL75" i="3"/>
  <c r="DX76" i="3"/>
  <c r="EG79" i="3"/>
  <c r="CO57" i="3"/>
  <c r="DF70" i="3"/>
  <c r="CW70" i="3"/>
  <c r="DB85" i="3"/>
  <c r="DS71" i="3"/>
  <c r="U72" i="3"/>
  <c r="BZ90" i="3"/>
  <c r="CN86" i="3"/>
  <c r="CP52" i="3"/>
  <c r="CI80" i="3"/>
  <c r="EI68" i="3"/>
  <c r="AU51" i="3"/>
  <c r="CZ78" i="3"/>
  <c r="DX65" i="3"/>
  <c r="CQ70" i="3"/>
  <c r="CW89" i="3"/>
  <c r="CQ87" i="3"/>
  <c r="FA10" i="3"/>
  <c r="BU33" i="3"/>
  <c r="BB71" i="3"/>
  <c r="CN80" i="3"/>
  <c r="DF90" i="3"/>
  <c r="CZ85" i="3"/>
  <c r="CZ43" i="3"/>
  <c r="CW40" i="3"/>
  <c r="CM77" i="3"/>
  <c r="DW41" i="3"/>
  <c r="CN52" i="3"/>
  <c r="AT87" i="3"/>
  <c r="AT44" i="3"/>
  <c r="Z49" i="3"/>
  <c r="BU37" i="3"/>
  <c r="AU66" i="3"/>
  <c r="CG35" i="3"/>
  <c r="CT67" i="3"/>
  <c r="DM88" i="3"/>
  <c r="DC81" i="3"/>
  <c r="AJ20" i="3"/>
  <c r="DI60" i="3"/>
  <c r="ET51" i="3"/>
  <c r="DR43" i="3"/>
  <c r="CX35" i="3"/>
  <c r="EE43" i="3"/>
  <c r="EB81" i="3"/>
  <c r="BN77" i="3"/>
  <c r="CX73" i="3"/>
  <c r="DS41" i="3"/>
  <c r="CT74" i="3"/>
  <c r="AI47" i="3"/>
  <c r="DI54" i="3"/>
  <c r="CU87" i="3"/>
  <c r="BM31" i="3"/>
  <c r="CW90" i="3"/>
  <c r="DJ45" i="3"/>
  <c r="AB39" i="3"/>
  <c r="CQ83" i="3"/>
  <c r="CR74" i="3"/>
  <c r="AT47" i="3"/>
  <c r="DA35" i="3"/>
  <c r="AV42" i="3"/>
  <c r="DL69" i="3"/>
  <c r="HK20" i="1" a="1"/>
  <c r="HK20" i="1" s="1"/>
  <c r="O47" i="3"/>
  <c r="BT84" i="3"/>
  <c r="DE67" i="3"/>
  <c r="DS39" i="3"/>
  <c r="DB32" i="3"/>
  <c r="L64" i="3"/>
  <c r="DT46" i="3"/>
  <c r="AZ43" i="3"/>
  <c r="DW84" i="3"/>
  <c r="CX46" i="3"/>
  <c r="AM72" i="3"/>
  <c r="AZ91" i="3"/>
  <c r="W87" i="3"/>
  <c r="EE50" i="3"/>
  <c r="DN56" i="3"/>
  <c r="DO58" i="3"/>
  <c r="CX37" i="3"/>
  <c r="CU40" i="3"/>
  <c r="CD27" i="3"/>
  <c r="AV85" i="3"/>
  <c r="DB44" i="3"/>
  <c r="CT79" i="3"/>
  <c r="AT86" i="3"/>
  <c r="CM43" i="3"/>
  <c r="DF85" i="3"/>
  <c r="BD40" i="3"/>
  <c r="BQ36" i="3"/>
  <c r="AP86" i="3"/>
  <c r="CZ73" i="3"/>
  <c r="BA23" i="3"/>
  <c r="DO89" i="3"/>
  <c r="Y49" i="3"/>
  <c r="DQ85" i="3"/>
  <c r="DD38" i="3"/>
  <c r="DW81" i="3"/>
  <c r="DM77" i="3"/>
  <c r="EH88" i="3"/>
  <c r="EI33" i="3"/>
  <c r="C9" i="3"/>
  <c r="EL39" i="3"/>
  <c r="DC10" i="3"/>
  <c r="AQ3" i="3"/>
  <c r="DU82" i="3"/>
  <c r="BI31" i="3"/>
  <c r="AO75" i="3"/>
  <c r="AU47" i="3"/>
  <c r="CT42" i="3"/>
  <c r="DR57" i="3"/>
  <c r="F73" i="3"/>
  <c r="BA91" i="3"/>
  <c r="DN46" i="3"/>
  <c r="AT73" i="3"/>
  <c r="EA87" i="3"/>
  <c r="EC86" i="3"/>
  <c r="DI74" i="3"/>
  <c r="EB85" i="3"/>
  <c r="DI87" i="3"/>
  <c r="Y91" i="3"/>
  <c r="DA74" i="3"/>
  <c r="DA49" i="3"/>
  <c r="AB52" i="3"/>
  <c r="BH38" i="3"/>
  <c r="DO49" i="3"/>
  <c r="DI50" i="3"/>
  <c r="DG67" i="3"/>
  <c r="CZ60" i="3"/>
  <c r="CY57" i="3"/>
  <c r="AW74" i="3"/>
  <c r="AE40" i="3"/>
  <c r="AT37" i="3"/>
  <c r="DD73" i="3"/>
  <c r="T69" i="3"/>
  <c r="AV86" i="3"/>
  <c r="AD76" i="3"/>
  <c r="BN53" i="3"/>
  <c r="AL82" i="3"/>
  <c r="DZ83" i="3"/>
  <c r="DM65" i="3"/>
  <c r="CF28" i="3"/>
  <c r="AA47" i="3"/>
  <c r="DL85" i="3"/>
  <c r="AU57" i="3"/>
  <c r="DY79" i="3"/>
  <c r="BC60" i="3"/>
  <c r="CF45" i="3"/>
  <c r="BL46" i="3"/>
  <c r="CT87" i="3"/>
  <c r="T77" i="3"/>
  <c r="AF78" i="3"/>
  <c r="AB87" i="3"/>
  <c r="DP54" i="3"/>
  <c r="CS89" i="3"/>
  <c r="DC75" i="3"/>
  <c r="AL33" i="3"/>
  <c r="CN51" i="3"/>
  <c r="CX88" i="3"/>
  <c r="CQ51" i="3"/>
  <c r="AB73" i="3"/>
  <c r="AV39" i="3"/>
  <c r="BV26" i="3"/>
  <c r="BL30" i="3"/>
  <c r="CY37" i="3"/>
  <c r="AI36" i="3"/>
  <c r="CA48" i="3"/>
  <c r="BO31" i="3"/>
  <c r="CZ86" i="3"/>
  <c r="BX45" i="3"/>
  <c r="M63" i="3"/>
  <c r="BN48" i="3"/>
  <c r="BG43" i="3"/>
  <c r="EG76" i="3"/>
  <c r="CN25" i="3"/>
  <c r="DU86" i="3"/>
  <c r="EE82" i="3"/>
  <c r="EA81" i="3"/>
  <c r="W76" i="3"/>
  <c r="CS34" i="3"/>
  <c r="ED77" i="3"/>
  <c r="R74" i="3"/>
  <c r="AB89" i="3"/>
  <c r="AY65" i="3"/>
  <c r="BX56" i="3"/>
  <c r="CR91" i="3"/>
  <c r="AM52" i="3"/>
  <c r="DD75" i="3"/>
  <c r="DD83" i="3"/>
  <c r="BD31" i="3"/>
  <c r="DQ80" i="3"/>
  <c r="AB79" i="3"/>
  <c r="BJ33" i="3"/>
  <c r="ED44" i="3"/>
  <c r="N83" i="3"/>
  <c r="AU61" i="3"/>
  <c r="D79" i="3"/>
  <c r="EC44" i="3"/>
  <c r="BW33" i="3"/>
  <c r="DJ78" i="3"/>
  <c r="DO40" i="3"/>
  <c r="DL73" i="3"/>
  <c r="HH20" i="1" a="1"/>
  <c r="HH20" i="1" s="1"/>
  <c r="HL20" i="1" a="1"/>
  <c r="HL20" i="1" s="1"/>
  <c r="HN20" i="1" a="1"/>
  <c r="HN20" i="1" s="1"/>
  <c r="HD20" i="1" a="1"/>
  <c r="HD20" i="1" s="1"/>
  <c r="HG20" i="1" a="1"/>
  <c r="HG20" i="1" s="1"/>
  <c r="HF20" i="1" a="1"/>
  <c r="HF20" i="1" s="1"/>
  <c r="HJ20" i="1" a="1"/>
  <c r="HJ20" i="1" s="1"/>
  <c r="HA20" i="1" a="1"/>
  <c r="HA20" i="1" s="1"/>
  <c r="HC20" i="1" a="1"/>
  <c r="HC20" i="1" s="1"/>
  <c r="HE20" i="1" a="1"/>
  <c r="HE20" i="1" s="1"/>
  <c r="HO20" i="1" a="1"/>
  <c r="HO20" i="1" s="1"/>
  <c r="HP20" i="1" a="1"/>
  <c r="HP20" i="1" s="1"/>
  <c r="GZ20" i="1" a="1"/>
  <c r="GZ20" i="1" s="1"/>
  <c r="GY20" i="1" a="1"/>
  <c r="GY20" i="1" s="1"/>
  <c r="HM20" i="1" a="1"/>
  <c r="HM20" i="1" s="1"/>
  <c r="HQ20" i="1" a="1"/>
  <c r="HQ20" i="1" s="1"/>
  <c r="HB20" i="1" a="1"/>
  <c r="HB20" i="1" s="1"/>
  <c r="GX20" i="1" a="1"/>
  <c r="GX20" i="1" s="1"/>
  <c r="AA73" i="3"/>
  <c r="BD79" i="3"/>
  <c r="AN38" i="3"/>
  <c r="DS46" i="3"/>
  <c r="DT53" i="3"/>
  <c r="BF80" i="3"/>
  <c r="DU59" i="3"/>
  <c r="BJ40" i="3"/>
  <c r="CM34" i="3"/>
  <c r="EM45" i="3"/>
  <c r="DA41" i="3"/>
  <c r="DK72" i="3"/>
  <c r="EW57" i="3"/>
  <c r="AD48" i="3"/>
  <c r="BI68" i="3"/>
  <c r="AI88" i="3"/>
  <c r="BB28" i="3"/>
  <c r="CA33" i="3"/>
  <c r="AB86" i="3"/>
  <c r="AB83" i="3"/>
  <c r="CO33" i="3"/>
  <c r="BK86" i="3"/>
  <c r="DH82" i="3"/>
  <c r="BK91" i="3"/>
  <c r="DN76" i="3"/>
  <c r="AW83" i="3"/>
  <c r="CJ37" i="3"/>
  <c r="CW32" i="3"/>
  <c r="M83" i="3"/>
  <c r="CU41" i="3"/>
  <c r="CK31" i="3"/>
  <c r="BM85" i="3"/>
  <c r="CK39" i="3"/>
  <c r="BK82" i="3"/>
  <c r="DY78" i="3"/>
  <c r="CX61" i="3"/>
  <c r="EH47" i="3"/>
  <c r="K84" i="3"/>
  <c r="DT47" i="3"/>
  <c r="AL37" i="3"/>
  <c r="CE39" i="3"/>
  <c r="AI45" i="3"/>
  <c r="BO34" i="3"/>
  <c r="FC82" i="3"/>
  <c r="CW54" i="3"/>
  <c r="L85" i="3"/>
  <c r="BG31" i="3"/>
  <c r="CB30" i="3"/>
  <c r="DC33" i="3"/>
  <c r="DR89" i="3"/>
  <c r="EE77" i="3"/>
  <c r="BH55" i="3"/>
  <c r="BD45" i="3"/>
  <c r="BB77" i="3"/>
  <c r="DZ45" i="3"/>
  <c r="AS89" i="3"/>
  <c r="FD25" i="3"/>
  <c r="DV40" i="3"/>
  <c r="EA74" i="3"/>
  <c r="AW71" i="3"/>
  <c r="BA88" i="3"/>
  <c r="DO71" i="3"/>
  <c r="AQ57" i="3"/>
  <c r="BD66" i="3"/>
  <c r="DP50" i="3"/>
  <c r="BM34" i="3"/>
  <c r="CV38" i="3"/>
  <c r="Y83" i="3"/>
  <c r="DD59" i="3"/>
  <c r="DK38" i="3"/>
  <c r="BK69" i="3"/>
  <c r="W74" i="3"/>
  <c r="AO90" i="3"/>
  <c r="AY86" i="3"/>
  <c r="AT80" i="3"/>
  <c r="BD35" i="3"/>
  <c r="E74" i="3"/>
  <c r="DC37" i="3"/>
  <c r="S66" i="3"/>
  <c r="BE24" i="3"/>
  <c r="CN26" i="3"/>
  <c r="P75" i="3"/>
  <c r="BE59" i="3"/>
  <c r="BI86" i="3"/>
  <c r="AD42" i="3"/>
  <c r="T79" i="3"/>
  <c r="BD32" i="3"/>
  <c r="CY46" i="3"/>
  <c r="DY83" i="3"/>
  <c r="DG49" i="3"/>
  <c r="EA47" i="3"/>
  <c r="BE42" i="3"/>
  <c r="AY40" i="3"/>
  <c r="CL35" i="3"/>
  <c r="CG29" i="3"/>
  <c r="G37" i="3"/>
  <c r="DG86" i="3"/>
  <c r="BO58" i="3"/>
  <c r="CF38" i="3"/>
  <c r="B46" i="3"/>
  <c r="N64" i="3"/>
  <c r="BH65" i="3"/>
  <c r="CH87" i="3"/>
  <c r="BY37" i="3"/>
  <c r="DH58" i="3"/>
  <c r="DL37" i="3"/>
  <c r="Z78" i="3"/>
  <c r="S87" i="3"/>
  <c r="CP35" i="3"/>
  <c r="BG89" i="3"/>
  <c r="BU41" i="3"/>
  <c r="DI78" i="3"/>
  <c r="BA70" i="3"/>
  <c r="AU52" i="3"/>
  <c r="ER49" i="3"/>
  <c r="AP81" i="3"/>
  <c r="AX79" i="3"/>
  <c r="ED40" i="3"/>
  <c r="DK76" i="3"/>
  <c r="L47" i="3"/>
  <c r="DI45" i="3"/>
  <c r="BH39" i="3"/>
  <c r="AF41" i="3"/>
  <c r="CS32" i="3"/>
  <c r="CM36" i="3"/>
  <c r="M72" i="3"/>
  <c r="O85" i="3"/>
  <c r="DA53" i="3"/>
  <c r="BG86" i="3"/>
  <c r="BF34" i="3"/>
  <c r="BK90" i="3"/>
  <c r="BG35" i="3"/>
  <c r="BJ79" i="3"/>
  <c r="W67" i="3"/>
  <c r="CM30" i="3"/>
  <c r="M70" i="3"/>
  <c r="U66" i="3"/>
  <c r="EH84" i="3"/>
  <c r="BS46" i="3"/>
  <c r="AA79" i="3"/>
  <c r="FE48" i="3"/>
  <c r="EA44" i="3"/>
  <c r="J76" i="3"/>
  <c r="DO53" i="3"/>
  <c r="Q86" i="3"/>
  <c r="AX61" i="3"/>
  <c r="BC61" i="3"/>
  <c r="V63" i="3"/>
  <c r="AD61" i="3"/>
  <c r="CL60" i="3"/>
  <c r="CY81" i="3"/>
  <c r="BO89" i="3"/>
  <c r="AE55" i="3"/>
  <c r="CY51" i="3"/>
  <c r="EC81" i="3"/>
  <c r="BY8" i="3"/>
  <c r="AP76" i="3"/>
  <c r="DD31" i="3"/>
  <c r="DW85" i="3"/>
  <c r="CU50" i="3"/>
  <c r="X74" i="3"/>
  <c r="AN69" i="3"/>
  <c r="DE38" i="3"/>
  <c r="BB76" i="3"/>
  <c r="DC42" i="3"/>
  <c r="AJ45" i="3"/>
  <c r="BO87" i="3"/>
  <c r="EI79" i="3"/>
  <c r="AI81" i="3"/>
  <c r="CO54" i="3"/>
  <c r="AO76" i="3"/>
  <c r="CM82" i="3"/>
  <c r="AY66" i="3"/>
  <c r="N77" i="3"/>
  <c r="R76" i="3"/>
  <c r="AB71" i="3"/>
  <c r="N50" i="3"/>
  <c r="BY75" i="3"/>
  <c r="BT79" i="3"/>
  <c r="CC90" i="3"/>
  <c r="J72" i="3"/>
  <c r="CJ30" i="3"/>
  <c r="BO77" i="3"/>
  <c r="CF54" i="3"/>
  <c r="BE84" i="3"/>
  <c r="X41" i="3"/>
  <c r="CC37" i="3"/>
  <c r="AI79" i="3"/>
  <c r="BC76" i="3"/>
  <c r="EE48" i="3"/>
  <c r="BR73" i="3"/>
  <c r="BM88" i="3"/>
  <c r="AW65" i="3"/>
  <c r="AL65" i="3"/>
  <c r="DM68" i="3"/>
  <c r="BB83" i="3"/>
  <c r="AB65" i="3"/>
  <c r="DY61" i="3"/>
  <c r="BU86" i="3"/>
  <c r="AD67" i="3"/>
  <c r="CY59" i="3"/>
  <c r="AQ71" i="3"/>
  <c r="CA6" i="3"/>
  <c r="DY82" i="3"/>
  <c r="AQ77" i="3"/>
  <c r="BC41" i="3"/>
  <c r="BH31" i="3"/>
  <c r="AD22" i="3"/>
  <c r="BN44" i="3"/>
  <c r="CJ81" i="3"/>
  <c r="AX86" i="3"/>
  <c r="CF33" i="3"/>
  <c r="DJ53" i="3"/>
  <c r="DP62" i="3"/>
  <c r="DO81" i="3"/>
  <c r="BO74" i="3"/>
  <c r="Z71" i="3"/>
  <c r="DE81" i="3"/>
  <c r="AM83" i="3"/>
  <c r="DH42" i="3"/>
  <c r="BB67" i="3"/>
  <c r="BB42" i="3"/>
  <c r="AI62" i="3"/>
  <c r="CE27" i="3"/>
  <c r="CQ57" i="3"/>
  <c r="BS56" i="3"/>
  <c r="AY85" i="3"/>
  <c r="BW51" i="3"/>
  <c r="BO83" i="3"/>
  <c r="BI62" i="3"/>
  <c r="U79" i="3"/>
  <c r="CH30" i="3"/>
  <c r="DL58" i="3"/>
  <c r="BU70" i="3"/>
  <c r="AP77" i="3"/>
  <c r="DS77" i="3"/>
  <c r="BE61" i="3"/>
  <c r="CE31" i="3"/>
  <c r="BF58" i="3"/>
  <c r="CQ27" i="3"/>
  <c r="CB90" i="3"/>
  <c r="BN75" i="3"/>
  <c r="E69" i="3"/>
  <c r="DO78" i="3"/>
  <c r="DK48" i="3"/>
  <c r="BY80" i="3"/>
  <c r="DC48" i="3"/>
  <c r="BD78" i="3"/>
  <c r="O43" i="3"/>
  <c r="BS79" i="3"/>
  <c r="BE72" i="3"/>
  <c r="BX34" i="3"/>
  <c r="AY74" i="3"/>
  <c r="DS27" i="3"/>
  <c r="BA22" i="3"/>
  <c r="EM84" i="3"/>
  <c r="CE41" i="3"/>
  <c r="ED49" i="3"/>
  <c r="AG65" i="3"/>
  <c r="CC57" i="3"/>
  <c r="DP52" i="3"/>
  <c r="AF38" i="3"/>
  <c r="CM90" i="3"/>
  <c r="BC65" i="3"/>
  <c r="DC58" i="3"/>
  <c r="BQ63" i="3"/>
  <c r="M78" i="3"/>
  <c r="AU89" i="3"/>
  <c r="DZ67" i="3"/>
  <c r="R70" i="3"/>
  <c r="K76" i="3"/>
  <c r="BT56" i="3"/>
  <c r="CF78" i="3"/>
  <c r="ED82" i="3"/>
  <c r="AU38" i="3"/>
  <c r="AQ12" i="3"/>
  <c r="CI60" i="3"/>
  <c r="EC70" i="3"/>
  <c r="BQ84" i="3"/>
  <c r="BA50" i="3"/>
  <c r="CD55" i="3"/>
  <c r="DZ5" i="3"/>
  <c r="AS17" i="3"/>
  <c r="F21" i="3"/>
  <c r="GB22" i="1"/>
  <c r="FZ22" i="1"/>
  <c r="GC22" i="1"/>
  <c r="GA22" i="1"/>
  <c r="GF22" i="1"/>
  <c r="GD22" i="1"/>
  <c r="GG22" i="1"/>
  <c r="GE22" i="1"/>
  <c r="GQ22" i="1"/>
  <c r="GO22" i="1"/>
  <c r="GP22" i="1"/>
  <c r="GR22" i="1"/>
  <c r="AF43" i="3"/>
  <c r="CK68" i="3"/>
  <c r="BA44" i="3"/>
  <c r="BS24" i="3"/>
  <c r="EW36" i="3"/>
  <c r="AH40" i="3"/>
  <c r="BU90" i="3"/>
  <c r="AM38" i="3"/>
  <c r="DC38" i="3"/>
  <c r="BW31" i="3"/>
  <c r="Q50" i="3"/>
  <c r="CI18" i="3"/>
  <c r="AQ72" i="3"/>
  <c r="DU48" i="3"/>
  <c r="CR26" i="3"/>
  <c r="AA45" i="3"/>
  <c r="BE33" i="3"/>
  <c r="AH65" i="3"/>
  <c r="EL78" i="3"/>
  <c r="AO53" i="3"/>
  <c r="S51" i="3"/>
  <c r="CY42" i="3"/>
  <c r="AH36" i="3"/>
  <c r="DZ66" i="3"/>
  <c r="AN82" i="3"/>
  <c r="U43" i="3"/>
  <c r="CT88" i="3"/>
  <c r="FD83" i="3"/>
  <c r="DL39" i="3"/>
  <c r="CY88" i="3"/>
  <c r="AW38" i="3"/>
  <c r="DP77" i="3"/>
  <c r="CH76" i="3"/>
  <c r="Q48" i="3"/>
  <c r="EF67" i="3"/>
  <c r="BF40" i="3"/>
  <c r="BP27" i="3"/>
  <c r="CN43" i="3"/>
  <c r="BK33" i="3"/>
  <c r="EL89" i="3"/>
  <c r="ED42" i="3"/>
  <c r="BP57" i="3"/>
  <c r="EI90" i="3"/>
  <c r="BA83" i="3"/>
  <c r="CK49" i="3"/>
  <c r="K44" i="3"/>
  <c r="EJ47" i="3"/>
  <c r="DG54" i="3"/>
  <c r="CC49" i="3"/>
  <c r="EB68" i="3"/>
  <c r="DG46" i="3"/>
  <c r="DZ57" i="3"/>
  <c r="CV43" i="3"/>
  <c r="CT21" i="3"/>
  <c r="CJ78" i="3"/>
  <c r="CQ47" i="3"/>
  <c r="CU26" i="3"/>
  <c r="CU32" i="3"/>
  <c r="EI11" i="3"/>
  <c r="BJ24" i="3"/>
  <c r="DU71" i="3"/>
  <c r="AG55" i="3"/>
  <c r="AY76" i="3"/>
  <c r="L71" i="3"/>
  <c r="DP61" i="3"/>
  <c r="BJ59" i="3"/>
  <c r="CE63" i="3"/>
  <c r="CR61" i="3"/>
  <c r="EM53" i="3"/>
  <c r="C67" i="3"/>
  <c r="E89" i="3"/>
  <c r="BP47" i="3"/>
  <c r="EX48" i="3"/>
  <c r="AH56" i="3"/>
  <c r="EJ51" i="3"/>
  <c r="EZ88" i="3"/>
  <c r="AD55" i="3"/>
  <c r="EA24" i="3"/>
  <c r="EC4" i="3"/>
  <c r="EI12" i="3"/>
  <c r="CM91" i="3"/>
  <c r="DL24" i="3"/>
  <c r="CI75" i="3"/>
  <c r="ES4" i="3"/>
  <c r="Y61" i="3"/>
  <c r="CN85" i="3"/>
  <c r="AW49" i="3"/>
  <c r="DH76" i="3"/>
  <c r="CU34" i="3"/>
  <c r="CI68" i="3"/>
  <c r="CA66" i="3"/>
  <c r="AC48" i="3"/>
  <c r="EK75" i="3"/>
  <c r="F77" i="3"/>
  <c r="CS63" i="3"/>
  <c r="CK67" i="3"/>
  <c r="P50" i="3"/>
  <c r="H63" i="3"/>
  <c r="BE60" i="3"/>
  <c r="EX73" i="3"/>
  <c r="DE31" i="3"/>
  <c r="EQ57" i="3"/>
  <c r="AC2" i="3"/>
  <c r="K43" i="3"/>
  <c r="DT64" i="3"/>
  <c r="CB63" i="3"/>
  <c r="DA14" i="3"/>
  <c r="BK27" i="3"/>
  <c r="EO79" i="3"/>
  <c r="EP71" i="3"/>
  <c r="CH26" i="3"/>
  <c r="F90" i="3"/>
  <c r="BN74" i="3"/>
  <c r="BO26" i="3"/>
  <c r="AT70" i="3"/>
  <c r="DC55" i="3"/>
  <c r="BO86" i="3"/>
  <c r="DE39" i="3"/>
  <c r="CX65" i="3"/>
  <c r="CO56" i="3"/>
  <c r="DS61" i="3"/>
  <c r="AU68" i="3"/>
  <c r="Y37" i="3"/>
  <c r="ET61" i="3"/>
  <c r="AD60" i="3"/>
  <c r="EY89" i="3"/>
  <c r="CO71" i="3"/>
  <c r="DA62" i="3"/>
  <c r="H17" i="3"/>
  <c r="BT61" i="3"/>
  <c r="DI12" i="3"/>
  <c r="Q89" i="3"/>
  <c r="AN43" i="3"/>
  <c r="DV57" i="3"/>
  <c r="BP58" i="3"/>
  <c r="EF47" i="3"/>
  <c r="EA41" i="3"/>
  <c r="CE78" i="3"/>
  <c r="EV51" i="3"/>
  <c r="AD88" i="3"/>
  <c r="EL41" i="3"/>
  <c r="AH39" i="3"/>
  <c r="FE86" i="3"/>
  <c r="EY65" i="3"/>
  <c r="DE49" i="3"/>
  <c r="AO56" i="3"/>
  <c r="S60" i="3"/>
  <c r="I88" i="3"/>
  <c r="AG88" i="3"/>
  <c r="DI28" i="3"/>
  <c r="EY73" i="3"/>
  <c r="ER30" i="3"/>
  <c r="BV50" i="3"/>
  <c r="BD47" i="3"/>
  <c r="EC69" i="3"/>
  <c r="AM69" i="3"/>
  <c r="AK69" i="3"/>
  <c r="CH27" i="3"/>
  <c r="BL39" i="3"/>
  <c r="BR72" i="3"/>
  <c r="DR58" i="3"/>
  <c r="EL43" i="3"/>
  <c r="DX84" i="3"/>
  <c r="FA54" i="3"/>
  <c r="CM80" i="3"/>
  <c r="AG13" i="3"/>
  <c r="AO34" i="3"/>
  <c r="DS2" i="3"/>
  <c r="FA27" i="3"/>
  <c r="O17" i="3"/>
  <c r="C70" i="3"/>
  <c r="S59" i="3"/>
  <c r="CY55" i="3"/>
  <c r="W53" i="3"/>
  <c r="EQ65" i="3"/>
  <c r="AE45" i="3"/>
  <c r="CT28" i="3"/>
  <c r="FD60" i="3"/>
  <c r="AW42" i="3"/>
  <c r="BE86" i="3"/>
  <c r="AV88" i="3"/>
  <c r="CQ55" i="3"/>
  <c r="AW89" i="3"/>
  <c r="U34" i="3"/>
  <c r="BD13" i="3"/>
  <c r="F26" i="3"/>
  <c r="W75" i="3"/>
  <c r="CC81" i="3"/>
  <c r="Z85" i="3"/>
  <c r="EZ48" i="3"/>
  <c r="ET53" i="3"/>
  <c r="BV68" i="3"/>
  <c r="CR71" i="3"/>
  <c r="DI84" i="3"/>
  <c r="EK34" i="3"/>
  <c r="CF55" i="3"/>
  <c r="CD50" i="3"/>
  <c r="B90" i="3"/>
  <c r="N75" i="3"/>
  <c r="AS14" i="3"/>
  <c r="EF62" i="3"/>
  <c r="L46" i="3"/>
  <c r="BU14" i="3"/>
  <c r="EV85" i="3"/>
  <c r="F39" i="3"/>
  <c r="R43" i="3"/>
  <c r="CA15" i="3"/>
  <c r="CD63" i="3"/>
  <c r="CL63" i="3"/>
  <c r="B45" i="3"/>
  <c r="DF58" i="3"/>
  <c r="EP32" i="3"/>
  <c r="D28" i="3"/>
  <c r="DA16" i="3"/>
  <c r="CP12" i="3"/>
  <c r="CY22" i="3"/>
  <c r="BS86" i="3"/>
  <c r="DC60" i="3"/>
  <c r="AU50" i="3"/>
  <c r="EO54" i="3"/>
  <c r="EW63" i="3"/>
  <c r="EP75" i="3"/>
  <c r="EC13" i="3"/>
  <c r="EH28" i="3"/>
  <c r="CD84" i="3"/>
  <c r="DA23" i="3"/>
  <c r="DF49" i="3"/>
  <c r="B34" i="3"/>
  <c r="BV49" i="3"/>
  <c r="ES83" i="3"/>
  <c r="CB42" i="3"/>
  <c r="BC68" i="3"/>
  <c r="DE14" i="3"/>
  <c r="CY17" i="3"/>
  <c r="CI6" i="3"/>
  <c r="F23" i="3"/>
  <c r="CF88" i="3"/>
  <c r="CD3" i="3"/>
  <c r="AI64" i="3"/>
  <c r="B38" i="3"/>
  <c r="BE51" i="3"/>
  <c r="FA52" i="3"/>
  <c r="R31" i="3"/>
  <c r="ES11" i="3"/>
  <c r="AP8" i="3"/>
  <c r="CP72" i="3"/>
  <c r="CJ20" i="3"/>
  <c r="DB68" i="3"/>
  <c r="BO62" i="3"/>
  <c r="DL72" i="3"/>
  <c r="F44" i="3"/>
  <c r="BP30" i="3"/>
  <c r="CC50" i="3"/>
  <c r="CA60" i="3"/>
  <c r="BE52" i="3"/>
  <c r="ER50" i="3"/>
  <c r="EF44" i="3"/>
  <c r="CA67" i="3"/>
  <c r="CR59" i="3"/>
  <c r="N31" i="3"/>
  <c r="AV70" i="3"/>
  <c r="AN90" i="3"/>
  <c r="AN35" i="3"/>
  <c r="Q56" i="3"/>
  <c r="EY57" i="3"/>
  <c r="CA13" i="3"/>
  <c r="AH59" i="3"/>
  <c r="S49" i="3"/>
  <c r="ED50" i="3"/>
  <c r="AB38" i="3"/>
  <c r="CP91" i="3"/>
  <c r="BR60" i="3"/>
  <c r="AN68" i="3"/>
  <c r="BK32" i="3"/>
  <c r="ET58" i="3"/>
  <c r="BP72" i="3"/>
  <c r="BO76" i="3"/>
  <c r="C56" i="3"/>
  <c r="BA49" i="3"/>
  <c r="DX10" i="3"/>
  <c r="DH18" i="3"/>
  <c r="EG14" i="3"/>
  <c r="W59" i="3"/>
  <c r="CI21" i="3"/>
  <c r="BX39" i="3"/>
  <c r="CI83" i="3"/>
  <c r="AM84" i="3"/>
  <c r="AR87" i="3"/>
  <c r="E76" i="3"/>
  <c r="EX81" i="3"/>
  <c r="CH90" i="3"/>
  <c r="AX58" i="3"/>
  <c r="AM54" i="3"/>
  <c r="EW65" i="3"/>
  <c r="EI22" i="3"/>
  <c r="FC4" i="3"/>
  <c r="AQ5" i="3"/>
  <c r="DZ28" i="3"/>
  <c r="V18" i="3"/>
  <c r="ES33" i="3"/>
  <c r="EB66" i="3"/>
  <c r="BF76" i="3"/>
  <c r="G81" i="3"/>
  <c r="CX25" i="3"/>
  <c r="FB59" i="3"/>
  <c r="CI47" i="3"/>
  <c r="DJ61" i="3"/>
  <c r="EJ40" i="3"/>
  <c r="EB40" i="3"/>
  <c r="CE22" i="3"/>
  <c r="U88" i="3"/>
  <c r="CA51" i="3"/>
  <c r="FA67" i="3"/>
  <c r="CZ13" i="3"/>
  <c r="ES59" i="3"/>
  <c r="CT23" i="3"/>
  <c r="CF14" i="3"/>
  <c r="AA65" i="3"/>
  <c r="EU43" i="3"/>
  <c r="BW13" i="3"/>
  <c r="BD46" i="3"/>
  <c r="EK78" i="3"/>
  <c r="DT68" i="3"/>
  <c r="CB64" i="3"/>
  <c r="CX66" i="3"/>
  <c r="C63" i="3"/>
  <c r="H70" i="3"/>
  <c r="C73" i="3"/>
  <c r="CP36" i="3"/>
  <c r="AW48" i="3"/>
  <c r="CF63" i="3"/>
  <c r="CN63" i="3"/>
  <c r="EP72" i="3"/>
  <c r="DN19" i="3"/>
  <c r="N79" i="3"/>
  <c r="CE30" i="3"/>
  <c r="CP50" i="3"/>
  <c r="BX82" i="3"/>
  <c r="EI64" i="3"/>
  <c r="BB53" i="3"/>
  <c r="EU2" i="3"/>
  <c r="J54" i="3"/>
  <c r="AS66" i="3"/>
  <c r="K50" i="3"/>
  <c r="EK64" i="3"/>
  <c r="DA82" i="3"/>
  <c r="AM32" i="3"/>
  <c r="DH17" i="3"/>
  <c r="DQ18" i="3"/>
  <c r="J41" i="3"/>
  <c r="N39" i="3"/>
  <c r="BJ58" i="3"/>
  <c r="EH44" i="3"/>
  <c r="CI17" i="3"/>
  <c r="H87" i="3"/>
  <c r="G42" i="3"/>
  <c r="EX86" i="3"/>
  <c r="DQ63" i="3"/>
  <c r="CR37" i="3"/>
  <c r="CV30" i="3"/>
  <c r="CS39" i="3"/>
  <c r="ER59" i="3"/>
  <c r="BX46" i="3"/>
  <c r="EI46" i="3"/>
  <c r="EK62" i="3"/>
  <c r="BK22" i="3"/>
  <c r="EX88" i="3"/>
  <c r="DE11" i="3"/>
  <c r="DZ27" i="3"/>
  <c r="D16" i="3"/>
  <c r="AH29" i="3"/>
  <c r="DH3" i="3"/>
  <c r="AH24" i="3"/>
  <c r="BQ88" i="3"/>
  <c r="AV90" i="3"/>
  <c r="DP39" i="3"/>
  <c r="AD58" i="3"/>
  <c r="V45" i="3"/>
  <c r="EM70" i="3"/>
  <c r="AF3" i="3"/>
  <c r="DS4" i="3"/>
  <c r="CK15" i="3"/>
  <c r="FA18" i="3"/>
  <c r="BR40" i="3"/>
  <c r="I40" i="3"/>
  <c r="DO50" i="3"/>
  <c r="EE59" i="3"/>
  <c r="AW67" i="3"/>
  <c r="EX43" i="3"/>
  <c r="FD79" i="3"/>
  <c r="FB78" i="3"/>
  <c r="DW42" i="3"/>
  <c r="CI69" i="3"/>
  <c r="Z38" i="3"/>
  <c r="Q2" i="3"/>
  <c r="BY14" i="3"/>
  <c r="BD51" i="3"/>
  <c r="BJ42" i="3"/>
  <c r="CN61" i="3"/>
  <c r="DE84" i="3"/>
  <c r="ET82" i="3"/>
  <c r="AX47" i="3"/>
  <c r="CQ86" i="3"/>
  <c r="BE35" i="3"/>
  <c r="DG79" i="3"/>
  <c r="CT37" i="3"/>
  <c r="BM22" i="3"/>
  <c r="EA16" i="3"/>
  <c r="ES16" i="3"/>
  <c r="D55" i="3"/>
  <c r="DM69" i="3"/>
  <c r="CV53" i="3"/>
  <c r="EE53" i="3"/>
  <c r="CN79" i="3"/>
  <c r="AR43" i="3"/>
  <c r="CW36" i="3"/>
  <c r="DG47" i="3"/>
  <c r="ER63" i="3"/>
  <c r="I46" i="3"/>
  <c r="DX53" i="3"/>
  <c r="FE41" i="3"/>
  <c r="CF16" i="3"/>
  <c r="AN73" i="3"/>
  <c r="BG66" i="3"/>
  <c r="S12" i="3"/>
  <c r="AM19" i="3"/>
  <c r="BS15" i="3"/>
  <c r="DO13" i="3"/>
  <c r="CF86" i="3"/>
  <c r="EG52" i="3"/>
  <c r="Z79" i="3"/>
  <c r="FE49" i="3"/>
  <c r="AB90" i="3"/>
  <c r="M45" i="3"/>
  <c r="S48" i="3"/>
  <c r="ER68" i="3"/>
  <c r="FD56" i="3"/>
  <c r="T27" i="3"/>
  <c r="BT8" i="3"/>
  <c r="EQ15" i="3"/>
  <c r="N32" i="3"/>
  <c r="AS19" i="3"/>
  <c r="U18" i="3"/>
  <c r="F53" i="3"/>
  <c r="O22" i="3"/>
  <c r="DZ51" i="3"/>
  <c r="W11" i="3"/>
  <c r="BM89" i="3"/>
  <c r="EM82" i="3"/>
  <c r="J33" i="3"/>
  <c r="DP71" i="3"/>
  <c r="Q52" i="3"/>
  <c r="BU7" i="3"/>
  <c r="BN21" i="3"/>
  <c r="EX52" i="3"/>
  <c r="DU22" i="3"/>
  <c r="EX45" i="3"/>
  <c r="DY66" i="3"/>
  <c r="BX23" i="3"/>
  <c r="EI54" i="3"/>
  <c r="AE57" i="3"/>
  <c r="DQ23" i="3"/>
  <c r="DY7" i="3"/>
  <c r="U6" i="3"/>
  <c r="G39" i="3"/>
  <c r="FD30" i="3"/>
  <c r="N87" i="3"/>
  <c r="AL63" i="3"/>
  <c r="ES82" i="3"/>
  <c r="CS8" i="3"/>
  <c r="EX15" i="3"/>
  <c r="CH2" i="3"/>
  <c r="DB35" i="3"/>
  <c r="D82" i="3"/>
  <c r="FD80" i="3"/>
  <c r="CU76" i="3"/>
  <c r="ET27" i="3"/>
  <c r="F33" i="3"/>
  <c r="BQ22" i="3"/>
  <c r="DH4" i="3"/>
  <c r="EL53" i="3"/>
  <c r="CI76" i="3"/>
  <c r="CM11" i="3"/>
  <c r="FD55" i="3"/>
  <c r="EV87" i="3"/>
  <c r="DH25" i="3"/>
  <c r="BJ53" i="3"/>
  <c r="CQ63" i="3"/>
  <c r="BU58" i="3"/>
  <c r="EL46" i="3"/>
  <c r="AD37" i="3"/>
  <c r="P30" i="3"/>
  <c r="EU63" i="3"/>
  <c r="CD33" i="3"/>
  <c r="CF22" i="3"/>
  <c r="BT68" i="3"/>
  <c r="EV86" i="3"/>
  <c r="FC88" i="3"/>
  <c r="BU77" i="3"/>
  <c r="CM12" i="3"/>
  <c r="P10" i="3"/>
  <c r="S21" i="3"/>
  <c r="EY16" i="3"/>
  <c r="ES17" i="3"/>
  <c r="EU54" i="3"/>
  <c r="FA47" i="3"/>
  <c r="BN22" i="3"/>
  <c r="C59" i="3"/>
  <c r="AN63" i="3"/>
  <c r="EJ71" i="3"/>
  <c r="BD49" i="3"/>
  <c r="D70" i="3"/>
  <c r="DC80" i="3"/>
  <c r="C51" i="3"/>
  <c r="EP63" i="3"/>
  <c r="CV85" i="3"/>
  <c r="C45" i="3"/>
  <c r="Q51" i="3"/>
  <c r="DS24" i="3"/>
  <c r="EE5" i="3"/>
  <c r="AW53" i="3"/>
  <c r="G53" i="3"/>
  <c r="AH86" i="3"/>
  <c r="BO80" i="3"/>
  <c r="BS76" i="3"/>
  <c r="AB63" i="3"/>
  <c r="G61" i="3"/>
  <c r="H67" i="3"/>
  <c r="EQ53" i="3"/>
  <c r="BQ28" i="3"/>
  <c r="FE62" i="3"/>
  <c r="EL66" i="3"/>
  <c r="CR33" i="3"/>
  <c r="AP71" i="3"/>
  <c r="B88" i="3"/>
  <c r="CB17" i="3"/>
  <c r="AK57" i="3"/>
  <c r="BL72" i="3"/>
  <c r="BN68" i="3"/>
  <c r="DD62" i="3"/>
  <c r="CM55" i="3"/>
  <c r="EN55" i="3"/>
  <c r="BC42" i="3"/>
  <c r="CS64" i="3"/>
  <c r="AX26" i="3"/>
  <c r="AO40" i="3"/>
  <c r="CR19" i="3"/>
  <c r="CK82" i="3"/>
  <c r="I10" i="3"/>
  <c r="BO15" i="3"/>
  <c r="FD39" i="3"/>
  <c r="CW11" i="3"/>
  <c r="EL26" i="3"/>
  <c r="AK60" i="3"/>
  <c r="BT81" i="3"/>
  <c r="DB67" i="3"/>
  <c r="BM82" i="3"/>
  <c r="EG62" i="3"/>
  <c r="CF21" i="3"/>
  <c r="EQ60" i="3"/>
  <c r="EC89" i="3"/>
  <c r="CS4" i="3"/>
  <c r="Q26" i="3"/>
  <c r="BO12" i="3"/>
  <c r="EW53" i="3"/>
  <c r="CI50" i="3"/>
  <c r="C50" i="3"/>
  <c r="CM54" i="3"/>
  <c r="AE67" i="3"/>
  <c r="CI51" i="3"/>
  <c r="R78" i="3"/>
  <c r="EZ41" i="3"/>
  <c r="DY69" i="3"/>
  <c r="H78" i="3"/>
  <c r="BK71" i="3"/>
  <c r="FB15" i="3"/>
  <c r="DD5" i="3"/>
  <c r="EM62" i="3"/>
  <c r="DA67" i="3"/>
  <c r="DY54" i="3"/>
  <c r="AA17" i="3"/>
  <c r="EU46" i="3"/>
  <c r="CS26" i="3"/>
  <c r="DL82" i="3"/>
  <c r="B51" i="3"/>
  <c r="CJ43" i="3"/>
  <c r="AQ13" i="3"/>
  <c r="CY3" i="3"/>
  <c r="DV5" i="3"/>
  <c r="F12" i="3"/>
  <c r="FB18" i="3"/>
  <c r="V56" i="3"/>
  <c r="FC89" i="3"/>
  <c r="CJ18" i="3"/>
  <c r="EF90" i="3"/>
  <c r="F76" i="3"/>
  <c r="CQ76" i="3"/>
  <c r="B27" i="3"/>
  <c r="CW39" i="3"/>
  <c r="BD50" i="3"/>
  <c r="EC90" i="3"/>
  <c r="DB24" i="3"/>
  <c r="AW9" i="3"/>
  <c r="I50" i="3"/>
  <c r="AY43" i="3"/>
  <c r="CX8" i="3"/>
  <c r="EF53" i="3"/>
  <c r="X13" i="3"/>
  <c r="EU7" i="3"/>
  <c r="AH31" i="3"/>
  <c r="BR12" i="3"/>
  <c r="BJ32" i="3"/>
  <c r="BP86" i="3"/>
  <c r="AV52" i="3"/>
  <c r="EH60" i="3"/>
  <c r="FD53" i="3"/>
  <c r="EN8" i="3"/>
  <c r="EF13" i="3"/>
  <c r="EF63" i="3"/>
  <c r="EX39" i="3"/>
  <c r="CJ36" i="3"/>
  <c r="U81" i="3"/>
  <c r="EJ49" i="3"/>
  <c r="Y36" i="3"/>
  <c r="BD60" i="3"/>
  <c r="EO59" i="3"/>
  <c r="AE69" i="3"/>
  <c r="CM6" i="3"/>
  <c r="L36" i="3"/>
  <c r="AN8" i="3"/>
  <c r="CL8" i="3"/>
  <c r="CT6" i="3"/>
  <c r="DP14" i="3"/>
  <c r="CC15" i="3"/>
  <c r="AM50" i="3"/>
  <c r="AN41" i="3"/>
  <c r="BI23" i="3"/>
  <c r="CG24" i="3"/>
  <c r="V37" i="3"/>
  <c r="EJ20" i="3"/>
  <c r="D3" i="3"/>
  <c r="AM28" i="3"/>
  <c r="AY33" i="3"/>
  <c r="AP29" i="3"/>
  <c r="EP90" i="3"/>
  <c r="BV59" i="3"/>
  <c r="BY66" i="3"/>
  <c r="F86" i="3"/>
  <c r="EF66" i="3"/>
  <c r="BQ13" i="3"/>
  <c r="EU28" i="3"/>
  <c r="EP12" i="3"/>
  <c r="EU84" i="3"/>
  <c r="X36" i="3"/>
  <c r="CD65" i="3"/>
  <c r="BB45" i="3"/>
  <c r="FA85" i="3"/>
  <c r="CL16" i="3"/>
  <c r="CX15" i="3"/>
  <c r="AO27" i="3"/>
  <c r="EW37" i="3"/>
  <c r="DY11" i="3"/>
  <c r="EV60" i="3"/>
  <c r="EX12" i="3"/>
  <c r="ED56" i="3"/>
  <c r="DY20" i="3"/>
  <c r="EQ68" i="3"/>
  <c r="F64" i="3"/>
  <c r="AZ58" i="3"/>
  <c r="F61" i="3"/>
  <c r="AA20" i="3"/>
  <c r="FC11" i="3"/>
  <c r="EU23" i="3"/>
  <c r="DK2" i="3"/>
  <c r="FE66" i="3"/>
  <c r="AF27" i="3"/>
  <c r="F85" i="3"/>
  <c r="AI75" i="3"/>
  <c r="DL17" i="3"/>
  <c r="EE9" i="3"/>
  <c r="AM8" i="3"/>
  <c r="BO14" i="3"/>
  <c r="EE64" i="3"/>
  <c r="AM43" i="3"/>
  <c r="B66" i="3"/>
  <c r="BA63" i="3"/>
  <c r="EN66" i="3"/>
  <c r="G51" i="3"/>
  <c r="DG53" i="3"/>
  <c r="EP47" i="3"/>
  <c r="C11" i="3"/>
  <c r="EW8" i="3"/>
  <c r="U32" i="3"/>
  <c r="FC26" i="3"/>
  <c r="ER83" i="3"/>
  <c r="FB51" i="3"/>
  <c r="K28" i="3"/>
  <c r="EW73" i="3"/>
  <c r="C55" i="3"/>
  <c r="BI53" i="3"/>
  <c r="W23" i="3"/>
  <c r="FA6" i="3"/>
  <c r="AX87" i="3"/>
  <c r="FB37" i="3"/>
  <c r="AB54" i="3"/>
  <c r="X37" i="3"/>
  <c r="BD27" i="3"/>
  <c r="CD15" i="3"/>
  <c r="N52" i="3"/>
  <c r="BT27" i="3"/>
  <c r="DQ87" i="3"/>
  <c r="EO53" i="3"/>
  <c r="CZ24" i="3"/>
  <c r="C48" i="3"/>
  <c r="CD23" i="3"/>
  <c r="BU71" i="3"/>
  <c r="AU10" i="3"/>
  <c r="EN70" i="3"/>
  <c r="CK77" i="3"/>
  <c r="FA77" i="3"/>
  <c r="CO73" i="3"/>
  <c r="ET76" i="3"/>
  <c r="EN83" i="3"/>
  <c r="BJ21" i="3"/>
  <c r="AH35" i="3"/>
  <c r="DA5" i="3"/>
  <c r="V21" i="3"/>
  <c r="ER56" i="3"/>
  <c r="AH66" i="3"/>
  <c r="CY45" i="3"/>
  <c r="BH24" i="3"/>
  <c r="EK84" i="3"/>
  <c r="ER67" i="3"/>
  <c r="D52" i="3"/>
  <c r="BA42" i="3"/>
  <c r="H66" i="3"/>
  <c r="CX83" i="3"/>
  <c r="M62" i="3"/>
  <c r="CJ9" i="3"/>
  <c r="T14" i="3"/>
  <c r="G66" i="3"/>
  <c r="N58" i="3"/>
  <c r="EB62" i="3"/>
  <c r="BJ65" i="3"/>
  <c r="EQ38" i="3"/>
  <c r="DY25" i="3"/>
  <c r="R37" i="3"/>
  <c r="Z74" i="3"/>
  <c r="AJ28" i="3"/>
  <c r="CS50" i="3"/>
  <c r="CN15" i="3"/>
  <c r="BZ63" i="3"/>
  <c r="CY21" i="3"/>
  <c r="EZ54" i="3"/>
  <c r="EV12" i="3"/>
  <c r="CY16" i="3"/>
  <c r="CS22" i="3"/>
  <c r="CH12" i="3"/>
  <c r="EM54" i="3"/>
  <c r="BO11" i="3"/>
  <c r="BU49" i="3"/>
  <c r="FB79" i="3"/>
  <c r="R61" i="3"/>
  <c r="AW58" i="3"/>
  <c r="CT13" i="3"/>
  <c r="AH37" i="3"/>
  <c r="BR45" i="3"/>
  <c r="FD20" i="3"/>
  <c r="EP27" i="3"/>
  <c r="CO60" i="3"/>
  <c r="I82" i="3"/>
  <c r="FC83" i="3"/>
  <c r="FA30" i="3"/>
  <c r="FB23" i="3"/>
  <c r="EA42" i="3"/>
  <c r="CB25" i="3"/>
  <c r="X60" i="3"/>
  <c r="S63" i="3"/>
  <c r="EJ65" i="3"/>
  <c r="BZ23" i="3"/>
  <c r="C85" i="3"/>
  <c r="CQ25" i="3"/>
  <c r="EU65" i="3"/>
  <c r="EZ11" i="3"/>
  <c r="FB21" i="3"/>
  <c r="ES39" i="3"/>
  <c r="ED25" i="3"/>
  <c r="AL58" i="3"/>
  <c r="FE21" i="3"/>
  <c r="DZ32" i="3"/>
  <c r="O10" i="3"/>
  <c r="ES77" i="3"/>
  <c r="BU61" i="3"/>
  <c r="EY62" i="3"/>
  <c r="EN63" i="3"/>
  <c r="AE28" i="3"/>
  <c r="R83" i="3"/>
  <c r="DR88" i="3"/>
  <c r="CE15" i="3"/>
  <c r="CI78" i="3"/>
  <c r="EH55" i="3"/>
  <c r="CA14" i="3"/>
  <c r="ER42" i="3"/>
  <c r="EH38" i="3"/>
  <c r="F36" i="3"/>
  <c r="DL27" i="3"/>
  <c r="ED7" i="3"/>
  <c r="BJ54" i="3"/>
  <c r="K48" i="3"/>
  <c r="DQ14" i="3"/>
  <c r="BJ7" i="3"/>
  <c r="BF59" i="3"/>
  <c r="DQ13" i="3"/>
  <c r="EN50" i="3"/>
  <c r="AB37" i="3"/>
  <c r="DS65" i="3"/>
  <c r="BP6" i="3"/>
  <c r="K38" i="3"/>
  <c r="K23" i="3"/>
  <c r="EY75" i="3"/>
  <c r="ER40" i="3"/>
  <c r="FC66" i="3"/>
  <c r="AM82" i="3"/>
  <c r="BG51" i="3"/>
  <c r="EU49" i="3"/>
  <c r="DB10" i="3"/>
  <c r="AO16" i="3"/>
  <c r="CY66" i="3"/>
  <c r="AP25" i="3"/>
  <c r="EL75" i="3"/>
  <c r="FC64" i="3"/>
  <c r="BD15" i="3"/>
  <c r="BT20" i="3"/>
  <c r="P57" i="3"/>
  <c r="ET49" i="3"/>
  <c r="EE63" i="3"/>
  <c r="CN18" i="3"/>
  <c r="U36" i="3"/>
  <c r="M9" i="3"/>
  <c r="EG34" i="3"/>
  <c r="EE32" i="3"/>
  <c r="S13" i="3"/>
  <c r="S54" i="3"/>
  <c r="EK86" i="3"/>
  <c r="G27" i="3"/>
  <c r="DQ12" i="3"/>
  <c r="ES81" i="3"/>
  <c r="BW56" i="3"/>
  <c r="EO74" i="3"/>
  <c r="CG11" i="3"/>
  <c r="EW83" i="3"/>
  <c r="H45" i="3"/>
  <c r="EB58" i="3"/>
  <c r="W42" i="3"/>
  <c r="CB46" i="3"/>
  <c r="BF2" i="3"/>
  <c r="DK33" i="3"/>
  <c r="FA36" i="3"/>
  <c r="W3" i="3"/>
  <c r="CC8" i="3"/>
  <c r="EW39" i="3"/>
  <c r="DN15" i="3"/>
  <c r="BP5" i="3"/>
  <c r="EM69" i="3"/>
  <c r="DJ38" i="3"/>
  <c r="DD61" i="3"/>
  <c r="ES70" i="3"/>
  <c r="DC28" i="3"/>
  <c r="BM50" i="3"/>
  <c r="AK30" i="3"/>
  <c r="M16" i="3"/>
  <c r="CQ23" i="3"/>
  <c r="AF53" i="3"/>
  <c r="EI30" i="3"/>
  <c r="H82" i="3"/>
  <c r="Y40" i="3"/>
  <c r="J10" i="3"/>
  <c r="G46" i="3"/>
  <c r="CE16" i="3"/>
  <c r="AL9" i="3"/>
  <c r="G71" i="3"/>
  <c r="CN49" i="3"/>
  <c r="BO19" i="3"/>
  <c r="FE63" i="3"/>
  <c r="EF60" i="3"/>
  <c r="W8" i="3"/>
  <c r="FB43" i="3"/>
  <c r="T19" i="3"/>
  <c r="EV58" i="3"/>
  <c r="E15" i="3"/>
  <c r="DX21" i="3"/>
  <c r="HP7" i="1" a="1"/>
  <c r="HP7" i="1" s="1"/>
  <c r="GI10" i="1" a="1"/>
  <c r="GI10" i="1" s="1"/>
  <c r="GL10" i="1" s="1"/>
  <c r="GM10" i="1" s="1"/>
  <c r="GI7" i="1" a="1"/>
  <c r="GI7" i="1" s="1"/>
  <c r="GL7" i="1" s="1"/>
  <c r="GM7" i="1" s="1"/>
  <c r="GI9" i="1" a="1"/>
  <c r="GI9" i="1" s="1"/>
  <c r="GL9" i="1" s="1"/>
  <c r="GM9" i="1" s="1"/>
  <c r="GI15" i="1" a="1"/>
  <c r="GI15" i="1" s="1"/>
  <c r="GL15" i="1" s="1"/>
  <c r="GM15" i="1" s="1"/>
  <c r="HI6" i="1" a="1"/>
  <c r="HI6" i="1" s="1"/>
  <c r="HL10" i="1" a="1"/>
  <c r="HL10" i="1" s="1"/>
  <c r="GI11" i="1" a="1"/>
  <c r="GI11" i="1" s="1"/>
  <c r="GL11" i="1" s="1"/>
  <c r="GM11" i="1" s="1"/>
  <c r="GI19" i="1" a="1"/>
  <c r="GI19" i="1" s="1"/>
  <c r="GL19" i="1" s="1"/>
  <c r="GM19" i="1" s="1"/>
  <c r="GI13" i="1" a="1"/>
  <c r="GI13" i="1" s="1"/>
  <c r="GL13" i="1" s="1"/>
  <c r="GM13" i="1" s="1"/>
  <c r="GI12" i="1" a="1"/>
  <c r="GI12" i="1" s="1"/>
  <c r="GL12" i="1" s="1"/>
  <c r="GM12" i="1" s="1"/>
  <c r="GI17" i="1" a="1"/>
  <c r="GI17" i="1" s="1"/>
  <c r="GL17" i="1" s="1"/>
  <c r="GM17" i="1" s="1"/>
  <c r="GI16" i="1" a="1"/>
  <c r="GI16" i="1" s="1"/>
  <c r="GL16" i="1" s="1"/>
  <c r="GM16" i="1" s="1"/>
  <c r="GI18" i="1" a="1"/>
  <c r="GI18" i="1" s="1"/>
  <c r="GL18" i="1" s="1"/>
  <c r="GM18" i="1" s="1"/>
  <c r="GI23" i="1" a="1"/>
  <c r="GI23" i="1" s="1"/>
  <c r="GL23" i="1" s="1"/>
  <c r="GM23" i="1" s="1"/>
  <c r="GI24" i="1" a="1"/>
  <c r="GI24" i="1" s="1"/>
  <c r="GL24" i="1" s="1"/>
  <c r="GM24" i="1" s="1"/>
  <c r="HK8" i="1" a="1"/>
  <c r="HK8" i="1" s="1"/>
  <c r="HL23" i="1" a="1"/>
  <c r="HL23" i="1" s="1"/>
  <c r="HN23" i="1" a="1"/>
  <c r="HN23" i="1" s="1"/>
  <c r="HH23" i="1" a="1"/>
  <c r="HH23" i="1" s="1"/>
  <c r="HJ23" i="1" a="1"/>
  <c r="HJ23" i="1" s="1"/>
  <c r="HK23" i="1" a="1"/>
  <c r="HK23" i="1" s="1"/>
  <c r="HQ23" i="1" a="1"/>
  <c r="HQ23" i="1" s="1"/>
  <c r="HM23" i="1" a="1"/>
  <c r="HM23" i="1" s="1"/>
  <c r="HI23" i="1" a="1"/>
  <c r="HI23" i="1" s="1"/>
  <c r="HO23" i="1" a="1"/>
  <c r="HO23" i="1" s="1"/>
  <c r="HP23" i="1" a="1"/>
  <c r="HP23" i="1" s="1"/>
  <c r="HM6" i="1" a="1"/>
  <c r="HM6" i="1" s="1"/>
  <c r="HJ10" i="1" a="1"/>
  <c r="HJ10" i="1" s="1"/>
  <c r="HP10" i="1" a="1"/>
  <c r="HP10" i="1" s="1"/>
  <c r="HK7" i="1" a="1"/>
  <c r="HK7" i="1" s="1"/>
  <c r="HI18" i="1" a="1"/>
  <c r="HI18" i="1" s="1"/>
  <c r="HN18" i="1" a="1"/>
  <c r="HN18" i="1" s="1"/>
  <c r="HP18" i="1" a="1"/>
  <c r="HP18" i="1" s="1"/>
  <c r="HJ18" i="1" a="1"/>
  <c r="HJ18" i="1" s="1"/>
  <c r="HL18" i="1" a="1"/>
  <c r="HL18" i="1" s="1"/>
  <c r="HQ18" i="1" a="1"/>
  <c r="HQ18" i="1" s="1"/>
  <c r="HH18" i="1" a="1"/>
  <c r="HH18" i="1" s="1"/>
  <c r="HM18" i="1" a="1"/>
  <c r="HM18" i="1" s="1"/>
  <c r="HO18" i="1" a="1"/>
  <c r="HO18" i="1" s="1"/>
  <c r="HK18" i="1" a="1"/>
  <c r="HK18" i="1" s="1"/>
  <c r="HJ6" i="1" a="1"/>
  <c r="HJ6" i="1" s="1"/>
  <c r="HQ6" i="1" a="1"/>
  <c r="HQ6" i="1" s="1"/>
  <c r="HN10" i="1" a="1"/>
  <c r="HN10" i="1" s="1"/>
  <c r="HI7" i="1" a="1"/>
  <c r="HI7" i="1" s="1"/>
  <c r="HQ9" i="1" a="1"/>
  <c r="HQ9" i="1" s="1"/>
  <c r="HM9" i="1" a="1"/>
  <c r="HM9" i="1" s="1"/>
  <c r="HI9" i="1" a="1"/>
  <c r="HI9" i="1" s="1"/>
  <c r="HK9" i="1" a="1"/>
  <c r="HK9" i="1" s="1"/>
  <c r="HP9" i="1" a="1"/>
  <c r="HP9" i="1" s="1"/>
  <c r="HL9" i="1" a="1"/>
  <c r="HL9" i="1" s="1"/>
  <c r="HN9" i="1" a="1"/>
  <c r="HN9" i="1" s="1"/>
  <c r="HH9" i="1" a="1"/>
  <c r="HH9" i="1" s="1"/>
  <c r="HJ9" i="1" a="1"/>
  <c r="HJ9" i="1" s="1"/>
  <c r="HO9" i="1" a="1"/>
  <c r="HO9" i="1" s="1"/>
  <c r="HN6" i="1" a="1"/>
  <c r="HN6" i="1" s="1"/>
  <c r="HH6" i="1" a="1"/>
  <c r="HH6" i="1" s="1"/>
  <c r="HI10" i="1" a="1"/>
  <c r="HI10" i="1" s="1"/>
  <c r="HM7" i="1" a="1"/>
  <c r="HM7" i="1" s="1"/>
  <c r="HK6" i="1" a="1"/>
  <c r="HK6" i="1" s="1"/>
  <c r="HK10" i="1" a="1"/>
  <c r="HK10" i="1" s="1"/>
  <c r="HQ7" i="1" a="1"/>
  <c r="HQ7" i="1" s="1"/>
  <c r="HL15" i="1" a="1"/>
  <c r="HL15" i="1" s="1"/>
  <c r="HN15" i="1" a="1"/>
  <c r="HN15" i="1" s="1"/>
  <c r="HH15" i="1" a="1"/>
  <c r="HH15" i="1" s="1"/>
  <c r="HJ15" i="1" a="1"/>
  <c r="HJ15" i="1" s="1"/>
  <c r="HO15" i="1" a="1"/>
  <c r="HO15" i="1" s="1"/>
  <c r="HQ15" i="1" a="1"/>
  <c r="HQ15" i="1" s="1"/>
  <c r="HM15" i="1" a="1"/>
  <c r="HM15" i="1" s="1"/>
  <c r="HI15" i="1" a="1"/>
  <c r="HI15" i="1" s="1"/>
  <c r="HK15" i="1" a="1"/>
  <c r="HK15" i="1" s="1"/>
  <c r="HP15" i="1" a="1"/>
  <c r="HP15" i="1" s="1"/>
  <c r="HO6" i="1" a="1"/>
  <c r="HO6" i="1" s="1"/>
  <c r="HO10" i="1" a="1"/>
  <c r="HO10" i="1" s="1"/>
  <c r="HO7" i="1" a="1"/>
  <c r="HO7" i="1" s="1"/>
  <c r="HJ7" i="1" a="1"/>
  <c r="HJ7" i="1" s="1"/>
  <c r="HO12" i="1" a="1"/>
  <c r="HO12" i="1" s="1"/>
  <c r="HK12" i="1" a="1"/>
  <c r="HK12" i="1" s="1"/>
  <c r="HM12" i="1" a="1"/>
  <c r="HM12" i="1" s="1"/>
  <c r="HN12" i="1" a="1"/>
  <c r="HN12" i="1" s="1"/>
  <c r="HJ12" i="1" a="1"/>
  <c r="HJ12" i="1" s="1"/>
  <c r="HP12" i="1" a="1"/>
  <c r="HP12" i="1" s="1"/>
  <c r="HQ12" i="1" a="1"/>
  <c r="HQ12" i="1" s="1"/>
  <c r="HL12" i="1" a="1"/>
  <c r="HL12" i="1" s="1"/>
  <c r="HI12" i="1" a="1"/>
  <c r="HI12" i="1" s="1"/>
  <c r="HH12" i="1" a="1"/>
  <c r="HH12" i="1" s="1"/>
  <c r="HF17" i="1" a="1"/>
  <c r="HF17" i="1" s="1"/>
  <c r="HL17" i="1" a="1"/>
  <c r="HL17" i="1" s="1"/>
  <c r="HN17" i="1" a="1"/>
  <c r="HN17" i="1" s="1"/>
  <c r="HH17" i="1" a="1"/>
  <c r="HH17" i="1" s="1"/>
  <c r="HJ17" i="1" a="1"/>
  <c r="HJ17" i="1" s="1"/>
  <c r="HO17" i="1" a="1"/>
  <c r="HO17" i="1" s="1"/>
  <c r="HQ17" i="1" a="1"/>
  <c r="HQ17" i="1" s="1"/>
  <c r="HM17" i="1" a="1"/>
  <c r="HM17" i="1" s="1"/>
  <c r="HI17" i="1" a="1"/>
  <c r="HI17" i="1" s="1"/>
  <c r="HK17" i="1" a="1"/>
  <c r="HK17" i="1" s="1"/>
  <c r="HP17" i="1" a="1"/>
  <c r="HP17" i="1" s="1"/>
  <c r="HL6" i="1" a="1"/>
  <c r="HL6" i="1" s="1"/>
  <c r="HQ10" i="1" a="1"/>
  <c r="HQ10" i="1" s="1"/>
  <c r="HH7" i="1" a="1"/>
  <c r="HH7" i="1" s="1"/>
  <c r="HN7" i="1" a="1"/>
  <c r="HN7" i="1" s="1"/>
  <c r="HG16" i="1" a="1"/>
  <c r="HG16" i="1" s="1"/>
  <c r="HQ16" i="1" a="1"/>
  <c r="HQ16" i="1" s="1"/>
  <c r="HO16" i="1" a="1"/>
  <c r="HO16" i="1" s="1"/>
  <c r="HK16" i="1" a="1"/>
  <c r="HK16" i="1" s="1"/>
  <c r="HN16" i="1" a="1"/>
  <c r="HN16" i="1" s="1"/>
  <c r="HP16" i="1" a="1"/>
  <c r="HP16" i="1" s="1"/>
  <c r="HJ16" i="1" a="1"/>
  <c r="HJ16" i="1" s="1"/>
  <c r="HL16" i="1" a="1"/>
  <c r="HL16" i="1" s="1"/>
  <c r="HM16" i="1" a="1"/>
  <c r="HM16" i="1" s="1"/>
  <c r="HH16" i="1" a="1"/>
  <c r="HH16" i="1" s="1"/>
  <c r="HI16" i="1" a="1"/>
  <c r="HI16" i="1" s="1"/>
  <c r="GX19" i="1" a="1"/>
  <c r="GX19" i="1" s="1"/>
  <c r="HJ19" i="1" a="1"/>
  <c r="HJ19" i="1" s="1"/>
  <c r="HK19" i="1" a="1"/>
  <c r="HK19" i="1" s="1"/>
  <c r="HO19" i="1" a="1"/>
  <c r="HO19" i="1" s="1"/>
  <c r="HQ19" i="1" a="1"/>
  <c r="HQ19" i="1" s="1"/>
  <c r="HM19" i="1" a="1"/>
  <c r="HM19" i="1" s="1"/>
  <c r="HI19" i="1" a="1"/>
  <c r="HI19" i="1" s="1"/>
  <c r="HP19" i="1" a="1"/>
  <c r="HP19" i="1" s="1"/>
  <c r="HL19" i="1" a="1"/>
  <c r="HL19" i="1" s="1"/>
  <c r="HN19" i="1" a="1"/>
  <c r="HN19" i="1" s="1"/>
  <c r="HH19" i="1" a="1"/>
  <c r="HH19" i="1" s="1"/>
  <c r="HP6" i="1" a="1"/>
  <c r="HP6" i="1" s="1"/>
  <c r="HH10" i="1" a="1"/>
  <c r="HH10" i="1" s="1"/>
  <c r="HL7" i="1" a="1"/>
  <c r="HL7" i="1" s="1"/>
  <c r="HQ24" i="1" a="1"/>
  <c r="HQ24" i="1" s="1"/>
  <c r="HO24" i="1" a="1"/>
  <c r="HO24" i="1" s="1"/>
  <c r="HK24" i="1" a="1"/>
  <c r="HK24" i="1" s="1"/>
  <c r="HN24" i="1" a="1"/>
  <c r="HN24" i="1" s="1"/>
  <c r="HP24" i="1" a="1"/>
  <c r="HP24" i="1" s="1"/>
  <c r="HJ24" i="1" a="1"/>
  <c r="HJ24" i="1" s="1"/>
  <c r="HL24" i="1" a="1"/>
  <c r="HL24" i="1" s="1"/>
  <c r="HM24" i="1" a="1"/>
  <c r="HM24" i="1" s="1"/>
  <c r="HH24" i="1" a="1"/>
  <c r="HH24" i="1" s="1"/>
  <c r="HI24" i="1" a="1"/>
  <c r="HI24" i="1" s="1"/>
  <c r="GX13" i="1" a="1"/>
  <c r="GX13" i="1" s="1"/>
  <c r="HJ13" i="1" a="1"/>
  <c r="HJ13" i="1" s="1"/>
  <c r="HH13" i="1" a="1"/>
  <c r="HH13" i="1" s="1"/>
  <c r="HK13" i="1" a="1"/>
  <c r="HK13" i="1" s="1"/>
  <c r="HQ13" i="1" a="1"/>
  <c r="HQ13" i="1" s="1"/>
  <c r="HM13" i="1" a="1"/>
  <c r="HM13" i="1" s="1"/>
  <c r="HI13" i="1" a="1"/>
  <c r="HI13" i="1" s="1"/>
  <c r="HO13" i="1" a="1"/>
  <c r="HO13" i="1" s="1"/>
  <c r="HP13" i="1" a="1"/>
  <c r="HP13" i="1" s="1"/>
  <c r="HN13" i="1" a="1"/>
  <c r="HN13" i="1" s="1"/>
  <c r="HL13" i="1" a="1"/>
  <c r="HL13" i="1" s="1"/>
  <c r="HF11" i="1" a="1"/>
  <c r="HF11" i="1" s="1"/>
  <c r="HL11" i="1" a="1"/>
  <c r="HL11" i="1" s="1"/>
  <c r="HN11" i="1" a="1"/>
  <c r="HN11" i="1" s="1"/>
  <c r="HH11" i="1" a="1"/>
  <c r="HH11" i="1" s="1"/>
  <c r="HJ11" i="1" a="1"/>
  <c r="HJ11" i="1" s="1"/>
  <c r="HK11" i="1" a="1"/>
  <c r="HK11" i="1" s="1"/>
  <c r="HO11" i="1" a="1"/>
  <c r="HO11" i="1" s="1"/>
  <c r="HQ11" i="1" a="1"/>
  <c r="HQ11" i="1" s="1"/>
  <c r="HM11" i="1" a="1"/>
  <c r="HM11" i="1" s="1"/>
  <c r="HI11" i="1" a="1"/>
  <c r="HI11" i="1" s="1"/>
  <c r="HP11" i="1" a="1"/>
  <c r="HP11" i="1" s="1"/>
  <c r="HM10" i="1" a="1"/>
  <c r="HM10" i="1" s="1"/>
  <c r="HF24" i="1" a="1"/>
  <c r="HF24" i="1" s="1"/>
  <c r="HE24" i="1" a="1"/>
  <c r="HE24" i="1" s="1"/>
  <c r="HB24" i="1" a="1"/>
  <c r="HB24" i="1" s="1"/>
  <c r="HD24" i="1" a="1"/>
  <c r="HD24" i="1" s="1"/>
  <c r="HA24" i="1" a="1"/>
  <c r="HA24" i="1" s="1"/>
  <c r="GZ24" i="1" a="1"/>
  <c r="GZ24" i="1" s="1"/>
  <c r="GX24" i="1" a="1"/>
  <c r="GX24" i="1" s="1"/>
  <c r="HG24" i="1" a="1"/>
  <c r="HG24" i="1" s="1"/>
  <c r="HC24" i="1" a="1"/>
  <c r="HC24" i="1" s="1"/>
  <c r="GY24" i="1" a="1"/>
  <c r="GY24" i="1" s="1"/>
  <c r="GZ17" i="1" a="1"/>
  <c r="GZ17" i="1" s="1"/>
  <c r="HC11" i="1" a="1"/>
  <c r="HC11" i="1" s="1"/>
  <c r="HG13" i="1" a="1"/>
  <c r="HG13" i="1" s="1"/>
  <c r="HB13" i="1" a="1"/>
  <c r="HB13" i="1" s="1"/>
  <c r="GY19" i="1" a="1"/>
  <c r="GY19" i="1" s="1"/>
  <c r="HB19" i="1" a="1"/>
  <c r="HB19" i="1" s="1"/>
  <c r="HA7" i="1" a="1"/>
  <c r="HA7" i="1" s="1"/>
  <c r="GZ7" i="1" a="1"/>
  <c r="GZ7" i="1" s="1"/>
  <c r="GY7" i="1" a="1"/>
  <c r="GY7" i="1" s="1"/>
  <c r="HD7" i="1" a="1"/>
  <c r="HD7" i="1" s="1"/>
  <c r="HF7" i="1" a="1"/>
  <c r="HF7" i="1" s="1"/>
  <c r="HG7" i="1" a="1"/>
  <c r="HG7" i="1" s="1"/>
  <c r="HB7" i="1" a="1"/>
  <c r="HB7" i="1" s="1"/>
  <c r="HC7" i="1" a="1"/>
  <c r="HC7" i="1" s="1"/>
  <c r="GX7" i="1" a="1"/>
  <c r="GX7" i="1" s="1"/>
  <c r="HE7" i="1" a="1"/>
  <c r="HE7" i="1" s="1"/>
  <c r="HD17" i="1" a="1"/>
  <c r="HD17" i="1" s="1"/>
  <c r="HD11" i="1" a="1"/>
  <c r="HD11" i="1" s="1"/>
  <c r="GY13" i="1" a="1"/>
  <c r="GY13" i="1" s="1"/>
  <c r="HF13" i="1" a="1"/>
  <c r="HF13" i="1" s="1"/>
  <c r="GZ19" i="1" a="1"/>
  <c r="GZ19" i="1" s="1"/>
  <c r="HF19" i="1" a="1"/>
  <c r="HF19" i="1" s="1"/>
  <c r="HG17" i="1" a="1"/>
  <c r="HG17" i="1" s="1"/>
  <c r="HG11" i="1" a="1"/>
  <c r="HG11" i="1" s="1"/>
  <c r="GZ13" i="1" a="1"/>
  <c r="GZ13" i="1" s="1"/>
  <c r="HC19" i="1" a="1"/>
  <c r="HC19" i="1" s="1"/>
  <c r="HE9" i="1" a="1"/>
  <c r="HE9" i="1" s="1"/>
  <c r="HA9" i="1" a="1"/>
  <c r="HA9" i="1" s="1"/>
  <c r="HG9" i="1" a="1"/>
  <c r="HG9" i="1" s="1"/>
  <c r="HD9" i="1" a="1"/>
  <c r="HD9" i="1" s="1"/>
  <c r="GZ9" i="1" a="1"/>
  <c r="GZ9" i="1" s="1"/>
  <c r="HF9" i="1" a="1"/>
  <c r="HF9" i="1" s="1"/>
  <c r="HC9" i="1" a="1"/>
  <c r="HC9" i="1" s="1"/>
  <c r="HB9" i="1" a="1"/>
  <c r="HB9" i="1" s="1"/>
  <c r="GY9" i="1" a="1"/>
  <c r="GY9" i="1" s="1"/>
  <c r="GX9" i="1" a="1"/>
  <c r="GX9" i="1" s="1"/>
  <c r="HC18" i="1" a="1"/>
  <c r="HC18" i="1" s="1"/>
  <c r="GY18" i="1" a="1"/>
  <c r="GY18" i="1" s="1"/>
  <c r="HB18" i="1" a="1"/>
  <c r="HB18" i="1" s="1"/>
  <c r="HA18" i="1" a="1"/>
  <c r="HA18" i="1" s="1"/>
  <c r="GX18" i="1" a="1"/>
  <c r="GX18" i="1" s="1"/>
  <c r="HD18" i="1" a="1"/>
  <c r="HD18" i="1" s="1"/>
  <c r="HF18" i="1" a="1"/>
  <c r="HF18" i="1" s="1"/>
  <c r="GZ18" i="1" a="1"/>
  <c r="GZ18" i="1" s="1"/>
  <c r="HE18" i="1" a="1"/>
  <c r="HE18" i="1" s="1"/>
  <c r="HG18" i="1" a="1"/>
  <c r="HG18" i="1" s="1"/>
  <c r="HA17" i="1" a="1"/>
  <c r="HA17" i="1" s="1"/>
  <c r="HA11" i="1" a="1"/>
  <c r="HA11" i="1" s="1"/>
  <c r="HC13" i="1" a="1"/>
  <c r="HC13" i="1" s="1"/>
  <c r="HD19" i="1" a="1"/>
  <c r="HD19" i="1" s="1"/>
  <c r="HE17" i="1" a="1"/>
  <c r="HE17" i="1" s="1"/>
  <c r="HE11" i="1" a="1"/>
  <c r="HE11" i="1" s="1"/>
  <c r="HD13" i="1" a="1"/>
  <c r="HD13" i="1" s="1"/>
  <c r="HG19" i="1" a="1"/>
  <c r="HG19" i="1" s="1"/>
  <c r="HF15" i="1" a="1"/>
  <c r="HF15" i="1" s="1"/>
  <c r="HG15" i="1" a="1"/>
  <c r="HG15" i="1" s="1"/>
  <c r="HB15" i="1" a="1"/>
  <c r="HB15" i="1" s="1"/>
  <c r="HC15" i="1" a="1"/>
  <c r="HC15" i="1" s="1"/>
  <c r="GX15" i="1" a="1"/>
  <c r="GX15" i="1" s="1"/>
  <c r="HE15" i="1" a="1"/>
  <c r="HE15" i="1" s="1"/>
  <c r="HA15" i="1" a="1"/>
  <c r="HA15" i="1" s="1"/>
  <c r="GZ15" i="1" a="1"/>
  <c r="GZ15" i="1" s="1"/>
  <c r="HD15" i="1" a="1"/>
  <c r="HD15" i="1" s="1"/>
  <c r="GY15" i="1" a="1"/>
  <c r="GY15" i="1" s="1"/>
  <c r="HB23" i="1" a="1"/>
  <c r="HB23" i="1" s="1"/>
  <c r="HC23" i="1" a="1"/>
  <c r="HC23" i="1" s="1"/>
  <c r="GX23" i="1" a="1"/>
  <c r="GX23" i="1" s="1"/>
  <c r="HE23" i="1" a="1"/>
  <c r="HE23" i="1" s="1"/>
  <c r="HA23" i="1" a="1"/>
  <c r="HA23" i="1" s="1"/>
  <c r="GZ23" i="1" a="1"/>
  <c r="GZ23" i="1" s="1"/>
  <c r="GY23" i="1" a="1"/>
  <c r="GY23" i="1" s="1"/>
  <c r="HD23" i="1" a="1"/>
  <c r="HD23" i="1" s="1"/>
  <c r="HF23" i="1" a="1"/>
  <c r="HF23" i="1" s="1"/>
  <c r="HG23" i="1" a="1"/>
  <c r="HG23" i="1" s="1"/>
  <c r="GX17" i="1" a="1"/>
  <c r="GX17" i="1" s="1"/>
  <c r="GX11" i="1" a="1"/>
  <c r="GX11" i="1" s="1"/>
  <c r="HA13" i="1" a="1"/>
  <c r="HA13" i="1" s="1"/>
  <c r="HA19" i="1" a="1"/>
  <c r="HA19" i="1" s="1"/>
  <c r="HB8" i="1" a="1"/>
  <c r="HB8" i="1" s="1"/>
  <c r="GY17" i="1" a="1"/>
  <c r="GY17" i="1" s="1"/>
  <c r="HB17" i="1" a="1"/>
  <c r="HB17" i="1" s="1"/>
  <c r="GY11" i="1" a="1"/>
  <c r="GY11" i="1" s="1"/>
  <c r="HB11" i="1" a="1"/>
  <c r="HB11" i="1" s="1"/>
  <c r="HE13" i="1" a="1"/>
  <c r="HE13" i="1" s="1"/>
  <c r="HE19" i="1" a="1"/>
  <c r="HE19" i="1" s="1"/>
  <c r="HC16" i="1" a="1"/>
  <c r="HC16" i="1" s="1"/>
  <c r="GY16" i="1" a="1"/>
  <c r="GY16" i="1" s="1"/>
  <c r="HF16" i="1" a="1"/>
  <c r="HF16" i="1" s="1"/>
  <c r="HE16" i="1" a="1"/>
  <c r="HE16" i="1" s="1"/>
  <c r="HB16" i="1" a="1"/>
  <c r="HB16" i="1" s="1"/>
  <c r="HD16" i="1" a="1"/>
  <c r="HD16" i="1" s="1"/>
  <c r="HA16" i="1" a="1"/>
  <c r="HA16" i="1" s="1"/>
  <c r="GZ16" i="1" a="1"/>
  <c r="GZ16" i="1" s="1"/>
  <c r="GX16" i="1" a="1"/>
  <c r="GX16" i="1" s="1"/>
  <c r="GY12" i="1" a="1"/>
  <c r="GY12" i="1" s="1"/>
  <c r="GX12" i="1" a="1"/>
  <c r="GX12" i="1" s="1"/>
  <c r="HB12" i="1" a="1"/>
  <c r="HB12" i="1" s="1"/>
  <c r="HF12" i="1" a="1"/>
  <c r="HF12" i="1" s="1"/>
  <c r="HD12" i="1" a="1"/>
  <c r="HD12" i="1" s="1"/>
  <c r="HE12" i="1" a="1"/>
  <c r="HE12" i="1" s="1"/>
  <c r="GZ12" i="1" a="1"/>
  <c r="GZ12" i="1" s="1"/>
  <c r="HA12" i="1" a="1"/>
  <c r="HA12" i="1" s="1"/>
  <c r="HG12" i="1" a="1"/>
  <c r="HG12" i="1" s="1"/>
  <c r="HC12" i="1" a="1"/>
  <c r="HC12" i="1" s="1"/>
  <c r="GZ10" i="1" a="1"/>
  <c r="GZ10" i="1" s="1"/>
  <c r="HF10" i="1" a="1"/>
  <c r="HF10" i="1" s="1"/>
  <c r="HG10" i="1" a="1"/>
  <c r="HG10" i="1" s="1"/>
  <c r="HC10" i="1" a="1"/>
  <c r="HC10" i="1" s="1"/>
  <c r="GY10" i="1" a="1"/>
  <c r="GY10" i="1" s="1"/>
  <c r="HB10" i="1" a="1"/>
  <c r="HB10" i="1" s="1"/>
  <c r="HA10" i="1" a="1"/>
  <c r="HA10" i="1" s="1"/>
  <c r="GX10" i="1" a="1"/>
  <c r="GX10" i="1" s="1"/>
  <c r="HD10" i="1" a="1"/>
  <c r="HD10" i="1" s="1"/>
  <c r="HE10" i="1" a="1"/>
  <c r="HE10" i="1" s="1"/>
  <c r="HC17" i="1" a="1"/>
  <c r="HC17" i="1" s="1"/>
  <c r="GZ11" i="1" a="1"/>
  <c r="GZ11" i="1" s="1"/>
  <c r="GX6" i="1" a="1"/>
  <c r="GX6" i="1" s="1"/>
  <c r="HG6" i="1" a="1"/>
  <c r="HG6" i="1" s="1"/>
  <c r="GZ6" i="1" a="1"/>
  <c r="GZ6" i="1" s="1"/>
  <c r="HC6" i="1" a="1"/>
  <c r="HC6" i="1" s="1"/>
  <c r="GY6" i="1" a="1"/>
  <c r="GY6" i="1" s="1"/>
  <c r="HF6" i="1" a="1"/>
  <c r="HF6" i="1" s="1"/>
  <c r="HB6" i="1" a="1"/>
  <c r="HB6" i="1" s="1"/>
  <c r="HE6" i="1" a="1"/>
  <c r="HE6" i="1" s="1"/>
  <c r="HA6" i="1" a="1"/>
  <c r="HA6" i="1" s="1"/>
  <c r="HD6" i="1" a="1"/>
  <c r="HD6" i="1" s="1"/>
  <c r="HF8" i="1" l="1" a="1"/>
  <c r="HF8" i="1" s="1"/>
  <c r="HQ8" i="1" a="1"/>
  <c r="HQ8" i="1" s="1"/>
  <c r="GY8" i="1" a="1"/>
  <c r="GY8" i="1" s="1"/>
  <c r="HI8" i="1" a="1"/>
  <c r="HI8" i="1" s="1"/>
  <c r="HC8" i="1" a="1"/>
  <c r="HC8" i="1" s="1"/>
  <c r="HH8" i="1" a="1"/>
  <c r="HH8" i="1" s="1"/>
  <c r="HG8" i="1" a="1"/>
  <c r="HG8" i="1" s="1"/>
  <c r="HM8" i="1" a="1"/>
  <c r="HM8" i="1" s="1"/>
  <c r="HL8" i="1" a="1"/>
  <c r="HL8" i="1" s="1"/>
  <c r="HO8" i="1" a="1"/>
  <c r="HO8" i="1" s="1"/>
  <c r="GZ8" i="1" a="1"/>
  <c r="GZ8" i="1" s="1"/>
  <c r="HJ8" i="1" a="1"/>
  <c r="HJ8" i="1" s="1"/>
  <c r="GX8" i="1" a="1"/>
  <c r="GX8" i="1" s="1"/>
  <c r="HA8" i="1" a="1"/>
  <c r="HA8" i="1" s="1"/>
  <c r="HP8" i="1" a="1"/>
  <c r="HP8" i="1" s="1"/>
  <c r="HD8" i="1" a="1"/>
  <c r="HD8" i="1" s="1"/>
  <c r="HS8" i="1" s="1" a="1"/>
  <c r="HS8" i="1" s="1"/>
  <c r="HU8" i="1" s="1"/>
  <c r="HW8" i="1" s="1"/>
  <c r="HN8" i="1" a="1"/>
  <c r="HN8" i="1" s="1"/>
  <c r="HI14" i="1" a="1"/>
  <c r="HI14" i="1" s="1"/>
  <c r="HJ14" i="1" a="1"/>
  <c r="HJ14" i="1" s="1"/>
  <c r="HG14" i="1" a="1"/>
  <c r="HG14" i="1" s="1"/>
  <c r="GZ14" i="1" a="1"/>
  <c r="GZ14" i="1" s="1"/>
  <c r="HH21" i="1" a="1"/>
  <c r="HH21" i="1" s="1"/>
  <c r="HB21" i="1" a="1"/>
  <c r="HB21" i="1" s="1"/>
  <c r="HN21" i="1" a="1"/>
  <c r="HN21" i="1" s="1"/>
  <c r="GY21" i="1" a="1"/>
  <c r="GY21" i="1" s="1"/>
  <c r="HL21" i="1" a="1"/>
  <c r="HL21" i="1" s="1"/>
  <c r="HF21" i="1" a="1"/>
  <c r="HF21" i="1" s="1"/>
  <c r="GX21" i="1" a="1"/>
  <c r="GX21" i="1" s="1"/>
  <c r="HP21" i="1" a="1"/>
  <c r="HP21" i="1" s="1"/>
  <c r="GZ21" i="1" a="1"/>
  <c r="GZ21" i="1" s="1"/>
  <c r="HI21" i="1" a="1"/>
  <c r="HI21" i="1" s="1"/>
  <c r="HC21" i="1" a="1"/>
  <c r="HC21" i="1" s="1"/>
  <c r="HK21" i="1" a="1"/>
  <c r="HK21" i="1" s="1"/>
  <c r="HM21" i="1" a="1"/>
  <c r="HM21" i="1" s="1"/>
  <c r="HD21" i="1" a="1"/>
  <c r="HD21" i="1" s="1"/>
  <c r="HO21" i="1" a="1"/>
  <c r="HO21" i="1" s="1"/>
  <c r="HQ21" i="1" a="1"/>
  <c r="HQ21" i="1" s="1"/>
  <c r="HA21" i="1" a="1"/>
  <c r="HA21" i="1" s="1"/>
  <c r="HJ21" i="1" a="1"/>
  <c r="HJ21" i="1" s="1"/>
  <c r="HG21" i="1" a="1"/>
  <c r="HG21" i="1" s="1"/>
  <c r="HE21" i="1" a="1"/>
  <c r="HE21" i="1" s="1"/>
  <c r="HS14" i="1" a="1"/>
  <c r="HS14" i="1" s="1"/>
  <c r="HU14" i="1" s="1"/>
  <c r="HW14" i="1" s="1"/>
  <c r="ES8" i="3"/>
  <c r="DJ57" i="3"/>
  <c r="J50" i="3"/>
  <c r="AE85" i="3"/>
  <c r="DI7" i="3"/>
  <c r="DB74" i="3"/>
  <c r="DU16" i="3"/>
  <c r="H56" i="3"/>
  <c r="BY4" i="3"/>
  <c r="AL71" i="3"/>
  <c r="J68" i="3"/>
  <c r="N84" i="3"/>
  <c r="CI32" i="3"/>
  <c r="P36" i="3"/>
  <c r="AV30" i="3"/>
  <c r="AH21" i="3"/>
  <c r="BT13" i="3"/>
  <c r="BY9" i="3"/>
  <c r="EO7" i="3"/>
  <c r="FD87" i="3"/>
  <c r="Y46" i="3"/>
  <c r="DW4" i="3"/>
  <c r="DU11" i="3"/>
  <c r="EJ6" i="3"/>
  <c r="DM12" i="3"/>
  <c r="DR12" i="3"/>
  <c r="DS16" i="3"/>
  <c r="FB28" i="3"/>
  <c r="Y35" i="3"/>
  <c r="BA86" i="3"/>
  <c r="EE75" i="3"/>
  <c r="AA82" i="3"/>
  <c r="AH57" i="3"/>
  <c r="E87" i="3"/>
  <c r="EM32" i="3"/>
  <c r="BS83" i="3"/>
  <c r="EQ41" i="3"/>
  <c r="BK74" i="3"/>
  <c r="CE35" i="3"/>
  <c r="AZ39" i="3"/>
  <c r="EY11" i="3"/>
  <c r="CZ62" i="3"/>
  <c r="CD31" i="3"/>
  <c r="CS29" i="3"/>
  <c r="AJ90" i="3"/>
  <c r="CI43" i="3"/>
  <c r="FD77" i="3"/>
  <c r="O13" i="3"/>
  <c r="CP68" i="3"/>
  <c r="ES62" i="3"/>
  <c r="DL59" i="3"/>
  <c r="DK71" i="3"/>
  <c r="EH54" i="3"/>
  <c r="BG20" i="3"/>
  <c r="EW74" i="3"/>
  <c r="EI74" i="3"/>
  <c r="AB61" i="3"/>
  <c r="BO42" i="3"/>
  <c r="BE63" i="3"/>
  <c r="DI36" i="3"/>
  <c r="AO83" i="3"/>
  <c r="AO9" i="3"/>
  <c r="EB39" i="3"/>
  <c r="D37" i="3"/>
  <c r="CE38" i="3"/>
  <c r="DV64" i="3"/>
  <c r="EF41" i="3"/>
  <c r="AJ10" i="3"/>
  <c r="CZ63" i="3"/>
  <c r="BW57" i="3"/>
  <c r="CT77" i="3"/>
  <c r="T37" i="3"/>
  <c r="P48" i="3"/>
  <c r="K26" i="3"/>
  <c r="N55" i="3"/>
  <c r="CC40" i="3"/>
  <c r="P78" i="3"/>
  <c r="DK28" i="3"/>
  <c r="BZ65" i="3"/>
  <c r="K60" i="3"/>
  <c r="AQ58" i="3"/>
  <c r="BQ18" i="3"/>
  <c r="DC67" i="3"/>
  <c r="DM60" i="3"/>
  <c r="AZ82" i="3"/>
  <c r="CC82" i="3"/>
  <c r="BM39" i="3"/>
  <c r="DJ75" i="3"/>
  <c r="BB55" i="3"/>
  <c r="CW43" i="3"/>
  <c r="BA90" i="3"/>
  <c r="P58" i="3"/>
  <c r="BL79" i="3"/>
  <c r="EQ46" i="3"/>
  <c r="EW80" i="3"/>
  <c r="T76" i="3"/>
  <c r="AR31" i="3"/>
  <c r="BL2" i="3"/>
  <c r="BF7" i="3"/>
  <c r="AS33" i="3"/>
  <c r="EW45" i="3"/>
  <c r="EP43" i="3"/>
  <c r="BQ37" i="3"/>
  <c r="M55" i="3"/>
  <c r="C8" i="3"/>
  <c r="F66" i="3"/>
  <c r="AZ78" i="3"/>
  <c r="DY73" i="3"/>
  <c r="AG37" i="3"/>
  <c r="EQ83" i="3"/>
  <c r="ET44" i="3"/>
  <c r="BD26" i="3"/>
  <c r="CC46" i="3"/>
  <c r="DC77" i="3"/>
  <c r="DH50" i="3"/>
  <c r="AH32" i="3"/>
  <c r="BA85" i="3"/>
  <c r="EA39" i="3"/>
  <c r="H55" i="3"/>
  <c r="EU41" i="3"/>
  <c r="CV64" i="3"/>
  <c r="W77" i="3"/>
  <c r="AQ23" i="3"/>
  <c r="DZ47" i="3"/>
  <c r="U10" i="3"/>
  <c r="R69" i="3"/>
  <c r="BT36" i="3"/>
  <c r="C88" i="3"/>
  <c r="CB41" i="3"/>
  <c r="BN29" i="3"/>
  <c r="EF84" i="3"/>
  <c r="EF40" i="3"/>
  <c r="CR29" i="3"/>
  <c r="P86" i="3"/>
  <c r="EV66" i="3"/>
  <c r="BQ58" i="3"/>
  <c r="BA55" i="3"/>
  <c r="CN45" i="3"/>
  <c r="CB72" i="3"/>
  <c r="BK76" i="3"/>
  <c r="FA48" i="3"/>
  <c r="Y64" i="3"/>
  <c r="BY50" i="3"/>
  <c r="BI20" i="3"/>
  <c r="EF46" i="3"/>
  <c r="CJ11" i="3"/>
  <c r="DI66" i="3"/>
  <c r="CW91" i="3"/>
  <c r="Q54" i="3"/>
  <c r="T52" i="3"/>
  <c r="AB70" i="3"/>
  <c r="CI31" i="3"/>
  <c r="BH44" i="3"/>
  <c r="BG91" i="3"/>
  <c r="CM17" i="3"/>
  <c r="DP60" i="3"/>
  <c r="CB71" i="3"/>
  <c r="EF85" i="3"/>
  <c r="AJ50" i="3"/>
  <c r="DF50" i="3"/>
  <c r="DZ85" i="3"/>
  <c r="DX71" i="3"/>
  <c r="AL53" i="3"/>
  <c r="CQ58" i="3"/>
  <c r="AH43" i="3"/>
  <c r="CP33" i="3"/>
  <c r="CN44" i="3"/>
  <c r="AI78" i="3"/>
  <c r="CI16" i="3"/>
  <c r="DJ44" i="3"/>
  <c r="EK58" i="3"/>
  <c r="Y85" i="3"/>
  <c r="DW57" i="3"/>
  <c r="DP68" i="3"/>
  <c r="BY84" i="3"/>
  <c r="EK90" i="3"/>
  <c r="AD66" i="3"/>
  <c r="AU53" i="3"/>
  <c r="EU89" i="3"/>
  <c r="AS51" i="3"/>
  <c r="BJ71" i="3"/>
  <c r="EO41" i="3"/>
  <c r="FC76" i="3"/>
  <c r="BB72" i="3"/>
  <c r="BV14" i="3"/>
  <c r="AE49" i="3"/>
  <c r="AN83" i="3"/>
  <c r="DH28" i="3"/>
  <c r="EG80" i="3"/>
  <c r="BP34" i="3"/>
  <c r="DJ40" i="3"/>
  <c r="AI80" i="3"/>
  <c r="EN52" i="3"/>
  <c r="DS80" i="3"/>
  <c r="Y47" i="3"/>
  <c r="BK46" i="3"/>
  <c r="BQ49" i="3"/>
  <c r="EP69" i="3"/>
  <c r="EY42" i="3"/>
  <c r="BY76" i="3"/>
  <c r="BR62" i="3"/>
  <c r="BX47" i="3"/>
  <c r="BW90" i="3"/>
  <c r="CW73" i="3"/>
  <c r="BT65" i="3"/>
  <c r="Z61" i="3"/>
  <c r="EN69" i="3"/>
  <c r="AV6" i="3"/>
  <c r="BR26" i="3"/>
  <c r="CR81" i="3"/>
  <c r="EU42" i="3"/>
  <c r="AH15" i="3"/>
  <c r="BU40" i="3"/>
  <c r="CX29" i="3"/>
  <c r="AB85" i="3"/>
  <c r="EJ48" i="3"/>
  <c r="BT85" i="3"/>
  <c r="AU62" i="3"/>
  <c r="DS3" i="3"/>
  <c r="CI24" i="3"/>
  <c r="DC90" i="3"/>
  <c r="AF70" i="3"/>
  <c r="EE16" i="3"/>
  <c r="CN81" i="3"/>
  <c r="DU42" i="3"/>
  <c r="U57" i="3"/>
  <c r="CO26" i="3"/>
  <c r="DJ59" i="3"/>
  <c r="EL64" i="3"/>
  <c r="BM60" i="3"/>
  <c r="DE78" i="3"/>
  <c r="AX37" i="3"/>
  <c r="AD80" i="3"/>
  <c r="AD41" i="3"/>
  <c r="DS70" i="3"/>
  <c r="CX50" i="3"/>
  <c r="BX63" i="3"/>
  <c r="CP41" i="3"/>
  <c r="EQ4" i="3"/>
  <c r="F89" i="3"/>
  <c r="DP69" i="3"/>
  <c r="CJ7" i="3"/>
  <c r="BX54" i="3"/>
  <c r="DO69" i="3"/>
  <c r="EH62" i="3"/>
  <c r="EV40" i="3"/>
  <c r="BN71" i="3"/>
  <c r="O48" i="3"/>
  <c r="EA50" i="3"/>
  <c r="ET32" i="3"/>
  <c r="CU84" i="3"/>
  <c r="AX41" i="3"/>
  <c r="BU78" i="3"/>
  <c r="CO45" i="3"/>
  <c r="AH50" i="3"/>
  <c r="AV46" i="3"/>
  <c r="DT79" i="3"/>
  <c r="EA84" i="3"/>
  <c r="CC76" i="3"/>
  <c r="DC17" i="3"/>
  <c r="AC46" i="3"/>
  <c r="AT54" i="3"/>
  <c r="BL43" i="3"/>
  <c r="AF37" i="3"/>
  <c r="O87" i="3"/>
  <c r="CM53" i="3"/>
  <c r="CG91" i="3"/>
  <c r="BV53" i="3"/>
  <c r="CJ57" i="3"/>
  <c r="FE53" i="3"/>
  <c r="BV66" i="3"/>
  <c r="CY75" i="3"/>
  <c r="EE52" i="3"/>
  <c r="EJ56" i="3"/>
  <c r="Q88" i="3"/>
  <c r="CV22" i="3"/>
  <c r="BG83" i="3"/>
  <c r="DT49" i="3"/>
  <c r="ED33" i="3"/>
  <c r="AL76" i="3"/>
  <c r="S52" i="3"/>
  <c r="BL38" i="3"/>
  <c r="BY86" i="3"/>
  <c r="AT14" i="3"/>
  <c r="CB45" i="3"/>
  <c r="DJ41" i="3"/>
  <c r="EZ82" i="3"/>
  <c r="BO81" i="3"/>
  <c r="F75" i="3"/>
  <c r="ES79" i="3"/>
  <c r="AH80" i="3"/>
  <c r="BX18" i="3"/>
  <c r="CS67" i="3"/>
  <c r="DU24" i="3"/>
  <c r="AV74" i="3"/>
  <c r="AQ50" i="3"/>
  <c r="CL50" i="3"/>
  <c r="AK83" i="3"/>
  <c r="EQ5" i="3"/>
  <c r="EF71" i="3"/>
  <c r="DG12" i="3"/>
  <c r="AW79" i="3"/>
  <c r="AA80" i="3"/>
  <c r="BP54" i="3"/>
  <c r="EF38" i="3"/>
  <c r="DT88" i="3"/>
  <c r="CZ75" i="3"/>
  <c r="EW44" i="3"/>
  <c r="BP9" i="3"/>
  <c r="BT2" i="3"/>
  <c r="DH22" i="3"/>
  <c r="Z23" i="3"/>
  <c r="CG23" i="3"/>
  <c r="AR49" i="3"/>
  <c r="Q59" i="3"/>
  <c r="CF44" i="3"/>
  <c r="EF89" i="3"/>
  <c r="CN72" i="3"/>
  <c r="AT81" i="3"/>
  <c r="DC72" i="3"/>
  <c r="DK63" i="3"/>
  <c r="CC43" i="3"/>
  <c r="DR74" i="3"/>
  <c r="W57" i="3"/>
  <c r="DU69" i="3"/>
  <c r="BU27" i="3"/>
  <c r="AX34" i="3"/>
  <c r="AC43" i="3"/>
  <c r="EB38" i="3"/>
  <c r="G49" i="3"/>
  <c r="DY88" i="3"/>
  <c r="EI57" i="3"/>
  <c r="CW23" i="3"/>
  <c r="BN88" i="3"/>
  <c r="BM73" i="3"/>
  <c r="AQ41" i="3"/>
  <c r="CI67" i="3"/>
  <c r="EM48" i="3"/>
  <c r="BB91" i="3"/>
  <c r="DQ39" i="3"/>
  <c r="EL68" i="3"/>
  <c r="DY70" i="3"/>
  <c r="BD20" i="3"/>
  <c r="AS3" i="3"/>
  <c r="BX50" i="3"/>
  <c r="BV29" i="3"/>
  <c r="X54" i="3"/>
  <c r="X80" i="3"/>
  <c r="BE25" i="3"/>
  <c r="EC83" i="3"/>
  <c r="FC91" i="3"/>
  <c r="FA20" i="3"/>
  <c r="V62" i="3"/>
  <c r="CQ80" i="3"/>
  <c r="DS57" i="3"/>
  <c r="AH30" i="3"/>
  <c r="FE59" i="3"/>
  <c r="CW60" i="3"/>
  <c r="ED60" i="3"/>
  <c r="DW83" i="3"/>
  <c r="BV11" i="3"/>
  <c r="EI50" i="3"/>
  <c r="N36" i="3"/>
  <c r="BZ21" i="3"/>
  <c r="AI17" i="3"/>
  <c r="AA26" i="3"/>
  <c r="CK51" i="3"/>
  <c r="AT76" i="3"/>
  <c r="FE16" i="3"/>
  <c r="EE56" i="3"/>
  <c r="CW42" i="3"/>
  <c r="CV71" i="3"/>
  <c r="DC89" i="3"/>
  <c r="BO49" i="3"/>
  <c r="AI60" i="3"/>
  <c r="AN87" i="3"/>
  <c r="EL80" i="3"/>
  <c r="CJ29" i="3"/>
  <c r="AS74" i="3"/>
  <c r="HS20" i="1" a="1"/>
  <c r="HS20" i="1" s="1"/>
  <c r="HU20" i="1" s="1"/>
  <c r="HW20" i="1" s="1"/>
  <c r="P91" i="3" s="1"/>
  <c r="CI53" i="3"/>
  <c r="DW23" i="3"/>
  <c r="FA62" i="3"/>
  <c r="BU26" i="3"/>
  <c r="DK66" i="3"/>
  <c r="D61" i="3"/>
  <c r="E35" i="3"/>
  <c r="AV25" i="3"/>
  <c r="BC52" i="3"/>
  <c r="BY49" i="3"/>
  <c r="BU38" i="3"/>
  <c r="BM26" i="3"/>
  <c r="AK16" i="3"/>
  <c r="BH73" i="3"/>
  <c r="BJ67" i="3"/>
  <c r="I76" i="3"/>
  <c r="DW61" i="3"/>
  <c r="AR80" i="3"/>
  <c r="CP11" i="3"/>
  <c r="BG45" i="3"/>
  <c r="BS50" i="3"/>
  <c r="DT60" i="3"/>
  <c r="CE66" i="3"/>
  <c r="BU46" i="3"/>
  <c r="BU83" i="3"/>
  <c r="CL36" i="3"/>
  <c r="DT84" i="3"/>
  <c r="BP14" i="3"/>
  <c r="CY33" i="3"/>
  <c r="DC44" i="3"/>
  <c r="BE65" i="3"/>
  <c r="CE36" i="3"/>
  <c r="C53" i="3"/>
  <c r="CT32" i="3"/>
  <c r="BQ24" i="3"/>
  <c r="AH8" i="3"/>
  <c r="CR53" i="3"/>
  <c r="BH64" i="3"/>
  <c r="CS23" i="3"/>
  <c r="BB75" i="3"/>
  <c r="CY77" i="3"/>
  <c r="AL57" i="3"/>
  <c r="DI48" i="3"/>
  <c r="CQ64" i="3"/>
  <c r="DD4" i="3"/>
  <c r="AN61" i="3"/>
  <c r="EE90" i="3"/>
  <c r="BI79" i="3"/>
  <c r="DZ4" i="3"/>
  <c r="AT53" i="3"/>
  <c r="AQ31" i="3"/>
  <c r="DK87" i="3"/>
  <c r="DB36" i="3"/>
  <c r="DY36" i="3"/>
  <c r="W65" i="3"/>
  <c r="EW70" i="3"/>
  <c r="CP45" i="3"/>
  <c r="DN17" i="3"/>
  <c r="BJ69" i="3"/>
  <c r="DE91" i="3"/>
  <c r="DB89" i="3"/>
  <c r="N37" i="3"/>
  <c r="BF4" i="3"/>
  <c r="P45" i="3"/>
  <c r="CX54" i="3"/>
  <c r="BV61" i="3"/>
  <c r="BA58" i="3"/>
  <c r="BD62" i="3"/>
  <c r="P42" i="3"/>
  <c r="AM55" i="3"/>
  <c r="EI53" i="3"/>
  <c r="BJ91" i="3"/>
  <c r="BC51" i="3"/>
  <c r="B16" i="3"/>
  <c r="DT43" i="3"/>
  <c r="CK40" i="3"/>
  <c r="AV28" i="3"/>
  <c r="EQ64" i="3"/>
  <c r="BI24" i="3"/>
  <c r="BT24" i="3"/>
  <c r="ES65" i="3"/>
  <c r="AI55" i="3"/>
  <c r="I17" i="3"/>
  <c r="DT7" i="3"/>
  <c r="BS26" i="3"/>
  <c r="N73" i="3"/>
  <c r="AO66" i="3"/>
  <c r="CZ57" i="3"/>
  <c r="EO86" i="3"/>
  <c r="ET54" i="3"/>
  <c r="BB74" i="3"/>
  <c r="Y60" i="3"/>
  <c r="AA32" i="3"/>
  <c r="DV85" i="3"/>
  <c r="AO81" i="3"/>
  <c r="BZ11" i="3"/>
  <c r="BX16" i="3"/>
  <c r="AP59" i="3"/>
  <c r="AR90" i="3"/>
  <c r="J59" i="3"/>
  <c r="V52" i="3"/>
  <c r="BC24" i="3"/>
  <c r="DE44" i="3"/>
  <c r="DC59" i="3"/>
  <c r="EO73" i="3"/>
  <c r="DA60" i="3"/>
  <c r="B40" i="3"/>
  <c r="BK35" i="3"/>
  <c r="Q16" i="3"/>
  <c r="AR81" i="3"/>
  <c r="EH45" i="3"/>
  <c r="EF72" i="3"/>
  <c r="EF61" i="3"/>
  <c r="CN53" i="3"/>
  <c r="BK81" i="3"/>
  <c r="DK78" i="3"/>
  <c r="EG86" i="3"/>
  <c r="DM79" i="3"/>
  <c r="CD22" i="3"/>
  <c r="AE84" i="3"/>
  <c r="DQ70" i="3"/>
  <c r="BR55" i="3"/>
  <c r="Y90" i="3"/>
  <c r="AU48" i="3"/>
  <c r="EI41" i="3"/>
  <c r="BT15" i="3"/>
  <c r="CA80" i="3"/>
  <c r="Y67" i="3"/>
  <c r="CR86" i="3"/>
  <c r="I53" i="3"/>
  <c r="EH82" i="3"/>
  <c r="EY58" i="3"/>
  <c r="AO51" i="3"/>
  <c r="AZ55" i="3"/>
  <c r="AM47" i="3"/>
  <c r="L58" i="3"/>
  <c r="CD51" i="3"/>
  <c r="DK83" i="3"/>
  <c r="CN21" i="3"/>
  <c r="CH62" i="3"/>
  <c r="CK88" i="3"/>
  <c r="DX50" i="3"/>
  <c r="T6" i="3"/>
  <c r="Y6" i="3"/>
  <c r="C64" i="3"/>
  <c r="BU59" i="3"/>
  <c r="AW86" i="3"/>
  <c r="CO58" i="3"/>
  <c r="DT62" i="3"/>
  <c r="BJ43" i="3"/>
  <c r="CN35" i="3"/>
  <c r="CM46" i="3"/>
  <c r="ED47" i="3"/>
  <c r="DN71" i="3"/>
  <c r="AU49" i="3"/>
  <c r="J45" i="3"/>
  <c r="DK44" i="3"/>
  <c r="AZ87" i="3"/>
  <c r="BK68" i="3"/>
  <c r="CV91" i="3"/>
  <c r="CN50" i="3"/>
  <c r="CR62" i="3"/>
  <c r="EL58" i="3"/>
  <c r="BN40" i="3"/>
  <c r="FA41" i="3"/>
  <c r="CM33" i="3"/>
  <c r="EU55" i="3"/>
  <c r="CM50" i="3"/>
  <c r="BJ16" i="3"/>
  <c r="BZ31" i="3"/>
  <c r="BH9" i="3"/>
  <c r="I73" i="3"/>
  <c r="EU14" i="3"/>
  <c r="EK88" i="3"/>
  <c r="BI26" i="3"/>
  <c r="ES49" i="3"/>
  <c r="CZ29" i="3"/>
  <c r="BV54" i="3"/>
  <c r="EV53" i="3"/>
  <c r="CP16" i="3"/>
  <c r="AH6" i="3"/>
  <c r="CK14" i="3"/>
  <c r="FC86" i="3"/>
  <c r="EG67" i="3"/>
  <c r="DK47" i="3"/>
  <c r="DK90" i="3"/>
  <c r="CY54" i="3"/>
  <c r="EN77" i="3"/>
  <c r="AD40" i="3"/>
  <c r="G38" i="3"/>
  <c r="EQ66" i="3"/>
  <c r="CS14" i="3"/>
  <c r="DJ58" i="3"/>
  <c r="BZ9" i="3"/>
  <c r="BX52" i="3"/>
  <c r="B77" i="3"/>
  <c r="CK23" i="3"/>
  <c r="T82" i="3"/>
  <c r="BW27" i="3"/>
  <c r="DJ65" i="3"/>
  <c r="FB84" i="3"/>
  <c r="DC40" i="3"/>
  <c r="EB46" i="3"/>
  <c r="EC38" i="3"/>
  <c r="W84" i="3"/>
  <c r="DX72" i="3"/>
  <c r="U48" i="3"/>
  <c r="CM10" i="3"/>
  <c r="EC56" i="3"/>
  <c r="BD75" i="3"/>
  <c r="H77" i="3"/>
  <c r="AR41" i="3"/>
  <c r="BR24" i="3"/>
  <c r="DN61" i="3"/>
  <c r="DY80" i="3"/>
  <c r="BP49" i="3"/>
  <c r="AV33" i="3"/>
  <c r="D56" i="3"/>
  <c r="AG34" i="3"/>
  <c r="CD62" i="3"/>
  <c r="AS79" i="3"/>
  <c r="R40" i="3"/>
  <c r="DF68" i="3"/>
  <c r="CK43" i="3"/>
  <c r="CG41" i="3"/>
  <c r="CC88" i="3"/>
  <c r="DY41" i="3"/>
  <c r="ET63" i="3"/>
  <c r="BW67" i="3"/>
  <c r="M39" i="3"/>
  <c r="BG82" i="3"/>
  <c r="CK50" i="3"/>
  <c r="ER72" i="3"/>
  <c r="BT70" i="3"/>
  <c r="CE91" i="3"/>
  <c r="BJ49" i="3"/>
  <c r="X42" i="3"/>
  <c r="DX59" i="3"/>
  <c r="DA8" i="3"/>
  <c r="DJ10" i="3"/>
  <c r="CI87" i="3"/>
  <c r="U45" i="3"/>
  <c r="CK37" i="3"/>
  <c r="BU29" i="3"/>
  <c r="BV65" i="3"/>
  <c r="FB11" i="3"/>
  <c r="C42" i="3"/>
  <c r="J85" i="3"/>
  <c r="EI83" i="3"/>
  <c r="AZ68" i="3"/>
  <c r="DT41" i="3"/>
  <c r="BK85" i="3"/>
  <c r="CR25" i="3"/>
  <c r="CL66" i="3"/>
  <c r="AH79" i="3"/>
  <c r="BW41" i="3"/>
  <c r="BG55" i="3"/>
  <c r="EN40" i="3"/>
  <c r="CD69" i="3"/>
  <c r="AI40" i="3"/>
  <c r="FC29" i="3"/>
  <c r="BT12" i="3"/>
  <c r="DJ77" i="3"/>
  <c r="CA55" i="3"/>
  <c r="CX68" i="3"/>
  <c r="AK87" i="3"/>
  <c r="AX49" i="3"/>
  <c r="ET45" i="3"/>
  <c r="CF56" i="3"/>
  <c r="BC59" i="3"/>
  <c r="J47" i="3"/>
  <c r="CQ65" i="3"/>
  <c r="B60" i="3"/>
  <c r="BJ17" i="3"/>
  <c r="ED41" i="3"/>
  <c r="CN46" i="3"/>
  <c r="AR83" i="3"/>
  <c r="CE24" i="3"/>
  <c r="BJ86" i="3"/>
  <c r="CJ10" i="3"/>
  <c r="DS67" i="3"/>
  <c r="CM56" i="3"/>
  <c r="CE59" i="3"/>
  <c r="DN59" i="3"/>
  <c r="R39" i="3"/>
  <c r="DX39" i="3"/>
  <c r="EL88" i="3"/>
  <c r="AL38" i="3"/>
  <c r="DO20" i="3"/>
  <c r="DK82" i="3"/>
  <c r="EH53" i="3"/>
  <c r="GI22" i="1" a="1"/>
  <c r="GI22" i="1" s="1"/>
  <c r="GL22" i="1" s="1"/>
  <c r="GM22" i="1" s="1"/>
  <c r="BQ7" i="3"/>
  <c r="EA19" i="3"/>
  <c r="AD7" i="3"/>
  <c r="DJ7" i="3"/>
  <c r="BV31" i="3"/>
  <c r="BJ26" i="3"/>
  <c r="CR72" i="3"/>
  <c r="AY13" i="3"/>
  <c r="AL6" i="3"/>
  <c r="Z35" i="3"/>
  <c r="HO22" i="1" a="1"/>
  <c r="HO22" i="1" s="1"/>
  <c r="HA22" i="1" a="1"/>
  <c r="HA22" i="1" s="1"/>
  <c r="HE22" i="1" a="1"/>
  <c r="HE22" i="1" s="1"/>
  <c r="HF22" i="1" a="1"/>
  <c r="HF22" i="1" s="1"/>
  <c r="HN22" i="1" a="1"/>
  <c r="HN22" i="1" s="1"/>
  <c r="GZ22" i="1" a="1"/>
  <c r="GZ22" i="1" s="1"/>
  <c r="HB22" i="1" a="1"/>
  <c r="HB22" i="1" s="1"/>
  <c r="HI22" i="1" a="1"/>
  <c r="HI22" i="1" s="1"/>
  <c r="HD22" i="1" a="1"/>
  <c r="HD22" i="1" s="1"/>
  <c r="HM22" i="1" a="1"/>
  <c r="HM22" i="1" s="1"/>
  <c r="HL22" i="1" a="1"/>
  <c r="HL22" i="1" s="1"/>
  <c r="HG22" i="1" a="1"/>
  <c r="HG22" i="1" s="1"/>
  <c r="HJ22" i="1" a="1"/>
  <c r="HJ22" i="1" s="1"/>
  <c r="HQ22" i="1" a="1"/>
  <c r="HQ22" i="1" s="1"/>
  <c r="HP22" i="1" a="1"/>
  <c r="HP22" i="1" s="1"/>
  <c r="HK22" i="1" a="1"/>
  <c r="HK22" i="1" s="1"/>
  <c r="HH22" i="1" a="1"/>
  <c r="HH22" i="1" s="1"/>
  <c r="GX22" i="1" a="1"/>
  <c r="GX22" i="1" s="1"/>
  <c r="GY22" i="1" a="1"/>
  <c r="GY22" i="1" s="1"/>
  <c r="HC22" i="1" a="1"/>
  <c r="HC22" i="1" s="1"/>
  <c r="AX91" i="3"/>
  <c r="DS50" i="3"/>
  <c r="CA61" i="3"/>
  <c r="CO47" i="3"/>
  <c r="AT13" i="3"/>
  <c r="DZ16" i="3"/>
  <c r="N17" i="3"/>
  <c r="I12" i="3"/>
  <c r="AO18" i="3"/>
  <c r="AG18" i="3"/>
  <c r="DN34" i="3"/>
  <c r="CT4" i="3"/>
  <c r="AC30" i="3"/>
  <c r="E18" i="3"/>
  <c r="EO18" i="3"/>
  <c r="AC15" i="3"/>
  <c r="L14" i="3"/>
  <c r="DX3" i="3"/>
  <c r="BD17" i="3"/>
  <c r="DR7" i="3"/>
  <c r="DP17" i="3"/>
  <c r="EB23" i="3"/>
  <c r="AU20" i="3"/>
  <c r="DF35" i="3"/>
  <c r="F5" i="3"/>
  <c r="DI4" i="3"/>
  <c r="T26" i="3"/>
  <c r="EA15" i="3"/>
  <c r="AZ18" i="3"/>
  <c r="EE34" i="3"/>
  <c r="AP14" i="3"/>
  <c r="DY18" i="3"/>
  <c r="L33" i="3"/>
  <c r="Z22" i="3"/>
  <c r="CO4" i="3"/>
  <c r="FB16" i="3"/>
  <c r="BJ4" i="3"/>
  <c r="EC3" i="3"/>
  <c r="O15" i="3"/>
  <c r="EI10" i="3"/>
  <c r="AL20" i="3"/>
  <c r="CY15" i="3"/>
  <c r="DT32" i="3"/>
  <c r="Q32" i="3"/>
  <c r="AU6" i="3"/>
  <c r="FE36" i="3"/>
  <c r="C26" i="3"/>
  <c r="EY38" i="3"/>
  <c r="DI26" i="3"/>
  <c r="DC14" i="3"/>
  <c r="DE16" i="3"/>
  <c r="EC16" i="3"/>
  <c r="AE15" i="3"/>
  <c r="DQ34" i="3"/>
  <c r="AT23" i="3"/>
  <c r="J2" i="3"/>
  <c r="DO22" i="3"/>
  <c r="EU19" i="3"/>
  <c r="DV13" i="3"/>
  <c r="EE12" i="3"/>
  <c r="AO21" i="3"/>
  <c r="R20" i="3"/>
  <c r="EM12" i="3"/>
  <c r="EI29" i="3"/>
  <c r="EN20" i="3"/>
  <c r="E5" i="3"/>
  <c r="P5" i="3"/>
  <c r="V11" i="3"/>
  <c r="BC16" i="3"/>
  <c r="EA22" i="3"/>
  <c r="I6" i="3"/>
  <c r="AY22" i="3"/>
  <c r="Y13" i="3"/>
  <c r="DL32" i="3"/>
  <c r="BD19" i="3"/>
  <c r="DX33" i="3"/>
  <c r="U7" i="3"/>
  <c r="EM19" i="3"/>
  <c r="EN23" i="3"/>
  <c r="B28" i="3"/>
  <c r="DW6" i="3"/>
  <c r="FE8" i="3"/>
  <c r="H32" i="3"/>
  <c r="EV25" i="3"/>
  <c r="AJ24" i="3"/>
  <c r="DJ26" i="3"/>
  <c r="BV9" i="3"/>
  <c r="W19" i="3"/>
  <c r="DR24" i="3"/>
  <c r="K22" i="3"/>
  <c r="CT7" i="3"/>
  <c r="DY19" i="3"/>
  <c r="AS13" i="3"/>
  <c r="CG3" i="3"/>
  <c r="AR15" i="3"/>
  <c r="EX19" i="3"/>
  <c r="S20" i="3"/>
  <c r="DD27" i="3"/>
  <c r="BD3" i="3"/>
  <c r="EW4" i="3"/>
  <c r="DS26" i="3"/>
  <c r="AC25" i="3"/>
  <c r="CT9" i="3"/>
  <c r="Q13" i="3"/>
  <c r="I9" i="3"/>
  <c r="DO3" i="3"/>
  <c r="BB23" i="3"/>
  <c r="X4" i="3"/>
  <c r="S11" i="3"/>
  <c r="EC22" i="3"/>
  <c r="ET5" i="3"/>
  <c r="EX36" i="3"/>
  <c r="B33" i="3"/>
  <c r="DO31" i="3"/>
  <c r="DS17" i="3"/>
  <c r="EA27" i="3"/>
  <c r="AK15" i="3"/>
  <c r="EQ24" i="3"/>
  <c r="F22" i="3"/>
  <c r="CZ19" i="3"/>
  <c r="EB13" i="3"/>
  <c r="L5" i="3"/>
  <c r="W14" i="3"/>
  <c r="O26" i="3"/>
  <c r="DK19" i="3"/>
  <c r="AA24" i="3"/>
  <c r="T5" i="3"/>
  <c r="EE14" i="3"/>
  <c r="AN34" i="3"/>
  <c r="BZ8" i="3"/>
  <c r="EH32" i="3"/>
  <c r="AW27" i="3"/>
  <c r="EX5" i="3"/>
  <c r="J36" i="3"/>
  <c r="DG16" i="3"/>
  <c r="DY24" i="3"/>
  <c r="DP13" i="3"/>
  <c r="ED35" i="3"/>
  <c r="DH29" i="3"/>
  <c r="EJ21" i="3"/>
  <c r="DY27" i="3"/>
  <c r="EL33" i="3"/>
  <c r="DT22" i="3"/>
  <c r="BE19" i="3"/>
  <c r="EA7" i="3"/>
  <c r="CQ5" i="3"/>
  <c r="EB22" i="3"/>
  <c r="EP21" i="3"/>
  <c r="DD19" i="3"/>
  <c r="CY2" i="3"/>
  <c r="V23" i="3"/>
  <c r="FB30" i="3"/>
  <c r="EN4" i="3"/>
  <c r="EM22" i="3"/>
  <c r="DK23" i="3"/>
  <c r="EF25" i="3"/>
  <c r="DL21" i="3"/>
  <c r="DJ36" i="3"/>
  <c r="DG6" i="3"/>
  <c r="AQ8" i="3"/>
  <c r="EK10" i="3"/>
  <c r="AO3" i="3"/>
  <c r="O6" i="3"/>
  <c r="DK18" i="3"/>
  <c r="AN29" i="3"/>
  <c r="AF23" i="3"/>
  <c r="U22" i="3"/>
  <c r="DH26" i="3"/>
  <c r="DY26" i="3"/>
  <c r="EE18" i="3"/>
  <c r="AM20" i="3"/>
  <c r="DD2" i="3"/>
  <c r="EM3" i="3"/>
  <c r="DG8" i="3"/>
  <c r="EG3" i="3"/>
  <c r="EK8" i="3"/>
  <c r="F27" i="3"/>
  <c r="J15" i="3"/>
  <c r="J25" i="3"/>
  <c r="EC34" i="3"/>
  <c r="BP3" i="3"/>
  <c r="AE2" i="3"/>
  <c r="AR34" i="3"/>
  <c r="BK8" i="3"/>
  <c r="DM14" i="3"/>
  <c r="L31" i="3"/>
  <c r="DE26" i="3"/>
  <c r="BH14" i="3"/>
  <c r="AN15" i="3"/>
  <c r="M22" i="3"/>
  <c r="Y26" i="3"/>
  <c r="DU38" i="3"/>
  <c r="AK13" i="3"/>
  <c r="K30" i="3"/>
  <c r="J26" i="3"/>
  <c r="DR5" i="3"/>
  <c r="DJ9" i="3"/>
  <c r="AX9" i="3"/>
  <c r="EY28" i="3"/>
  <c r="EC9" i="3"/>
  <c r="AS12" i="3"/>
  <c r="EN24" i="3"/>
  <c r="S6" i="3"/>
  <c r="AL11" i="3"/>
  <c r="EY37" i="3"/>
  <c r="Z8" i="3"/>
  <c r="H2" i="3"/>
  <c r="B7" i="3"/>
  <c r="CH5" i="3"/>
  <c r="ED16" i="3"/>
  <c r="AA6" i="3"/>
  <c r="EB19" i="3"/>
  <c r="G31" i="3"/>
  <c r="DQ17" i="3"/>
  <c r="CO3" i="3"/>
  <c r="DO10" i="3"/>
  <c r="BO2" i="3"/>
  <c r="EC18" i="3"/>
  <c r="BB26" i="3"/>
  <c r="EG22" i="3"/>
  <c r="AX8" i="3"/>
  <c r="AM17" i="3"/>
  <c r="K17" i="3"/>
  <c r="BH15" i="3"/>
  <c r="EF36" i="3"/>
  <c r="D17" i="3"/>
  <c r="CD4" i="3"/>
  <c r="T2" i="3"/>
  <c r="T31" i="3"/>
  <c r="AL27" i="3"/>
  <c r="DK14" i="3"/>
  <c r="DW28" i="3"/>
  <c r="DL36" i="3"/>
  <c r="AK3" i="3"/>
  <c r="AH5" i="3"/>
  <c r="DN16" i="3"/>
  <c r="CZ15" i="3"/>
  <c r="AW28" i="3"/>
  <c r="CT10" i="3"/>
  <c r="AI14" i="3"/>
  <c r="AR25" i="3"/>
  <c r="EN21" i="3"/>
  <c r="AJ12" i="3"/>
  <c r="AM21" i="3"/>
  <c r="DH34" i="3"/>
  <c r="AM25" i="3"/>
  <c r="DL25" i="3"/>
  <c r="CM3" i="3"/>
  <c r="DA13" i="3"/>
  <c r="DP16" i="3"/>
  <c r="DW31" i="3"/>
  <c r="E33" i="3"/>
  <c r="EW32" i="3"/>
  <c r="Q35" i="3"/>
  <c r="BM11" i="3"/>
  <c r="BD18" i="3"/>
  <c r="BR2" i="3"/>
  <c r="DM21" i="3"/>
  <c r="EN22" i="3"/>
  <c r="CW4" i="3"/>
  <c r="DX35" i="3"/>
  <c r="BK14" i="3"/>
  <c r="EU35" i="3"/>
  <c r="FA8" i="3"/>
  <c r="DC25" i="3"/>
  <c r="EL30" i="3"/>
  <c r="EO5" i="3"/>
  <c r="AR12" i="3"/>
  <c r="BC10" i="3"/>
  <c r="DJ19" i="3"/>
  <c r="F28" i="3"/>
  <c r="FA40" i="3"/>
  <c r="EN27" i="3"/>
  <c r="M5" i="3"/>
  <c r="BP10" i="3"/>
  <c r="E16" i="3"/>
  <c r="EA5" i="3"/>
  <c r="AJ13" i="3"/>
  <c r="DX26" i="3"/>
  <c r="EJ18" i="3"/>
  <c r="O5" i="3"/>
  <c r="CQ7" i="3"/>
  <c r="DL10" i="3"/>
  <c r="CZ18" i="3"/>
  <c r="ER14" i="3"/>
  <c r="DC22" i="3"/>
  <c r="AY27" i="3"/>
  <c r="DT10" i="3"/>
  <c r="EL10" i="3"/>
  <c r="AW25" i="3"/>
  <c r="CW5" i="3"/>
  <c r="DD3" i="3"/>
  <c r="DF7" i="3"/>
  <c r="DG4" i="3"/>
  <c r="CK4" i="3"/>
  <c r="DL15" i="3"/>
  <c r="W7" i="3"/>
  <c r="P14" i="3"/>
  <c r="BB20" i="3"/>
  <c r="EE11" i="3"/>
  <c r="EL27" i="3"/>
  <c r="EP23" i="3"/>
  <c r="DI24" i="3"/>
  <c r="BI12" i="3"/>
  <c r="AO7" i="3"/>
  <c r="DR26" i="3"/>
  <c r="S23" i="3"/>
  <c r="EX2" i="3"/>
  <c r="AL8" i="3"/>
  <c r="DE12" i="3"/>
  <c r="FB3" i="3"/>
  <c r="DA21" i="3"/>
  <c r="AS4" i="3"/>
  <c r="EJ16" i="3"/>
  <c r="J4" i="3"/>
  <c r="M18" i="3"/>
  <c r="CH8" i="3"/>
  <c r="EH11" i="3"/>
  <c r="AS30" i="3"/>
  <c r="DD15" i="3"/>
  <c r="AT15" i="3"/>
  <c r="K16" i="3"/>
  <c r="BD8" i="3"/>
  <c r="BN3" i="3"/>
  <c r="R26" i="3"/>
  <c r="AV29" i="3"/>
  <c r="X8" i="3"/>
  <c r="AG29" i="3"/>
  <c r="AC26" i="3"/>
  <c r="EX10" i="3"/>
  <c r="DN21" i="3"/>
  <c r="Z9" i="3"/>
  <c r="L2" i="3"/>
  <c r="BB17" i="3"/>
  <c r="FE28" i="3"/>
  <c r="DN30" i="3"/>
  <c r="EM24" i="3"/>
  <c r="CU7" i="3"/>
  <c r="AA22" i="3"/>
  <c r="V4" i="3"/>
  <c r="DJ32" i="3"/>
  <c r="P27" i="3"/>
  <c r="BB22" i="3"/>
  <c r="DT6" i="3"/>
  <c r="B11" i="3"/>
  <c r="AO11" i="3"/>
  <c r="DC19" i="3"/>
  <c r="AY2" i="3"/>
  <c r="DD13" i="3"/>
  <c r="DZ13" i="3"/>
  <c r="D13" i="3"/>
  <c r="AF6" i="3"/>
  <c r="CU4" i="3"/>
  <c r="BO8" i="3"/>
  <c r="CU12" i="3"/>
  <c r="AA11" i="3"/>
  <c r="DR15" i="3"/>
  <c r="AK33" i="3"/>
  <c r="EV34" i="3"/>
  <c r="AX11" i="3"/>
  <c r="I35" i="3"/>
  <c r="E3" i="3"/>
  <c r="AQ10" i="3"/>
  <c r="DK31" i="3"/>
  <c r="FC8" i="3"/>
  <c r="L35" i="3"/>
  <c r="DO7" i="3"/>
  <c r="AQ26" i="3"/>
  <c r="EX34" i="3"/>
  <c r="AU36" i="3"/>
  <c r="DX37" i="3"/>
  <c r="AG33" i="3"/>
  <c r="DT29" i="3"/>
  <c r="CD6" i="3"/>
  <c r="ES28" i="3"/>
  <c r="EJ29" i="3"/>
  <c r="AE27" i="3"/>
  <c r="AD28" i="3"/>
  <c r="EF7" i="3"/>
  <c r="DQ5" i="3"/>
  <c r="DQ30" i="3"/>
  <c r="BJ14" i="3"/>
  <c r="BC12" i="3"/>
  <c r="DP32" i="3"/>
  <c r="EG15" i="3"/>
  <c r="DE3" i="3"/>
  <c r="FA37" i="3"/>
  <c r="EY35" i="3"/>
  <c r="EN38" i="3"/>
  <c r="EX16" i="3"/>
  <c r="EB9" i="3"/>
  <c r="V31" i="3"/>
  <c r="FA22" i="3"/>
  <c r="EI27" i="3"/>
  <c r="FE7" i="3"/>
  <c r="AN14" i="3"/>
  <c r="E27" i="3"/>
  <c r="R7" i="3"/>
  <c r="AG36" i="3"/>
  <c r="DZ19" i="3"/>
  <c r="L9" i="3"/>
  <c r="AC21" i="3"/>
  <c r="F11" i="3"/>
  <c r="DF19" i="3"/>
  <c r="EW35" i="3"/>
  <c r="AT17" i="3"/>
  <c r="M29" i="3"/>
  <c r="AP15" i="3"/>
  <c r="EN3" i="3"/>
  <c r="ED34" i="3"/>
  <c r="BV3" i="3"/>
  <c r="DV17" i="3"/>
  <c r="CP8" i="3"/>
  <c r="AH13" i="3"/>
  <c r="DH35" i="3"/>
  <c r="BI11" i="3"/>
  <c r="EP6" i="3"/>
  <c r="AR2" i="3"/>
  <c r="DT21" i="3"/>
  <c r="ED18" i="3"/>
  <c r="AM7" i="3"/>
  <c r="DO4" i="3"/>
  <c r="DN18" i="3"/>
  <c r="I14" i="3"/>
  <c r="DX7" i="3"/>
  <c r="DS10" i="3"/>
  <c r="Q10" i="3"/>
  <c r="DG32" i="3"/>
  <c r="AU3" i="3"/>
  <c r="BI2" i="3"/>
  <c r="EQ29" i="3"/>
  <c r="EF22" i="3"/>
  <c r="AD27" i="3"/>
  <c r="EZ21" i="3"/>
  <c r="EQ19" i="3"/>
  <c r="B29" i="3"/>
  <c r="AR30" i="3"/>
  <c r="EY14" i="3"/>
  <c r="Z14" i="3"/>
  <c r="EK6" i="3"/>
  <c r="EB5" i="3"/>
  <c r="DN26" i="3"/>
  <c r="AI4" i="3"/>
  <c r="CH6" i="3"/>
  <c r="CJ6" i="3"/>
  <c r="DZ15" i="3"/>
  <c r="CZ9" i="3"/>
  <c r="M17" i="3"/>
  <c r="AY21" i="3"/>
  <c r="DN37" i="3"/>
  <c r="E30" i="3"/>
  <c r="DK27" i="3"/>
  <c r="F15" i="3"/>
  <c r="FB10" i="3"/>
  <c r="DT9" i="3"/>
  <c r="DZ31" i="3"/>
  <c r="EL9" i="3"/>
  <c r="DX22" i="3"/>
  <c r="EC5" i="3"/>
  <c r="AF8" i="3"/>
  <c r="AN23" i="3"/>
  <c r="EY17" i="3"/>
  <c r="CC6" i="3"/>
  <c r="AJ9" i="3"/>
  <c r="AY16" i="3"/>
  <c r="DX16" i="3"/>
  <c r="M2" i="3"/>
  <c r="EH17" i="3"/>
  <c r="DS30" i="3"/>
  <c r="EM10" i="3"/>
  <c r="EP17" i="3"/>
  <c r="FE15" i="3"/>
  <c r="ET17" i="3"/>
  <c r="Q9" i="3"/>
  <c r="EW22" i="3"/>
  <c r="DR20" i="3"/>
  <c r="I23" i="3"/>
  <c r="DM31" i="3"/>
  <c r="EM15" i="3"/>
  <c r="EZ32" i="3"/>
  <c r="BC23" i="3"/>
  <c r="DB18" i="3"/>
  <c r="AV34" i="3"/>
  <c r="ET30" i="3"/>
  <c r="AM10" i="3"/>
  <c r="L22" i="3"/>
  <c r="AV26" i="3"/>
  <c r="AS31" i="3"/>
  <c r="DL23" i="3"/>
  <c r="BY2" i="3"/>
  <c r="BD12" i="3"/>
  <c r="CU10" i="3"/>
  <c r="BH11" i="3"/>
  <c r="N11" i="3"/>
  <c r="O14" i="3"/>
  <c r="EB15" i="3"/>
  <c r="EH23" i="3"/>
  <c r="AE14" i="3"/>
  <c r="Z6" i="3"/>
  <c r="FA34" i="3"/>
  <c r="AB7" i="3"/>
  <c r="DC24" i="3"/>
  <c r="DS19" i="3"/>
  <c r="X29" i="3"/>
  <c r="AF20" i="3"/>
  <c r="D24" i="3"/>
  <c r="L10" i="3"/>
  <c r="ED24" i="3"/>
  <c r="J23" i="3"/>
  <c r="L30" i="3"/>
  <c r="W24" i="3"/>
  <c r="EX11" i="3"/>
  <c r="AS10" i="3"/>
  <c r="EM34" i="3"/>
  <c r="EY8" i="3"/>
  <c r="L26" i="3"/>
  <c r="R2" i="3"/>
  <c r="EB14" i="3"/>
  <c r="EV27" i="3"/>
  <c r="Y4" i="3"/>
  <c r="EU37" i="3"/>
  <c r="DJ8" i="3"/>
  <c r="AH26" i="3"/>
  <c r="DD9" i="3"/>
  <c r="EK38" i="3"/>
  <c r="L24" i="3"/>
  <c r="AV17" i="3"/>
  <c r="FE38" i="3"/>
  <c r="T15" i="3"/>
  <c r="T34" i="3"/>
  <c r="EY4" i="3"/>
  <c r="O9" i="3"/>
  <c r="DR23" i="3"/>
  <c r="FA23" i="3"/>
  <c r="CI4" i="3"/>
  <c r="CP4" i="3"/>
  <c r="CX4" i="3"/>
  <c r="CJ3" i="3"/>
  <c r="DJ23" i="3"/>
  <c r="L8" i="3"/>
  <c r="G29" i="3"/>
  <c r="J14" i="3"/>
  <c r="R25" i="3"/>
  <c r="D2" i="3"/>
  <c r="EK13" i="3"/>
  <c r="CT12" i="3"/>
  <c r="DR21" i="3"/>
  <c r="AN24" i="3"/>
  <c r="AY8" i="3"/>
  <c r="EG18" i="3"/>
  <c r="S35" i="3"/>
  <c r="CL6" i="3"/>
  <c r="FD21" i="3"/>
  <c r="EP19" i="3"/>
  <c r="P7" i="3"/>
  <c r="L17" i="3"/>
  <c r="EZ28" i="3"/>
  <c r="FC28" i="3"/>
  <c r="I2" i="3"/>
  <c r="AI10" i="3"/>
  <c r="DZ35" i="3"/>
  <c r="EV32" i="3"/>
  <c r="P11" i="3"/>
  <c r="DG25" i="3"/>
  <c r="J3" i="3"/>
  <c r="EY40" i="3"/>
  <c r="DW17" i="3"/>
  <c r="EZ38" i="3"/>
  <c r="AW31" i="3"/>
  <c r="AI25" i="3"/>
  <c r="FD16" i="3"/>
  <c r="DZ22" i="3"/>
  <c r="DU17" i="3"/>
  <c r="D21" i="3"/>
  <c r="EG19" i="3"/>
  <c r="H10" i="3"/>
  <c r="W17" i="3"/>
  <c r="CR6" i="3"/>
  <c r="ES5" i="3"/>
  <c r="FE26" i="3"/>
  <c r="ET6" i="3"/>
  <c r="EP28" i="3"/>
  <c r="DW15" i="3"/>
  <c r="C14" i="3"/>
  <c r="AS2" i="3"/>
  <c r="I18" i="3"/>
  <c r="DU13" i="3"/>
  <c r="EJ17" i="3"/>
  <c r="FA9" i="3"/>
  <c r="EC15" i="3"/>
  <c r="ET11" i="3"/>
  <c r="DD25" i="3"/>
  <c r="EU38" i="3"/>
  <c r="DC2" i="3"/>
  <c r="AB16" i="3"/>
  <c r="EV16" i="3"/>
  <c r="EG30" i="3"/>
  <c r="AN16" i="3"/>
  <c r="T25" i="3"/>
  <c r="DT12" i="3"/>
  <c r="G24" i="3"/>
  <c r="EN18" i="3"/>
  <c r="DS23" i="3"/>
  <c r="DE21" i="3"/>
  <c r="EQ20" i="3"/>
  <c r="AG27" i="3"/>
  <c r="EO4" i="3"/>
  <c r="BC27" i="3"/>
  <c r="W26" i="3"/>
  <c r="B36" i="3"/>
  <c r="FD4" i="3"/>
  <c r="DQ26" i="3"/>
  <c r="DY6" i="3"/>
  <c r="EH25" i="3"/>
  <c r="EW3" i="3"/>
  <c r="EF29" i="3"/>
  <c r="FD8" i="3"/>
  <c r="EU21" i="3"/>
  <c r="AU33" i="3"/>
  <c r="DY13" i="3"/>
  <c r="FB33" i="3"/>
  <c r="F17" i="3"/>
  <c r="AD23" i="3"/>
  <c r="G8" i="3"/>
  <c r="AX22" i="3"/>
  <c r="BA15" i="3"/>
  <c r="AL31" i="3"/>
  <c r="CF7" i="3"/>
  <c r="AA4" i="3"/>
  <c r="BF5" i="3"/>
  <c r="DX15" i="3"/>
  <c r="DA12" i="3"/>
  <c r="CF3" i="3"/>
  <c r="BM5" i="3"/>
  <c r="AV15" i="3"/>
  <c r="FE29" i="3"/>
  <c r="AB17" i="3"/>
  <c r="CZ2" i="3"/>
  <c r="CZ6" i="3"/>
  <c r="AA10" i="3"/>
  <c r="AZ15" i="3"/>
  <c r="Y14" i="3"/>
  <c r="C10" i="3"/>
  <c r="AI11" i="3"/>
  <c r="BI4" i="3"/>
  <c r="BC8" i="3"/>
  <c r="EN33" i="3"/>
  <c r="B6" i="3"/>
  <c r="DE24" i="3"/>
  <c r="EA8" i="3"/>
  <c r="DU19" i="3"/>
  <c r="DF10" i="3"/>
  <c r="AR24" i="3"/>
  <c r="Z5" i="3"/>
  <c r="ET8" i="3"/>
  <c r="DQ21" i="3"/>
  <c r="ED30" i="3"/>
  <c r="CO5" i="3"/>
  <c r="DJ6" i="3"/>
  <c r="B4" i="3"/>
  <c r="ED12" i="3"/>
  <c r="X28" i="3"/>
  <c r="Q34" i="3"/>
  <c r="BG11" i="3"/>
  <c r="DB7" i="3"/>
  <c r="FC34" i="3"/>
  <c r="EC2" i="3"/>
  <c r="CG7" i="3"/>
  <c r="L15" i="3"/>
  <c r="Y21" i="3"/>
  <c r="ES13" i="3"/>
  <c r="AC18" i="3"/>
  <c r="BH12" i="3"/>
  <c r="DM7" i="3"/>
  <c r="EP37" i="3"/>
  <c r="DC8" i="3"/>
  <c r="DR3" i="3"/>
  <c r="EA30" i="3"/>
  <c r="DK5" i="3"/>
  <c r="AT8" i="3"/>
  <c r="AI31" i="3"/>
  <c r="EJ37" i="3"/>
  <c r="DJ30" i="3"/>
  <c r="BZ7" i="3"/>
  <c r="G11" i="3"/>
  <c r="FC21" i="3"/>
  <c r="Z10" i="3"/>
  <c r="DP23" i="3"/>
  <c r="EI21" i="3"/>
  <c r="CC7" i="3"/>
  <c r="CA2" i="3"/>
  <c r="CF6" i="3"/>
  <c r="K13" i="3"/>
  <c r="O4" i="3"/>
  <c r="EE21" i="3"/>
  <c r="DU33" i="3"/>
  <c r="S27" i="3"/>
  <c r="AF24" i="3"/>
  <c r="EV22" i="3"/>
  <c r="DI17" i="3"/>
  <c r="BB15" i="3"/>
  <c r="AE20" i="3"/>
  <c r="BZ3" i="3"/>
  <c r="DW12" i="3"/>
  <c r="AE13" i="3"/>
  <c r="C21" i="3"/>
  <c r="DT34" i="3"/>
  <c r="H7" i="3"/>
  <c r="CJ5" i="3"/>
  <c r="S24" i="3"/>
  <c r="DN12" i="3"/>
  <c r="FA29" i="3"/>
  <c r="BE18" i="3"/>
  <c r="C4" i="3"/>
  <c r="CY6" i="3"/>
  <c r="EV26" i="3"/>
  <c r="R13" i="3"/>
  <c r="AN3" i="3"/>
  <c r="EO6" i="3"/>
  <c r="EW30" i="3"/>
  <c r="AS24" i="3"/>
  <c r="DS22" i="3"/>
  <c r="P29" i="3"/>
  <c r="AM14" i="3"/>
  <c r="BS10" i="3"/>
  <c r="DZ14" i="3"/>
  <c r="U28" i="3"/>
  <c r="EV11" i="3"/>
  <c r="BT6" i="3"/>
  <c r="AR5" i="3"/>
  <c r="DX24" i="3"/>
  <c r="BE8" i="3"/>
  <c r="DI37" i="3"/>
  <c r="AM24" i="3"/>
  <c r="EY15" i="3"/>
  <c r="EF26" i="3"/>
  <c r="DR11" i="3"/>
  <c r="CG6" i="3"/>
  <c r="EU20" i="3"/>
  <c r="EG7" i="3"/>
  <c r="AB2" i="3"/>
  <c r="BP4" i="3"/>
  <c r="DT35" i="3"/>
  <c r="AZ17" i="3"/>
  <c r="FC10" i="3"/>
  <c r="AF4" i="3"/>
  <c r="DU3" i="3"/>
  <c r="DW29" i="3"/>
  <c r="EZ17" i="3"/>
  <c r="BJ2" i="3"/>
  <c r="H15" i="3"/>
  <c r="EX29" i="3"/>
  <c r="DT27" i="3"/>
  <c r="DD22" i="3"/>
  <c r="AH11" i="3"/>
  <c r="DK32" i="3"/>
  <c r="AV31" i="3"/>
  <c r="J5" i="3"/>
  <c r="DU32" i="3"/>
  <c r="EP20" i="3"/>
  <c r="EW21" i="3"/>
  <c r="CS7" i="3"/>
  <c r="EJ19" i="3"/>
  <c r="EB29" i="3"/>
  <c r="EA29" i="3"/>
  <c r="AJ26" i="3"/>
  <c r="BL11" i="3"/>
  <c r="DU27" i="3"/>
  <c r="P31" i="3"/>
  <c r="EX21" i="3"/>
  <c r="FE39" i="3"/>
  <c r="N19" i="3"/>
  <c r="AY30" i="3"/>
  <c r="AD21" i="3"/>
  <c r="EA37" i="3"/>
  <c r="G5" i="3"/>
  <c r="AX30" i="3"/>
  <c r="R35" i="3"/>
  <c r="CU6" i="3"/>
  <c r="AA12" i="3"/>
  <c r="D22" i="3"/>
  <c r="DQ20" i="3"/>
  <c r="EK31" i="3"/>
  <c r="T3" i="3"/>
  <c r="DV9" i="3"/>
  <c r="AM36" i="3"/>
  <c r="E31" i="3"/>
  <c r="BI13" i="3"/>
  <c r="EO31" i="3"/>
  <c r="AS11" i="3"/>
  <c r="F16" i="3"/>
  <c r="ED28" i="3"/>
  <c r="DT17" i="3"/>
  <c r="E8" i="3"/>
  <c r="DM4" i="3"/>
  <c r="DZ7" i="3"/>
  <c r="EO17" i="3"/>
  <c r="DH37" i="3"/>
  <c r="AD4" i="3"/>
  <c r="BW2" i="3"/>
  <c r="AL16" i="3"/>
  <c r="AY5" i="3"/>
  <c r="CE8" i="3"/>
  <c r="DH5" i="3"/>
  <c r="S9" i="3"/>
  <c r="DS5" i="3"/>
  <c r="EJ7" i="3"/>
  <c r="DN4" i="3"/>
  <c r="EL35" i="3"/>
  <c r="EL12" i="3"/>
  <c r="AR27" i="3"/>
  <c r="DC21" i="3"/>
  <c r="AJ33" i="3"/>
  <c r="DV36" i="3"/>
  <c r="DP9" i="3"/>
  <c r="BF3" i="3"/>
  <c r="AX2" i="3"/>
  <c r="EV15" i="3"/>
  <c r="FD28" i="3"/>
  <c r="N29" i="3"/>
  <c r="AL10" i="3"/>
  <c r="Q15" i="3"/>
  <c r="ES12" i="3"/>
  <c r="EG33" i="3"/>
  <c r="AG17" i="3"/>
  <c r="S29" i="3"/>
  <c r="EB6" i="3"/>
  <c r="DH31" i="3"/>
  <c r="C36" i="3"/>
  <c r="EY6" i="3"/>
  <c r="W28" i="3"/>
  <c r="EQ26" i="3"/>
  <c r="DK6" i="3"/>
  <c r="BQ9" i="3"/>
  <c r="O34" i="3"/>
  <c r="EC10" i="3"/>
  <c r="AD17" i="3"/>
  <c r="EA3" i="3"/>
  <c r="F7" i="3"/>
  <c r="AZ12" i="3"/>
  <c r="BC9" i="3"/>
  <c r="EP8" i="3"/>
  <c r="ER35" i="3"/>
  <c r="DV25" i="3"/>
  <c r="H26" i="3"/>
  <c r="CY5" i="3"/>
  <c r="AT7" i="3"/>
  <c r="G21" i="3"/>
  <c r="O23" i="3"/>
  <c r="DF18" i="3"/>
  <c r="DR34" i="3"/>
  <c r="AK34" i="3"/>
  <c r="FC19" i="3"/>
  <c r="AK19" i="3"/>
  <c r="V26" i="3"/>
  <c r="FB40" i="3"/>
  <c r="EN36" i="3"/>
  <c r="B32" i="3"/>
  <c r="BY91" i="3"/>
  <c r="EG91" i="3"/>
  <c r="EQ91" i="3"/>
  <c r="AD91" i="3"/>
  <c r="BQ91" i="3"/>
  <c r="EA91" i="3"/>
  <c r="AE91" i="3"/>
  <c r="DX91" i="3"/>
  <c r="BU91" i="3"/>
  <c r="DQ91" i="3"/>
  <c r="FB91" i="3"/>
  <c r="DW91" i="3"/>
  <c r="J91" i="3"/>
  <c r="EN91" i="3"/>
  <c r="CC84" i="3"/>
  <c r="BO79" i="3"/>
  <c r="BM65" i="3"/>
  <c r="AQ37" i="3"/>
  <c r="BQ74" i="3"/>
  <c r="BK88" i="3"/>
  <c r="CK32" i="3"/>
  <c r="DR51" i="3"/>
  <c r="G83" i="3"/>
  <c r="AW57" i="3"/>
  <c r="CL69" i="3"/>
  <c r="V83" i="3"/>
  <c r="DG65" i="3"/>
  <c r="EC68" i="3"/>
  <c r="DW60" i="3"/>
  <c r="CX48" i="3"/>
  <c r="CA65" i="3"/>
  <c r="BZ45" i="3"/>
  <c r="BB68" i="3"/>
  <c r="E81" i="3"/>
  <c r="DU54" i="3"/>
  <c r="EI51" i="3"/>
  <c r="BA37" i="3"/>
  <c r="CP60" i="3"/>
  <c r="CO87" i="3"/>
  <c r="EC84" i="3"/>
  <c r="I81" i="3"/>
  <c r="AM58" i="3"/>
  <c r="EB82" i="3"/>
  <c r="DP75" i="3"/>
  <c r="N48" i="3"/>
  <c r="EK50" i="3"/>
  <c r="BQ39" i="3"/>
  <c r="DK84" i="3"/>
  <c r="CX52" i="3"/>
  <c r="CG27" i="3"/>
  <c r="EK67" i="3"/>
  <c r="CY30" i="3"/>
  <c r="CR80" i="3"/>
  <c r="H74" i="3"/>
  <c r="DY87" i="3"/>
  <c r="BM87" i="3"/>
  <c r="AZ88" i="3"/>
  <c r="DP47" i="3"/>
  <c r="N86" i="3"/>
  <c r="EI78" i="3"/>
  <c r="BI29" i="3"/>
  <c r="CE33" i="3"/>
  <c r="DB49" i="3"/>
  <c r="AI71" i="3"/>
  <c r="N71" i="3"/>
  <c r="DJ69" i="3"/>
  <c r="DA70" i="3"/>
  <c r="DJ71" i="3"/>
  <c r="DQ86" i="3"/>
  <c r="DK81" i="3"/>
  <c r="BS43" i="3"/>
  <c r="BR43" i="3"/>
  <c r="BN52" i="3"/>
  <c r="M79" i="3"/>
  <c r="AD69" i="3"/>
  <c r="BD80" i="3"/>
  <c r="CX67" i="3"/>
  <c r="BP8" i="3"/>
  <c r="BH90" i="3"/>
  <c r="BT25" i="3"/>
  <c r="CX31" i="3"/>
  <c r="ED73" i="3"/>
  <c r="AJ87" i="3"/>
  <c r="CD88" i="3"/>
  <c r="CC44" i="3"/>
  <c r="DG70" i="3"/>
  <c r="BV55" i="3"/>
  <c r="BW55" i="3"/>
  <c r="BM56" i="3"/>
  <c r="AC61" i="3"/>
  <c r="S76" i="3"/>
  <c r="DK60" i="3"/>
  <c r="AD87" i="3"/>
  <c r="EH81" i="3"/>
  <c r="AB46" i="3"/>
  <c r="DG30" i="3"/>
  <c r="CR66" i="3"/>
  <c r="CR64" i="3"/>
  <c r="Y82" i="3"/>
  <c r="AG90" i="3"/>
  <c r="CE40" i="3"/>
  <c r="P83" i="3"/>
  <c r="CQ48" i="3"/>
  <c r="DV86" i="3"/>
  <c r="AW69" i="3"/>
  <c r="DQ69" i="3"/>
  <c r="DZ65" i="3"/>
  <c r="DZ86" i="3"/>
  <c r="CZ47" i="3"/>
  <c r="AL39" i="3"/>
  <c r="CQ41" i="3"/>
  <c r="DM51" i="3"/>
  <c r="AQ48" i="3"/>
  <c r="CS77" i="3"/>
  <c r="BB38" i="3"/>
  <c r="CB35" i="3"/>
  <c r="CA38" i="3"/>
  <c r="S84" i="3"/>
  <c r="S68" i="3"/>
  <c r="DA79" i="3"/>
  <c r="AH42" i="3"/>
  <c r="CH72" i="3"/>
  <c r="L61" i="3"/>
  <c r="DT81" i="3"/>
  <c r="AI74" i="3"/>
  <c r="CG39" i="3"/>
  <c r="BV71" i="3"/>
  <c r="BI85" i="3"/>
  <c r="I78" i="3"/>
  <c r="BG37" i="3"/>
  <c r="DQ48" i="3"/>
  <c r="BE90" i="3"/>
  <c r="EJ30" i="3"/>
  <c r="T66" i="3"/>
  <c r="HS13" i="1" a="1"/>
  <c r="HS13" i="1" s="1"/>
  <c r="HU13" i="1" s="1"/>
  <c r="HW13" i="1" s="1"/>
  <c r="HS19" i="1" a="1"/>
  <c r="HS19" i="1" s="1"/>
  <c r="HU19" i="1" s="1"/>
  <c r="HW19" i="1" s="1"/>
  <c r="HS15" i="1" a="1"/>
  <c r="HS15" i="1" s="1"/>
  <c r="HU15" i="1" s="1"/>
  <c r="HW15" i="1" s="1"/>
  <c r="HS10" i="1" a="1"/>
  <c r="HS10" i="1" s="1"/>
  <c r="HU10" i="1" s="1"/>
  <c r="HW10" i="1" s="1"/>
  <c r="HS16" i="1" a="1"/>
  <c r="HS16" i="1" s="1"/>
  <c r="HU16" i="1" s="1"/>
  <c r="HW16" i="1" s="1"/>
  <c r="HS7" i="1" a="1"/>
  <c r="HS7" i="1" s="1"/>
  <c r="HU7" i="1" s="1"/>
  <c r="HW7" i="1" s="1"/>
  <c r="HS11" i="1" a="1"/>
  <c r="HS11" i="1" s="1"/>
  <c r="HU11" i="1" s="1"/>
  <c r="HW11" i="1" s="1"/>
  <c r="HS23" i="1" a="1"/>
  <c r="HS23" i="1" s="1"/>
  <c r="HU23" i="1" s="1"/>
  <c r="HW23" i="1" s="1"/>
  <c r="HS12" i="1" a="1"/>
  <c r="HS12" i="1" s="1"/>
  <c r="HU12" i="1" s="1"/>
  <c r="HW12" i="1" s="1"/>
  <c r="HS18" i="1" a="1"/>
  <c r="HS18" i="1" s="1"/>
  <c r="HU18" i="1" s="1"/>
  <c r="HW18" i="1" s="1"/>
  <c r="HS24" i="1" a="1"/>
  <c r="HS24" i="1" s="1"/>
  <c r="HU24" i="1" s="1"/>
  <c r="HW24" i="1" s="1"/>
  <c r="HS9" i="1" a="1"/>
  <c r="HS9" i="1" s="1"/>
  <c r="HU9" i="1" s="1"/>
  <c r="HW9" i="1" s="1"/>
  <c r="HS17" i="1" a="1"/>
  <c r="HS17" i="1" s="1"/>
  <c r="HU17" i="1" s="1"/>
  <c r="HW17" i="1" s="1"/>
  <c r="HS6" i="1" a="1"/>
  <c r="HS6" i="1" s="1"/>
  <c r="HU6" i="1" s="1"/>
  <c r="HW6" i="1" s="1"/>
  <c r="HS21" i="1" l="1" a="1"/>
  <c r="HS21" i="1" s="1"/>
  <c r="HU21" i="1" s="1"/>
  <c r="HW21" i="1" s="1"/>
  <c r="Q91" i="3" s="1"/>
  <c r="O73" i="3"/>
  <c r="BA7" i="3"/>
  <c r="EV17" i="3"/>
  <c r="BN12" i="3"/>
  <c r="CP6" i="3"/>
  <c r="ED5" i="3"/>
  <c r="ED13" i="3"/>
  <c r="I34" i="3"/>
  <c r="BA16" i="3"/>
  <c r="FE44" i="3"/>
  <c r="AU17" i="3"/>
  <c r="BG5" i="3"/>
  <c r="DF34" i="3"/>
  <c r="DN42" i="3"/>
  <c r="U54" i="3"/>
  <c r="EC23" i="3"/>
  <c r="DP11" i="3"/>
  <c r="EW6" i="3"/>
  <c r="I22" i="3"/>
  <c r="K21" i="3"/>
  <c r="AV2" i="3"/>
  <c r="BA12" i="3"/>
  <c r="X10" i="3"/>
  <c r="EQ18" i="3"/>
  <c r="CQ16" i="3"/>
  <c r="CK16" i="3"/>
  <c r="CJ16" i="3"/>
  <c r="CV13" i="3"/>
  <c r="CJ69" i="3"/>
  <c r="EC33" i="3"/>
  <c r="CV62" i="3"/>
  <c r="BS63" i="3"/>
  <c r="BZ59" i="3"/>
  <c r="CE70" i="3"/>
  <c r="DZ18" i="3"/>
  <c r="E55" i="3"/>
  <c r="BG23" i="3"/>
  <c r="CB60" i="3"/>
  <c r="BI67" i="3"/>
  <c r="BZ60" i="3"/>
  <c r="BU74" i="3"/>
  <c r="BY59" i="3"/>
  <c r="EI82" i="3"/>
  <c r="CF59" i="3"/>
  <c r="CF60" i="3"/>
  <c r="Q62" i="3"/>
  <c r="N63" i="3"/>
  <c r="O62" i="3"/>
  <c r="D69" i="3"/>
  <c r="M64" i="3"/>
  <c r="O64" i="3"/>
  <c r="O63" i="3"/>
  <c r="Q64" i="3"/>
  <c r="R62" i="3"/>
  <c r="Q65" i="3"/>
  <c r="S62" i="3"/>
  <c r="AV32" i="3"/>
  <c r="S64" i="3"/>
  <c r="AZ23" i="3"/>
  <c r="Q66" i="3"/>
  <c r="AQ60" i="3"/>
  <c r="AS68" i="3"/>
  <c r="CO80" i="3"/>
  <c r="BK34" i="3"/>
  <c r="AP58" i="3"/>
  <c r="AO60" i="3"/>
  <c r="FE33" i="3"/>
  <c r="CL59" i="3"/>
  <c r="AR9" i="3"/>
  <c r="EZ16" i="3"/>
  <c r="I27" i="3"/>
  <c r="EL34" i="3"/>
  <c r="EE27" i="3"/>
  <c r="DZ48" i="3"/>
  <c r="AS9" i="3"/>
  <c r="DJ83" i="3"/>
  <c r="T29" i="3"/>
  <c r="AW6" i="3"/>
  <c r="AJ5" i="3"/>
  <c r="AZ42" i="3"/>
  <c r="Y42" i="3"/>
  <c r="CK7" i="3"/>
  <c r="S65" i="3"/>
  <c r="CB40" i="3"/>
  <c r="BM4" i="3"/>
  <c r="AV18" i="3"/>
  <c r="CD60" i="3"/>
  <c r="BZ61" i="3"/>
  <c r="BW61" i="3"/>
  <c r="EJ70" i="3"/>
  <c r="CL74" i="3"/>
  <c r="CE65" i="3"/>
  <c r="CH59" i="3"/>
  <c r="BP65" i="3"/>
  <c r="CW75" i="3"/>
  <c r="BZ74" i="3"/>
  <c r="BZ62" i="3"/>
  <c r="CL73" i="3"/>
  <c r="CB61" i="3"/>
  <c r="BQ64" i="3"/>
  <c r="CD61" i="3"/>
  <c r="CU70" i="3"/>
  <c r="CC70" i="3"/>
  <c r="CQ66" i="3"/>
  <c r="BW78" i="3"/>
  <c r="CF74" i="3"/>
  <c r="CP71" i="3"/>
  <c r="BZ73" i="3"/>
  <c r="CJ65" i="3"/>
  <c r="CB81" i="3"/>
  <c r="CD83" i="3"/>
  <c r="CC63" i="3"/>
  <c r="CM62" i="3"/>
  <c r="CK62" i="3"/>
  <c r="CI64" i="3"/>
  <c r="CE61" i="3"/>
  <c r="CJ66" i="3"/>
  <c r="BY65" i="3"/>
  <c r="CA64" i="3"/>
  <c r="CF70" i="3"/>
  <c r="BI76" i="3"/>
  <c r="CG61" i="3"/>
  <c r="BY64" i="3"/>
  <c r="BV74" i="3"/>
  <c r="CA70" i="3"/>
  <c r="BR70" i="3"/>
  <c r="BO65" i="3"/>
  <c r="CA63" i="3"/>
  <c r="BT67" i="3"/>
  <c r="BZ69" i="3"/>
  <c r="BY63" i="3"/>
  <c r="CF65" i="3"/>
  <c r="CW52" i="3"/>
  <c r="CC66" i="3"/>
  <c r="EI19" i="3"/>
  <c r="BX70" i="3"/>
  <c r="BZ70" i="3"/>
  <c r="CH63" i="3"/>
  <c r="CG65" i="3"/>
  <c r="CJ61" i="3"/>
  <c r="CC68" i="3"/>
  <c r="CL64" i="3"/>
  <c r="CH61" i="3"/>
  <c r="CB68" i="3"/>
  <c r="CE69" i="3"/>
  <c r="I4" i="3"/>
  <c r="BY35" i="3"/>
  <c r="DE46" i="3"/>
  <c r="CI2" i="3"/>
  <c r="CM61" i="3"/>
  <c r="AM59" i="3"/>
  <c r="DI64" i="3"/>
  <c r="CI57" i="3"/>
  <c r="BW49" i="3"/>
  <c r="N12" i="3"/>
  <c r="G23" i="3"/>
  <c r="BA52" i="3"/>
  <c r="CO59" i="3"/>
  <c r="DH61" i="3"/>
  <c r="BU84" i="3"/>
  <c r="CN59" i="3"/>
  <c r="CQ59" i="3"/>
  <c r="CJ56" i="3"/>
  <c r="DI65" i="3"/>
  <c r="CH66" i="3"/>
  <c r="CG66" i="3"/>
  <c r="CG67" i="3"/>
  <c r="AE71" i="3"/>
  <c r="CD74" i="3"/>
  <c r="DO67" i="3"/>
  <c r="AB66" i="3"/>
  <c r="CC52" i="3"/>
  <c r="CA79" i="3"/>
  <c r="AN58" i="3"/>
  <c r="CC75" i="3"/>
  <c r="CH69" i="3"/>
  <c r="DE33" i="3"/>
  <c r="ER27" i="3"/>
  <c r="DM40" i="3"/>
  <c r="DM15" i="3"/>
  <c r="CN64" i="3"/>
  <c r="CF75" i="3"/>
  <c r="BK66" i="3"/>
  <c r="CH77" i="3"/>
  <c r="AN71" i="3"/>
  <c r="DZ68" i="3"/>
  <c r="AJ65" i="3"/>
  <c r="CO64" i="3"/>
  <c r="BT90" i="3"/>
  <c r="BX87" i="3"/>
  <c r="AM67" i="3"/>
  <c r="CI72" i="3"/>
  <c r="CH70" i="3"/>
  <c r="DX57" i="3"/>
  <c r="CZ89" i="3"/>
  <c r="AQ68" i="3"/>
  <c r="CG79" i="3"/>
  <c r="CR69" i="3"/>
  <c r="CO39" i="3"/>
  <c r="BS38" i="3"/>
  <c r="DT75" i="3"/>
  <c r="CJ75" i="3"/>
  <c r="CV90" i="3"/>
  <c r="AQ70" i="3"/>
  <c r="DT54" i="3"/>
  <c r="DS81" i="3"/>
  <c r="CF80" i="3"/>
  <c r="AQ61" i="3"/>
  <c r="CM67" i="3"/>
  <c r="BS66" i="3"/>
  <c r="CS69" i="3"/>
  <c r="CJ52" i="3"/>
  <c r="CK83" i="3"/>
  <c r="AO62" i="3"/>
  <c r="CJ74" i="3"/>
  <c r="BR66" i="3"/>
  <c r="CO74" i="3"/>
  <c r="CS83" i="3"/>
  <c r="CM71" i="3"/>
  <c r="DW56" i="3"/>
  <c r="CO68" i="3"/>
  <c r="CT81" i="3"/>
  <c r="CT65" i="3"/>
  <c r="CP75" i="3"/>
  <c r="CV81" i="3"/>
  <c r="CT76" i="3"/>
  <c r="CK74" i="3"/>
  <c r="EI67" i="3"/>
  <c r="AR60" i="3"/>
  <c r="CK75" i="3"/>
  <c r="CL68" i="3"/>
  <c r="BW62" i="3"/>
  <c r="CU73" i="3"/>
  <c r="AR63" i="3"/>
  <c r="CR78" i="3"/>
  <c r="CL70" i="3"/>
  <c r="BW60" i="3"/>
  <c r="CT66" i="3"/>
  <c r="CT68" i="3"/>
  <c r="CB67" i="3"/>
  <c r="CX76" i="3"/>
  <c r="CT80" i="3"/>
  <c r="CR60" i="3"/>
  <c r="CM75" i="3"/>
  <c r="CC64" i="3"/>
  <c r="CV79" i="3"/>
  <c r="CP70" i="3"/>
  <c r="CS71" i="3"/>
  <c r="AO39" i="3"/>
  <c r="DV55" i="3"/>
  <c r="CQ73" i="3"/>
  <c r="CH67" i="3"/>
  <c r="CL81" i="3"/>
  <c r="AF58" i="3"/>
  <c r="CU74" i="3"/>
  <c r="CU75" i="3"/>
  <c r="CS78" i="3"/>
  <c r="AQ44" i="3"/>
  <c r="CU77" i="3"/>
  <c r="BM84" i="3"/>
  <c r="AA63" i="3"/>
  <c r="CW55" i="3"/>
  <c r="BS59" i="3"/>
  <c r="CA86" i="3"/>
  <c r="CX58" i="3"/>
  <c r="T72" i="3"/>
  <c r="BT52" i="3"/>
  <c r="CU82" i="3"/>
  <c r="CU83" i="3"/>
  <c r="CF69" i="3"/>
  <c r="DA78" i="3"/>
  <c r="CZ70" i="3"/>
  <c r="BI36" i="3"/>
  <c r="EG51" i="3"/>
  <c r="CV80" i="3"/>
  <c r="CZ77" i="3"/>
  <c r="DL74" i="3"/>
  <c r="DB83" i="3"/>
  <c r="T64" i="3"/>
  <c r="DN60" i="3"/>
  <c r="DL76" i="3"/>
  <c r="CO51" i="3"/>
  <c r="DQ79" i="3"/>
  <c r="DQ82" i="3"/>
  <c r="T74" i="3"/>
  <c r="DG71" i="3"/>
  <c r="U65" i="3"/>
  <c r="CW84" i="3"/>
  <c r="CK79" i="3"/>
  <c r="CK71" i="3"/>
  <c r="CK72" i="3"/>
  <c r="CO75" i="3"/>
  <c r="AP61" i="3"/>
  <c r="CI56" i="3"/>
  <c r="CV86" i="3"/>
  <c r="CL55" i="3"/>
  <c r="CR73" i="3"/>
  <c r="EK73" i="3"/>
  <c r="CV44" i="3"/>
  <c r="AM76" i="3"/>
  <c r="DY81" i="3"/>
  <c r="CI40" i="3"/>
  <c r="AV81" i="3"/>
  <c r="AY67" i="3"/>
  <c r="CR58" i="3"/>
  <c r="AR58" i="3"/>
  <c r="CJ38" i="3"/>
  <c r="CY71" i="3"/>
  <c r="T51" i="3"/>
  <c r="CJ55" i="3"/>
  <c r="CW83" i="3"/>
  <c r="CY74" i="3"/>
  <c r="CX82" i="3"/>
  <c r="AW10" i="3"/>
  <c r="BO68" i="3"/>
  <c r="CZ74" i="3"/>
  <c r="CX87" i="3"/>
  <c r="BY56" i="3"/>
  <c r="BP19" i="3"/>
  <c r="CZ81" i="3"/>
  <c r="BO88" i="3"/>
  <c r="AX13" i="3"/>
  <c r="DO44" i="3"/>
  <c r="AP57" i="3"/>
  <c r="AR47" i="3"/>
  <c r="AM42" i="3"/>
  <c r="CH57" i="3"/>
  <c r="EE72" i="3"/>
  <c r="AL80" i="3"/>
  <c r="CJ35" i="3"/>
  <c r="CO31" i="3"/>
  <c r="AU90" i="3"/>
  <c r="AM34" i="3"/>
  <c r="AV58" i="3"/>
  <c r="CS53" i="3"/>
  <c r="DQ46" i="3"/>
  <c r="AY81" i="3"/>
  <c r="BI39" i="3"/>
  <c r="DU30" i="3"/>
  <c r="P49" i="3"/>
  <c r="AL52" i="3"/>
  <c r="P82" i="3"/>
  <c r="DX46" i="3"/>
  <c r="DQ90" i="3"/>
  <c r="AN56" i="3"/>
  <c r="F81" i="3"/>
  <c r="P65" i="3"/>
  <c r="EG39" i="3"/>
  <c r="D80" i="3"/>
  <c r="E83" i="3"/>
  <c r="CU44" i="3"/>
  <c r="EC67" i="3"/>
  <c r="AQ59" i="3"/>
  <c r="DQ38" i="3"/>
  <c r="Q83" i="3"/>
  <c r="EC87" i="3"/>
  <c r="AF50" i="3"/>
  <c r="BD83" i="3"/>
  <c r="CC22" i="3"/>
  <c r="AZ47" i="3"/>
  <c r="CT33" i="3"/>
  <c r="BK42" i="3"/>
  <c r="AU44" i="3"/>
  <c r="O50" i="3"/>
  <c r="BN34" i="3"/>
  <c r="CT47" i="3"/>
  <c r="AS62" i="3"/>
  <c r="AO58" i="3"/>
  <c r="CR36" i="3"/>
  <c r="AN51" i="3"/>
  <c r="CT43" i="3"/>
  <c r="AT62" i="3"/>
  <c r="Y58" i="3"/>
  <c r="BR59" i="3"/>
  <c r="CV45" i="3"/>
  <c r="EP52" i="3"/>
  <c r="CY83" i="3"/>
  <c r="FB74" i="3"/>
  <c r="DO52" i="3"/>
  <c r="DD87" i="3"/>
  <c r="DL50" i="3"/>
  <c r="DL45" i="3"/>
  <c r="BL54" i="3"/>
  <c r="CW58" i="3"/>
  <c r="BN30" i="3"/>
  <c r="BO57" i="3"/>
  <c r="T67" i="3"/>
  <c r="DK61" i="3"/>
  <c r="BO50" i="3"/>
  <c r="CV36" i="3"/>
  <c r="CM37" i="3"/>
  <c r="CU45" i="3"/>
  <c r="O84" i="3"/>
  <c r="CL61" i="3"/>
  <c r="U53" i="3"/>
  <c r="BU10" i="3"/>
  <c r="DT2" i="3"/>
  <c r="EK23" i="3"/>
  <c r="DF51" i="3"/>
  <c r="O29" i="3"/>
  <c r="EM2" i="3"/>
  <c r="BH84" i="3"/>
  <c r="AV89" i="3"/>
  <c r="AL55" i="3"/>
  <c r="DZ56" i="3"/>
  <c r="AS5" i="3"/>
  <c r="M54" i="3"/>
  <c r="U63" i="3"/>
  <c r="U64" i="3"/>
  <c r="CV82" i="3"/>
  <c r="DE9" i="3"/>
  <c r="DQ41" i="3"/>
  <c r="AQ49" i="3"/>
  <c r="CU81" i="3"/>
  <c r="CT45" i="3"/>
  <c r="DR37" i="3"/>
  <c r="CX74" i="3"/>
  <c r="CX41" i="3"/>
  <c r="CJ54" i="3"/>
  <c r="CT73" i="3"/>
  <c r="CW74" i="3"/>
  <c r="DA38" i="3"/>
  <c r="CS58" i="3"/>
  <c r="R71" i="3"/>
  <c r="EF76" i="3"/>
  <c r="AZ48" i="3"/>
  <c r="AU81" i="3"/>
  <c r="BM41" i="3"/>
  <c r="BX49" i="3"/>
  <c r="DK91" i="3"/>
  <c r="BE44" i="3"/>
  <c r="DV42" i="3"/>
  <c r="AR48" i="3"/>
  <c r="CX79" i="3"/>
  <c r="CV76" i="3"/>
  <c r="CY82" i="3"/>
  <c r="CT75" i="3"/>
  <c r="CV70" i="3"/>
  <c r="CX85" i="3"/>
  <c r="X85" i="3"/>
  <c r="CP32" i="3"/>
  <c r="DX51" i="3"/>
  <c r="DP28" i="3"/>
  <c r="CO27" i="3"/>
  <c r="O74" i="3"/>
  <c r="DG91" i="3"/>
  <c r="BL56" i="3"/>
  <c r="BU24" i="3"/>
  <c r="AW40" i="3"/>
  <c r="BC85" i="3"/>
  <c r="EK74" i="3"/>
  <c r="CU39" i="3"/>
  <c r="AP55" i="3"/>
  <c r="AZ28" i="3"/>
  <c r="CY79" i="3"/>
  <c r="S73" i="3"/>
  <c r="DR47" i="3"/>
  <c r="DR33" i="3"/>
  <c r="H83" i="3"/>
  <c r="AI41" i="3"/>
  <c r="DM43" i="3"/>
  <c r="AC89" i="3"/>
  <c r="DB57" i="3"/>
  <c r="BU45" i="3"/>
  <c r="BA78" i="3"/>
  <c r="BR85" i="3"/>
  <c r="AC86" i="3"/>
  <c r="CX30" i="3"/>
  <c r="CU71" i="3"/>
  <c r="AE79" i="3"/>
  <c r="BZ26" i="3"/>
  <c r="DM47" i="3"/>
  <c r="AS48" i="3"/>
  <c r="BY19" i="3"/>
  <c r="AC57" i="3"/>
  <c r="DT39" i="3"/>
  <c r="Q44" i="3"/>
  <c r="I83" i="3"/>
  <c r="AW72" i="3"/>
  <c r="BI43" i="3"/>
  <c r="DQ36" i="3"/>
  <c r="R67" i="3"/>
  <c r="BT47" i="3"/>
  <c r="CT72" i="3"/>
  <c r="DV43" i="3"/>
  <c r="DO46" i="3"/>
  <c r="CW72" i="3"/>
  <c r="CZ79" i="3"/>
  <c r="CT78" i="3"/>
  <c r="CV74" i="3"/>
  <c r="CS46" i="3"/>
  <c r="DR38" i="3"/>
  <c r="CU79" i="3"/>
  <c r="CW81" i="3"/>
  <c r="CW78" i="3"/>
  <c r="CX84" i="3"/>
  <c r="CU78" i="3"/>
  <c r="CW69" i="3"/>
  <c r="CV75" i="3"/>
  <c r="BI89" i="3"/>
  <c r="CG52" i="3"/>
  <c r="DD33" i="3"/>
  <c r="BY60" i="3"/>
  <c r="BX64" i="3"/>
  <c r="AW34" i="3"/>
  <c r="DQ44" i="3"/>
  <c r="CC62" i="3"/>
  <c r="CT11" i="3"/>
  <c r="AO24" i="3"/>
  <c r="BQ53" i="3"/>
  <c r="DB3" i="3"/>
  <c r="DO73" i="3"/>
  <c r="CW53" i="3"/>
  <c r="CH64" i="3"/>
  <c r="AC54" i="3"/>
  <c r="R12" i="3"/>
  <c r="AR4" i="3"/>
  <c r="BB51" i="3"/>
  <c r="CG64" i="3"/>
  <c r="EP82" i="3"/>
  <c r="CI62" i="3"/>
  <c r="CJ60" i="3"/>
  <c r="DD77" i="3"/>
  <c r="CK60" i="3"/>
  <c r="V51" i="3"/>
  <c r="DP46" i="3"/>
  <c r="DJ66" i="3"/>
  <c r="AQ56" i="3"/>
  <c r="BK65" i="3"/>
  <c r="CN58" i="3"/>
  <c r="BK63" i="3"/>
  <c r="AO54" i="3"/>
  <c r="CO65" i="3"/>
  <c r="CP67" i="3"/>
  <c r="BL3" i="3"/>
  <c r="BV91" i="3"/>
  <c r="AN55" i="3"/>
  <c r="BN64" i="3"/>
  <c r="BV76" i="3"/>
  <c r="DP42" i="3"/>
  <c r="AY4" i="3"/>
  <c r="AT51" i="3"/>
  <c r="BV67" i="3"/>
  <c r="AM57" i="3"/>
  <c r="AR61" i="3"/>
  <c r="AS63" i="3"/>
  <c r="DQ42" i="3"/>
  <c r="EA56" i="3"/>
  <c r="M59" i="3"/>
  <c r="BJ22" i="3"/>
  <c r="BQ76" i="3"/>
  <c r="DS37" i="3"/>
  <c r="BW66" i="3"/>
  <c r="BQ3" i="3"/>
  <c r="EZ67" i="3"/>
  <c r="CX39" i="3"/>
  <c r="DA33" i="3"/>
  <c r="EC14" i="3"/>
  <c r="BT10" i="3"/>
  <c r="EL25" i="3"/>
  <c r="AW84" i="3"/>
  <c r="CC31" i="3"/>
  <c r="DR42" i="3"/>
  <c r="AQ62" i="3"/>
  <c r="CU86" i="3"/>
  <c r="AM87" i="3"/>
  <c r="BE56" i="3"/>
  <c r="BX66" i="3"/>
  <c r="CE74" i="3"/>
  <c r="CF76" i="3"/>
  <c r="AT66" i="3"/>
  <c r="CC71" i="3"/>
  <c r="CF73" i="3"/>
  <c r="BS62" i="3"/>
  <c r="BW64" i="3"/>
  <c r="AM60" i="3"/>
  <c r="BS61" i="3"/>
  <c r="DS40" i="3"/>
  <c r="BP60" i="3"/>
  <c r="AN60" i="3"/>
  <c r="BU62" i="3"/>
  <c r="CV68" i="3"/>
  <c r="EC24" i="3"/>
  <c r="AZ69" i="3"/>
  <c r="U56" i="3"/>
  <c r="DK13" i="3"/>
  <c r="BX32" i="3"/>
  <c r="CY39" i="3"/>
  <c r="CA68" i="3"/>
  <c r="EB69" i="3"/>
  <c r="AH60" i="3"/>
  <c r="CA30" i="3"/>
  <c r="ES36" i="3"/>
  <c r="DX87" i="3"/>
  <c r="M52" i="3"/>
  <c r="BY3" i="3"/>
  <c r="L69" i="3"/>
  <c r="DP10" i="3"/>
  <c r="L89" i="3"/>
  <c r="BK2" i="3"/>
  <c r="AG2" i="3"/>
  <c r="AA25" i="3"/>
  <c r="AS65" i="3"/>
  <c r="CD70" i="3"/>
  <c r="AR42" i="3"/>
  <c r="AJ42" i="3"/>
  <c r="EJ27" i="3"/>
  <c r="EO84" i="3"/>
  <c r="CG57" i="3"/>
  <c r="DW73" i="3"/>
  <c r="CS33" i="3"/>
  <c r="ED23" i="3"/>
  <c r="AU72" i="3"/>
  <c r="CB3" i="3"/>
  <c r="M56" i="3"/>
  <c r="AR66" i="3"/>
  <c r="BP69" i="3"/>
  <c r="DX44" i="3"/>
  <c r="CE75" i="3"/>
  <c r="AQ63" i="3"/>
  <c r="G30" i="3"/>
  <c r="Q18" i="3"/>
  <c r="EM27" i="3"/>
  <c r="AK55" i="3"/>
  <c r="AI58" i="3"/>
  <c r="CE71" i="3"/>
  <c r="AT67" i="3"/>
  <c r="CF82" i="3"/>
  <c r="CH75" i="3"/>
  <c r="EH13" i="3"/>
  <c r="DO30" i="3"/>
  <c r="EO32" i="3"/>
  <c r="D76" i="3"/>
  <c r="AR44" i="3"/>
  <c r="BP32" i="3"/>
  <c r="CI82" i="3"/>
  <c r="CG73" i="3"/>
  <c r="AP63" i="3"/>
  <c r="EX14" i="3"/>
  <c r="CD57" i="3"/>
  <c r="AN4" i="3"/>
  <c r="EW13" i="3"/>
  <c r="AR23" i="3"/>
  <c r="DH88" i="3"/>
  <c r="BO17" i="3"/>
  <c r="W88" i="3"/>
  <c r="CX90" i="3"/>
  <c r="CO91" i="3"/>
  <c r="AK84" i="3"/>
  <c r="DO61" i="3"/>
  <c r="BO39" i="3"/>
  <c r="AI82" i="3"/>
  <c r="DT89" i="3"/>
  <c r="BW36" i="3"/>
  <c r="EA82" i="3"/>
  <c r="AS67" i="3"/>
  <c r="AK68" i="3"/>
  <c r="DB40" i="3"/>
  <c r="DX69" i="3"/>
  <c r="DG33" i="3"/>
  <c r="BI70" i="3"/>
  <c r="DF54" i="3"/>
  <c r="DM37" i="3"/>
  <c r="ED48" i="3"/>
  <c r="DW58" i="3"/>
  <c r="AG43" i="3"/>
  <c r="DA34" i="3"/>
  <c r="AE66" i="3"/>
  <c r="Z70" i="3"/>
  <c r="BP38" i="3"/>
  <c r="AD85" i="3"/>
  <c r="DC78" i="3"/>
  <c r="AL43" i="3"/>
  <c r="DG88" i="3"/>
  <c r="EL40" i="3"/>
  <c r="CW62" i="3"/>
  <c r="DV73" i="3"/>
  <c r="CT26" i="3"/>
  <c r="DZ75" i="3"/>
  <c r="AF83" i="3"/>
  <c r="CK34" i="3"/>
  <c r="CA45" i="3"/>
  <c r="AW41" i="3"/>
  <c r="AF33" i="3"/>
  <c r="CC27" i="3"/>
  <c r="AK64" i="3"/>
  <c r="BL75" i="3"/>
  <c r="DD29" i="3"/>
  <c r="AC52" i="3"/>
  <c r="Y88" i="3"/>
  <c r="AF64" i="3"/>
  <c r="AA81" i="3"/>
  <c r="AT74" i="3"/>
  <c r="S50" i="3"/>
  <c r="K81" i="3"/>
  <c r="AV77" i="3"/>
  <c r="R45" i="3"/>
  <c r="BT38" i="3"/>
  <c r="AX40" i="3"/>
  <c r="CL47" i="3"/>
  <c r="BL76" i="3"/>
  <c r="BP55" i="3"/>
  <c r="DO35" i="3"/>
  <c r="BD63" i="3"/>
  <c r="AV72" i="3"/>
  <c r="BV30" i="3"/>
  <c r="BZ28" i="3"/>
  <c r="DH46" i="3"/>
  <c r="EI45" i="3"/>
  <c r="DN53" i="3"/>
  <c r="AN75" i="3"/>
  <c r="DA46" i="3"/>
  <c r="AL46" i="3"/>
  <c r="EP51" i="3"/>
  <c r="AY89" i="3"/>
  <c r="CC45" i="3"/>
  <c r="CI41" i="3"/>
  <c r="AM46" i="3"/>
  <c r="EJ73" i="3"/>
  <c r="AC71" i="3"/>
  <c r="CI42" i="3"/>
  <c r="BW35" i="3"/>
  <c r="AJ60" i="3"/>
  <c r="AZ61" i="3"/>
  <c r="K72" i="3"/>
  <c r="DE58" i="3"/>
  <c r="DR61" i="3"/>
  <c r="Z45" i="3"/>
  <c r="AK48" i="3"/>
  <c r="EE44" i="3"/>
  <c r="EA79" i="3"/>
  <c r="CH84" i="3"/>
  <c r="CN78" i="3"/>
  <c r="CC48" i="3"/>
  <c r="AO72" i="3"/>
  <c r="CW45" i="3"/>
  <c r="DI59" i="3"/>
  <c r="AF57" i="3"/>
  <c r="AP70" i="3"/>
  <c r="DH67" i="3"/>
  <c r="DD41" i="3"/>
  <c r="BN39" i="3"/>
  <c r="CH89" i="3"/>
  <c r="AD52" i="3"/>
  <c r="DX58" i="3"/>
  <c r="W85" i="3"/>
  <c r="BK55" i="3"/>
  <c r="CW28" i="3"/>
  <c r="DM38" i="3"/>
  <c r="J75" i="3"/>
  <c r="BY27" i="3"/>
  <c r="DE87" i="3"/>
  <c r="BU30" i="3"/>
  <c r="AK41" i="3"/>
  <c r="X49" i="3"/>
  <c r="AD84" i="3"/>
  <c r="AL34" i="3"/>
  <c r="DD54" i="3"/>
  <c r="DK53" i="3"/>
  <c r="BM29" i="3"/>
  <c r="BF26" i="3"/>
  <c r="EN41" i="3"/>
  <c r="AZ30" i="3"/>
  <c r="CQ37" i="3"/>
  <c r="BW38" i="3"/>
  <c r="CI33" i="3"/>
  <c r="DZ43" i="3"/>
  <c r="C83" i="3"/>
  <c r="DQ88" i="3"/>
  <c r="DV70" i="3"/>
  <c r="BG34" i="3"/>
  <c r="T47" i="3"/>
  <c r="BY28" i="3"/>
  <c r="DP91" i="3"/>
  <c r="AH61" i="3"/>
  <c r="AV78" i="3"/>
  <c r="AK70" i="3"/>
  <c r="AQ39" i="3"/>
  <c r="AL78" i="3"/>
  <c r="AU79" i="3"/>
  <c r="EB44" i="3"/>
  <c r="BZ48" i="3"/>
  <c r="BJ30" i="3"/>
  <c r="AO91" i="3"/>
  <c r="E68" i="3"/>
  <c r="DM59" i="3"/>
  <c r="X44" i="3"/>
  <c r="DG31" i="3"/>
  <c r="DN65" i="3"/>
  <c r="R81" i="3"/>
  <c r="CS42" i="3"/>
  <c r="CW27" i="3"/>
  <c r="AS75" i="3"/>
  <c r="CR40" i="3"/>
  <c r="AO44" i="3"/>
  <c r="CG84" i="3"/>
  <c r="CM41" i="3"/>
  <c r="DF83" i="3"/>
  <c r="Q84" i="3"/>
  <c r="Z60" i="3"/>
  <c r="DH39" i="3"/>
  <c r="DN90" i="3"/>
  <c r="AK49" i="3"/>
  <c r="BY43" i="3"/>
  <c r="CK36" i="3"/>
  <c r="ED43" i="3"/>
  <c r="CB20" i="3"/>
  <c r="BA59" i="3"/>
  <c r="DJ85" i="3"/>
  <c r="W50" i="3"/>
  <c r="DP86" i="3"/>
  <c r="CJ76" i="3"/>
  <c r="DZ64" i="3"/>
  <c r="BL41" i="3"/>
  <c r="DD88" i="3"/>
  <c r="CK80" i="3"/>
  <c r="BE34" i="3"/>
  <c r="BL47" i="3"/>
  <c r="CI48" i="3"/>
  <c r="BT57" i="3"/>
  <c r="BY82" i="3"/>
  <c r="CF34" i="3"/>
  <c r="DH77" i="3"/>
  <c r="AO77" i="3"/>
  <c r="Z83" i="3"/>
  <c r="BL69" i="3"/>
  <c r="DT50" i="3"/>
  <c r="Z48" i="3"/>
  <c r="CU29" i="3"/>
  <c r="DC47" i="3"/>
  <c r="AA57" i="3"/>
  <c r="BR38" i="3"/>
  <c r="BA38" i="3"/>
  <c r="AJ78" i="3"/>
  <c r="AX71" i="3"/>
  <c r="BU54" i="3"/>
  <c r="AT84" i="3"/>
  <c r="DG40" i="3"/>
  <c r="CQ32" i="3"/>
  <c r="V69" i="3"/>
  <c r="AO65" i="3"/>
  <c r="CH80" i="3"/>
  <c r="EF39" i="3"/>
  <c r="BC35" i="3"/>
  <c r="ED46" i="3"/>
  <c r="AP84" i="3"/>
  <c r="AK88" i="3"/>
  <c r="AK61" i="3"/>
  <c r="BH37" i="3"/>
  <c r="CI74" i="3"/>
  <c r="DA84" i="3"/>
  <c r="BI60" i="3"/>
  <c r="CI79" i="3"/>
  <c r="EK37" i="3"/>
  <c r="L42" i="3"/>
  <c r="EI25" i="3"/>
  <c r="F51" i="3"/>
  <c r="CM69" i="3"/>
  <c r="C24" i="3"/>
  <c r="EC61" i="3"/>
  <c r="AX5" i="3"/>
  <c r="CO53" i="3"/>
  <c r="AZ66" i="3"/>
  <c r="CG5" i="3"/>
  <c r="L68" i="3"/>
  <c r="L66" i="3"/>
  <c r="AL86" i="3"/>
  <c r="BB50" i="3"/>
  <c r="EF10" i="3"/>
  <c r="CF67" i="3"/>
  <c r="BR13" i="3"/>
  <c r="EW33" i="3"/>
  <c r="BN20" i="3"/>
  <c r="CW85" i="3"/>
  <c r="CX38" i="3"/>
  <c r="BU32" i="3"/>
  <c r="FE57" i="3"/>
  <c r="AB4" i="3"/>
  <c r="CV84" i="3"/>
  <c r="CZ21" i="3"/>
  <c r="AX60" i="3"/>
  <c r="DF13" i="3"/>
  <c r="AD38" i="3"/>
  <c r="CF77" i="3"/>
  <c r="EC57" i="3"/>
  <c r="CL91" i="3"/>
  <c r="DF3" i="3"/>
  <c r="Y12" i="3"/>
  <c r="DV50" i="3"/>
  <c r="DB61" i="3"/>
  <c r="FD91" i="3"/>
  <c r="CN2" i="3"/>
  <c r="X9" i="3"/>
  <c r="EX35" i="3"/>
  <c r="AH73" i="3"/>
  <c r="AM30" i="3"/>
  <c r="EM30" i="3"/>
  <c r="EZ76" i="3"/>
  <c r="EL87" i="3"/>
  <c r="DQ32" i="3"/>
  <c r="CP39" i="3"/>
  <c r="BE74" i="3"/>
  <c r="BM58" i="3"/>
  <c r="AG73" i="3"/>
  <c r="CC87" i="3"/>
  <c r="DT66" i="3"/>
  <c r="BV82" i="3"/>
  <c r="AE68" i="3"/>
  <c r="CT89" i="3"/>
  <c r="BP41" i="3"/>
  <c r="AA43" i="3"/>
  <c r="CP27" i="3"/>
  <c r="CB36" i="3"/>
  <c r="DW80" i="3"/>
  <c r="DA40" i="3"/>
  <c r="EH43" i="3"/>
  <c r="BQ43" i="3"/>
  <c r="EG85" i="3"/>
  <c r="X70" i="3"/>
  <c r="X72" i="3"/>
  <c r="AM78" i="3"/>
  <c r="CF26" i="3"/>
  <c r="BE69" i="3"/>
  <c r="Z46" i="3"/>
  <c r="DF33" i="3"/>
  <c r="DG78" i="3"/>
  <c r="BY41" i="3"/>
  <c r="CC38" i="3"/>
  <c r="CM76" i="3"/>
  <c r="CB26" i="3"/>
  <c r="DR64" i="3"/>
  <c r="DQ31" i="3"/>
  <c r="AP48" i="3"/>
  <c r="AL83" i="3"/>
  <c r="AM35" i="3"/>
  <c r="BG72" i="3"/>
  <c r="DT65" i="3"/>
  <c r="AT77" i="3"/>
  <c r="CW61" i="3"/>
  <c r="EZ78" i="3"/>
  <c r="O88" i="3"/>
  <c r="EC77" i="3"/>
  <c r="DV38" i="3"/>
  <c r="D81" i="3"/>
  <c r="T83" i="3"/>
  <c r="AM39" i="3"/>
  <c r="CG30" i="3"/>
  <c r="EC51" i="3"/>
  <c r="O80" i="3"/>
  <c r="CC85" i="3"/>
  <c r="Y63" i="3"/>
  <c r="BQ57" i="3"/>
  <c r="AY80" i="3"/>
  <c r="DH48" i="3"/>
  <c r="BN85" i="3"/>
  <c r="BA69" i="3"/>
  <c r="CZ53" i="3"/>
  <c r="CR32" i="3"/>
  <c r="CZ87" i="3"/>
  <c r="Q45" i="3"/>
  <c r="AF69" i="3"/>
  <c r="AZ27" i="3"/>
  <c r="AO85" i="3"/>
  <c r="P67" i="3"/>
  <c r="DL43" i="3"/>
  <c r="AV41" i="3"/>
  <c r="AN42" i="3"/>
  <c r="AZ64" i="3"/>
  <c r="X50" i="3"/>
  <c r="AZ75" i="3"/>
  <c r="EE36" i="3"/>
  <c r="CB89" i="3"/>
  <c r="DN43" i="3"/>
  <c r="DF86" i="3"/>
  <c r="DK42" i="3"/>
  <c r="BM72" i="3"/>
  <c r="AK91" i="3"/>
  <c r="EI69" i="3"/>
  <c r="BP35" i="3"/>
  <c r="DN54" i="3"/>
  <c r="BX33" i="3"/>
  <c r="AO71" i="3"/>
  <c r="J69" i="3"/>
  <c r="Q82" i="3"/>
  <c r="CM44" i="3"/>
  <c r="CL46" i="3"/>
  <c r="AR74" i="3"/>
  <c r="DP35" i="3"/>
  <c r="AI43" i="3"/>
  <c r="DP90" i="3"/>
  <c r="DA88" i="3"/>
  <c r="CR44" i="3"/>
  <c r="AM48" i="3"/>
  <c r="EN79" i="3"/>
  <c r="CY58" i="3"/>
  <c r="M61" i="3"/>
  <c r="AC44" i="3"/>
  <c r="BB90" i="3"/>
  <c r="ED89" i="3"/>
  <c r="AM64" i="3"/>
  <c r="AI63" i="3"/>
  <c r="BZ30" i="3"/>
  <c r="DV71" i="3"/>
  <c r="V49" i="3"/>
  <c r="AZ45" i="3"/>
  <c r="BS54" i="3"/>
  <c r="CO22" i="3"/>
  <c r="DQ62" i="3"/>
  <c r="DD85" i="3"/>
  <c r="DC86" i="3"/>
  <c r="AB64" i="3"/>
  <c r="EC50" i="3"/>
  <c r="ED51" i="3"/>
  <c r="CK78" i="3"/>
  <c r="DD69" i="3"/>
  <c r="DT67" i="3"/>
  <c r="P87" i="3"/>
  <c r="DZ54" i="3"/>
  <c r="M75" i="3"/>
  <c r="DZ3" i="3"/>
  <c r="DA31" i="3"/>
  <c r="DD68" i="3"/>
  <c r="DB12" i="3"/>
  <c r="AK53" i="3"/>
  <c r="AJ71" i="3"/>
  <c r="Q77" i="3"/>
  <c r="CE34" i="3"/>
  <c r="BL34" i="3"/>
  <c r="Q75" i="3"/>
  <c r="DM42" i="3"/>
  <c r="BU34" i="3"/>
  <c r="EC43" i="3"/>
  <c r="BM77" i="3"/>
  <c r="BY34" i="3"/>
  <c r="BO82" i="3"/>
  <c r="DC29" i="3"/>
  <c r="AO46" i="3"/>
  <c r="BL57" i="3"/>
  <c r="AI73" i="3"/>
  <c r="AZ73" i="3"/>
  <c r="AK51" i="3"/>
  <c r="DQ49" i="3"/>
  <c r="CX56" i="3"/>
  <c r="BK36" i="3"/>
  <c r="DF66" i="3"/>
  <c r="EP50" i="3"/>
  <c r="AK76" i="3"/>
  <c r="C79" i="3"/>
  <c r="BI37" i="3"/>
  <c r="CH31" i="3"/>
  <c r="I42" i="3"/>
  <c r="AL44" i="3"/>
  <c r="DK34" i="3"/>
  <c r="DT42" i="3"/>
  <c r="Z68" i="3"/>
  <c r="BC30" i="3"/>
  <c r="BH54" i="3"/>
  <c r="DW65" i="3"/>
  <c r="DH86" i="3"/>
  <c r="DV49" i="3"/>
  <c r="BU76" i="3"/>
  <c r="DE30" i="3"/>
  <c r="DB81" i="3"/>
  <c r="AJ75" i="3"/>
  <c r="AZ65" i="3"/>
  <c r="BH85" i="3"/>
  <c r="DI41" i="3"/>
  <c r="U71" i="3"/>
  <c r="BO32" i="3"/>
  <c r="CX32" i="3"/>
  <c r="EG73" i="3"/>
  <c r="CD28" i="3"/>
  <c r="AI61" i="3"/>
  <c r="BS45" i="3"/>
  <c r="BG63" i="3"/>
  <c r="DS88" i="3"/>
  <c r="CL77" i="3"/>
  <c r="DV41" i="3"/>
  <c r="EO12" i="3"/>
  <c r="ET39" i="3"/>
  <c r="CF83" i="3"/>
  <c r="Y22" i="3"/>
  <c r="BL58" i="3"/>
  <c r="DV78" i="3"/>
  <c r="CP34" i="3"/>
  <c r="BA82" i="3"/>
  <c r="AY83" i="3"/>
  <c r="BM81" i="3"/>
  <c r="DH32" i="3"/>
  <c r="K85" i="3"/>
  <c r="AB74" i="3"/>
  <c r="AV62" i="3"/>
  <c r="BI33" i="3"/>
  <c r="AZ80" i="3"/>
  <c r="CC36" i="3"/>
  <c r="BC84" i="3"/>
  <c r="BF39" i="3"/>
  <c r="BK45" i="3"/>
  <c r="Z69" i="3"/>
  <c r="DK59" i="3"/>
  <c r="BV23" i="3"/>
  <c r="N81" i="3"/>
  <c r="AW64" i="3"/>
  <c r="N85" i="3"/>
  <c r="DG50" i="3"/>
  <c r="CG45" i="3"/>
  <c r="DM85" i="3"/>
  <c r="AI51" i="3"/>
  <c r="BR88" i="3"/>
  <c r="AL48" i="3"/>
  <c r="DG56" i="3"/>
  <c r="EE67" i="3"/>
  <c r="DA90" i="3"/>
  <c r="AD63" i="3"/>
  <c r="EC66" i="3"/>
  <c r="BT32" i="3"/>
  <c r="DI33" i="3"/>
  <c r="H90" i="3"/>
  <c r="AK52" i="3"/>
  <c r="ED83" i="3"/>
  <c r="AP60" i="3"/>
  <c r="CO61" i="3"/>
  <c r="K41" i="3"/>
  <c r="DQ66" i="3"/>
  <c r="BV84" i="3"/>
  <c r="CZ45" i="3"/>
  <c r="U39" i="3"/>
  <c r="EJ85" i="3"/>
  <c r="CH41" i="3"/>
  <c r="CS27" i="3"/>
  <c r="AS87" i="3"/>
  <c r="BL49" i="3"/>
  <c r="AG46" i="3"/>
  <c r="DQ83" i="3"/>
  <c r="DG62" i="3"/>
  <c r="AG57" i="3"/>
  <c r="CN90" i="3"/>
  <c r="DG44" i="3"/>
  <c r="T81" i="3"/>
  <c r="BR34" i="3"/>
  <c r="DQ55" i="3"/>
  <c r="CC30" i="3"/>
  <c r="EI73" i="3"/>
  <c r="V71" i="3"/>
  <c r="BX40" i="3"/>
  <c r="CW34" i="3"/>
  <c r="BV25" i="3"/>
  <c r="CZ91" i="3"/>
  <c r="CD18" i="3"/>
  <c r="CK90" i="3"/>
  <c r="DW70" i="3"/>
  <c r="BT73" i="3"/>
  <c r="AB43" i="3"/>
  <c r="AG81" i="3"/>
  <c r="AE62" i="3"/>
  <c r="BR76" i="3"/>
  <c r="AO69" i="3"/>
  <c r="AY64" i="3"/>
  <c r="ED72" i="3"/>
  <c r="BC90" i="3"/>
  <c r="CR34" i="3"/>
  <c r="AV61" i="3"/>
  <c r="BC72" i="3"/>
  <c r="O68" i="3"/>
  <c r="DV67" i="3"/>
  <c r="DG61" i="3"/>
  <c r="CQ36" i="3"/>
  <c r="EJ84" i="3"/>
  <c r="DE29" i="3"/>
  <c r="AG41" i="3"/>
  <c r="AK47" i="3"/>
  <c r="J71" i="3"/>
  <c r="CF47" i="3"/>
  <c r="BC62" i="3"/>
  <c r="AV45" i="3"/>
  <c r="AZ35" i="3"/>
  <c r="DI63" i="3"/>
  <c r="BI35" i="3"/>
  <c r="O45" i="3"/>
  <c r="DA36" i="3"/>
  <c r="DD67" i="3"/>
  <c r="W72" i="3"/>
  <c r="AJ76" i="3"/>
  <c r="AO63" i="3"/>
  <c r="DJ60" i="3"/>
  <c r="CH88" i="3"/>
  <c r="D85" i="3"/>
  <c r="C86" i="3"/>
  <c r="CG76" i="3"/>
  <c r="AQ43" i="3"/>
  <c r="DT77" i="3"/>
  <c r="EQ13" i="3"/>
  <c r="CM49" i="3"/>
  <c r="AF87" i="3"/>
  <c r="AD9" i="3"/>
  <c r="CA88" i="3"/>
  <c r="CB4" i="3"/>
  <c r="EP81" i="3"/>
  <c r="AP73" i="3"/>
  <c r="BU56" i="3"/>
  <c r="BY77" i="3"/>
  <c r="CN77" i="3"/>
  <c r="CF68" i="3"/>
  <c r="AS28" i="3"/>
  <c r="O30" i="3"/>
  <c r="CS56" i="3"/>
  <c r="AX18" i="3"/>
  <c r="S25" i="3"/>
  <c r="AC9" i="3"/>
  <c r="DV83" i="3"/>
  <c r="BA36" i="3"/>
  <c r="BD10" i="3"/>
  <c r="ES57" i="3"/>
  <c r="DL49" i="3"/>
  <c r="EC37" i="3"/>
  <c r="CN4" i="3"/>
  <c r="L55" i="3"/>
  <c r="BQ77" i="3"/>
  <c r="EE30" i="3"/>
  <c r="EA9" i="3"/>
  <c r="CG53" i="3"/>
  <c r="ES55" i="3"/>
  <c r="ER33" i="3"/>
  <c r="FA55" i="3"/>
  <c r="EP35" i="3"/>
  <c r="R18" i="3"/>
  <c r="J60" i="3"/>
  <c r="DH87" i="3"/>
  <c r="N66" i="3"/>
  <c r="BC83" i="3"/>
  <c r="V75" i="3"/>
  <c r="BO90" i="3"/>
  <c r="Z72" i="3"/>
  <c r="CI88" i="3"/>
  <c r="BF82" i="3"/>
  <c r="O72" i="3"/>
  <c r="BG41" i="3"/>
  <c r="BR39" i="3"/>
  <c r="EJ79" i="3"/>
  <c r="AH64" i="3"/>
  <c r="BG29" i="3"/>
  <c r="AG47" i="3"/>
  <c r="R66" i="3"/>
  <c r="CC54" i="3"/>
  <c r="AQ74" i="3"/>
  <c r="DB90" i="3"/>
  <c r="AP44" i="3"/>
  <c r="EM68" i="3"/>
  <c r="AJ89" i="3"/>
  <c r="CH36" i="3"/>
  <c r="DD35" i="3"/>
  <c r="Z80" i="3"/>
  <c r="CJ32" i="3"/>
  <c r="DG63" i="3"/>
  <c r="BH68" i="3"/>
  <c r="AX78" i="3"/>
  <c r="CL41" i="3"/>
  <c r="BD24" i="3"/>
  <c r="DN13" i="3"/>
  <c r="AC60" i="3"/>
  <c r="DE36" i="3"/>
  <c r="EA69" i="3"/>
  <c r="DJ81" i="3"/>
  <c r="U84" i="3"/>
  <c r="BG88" i="3"/>
  <c r="BI38" i="3"/>
  <c r="DK89" i="3"/>
  <c r="AJ66" i="3"/>
  <c r="ES53" i="3"/>
  <c r="DN62" i="3"/>
  <c r="I56" i="3"/>
  <c r="U29" i="3"/>
  <c r="EL83" i="3"/>
  <c r="BH67" i="3"/>
  <c r="AS53" i="3"/>
  <c r="CV77" i="3"/>
  <c r="CN75" i="3"/>
  <c r="CO83" i="3"/>
  <c r="Z12" i="3"/>
  <c r="BD72" i="3"/>
  <c r="AQ52" i="3"/>
  <c r="CO88" i="3"/>
  <c r="CP26" i="3"/>
  <c r="BX85" i="3"/>
  <c r="H80" i="3"/>
  <c r="AD81" i="3"/>
  <c r="DM66" i="3"/>
  <c r="BK79" i="3"/>
  <c r="DU43" i="3"/>
  <c r="AJ40" i="3"/>
  <c r="CB77" i="3"/>
  <c r="BN87" i="3"/>
  <c r="DR79" i="3"/>
  <c r="P81" i="3"/>
  <c r="BK75" i="3"/>
  <c r="DX68" i="3"/>
  <c r="BD91" i="3"/>
  <c r="AV56" i="3"/>
  <c r="AK80" i="3"/>
  <c r="BJ68" i="3"/>
  <c r="CV28" i="3"/>
  <c r="BR32" i="3"/>
  <c r="DB38" i="3"/>
  <c r="AC65" i="3"/>
  <c r="Z88" i="3"/>
  <c r="DH64" i="3"/>
  <c r="DG35" i="3"/>
  <c r="BL48" i="3"/>
  <c r="EJ78" i="3"/>
  <c r="AI85" i="3"/>
  <c r="CS35" i="3"/>
  <c r="DE48" i="3"/>
  <c r="EG77" i="3"/>
  <c r="BP89" i="3"/>
  <c r="CO77" i="3"/>
  <c r="CX28" i="3"/>
  <c r="AB69" i="3"/>
  <c r="EI49" i="3"/>
  <c r="AE75" i="3"/>
  <c r="EH75" i="3"/>
  <c r="EB63" i="3"/>
  <c r="AL69" i="3"/>
  <c r="U41" i="3"/>
  <c r="BA65" i="3"/>
  <c r="DO64" i="3"/>
  <c r="BR68" i="3"/>
  <c r="BA71" i="3"/>
  <c r="DF61" i="3"/>
  <c r="CK29" i="3"/>
  <c r="CD87" i="3"/>
  <c r="V90" i="3"/>
  <c r="AF49" i="3"/>
  <c r="BK60" i="3"/>
  <c r="DW78" i="3"/>
  <c r="DL66" i="3"/>
  <c r="DS82" i="3"/>
  <c r="DY40" i="3"/>
  <c r="EE41" i="3"/>
  <c r="AN84" i="3"/>
  <c r="AH41" i="3"/>
  <c r="CB56" i="3"/>
  <c r="AC68" i="3"/>
  <c r="DC84" i="3"/>
  <c r="BR77" i="3"/>
  <c r="AI84" i="3"/>
  <c r="BP25" i="3"/>
  <c r="AR86" i="3"/>
  <c r="DX90" i="3"/>
  <c r="CQ82" i="3"/>
  <c r="CN82" i="3"/>
  <c r="DP58" i="3"/>
  <c r="CO82" i="3"/>
  <c r="DM71" i="3"/>
  <c r="BG79" i="3"/>
  <c r="BY85" i="3"/>
  <c r="EH74" i="3"/>
  <c r="BK83" i="3"/>
  <c r="BD81" i="3"/>
  <c r="BC81" i="3"/>
  <c r="AG35" i="3"/>
  <c r="AQ46" i="3"/>
  <c r="AC75" i="3"/>
  <c r="CB88" i="3"/>
  <c r="V76" i="3"/>
  <c r="BX38" i="3"/>
  <c r="DW79" i="3"/>
  <c r="BF90" i="3"/>
  <c r="T75" i="3"/>
  <c r="BI82" i="3"/>
  <c r="DR91" i="3"/>
  <c r="CD35" i="3"/>
  <c r="BV88" i="3"/>
  <c r="BZ36" i="3"/>
  <c r="AG39" i="3"/>
  <c r="N74" i="3"/>
  <c r="CI34" i="3"/>
  <c r="P71" i="3"/>
  <c r="BU81" i="3"/>
  <c r="BV90" i="3"/>
  <c r="EB78" i="3"/>
  <c r="DV76" i="3"/>
  <c r="BE76" i="3"/>
  <c r="T43" i="3"/>
  <c r="CQ81" i="3"/>
  <c r="CQ78" i="3"/>
  <c r="FB52" i="3"/>
  <c r="FE32" i="3"/>
  <c r="BW85" i="3"/>
  <c r="EQ82" i="3"/>
  <c r="CY72" i="3"/>
  <c r="DO42" i="3"/>
  <c r="CE54" i="3"/>
  <c r="BQ81" i="3"/>
  <c r="DI67" i="3"/>
  <c r="CL48" i="3"/>
  <c r="BA62" i="3"/>
  <c r="AS54" i="3"/>
  <c r="EG69" i="3"/>
  <c r="AQ69" i="3"/>
  <c r="DO75" i="3"/>
  <c r="BD74" i="3"/>
  <c r="EH79" i="3"/>
  <c r="DL89" i="3"/>
  <c r="CL38" i="3"/>
  <c r="DZ82" i="3"/>
  <c r="BN90" i="3"/>
  <c r="CD56" i="3"/>
  <c r="I72" i="3"/>
  <c r="DL47" i="3"/>
  <c r="AF79" i="3"/>
  <c r="AL35" i="3"/>
  <c r="DD82" i="3"/>
  <c r="DG45" i="3"/>
  <c r="T86" i="3"/>
  <c r="DW87" i="3"/>
  <c r="AB44" i="3"/>
  <c r="DB65" i="3"/>
  <c r="BV87" i="3"/>
  <c r="AU88" i="3"/>
  <c r="DV53" i="3"/>
  <c r="BT69" i="3"/>
  <c r="AP87" i="3"/>
  <c r="BG28" i="3"/>
  <c r="BZ89" i="3"/>
  <c r="BO75" i="3"/>
  <c r="BW69" i="3"/>
  <c r="BX67" i="3"/>
  <c r="DV68" i="3"/>
  <c r="AX44" i="3"/>
  <c r="AN45" i="3"/>
  <c r="DJ37" i="3"/>
  <c r="AU56" i="3"/>
  <c r="CQ91" i="3"/>
  <c r="AZ81" i="3"/>
  <c r="K78" i="3"/>
  <c r="AY78" i="3"/>
  <c r="AK63" i="3"/>
  <c r="DX88" i="3"/>
  <c r="BA87" i="3"/>
  <c r="F74" i="3"/>
  <c r="AR37" i="3"/>
  <c r="DV48" i="3"/>
  <c r="BG61" i="3"/>
  <c r="BY88" i="3"/>
  <c r="DW86" i="3"/>
  <c r="ED79" i="3"/>
  <c r="AO67" i="3"/>
  <c r="BP63" i="3"/>
  <c r="CH91" i="3"/>
  <c r="DQ71" i="3"/>
  <c r="BZ75" i="3"/>
  <c r="BQ31" i="3"/>
  <c r="BA67" i="3"/>
  <c r="BI63" i="3"/>
  <c r="DP37" i="3"/>
  <c r="AT90" i="3"/>
  <c r="BT35" i="3"/>
  <c r="AG80" i="3"/>
  <c r="BQ69" i="3"/>
  <c r="CU59" i="3"/>
  <c r="BQ73" i="3"/>
  <c r="CF27" i="3"/>
  <c r="CD77" i="3"/>
  <c r="DG74" i="3"/>
  <c r="BH81" i="3"/>
  <c r="BL59" i="3"/>
  <c r="BS72" i="3"/>
  <c r="DQ53" i="3"/>
  <c r="AF82" i="3"/>
  <c r="BN38" i="3"/>
  <c r="CI27" i="3"/>
  <c r="BF84" i="3"/>
  <c r="EG50" i="3"/>
  <c r="CN34" i="3"/>
  <c r="DB79" i="3"/>
  <c r="AQ76" i="3"/>
  <c r="CF90" i="3"/>
  <c r="DS32" i="3"/>
  <c r="DD86" i="3"/>
  <c r="BK73" i="3"/>
  <c r="BF88" i="3"/>
  <c r="CU91" i="3"/>
  <c r="BT91" i="3"/>
  <c r="BB78" i="3"/>
  <c r="BZ44" i="3"/>
  <c r="DQ76" i="3"/>
  <c r="CH46" i="3"/>
  <c r="DF63" i="3"/>
  <c r="DO29" i="3"/>
  <c r="EF75" i="3"/>
  <c r="AK56" i="3"/>
  <c r="BN41" i="3"/>
  <c r="BG56" i="3"/>
  <c r="L80" i="3"/>
  <c r="DX82" i="3"/>
  <c r="BZ72" i="3"/>
  <c r="BY32" i="3"/>
  <c r="DJ42" i="3"/>
  <c r="BO37" i="3"/>
  <c r="BD88" i="3"/>
  <c r="CD86" i="3"/>
  <c r="DW50" i="3"/>
  <c r="DJ64" i="3"/>
  <c r="AW30" i="3"/>
  <c r="BS88" i="3"/>
  <c r="BT83" i="3"/>
  <c r="CQ31" i="3"/>
  <c r="BX26" i="3"/>
  <c r="AW70" i="3"/>
  <c r="Y59" i="3"/>
  <c r="AY68" i="3"/>
  <c r="EK55" i="3"/>
  <c r="BY61" i="3"/>
  <c r="BI77" i="3"/>
  <c r="BY53" i="3"/>
  <c r="BI90" i="3"/>
  <c r="CH81" i="3"/>
  <c r="AS46" i="3"/>
  <c r="CB59" i="3"/>
  <c r="BS67" i="3"/>
  <c r="E61" i="3"/>
  <c r="BZ55" i="3"/>
  <c r="CU42" i="3"/>
  <c r="CM84" i="3"/>
  <c r="BU67" i="3"/>
  <c r="CD58" i="3"/>
  <c r="EJ67" i="3"/>
  <c r="EQ25" i="3"/>
  <c r="CF58" i="3"/>
  <c r="DA80" i="3"/>
  <c r="EK36" i="3"/>
  <c r="CS81" i="3"/>
  <c r="AS42" i="3"/>
  <c r="BU68" i="3"/>
  <c r="DL86" i="3"/>
  <c r="AJ69" i="3"/>
  <c r="ED68" i="3"/>
  <c r="BX35" i="3"/>
  <c r="EL67" i="3"/>
  <c r="BS69" i="3"/>
  <c r="AX64" i="3"/>
  <c r="CA71" i="3"/>
  <c r="CY52" i="3"/>
  <c r="BY57" i="3"/>
  <c r="BF89" i="3"/>
  <c r="E56" i="3"/>
  <c r="BG68" i="3"/>
  <c r="BB13" i="3"/>
  <c r="EO10" i="3"/>
  <c r="AI68" i="3"/>
  <c r="D90" i="3"/>
  <c r="DN38" i="3"/>
  <c r="G72" i="3"/>
  <c r="CS5" i="3"/>
  <c r="BM32" i="3"/>
  <c r="CS10" i="3"/>
  <c r="AC74" i="3"/>
  <c r="DX70" i="3"/>
  <c r="CU85" i="3"/>
  <c r="BL87" i="3"/>
  <c r="BF36" i="3"/>
  <c r="EK77" i="3"/>
  <c r="BJ60" i="3"/>
  <c r="EB32" i="3"/>
  <c r="J84" i="3"/>
  <c r="BX90" i="3"/>
  <c r="P72" i="3"/>
  <c r="EC78" i="3"/>
  <c r="DR71" i="3"/>
  <c r="AC82" i="3"/>
  <c r="CR35" i="3"/>
  <c r="CN41" i="3"/>
  <c r="DX67" i="3"/>
  <c r="E84" i="3"/>
  <c r="CA35" i="3"/>
  <c r="DJ29" i="3"/>
  <c r="CM31" i="3"/>
  <c r="CG48" i="3"/>
  <c r="DN49" i="3"/>
  <c r="BZ84" i="3"/>
  <c r="P77" i="3"/>
  <c r="DS78" i="3"/>
  <c r="EE83" i="3"/>
  <c r="BY29" i="3"/>
  <c r="AB40" i="3"/>
  <c r="BT29" i="3"/>
  <c r="BG36" i="3"/>
  <c r="EF83" i="3"/>
  <c r="CD21" i="3"/>
  <c r="DJ28" i="3"/>
  <c r="DA52" i="3"/>
  <c r="DW47" i="3"/>
  <c r="BK78" i="3"/>
  <c r="CT39" i="3"/>
  <c r="BR61" i="3"/>
  <c r="CP86" i="3"/>
  <c r="BP82" i="3"/>
  <c r="DE61" i="3"/>
  <c r="BQ86" i="3"/>
  <c r="BN72" i="3"/>
  <c r="Z87" i="3"/>
  <c r="BL61" i="3"/>
  <c r="BI91" i="3"/>
  <c r="DG77" i="3"/>
  <c r="BG73" i="3"/>
  <c r="CL22" i="3"/>
  <c r="DT52" i="3"/>
  <c r="AJ51" i="3"/>
  <c r="DO62" i="3"/>
  <c r="DN47" i="3"/>
  <c r="EF69" i="3"/>
  <c r="AA72" i="3"/>
  <c r="BZ71" i="3"/>
  <c r="BZ56" i="3"/>
  <c r="BH82" i="3"/>
  <c r="AB82" i="3"/>
  <c r="AR88" i="3"/>
  <c r="CF81" i="3"/>
  <c r="BF32" i="3"/>
  <c r="CD32" i="3"/>
  <c r="BT80" i="3"/>
  <c r="BN33" i="3"/>
  <c r="BQ66" i="3"/>
  <c r="T88" i="3"/>
  <c r="AU65" i="3"/>
  <c r="AH47" i="3"/>
  <c r="CD39" i="3"/>
  <c r="EO50" i="3"/>
  <c r="BF35" i="3"/>
  <c r="AR82" i="3"/>
  <c r="AJ68" i="3"/>
  <c r="BX74" i="3"/>
  <c r="BT30" i="3"/>
  <c r="DX66" i="3"/>
  <c r="AT28" i="3"/>
  <c r="EH51" i="3"/>
  <c r="CA74" i="3"/>
  <c r="CO35" i="3"/>
  <c r="CD73" i="3"/>
  <c r="EL84" i="3"/>
  <c r="X90" i="3"/>
  <c r="BM80" i="3"/>
  <c r="EF50" i="3"/>
  <c r="AZ89" i="3"/>
  <c r="BV58" i="3"/>
  <c r="CE46" i="3"/>
  <c r="AF61" i="3"/>
  <c r="DJ86" i="3"/>
  <c r="AU70" i="3"/>
  <c r="BB32" i="3"/>
  <c r="V48" i="3"/>
  <c r="CB49" i="3"/>
  <c r="BO47" i="3"/>
  <c r="AD75" i="3"/>
  <c r="DB30" i="3"/>
  <c r="BA74" i="3"/>
  <c r="M71" i="3"/>
  <c r="EB51" i="3"/>
  <c r="BI69" i="3"/>
  <c r="CC86" i="3"/>
  <c r="AF84" i="3"/>
  <c r="CA75" i="3"/>
  <c r="EF81" i="3"/>
  <c r="CW59" i="3"/>
  <c r="U40" i="3"/>
  <c r="CZ59" i="3"/>
  <c r="Q46" i="3"/>
  <c r="CG90" i="3"/>
  <c r="BN65" i="3"/>
  <c r="AG64" i="3"/>
  <c r="AW81" i="3"/>
  <c r="Z76" i="3"/>
  <c r="AP34" i="3"/>
  <c r="BV89" i="3"/>
  <c r="CC34" i="3"/>
  <c r="Q67" i="3"/>
  <c r="DL52" i="3"/>
  <c r="AJ52" i="3"/>
  <c r="BI83" i="3"/>
  <c r="AS37" i="3"/>
  <c r="DS59" i="3"/>
  <c r="AJ43" i="3"/>
  <c r="BP75" i="3"/>
  <c r="BM75" i="3"/>
  <c r="AL56" i="3"/>
  <c r="DU39" i="3"/>
  <c r="DQ50" i="3"/>
  <c r="EH70" i="3"/>
  <c r="BS78" i="3"/>
  <c r="CB43" i="3"/>
  <c r="EB49" i="3"/>
  <c r="V72" i="3"/>
  <c r="BH57" i="3"/>
  <c r="CF43" i="3"/>
  <c r="DD84" i="3"/>
  <c r="AC59" i="3"/>
  <c r="BU75" i="3"/>
  <c r="BD65" i="3"/>
  <c r="DA81" i="3"/>
  <c r="U80" i="3"/>
  <c r="U70" i="3"/>
  <c r="AP35" i="3"/>
  <c r="DY34" i="3"/>
  <c r="M76" i="3"/>
  <c r="BQ78" i="3"/>
  <c r="DU75" i="3"/>
  <c r="DM67" i="3"/>
  <c r="DA59" i="3"/>
  <c r="DN35" i="3"/>
  <c r="BT78" i="3"/>
  <c r="P70" i="3"/>
  <c r="BC71" i="3"/>
  <c r="DI47" i="3"/>
  <c r="DL65" i="3"/>
  <c r="CE42" i="3"/>
  <c r="CD81" i="3"/>
  <c r="BB89" i="3"/>
  <c r="CL84" i="3"/>
  <c r="DV66" i="3"/>
  <c r="DY51" i="3"/>
  <c r="DK41" i="3"/>
  <c r="CL87" i="3"/>
  <c r="AZ86" i="3"/>
  <c r="CN89" i="3"/>
  <c r="CO34" i="3"/>
  <c r="BJ88" i="3"/>
  <c r="BE41" i="3"/>
  <c r="G75" i="3"/>
  <c r="AH45" i="3"/>
  <c r="AB84" i="3"/>
  <c r="AF63" i="3"/>
  <c r="AO78" i="3"/>
  <c r="U76" i="3"/>
  <c r="CO28" i="3"/>
  <c r="BJ29" i="3"/>
  <c r="K75" i="3"/>
  <c r="CL43" i="3"/>
  <c r="CD37" i="3"/>
  <c r="BH89" i="3"/>
  <c r="CQ53" i="3"/>
  <c r="CR52" i="3"/>
  <c r="DM34" i="3"/>
  <c r="H75" i="3"/>
  <c r="DB88" i="3"/>
  <c r="EN73" i="3"/>
  <c r="BS91" i="3"/>
  <c r="CV52" i="3"/>
  <c r="BY71" i="3"/>
  <c r="CM21" i="3"/>
  <c r="AJ70" i="3"/>
  <c r="CN40" i="3"/>
  <c r="Y86" i="3"/>
  <c r="AI46" i="3"/>
  <c r="BU69" i="3"/>
  <c r="P76" i="3"/>
  <c r="E78" i="3"/>
  <c r="AV80" i="3"/>
  <c r="CG21" i="3"/>
  <c r="BM74" i="3"/>
  <c r="CR39" i="3"/>
  <c r="EG78" i="3"/>
  <c r="BW40" i="3"/>
  <c r="BW76" i="3"/>
  <c r="CI35" i="3"/>
  <c r="BJ44" i="3"/>
  <c r="BX76" i="3"/>
  <c r="EK57" i="3"/>
  <c r="DM55" i="3"/>
  <c r="AL90" i="3"/>
  <c r="EH14" i="3"/>
  <c r="CH40" i="3"/>
  <c r="ER69" i="3"/>
  <c r="V8" i="3"/>
  <c r="AL61" i="3"/>
  <c r="DA11" i="3"/>
  <c r="BI54" i="3"/>
  <c r="DF2" i="3"/>
  <c r="DJ13" i="3"/>
  <c r="DE55" i="3"/>
  <c r="EJ77" i="3"/>
  <c r="BR51" i="3"/>
  <c r="EG11" i="3"/>
  <c r="CB10" i="3"/>
  <c r="BY55" i="3"/>
  <c r="BB54" i="3"/>
  <c r="DU37" i="3"/>
  <c r="AR65" i="3"/>
  <c r="AO2" i="3"/>
  <c r="BV2" i="3"/>
  <c r="DY56" i="3"/>
  <c r="CM68" i="3"/>
  <c r="DU14" i="3"/>
  <c r="ET13" i="3"/>
  <c r="CH38" i="3"/>
  <c r="W2" i="3"/>
  <c r="EH91" i="3"/>
  <c r="DN39" i="3"/>
  <c r="AP12" i="3"/>
  <c r="DS76" i="3"/>
  <c r="DE85" i="3"/>
  <c r="Y34" i="3"/>
  <c r="K73" i="3"/>
  <c r="DU68" i="3"/>
  <c r="CE82" i="3"/>
  <c r="S82" i="3"/>
  <c r="BA66" i="3"/>
  <c r="BP85" i="3"/>
  <c r="CZ50" i="3"/>
  <c r="K74" i="3"/>
  <c r="BR86" i="3"/>
  <c r="AE82" i="3"/>
  <c r="BN76" i="3"/>
  <c r="DG76" i="3"/>
  <c r="BB88" i="3"/>
  <c r="BO78" i="3"/>
  <c r="BQ26" i="3"/>
  <c r="AK45" i="3"/>
  <c r="BM71" i="3"/>
  <c r="BN70" i="3"/>
  <c r="DB34" i="3"/>
  <c r="BZ86" i="3"/>
  <c r="AS71" i="3"/>
  <c r="CB19" i="3"/>
  <c r="DF75" i="3"/>
  <c r="ED45" i="3"/>
  <c r="X81" i="3"/>
  <c r="DK51" i="3"/>
  <c r="AM40" i="3"/>
  <c r="AI33" i="3"/>
  <c r="AJ54" i="3"/>
  <c r="AG89" i="3"/>
  <c r="BH74" i="3"/>
  <c r="BQ30" i="3"/>
  <c r="DW40" i="3"/>
  <c r="CM39" i="3"/>
  <c r="DN72" i="3"/>
  <c r="BP71" i="3"/>
  <c r="AQ53" i="3"/>
  <c r="BQ35" i="3"/>
  <c r="BW84" i="3"/>
  <c r="CS36" i="3"/>
  <c r="DU49" i="3"/>
  <c r="AD90" i="3"/>
  <c r="BG30" i="3"/>
  <c r="AQ85" i="3"/>
  <c r="AD46" i="3"/>
  <c r="BP26" i="3"/>
  <c r="BQ50" i="3"/>
  <c r="DG75" i="3"/>
  <c r="ED85" i="3"/>
  <c r="AO45" i="3"/>
  <c r="BA54" i="3"/>
  <c r="AP91" i="3"/>
  <c r="V50" i="3"/>
  <c r="DS69" i="3"/>
  <c r="R86" i="3"/>
  <c r="EJ24" i="3"/>
  <c r="EI13" i="3"/>
  <c r="E52" i="3"/>
  <c r="AK67" i="3"/>
  <c r="AX70" i="3"/>
  <c r="BH58" i="3"/>
  <c r="BK39" i="3"/>
  <c r="AF36" i="3"/>
  <c r="AA49" i="3"/>
  <c r="BU89" i="3"/>
  <c r="DF89" i="3"/>
  <c r="DV75" i="3"/>
  <c r="DP36" i="3"/>
  <c r="CT54" i="3"/>
  <c r="CL30" i="3"/>
  <c r="BQ61" i="3"/>
  <c r="S74" i="3"/>
  <c r="BC87" i="3"/>
  <c r="DR83" i="3"/>
  <c r="U77" i="3"/>
  <c r="AK72" i="3"/>
  <c r="DY59" i="3"/>
  <c r="CR88" i="3"/>
  <c r="Y79" i="3"/>
  <c r="BV37" i="3"/>
  <c r="BT55" i="3"/>
  <c r="AP80" i="3"/>
  <c r="AU45" i="3"/>
  <c r="DF79" i="3"/>
  <c r="CE90" i="3"/>
  <c r="BE45" i="3"/>
  <c r="DY86" i="3"/>
  <c r="CB91" i="3"/>
  <c r="DQ58" i="3"/>
  <c r="C82" i="3"/>
  <c r="BP87" i="3"/>
  <c r="E71" i="3"/>
  <c r="CX53" i="3"/>
  <c r="EB74" i="3"/>
  <c r="DO51" i="3"/>
  <c r="DR76" i="3"/>
  <c r="CX44" i="3"/>
  <c r="EI47" i="3"/>
  <c r="DQ60" i="3"/>
  <c r="DH59" i="3"/>
  <c r="X77" i="3"/>
  <c r="DX79" i="3"/>
  <c r="CB58" i="3"/>
  <c r="BZ77" i="3"/>
  <c r="BL31" i="3"/>
  <c r="DF53" i="3"/>
  <c r="CP31" i="3"/>
  <c r="EC72" i="3"/>
  <c r="DE75" i="3"/>
  <c r="DH84" i="3"/>
  <c r="DO68" i="3"/>
  <c r="AM74" i="3"/>
  <c r="BI73" i="3"/>
  <c r="BD25" i="3"/>
  <c r="DK64" i="3"/>
  <c r="DZ39" i="3"/>
  <c r="V81" i="3"/>
  <c r="BC63" i="3"/>
  <c r="DL60" i="3"/>
  <c r="BR74" i="3"/>
  <c r="AX32" i="3"/>
  <c r="AL49" i="3"/>
  <c r="AJ61" i="3"/>
  <c r="BL74" i="3"/>
  <c r="BT34" i="3"/>
  <c r="DQ47" i="3"/>
  <c r="DB54" i="3"/>
  <c r="X45" i="3"/>
  <c r="DI46" i="3"/>
  <c r="EO51" i="3"/>
  <c r="BP67" i="3"/>
  <c r="BR53" i="3"/>
  <c r="AP51" i="3"/>
  <c r="BK67" i="3"/>
  <c r="DX47" i="3"/>
  <c r="DS47" i="3"/>
  <c r="DQ68" i="3"/>
  <c r="DY64" i="3"/>
  <c r="BJ81" i="3"/>
  <c r="BU72" i="3"/>
  <c r="BN31" i="3"/>
  <c r="AY32" i="3"/>
  <c r="DW69" i="3"/>
  <c r="CC10" i="3"/>
  <c r="AS60" i="3"/>
  <c r="L32" i="3"/>
  <c r="EG32" i="3"/>
  <c r="CY89" i="3"/>
  <c r="AS52" i="3"/>
  <c r="BP77" i="3"/>
  <c r="BR78" i="3"/>
  <c r="BH75" i="3"/>
  <c r="CP30" i="3"/>
  <c r="DD42" i="3"/>
  <c r="Q40" i="3"/>
  <c r="AX69" i="3"/>
  <c r="EN67" i="3"/>
  <c r="X68" i="3"/>
  <c r="EH48" i="3"/>
  <c r="BP42" i="3"/>
  <c r="BP66" i="3"/>
  <c r="BU79" i="3"/>
  <c r="AY49" i="3"/>
  <c r="N46" i="3"/>
  <c r="AH67" i="3"/>
  <c r="CO36" i="3"/>
  <c r="EF82" i="3"/>
  <c r="DJ90" i="3"/>
  <c r="BJ78" i="3"/>
  <c r="CP56" i="3"/>
  <c r="AO80" i="3"/>
  <c r="BP37" i="3"/>
  <c r="AX67" i="3"/>
  <c r="DN77" i="3"/>
  <c r="EB84" i="3"/>
  <c r="BO40" i="3"/>
  <c r="DI79" i="3"/>
  <c r="X76" i="3"/>
  <c r="BM47" i="3"/>
  <c r="U85" i="3"/>
  <c r="Z90" i="3"/>
  <c r="CC35" i="3"/>
  <c r="BZ37" i="3"/>
  <c r="DI83" i="3"/>
  <c r="AX81" i="3"/>
  <c r="AJ55" i="3"/>
  <c r="R68" i="3"/>
  <c r="DL71" i="3"/>
  <c r="DS68" i="3"/>
  <c r="DY58" i="3"/>
  <c r="BS34" i="3"/>
  <c r="AS70" i="3"/>
  <c r="EE70" i="3"/>
  <c r="AC78" i="3"/>
  <c r="BC78" i="3"/>
  <c r="BS89" i="3"/>
  <c r="AU76" i="3"/>
  <c r="CL42" i="3"/>
  <c r="CJ42" i="3"/>
  <c r="CS86" i="3"/>
  <c r="DX74" i="3"/>
  <c r="BX25" i="3"/>
  <c r="Y62" i="3"/>
  <c r="AC64" i="3"/>
  <c r="AL87" i="3"/>
  <c r="D32" i="3"/>
  <c r="AE89" i="3"/>
  <c r="BB49" i="3"/>
  <c r="BD84" i="3"/>
  <c r="X6" i="3"/>
  <c r="EY25" i="3"/>
  <c r="CA43" i="3"/>
  <c r="AG82" i="3"/>
  <c r="EA75" i="3"/>
  <c r="CY32" i="3"/>
  <c r="BC57" i="3"/>
  <c r="BS27" i="3"/>
  <c r="DD32" i="3"/>
  <c r="AG67" i="3"/>
  <c r="DH60" i="3"/>
  <c r="DW66" i="3"/>
  <c r="CZ25" i="3"/>
  <c r="BV45" i="3"/>
  <c r="BV39" i="3"/>
  <c r="CE47" i="3"/>
  <c r="BM59" i="3"/>
  <c r="BS18" i="3"/>
  <c r="CZ42" i="3"/>
  <c r="BN63" i="3"/>
  <c r="AY55" i="3"/>
  <c r="AO33" i="3"/>
  <c r="BG67" i="3"/>
  <c r="DW63" i="3"/>
  <c r="DV81" i="3"/>
  <c r="T48" i="3"/>
  <c r="DN78" i="3"/>
  <c r="B75" i="3"/>
  <c r="AX89" i="3"/>
  <c r="AT57" i="3"/>
  <c r="BP80" i="3"/>
  <c r="CD42" i="3"/>
  <c r="AD45" i="3"/>
  <c r="AK75" i="3"/>
  <c r="BF28" i="3"/>
  <c r="EJ46" i="3"/>
  <c r="BA33" i="3"/>
  <c r="DH45" i="3"/>
  <c r="BG54" i="3"/>
  <c r="AN76" i="3"/>
  <c r="BV83" i="3"/>
  <c r="BJ76" i="3"/>
  <c r="BS32" i="3"/>
  <c r="T87" i="3"/>
  <c r="EE84" i="3"/>
  <c r="DO63" i="3"/>
  <c r="BY39" i="3"/>
  <c r="V70" i="3"/>
  <c r="DL61" i="3"/>
  <c r="U75" i="3"/>
  <c r="U87" i="3"/>
  <c r="CI45" i="3"/>
  <c r="CA90" i="3"/>
  <c r="CG80" i="3"/>
  <c r="BN89" i="3"/>
  <c r="BX59" i="3"/>
  <c r="BY83" i="3"/>
  <c r="BH80" i="3"/>
  <c r="BR87" i="3"/>
  <c r="AL77" i="3"/>
  <c r="BJ72" i="3"/>
  <c r="G79" i="3"/>
  <c r="AB58" i="3"/>
  <c r="CW50" i="3"/>
  <c r="BR69" i="3"/>
  <c r="BP31" i="3"/>
  <c r="DB75" i="3"/>
  <c r="AM63" i="3"/>
  <c r="BI64" i="3"/>
  <c r="DW74" i="3"/>
  <c r="Q80" i="3"/>
  <c r="CU49" i="3"/>
  <c r="BU80" i="3"/>
  <c r="Z65" i="3"/>
  <c r="DI52" i="3"/>
  <c r="CX62" i="3"/>
  <c r="DS84" i="3"/>
  <c r="BO64" i="3"/>
  <c r="CP78" i="3"/>
  <c r="Z54" i="3"/>
  <c r="EB36" i="3"/>
  <c r="AJ41" i="3"/>
  <c r="BM69" i="3"/>
  <c r="DK86" i="3"/>
  <c r="AU64" i="3"/>
  <c r="BH71" i="3"/>
  <c r="DG58" i="3"/>
  <c r="CK38" i="3"/>
  <c r="AZ40" i="3"/>
  <c r="DI77" i="3"/>
  <c r="DL35" i="3"/>
  <c r="BF87" i="3"/>
  <c r="CX49" i="3"/>
  <c r="BS48" i="3"/>
  <c r="BT48" i="3"/>
  <c r="DB41" i="3"/>
  <c r="CZ40" i="3"/>
  <c r="AG60" i="3"/>
  <c r="CD52" i="3"/>
  <c r="AK46" i="3"/>
  <c r="CE83" i="3"/>
  <c r="AH44" i="3"/>
  <c r="DE50" i="3"/>
  <c r="EB80" i="3"/>
  <c r="BF71" i="3"/>
  <c r="DG59" i="3"/>
  <c r="BY31" i="3"/>
  <c r="BM78" i="3"/>
  <c r="ED71" i="3"/>
  <c r="AE52" i="3"/>
  <c r="BC64" i="3"/>
  <c r="CJ41" i="3"/>
  <c r="BH83" i="3"/>
  <c r="CH48" i="3"/>
  <c r="AJ48" i="3"/>
  <c r="CF37" i="3"/>
  <c r="BM86" i="3"/>
  <c r="EX82" i="3"/>
  <c r="EH3" i="3"/>
  <c r="EB24" i="3"/>
  <c r="BI17" i="3"/>
  <c r="DI90" i="3"/>
  <c r="FB8" i="3"/>
  <c r="AW90" i="3"/>
  <c r="EF11" i="3"/>
  <c r="CZ90" i="3"/>
  <c r="CI37" i="3"/>
  <c r="CA59" i="3"/>
  <c r="M81" i="3"/>
  <c r="CG42" i="3"/>
  <c r="BA25" i="3"/>
  <c r="CC83" i="3"/>
  <c r="BE39" i="3"/>
  <c r="DA39" i="3"/>
  <c r="DE79" i="3"/>
  <c r="CU21" i="3"/>
  <c r="EE45" i="3"/>
  <c r="DB43" i="3"/>
  <c r="EA40" i="3"/>
  <c r="DH79" i="3"/>
  <c r="AP74" i="3"/>
  <c r="BB80" i="3"/>
  <c r="D78" i="3"/>
  <c r="AI49" i="3"/>
  <c r="BX36" i="3"/>
  <c r="CP85" i="3"/>
  <c r="CJ80" i="3"/>
  <c r="AG61" i="3"/>
  <c r="DT33" i="3"/>
  <c r="BU52" i="3"/>
  <c r="BL32" i="3"/>
  <c r="DC76" i="3"/>
  <c r="CY60" i="3"/>
  <c r="DL55" i="3"/>
  <c r="W70" i="3"/>
  <c r="DU84" i="3"/>
  <c r="BW50" i="3"/>
  <c r="DU34" i="3"/>
  <c r="CW37" i="3"/>
  <c r="BO61" i="3"/>
  <c r="BL42" i="3"/>
  <c r="R50" i="3"/>
  <c r="BF63" i="3"/>
  <c r="AW75" i="3"/>
  <c r="AO79" i="3"/>
  <c r="DZ46" i="3"/>
  <c r="W62" i="3"/>
  <c r="O83" i="3"/>
  <c r="DV80" i="3"/>
  <c r="AT71" i="3"/>
  <c r="BF29" i="3"/>
  <c r="DM90" i="3"/>
  <c r="CB48" i="3"/>
  <c r="AM85" i="3"/>
  <c r="P80" i="3"/>
  <c r="BY72" i="3"/>
  <c r="Q68" i="3"/>
  <c r="BN45" i="3"/>
  <c r="BS68" i="3"/>
  <c r="DA29" i="3"/>
  <c r="AD50" i="3"/>
  <c r="CP87" i="3"/>
  <c r="DA83" i="3"/>
  <c r="DK56" i="3"/>
  <c r="P85" i="3"/>
  <c r="EE81" i="3"/>
  <c r="S83" i="3"/>
  <c r="BP81" i="3"/>
  <c r="DD81" i="3"/>
  <c r="DP70" i="3"/>
  <c r="BV73" i="3"/>
  <c r="AA44" i="3"/>
  <c r="AN66" i="3"/>
  <c r="AB91" i="3"/>
  <c r="AA59" i="3"/>
  <c r="CV49" i="3"/>
  <c r="AC63" i="3"/>
  <c r="DS34" i="3"/>
  <c r="AQ67" i="3"/>
  <c r="CK48" i="3"/>
  <c r="AR85" i="3"/>
  <c r="AL40" i="3"/>
  <c r="CK44" i="3"/>
  <c r="DR27" i="3"/>
  <c r="AL84" i="3"/>
  <c r="AU60" i="3"/>
  <c r="CB75" i="3"/>
  <c r="CU57" i="3"/>
  <c r="CA84" i="3"/>
  <c r="DF67" i="3"/>
  <c r="DX63" i="3"/>
  <c r="AC36" i="3"/>
  <c r="BY74" i="3"/>
  <c r="AD68" i="3"/>
  <c r="CB28" i="3"/>
  <c r="CB29" i="3"/>
  <c r="AX65" i="3"/>
  <c r="DM50" i="3"/>
  <c r="S85" i="3"/>
  <c r="CD53" i="3"/>
  <c r="BA60" i="3"/>
  <c r="CG88" i="3"/>
  <c r="BV79" i="3"/>
  <c r="DV39" i="3"/>
  <c r="B79" i="3"/>
  <c r="AG84" i="3"/>
  <c r="DU66" i="3"/>
  <c r="AM70" i="3"/>
  <c r="BB35" i="3"/>
  <c r="AO82" i="3"/>
  <c r="EP45" i="3"/>
  <c r="BW58" i="3"/>
  <c r="BN46" i="3"/>
  <c r="AV66" i="3"/>
  <c r="DB78" i="3"/>
  <c r="DS51" i="3"/>
  <c r="DX43" i="3"/>
  <c r="EB65" i="3"/>
  <c r="CN30" i="3"/>
  <c r="DL75" i="3"/>
  <c r="CA76" i="3"/>
  <c r="AA41" i="3"/>
  <c r="BV33" i="3"/>
  <c r="BL78" i="3"/>
  <c r="CF29" i="3"/>
  <c r="DY63" i="3"/>
  <c r="BV28" i="3"/>
  <c r="DS58" i="3"/>
  <c r="AX74" i="3"/>
  <c r="CS41" i="3"/>
  <c r="AV67" i="3"/>
  <c r="CI44" i="3"/>
  <c r="BE62" i="3"/>
  <c r="AS91" i="3"/>
  <c r="BK62" i="3"/>
  <c r="BJ77" i="3"/>
  <c r="AQ54" i="3"/>
  <c r="AO42" i="3"/>
  <c r="DP82" i="3"/>
  <c r="CC53" i="3"/>
  <c r="BM46" i="3"/>
  <c r="BI59" i="3"/>
  <c r="EA64" i="3"/>
  <c r="AP68" i="3"/>
  <c r="CE21" i="3"/>
  <c r="DV52" i="3"/>
  <c r="AA35" i="3"/>
  <c r="BZ80" i="3"/>
  <c r="CI30" i="3"/>
  <c r="DE88" i="3"/>
  <c r="DX85" i="3"/>
  <c r="AW80" i="3"/>
  <c r="BW19" i="3"/>
  <c r="DF82" i="3"/>
  <c r="AQ38" i="3"/>
  <c r="DA43" i="3"/>
  <c r="BN27" i="3"/>
  <c r="AX43" i="3"/>
  <c r="AQ55" i="3"/>
  <c r="CS43" i="3"/>
  <c r="CY43" i="3"/>
  <c r="CE76" i="3"/>
  <c r="AS76" i="3"/>
  <c r="AY63" i="3"/>
  <c r="AH54" i="3"/>
  <c r="AF74" i="3"/>
  <c r="G76" i="3"/>
  <c r="ED64" i="3"/>
  <c r="BN62" i="3"/>
  <c r="BL70" i="3"/>
  <c r="AT58" i="3"/>
  <c r="DW89" i="3"/>
  <c r="W66" i="3"/>
  <c r="BN32" i="3"/>
  <c r="DM45" i="3"/>
  <c r="CD43" i="3"/>
  <c r="EB41" i="3"/>
  <c r="BB82" i="3"/>
  <c r="CK84" i="3"/>
  <c r="S39" i="3"/>
  <c r="CF89" i="3"/>
  <c r="BE73" i="3"/>
  <c r="DA42" i="3"/>
  <c r="BI74" i="3"/>
  <c r="AA66" i="3"/>
  <c r="AN37" i="3"/>
  <c r="DZ42" i="3"/>
  <c r="CG25" i="3"/>
  <c r="DK77" i="3"/>
  <c r="DV51" i="3"/>
  <c r="BH41" i="3"/>
  <c r="AE48" i="3"/>
  <c r="AE58" i="3"/>
  <c r="CZ46" i="3"/>
  <c r="EH76" i="3"/>
  <c r="BG87" i="3"/>
  <c r="BO72" i="3"/>
  <c r="DR75" i="3"/>
  <c r="DR49" i="3"/>
  <c r="DL41" i="3"/>
  <c r="CY34" i="3"/>
  <c r="U86" i="3"/>
  <c r="EE46" i="3"/>
  <c r="CC19" i="3"/>
  <c r="BQ71" i="3"/>
  <c r="BL67" i="3"/>
  <c r="DI42" i="3"/>
  <c r="DF78" i="3"/>
  <c r="CA73" i="3"/>
  <c r="AX90" i="3"/>
  <c r="DR90" i="3"/>
  <c r="AJ53" i="3"/>
  <c r="DH33" i="3"/>
  <c r="BD43" i="3"/>
  <c r="D41" i="3"/>
  <c r="AI56" i="3"/>
  <c r="Q85" i="3"/>
  <c r="T65" i="3"/>
  <c r="CS82" i="3"/>
  <c r="DI44" i="3"/>
  <c r="EI76" i="3"/>
  <c r="AQ89" i="3"/>
  <c r="AT36" i="3"/>
  <c r="AK43" i="3"/>
  <c r="AR84" i="3"/>
  <c r="AX68" i="3"/>
  <c r="CV35" i="3"/>
  <c r="AO43" i="3"/>
  <c r="BP46" i="3"/>
  <c r="BL71" i="3"/>
  <c r="BG38" i="3"/>
  <c r="BL62" i="3"/>
  <c r="DF40" i="3"/>
  <c r="BP62" i="3"/>
  <c r="AG86" i="3"/>
  <c r="DO36" i="3"/>
  <c r="DM76" i="3"/>
  <c r="CP46" i="3"/>
  <c r="DP55" i="3"/>
  <c r="AI67" i="3"/>
  <c r="DT45" i="3"/>
  <c r="DI58" i="3"/>
  <c r="AQ73" i="3"/>
  <c r="AW73" i="3"/>
  <c r="G80" i="3"/>
  <c r="DJ87" i="3"/>
  <c r="EG47" i="3"/>
  <c r="CM38" i="3"/>
  <c r="BK61" i="3"/>
  <c r="DH81" i="3"/>
  <c r="AU41" i="3"/>
  <c r="BW74" i="3"/>
  <c r="CZ38" i="3"/>
  <c r="AT88" i="3"/>
  <c r="DH85" i="3"/>
  <c r="AQ47" i="3"/>
  <c r="AK66" i="3"/>
  <c r="DS62" i="3"/>
  <c r="CA27" i="3"/>
  <c r="DE41" i="3"/>
  <c r="BX41" i="3"/>
  <c r="AS40" i="3"/>
  <c r="AQ66" i="3"/>
  <c r="BJ87" i="3"/>
  <c r="V79" i="3"/>
  <c r="EC64" i="3"/>
  <c r="CW31" i="3"/>
  <c r="CG31" i="3"/>
  <c r="DD80" i="3"/>
  <c r="B80" i="3"/>
  <c r="CI26" i="3"/>
  <c r="AH62" i="3"/>
  <c r="AU63" i="3"/>
  <c r="CY56" i="3"/>
  <c r="DM35" i="3"/>
  <c r="BD42" i="3"/>
  <c r="BT87" i="3"/>
  <c r="CX59" i="3"/>
  <c r="AS86" i="3"/>
  <c r="CZ65" i="3"/>
  <c r="DQ81" i="3"/>
  <c r="EE47" i="3"/>
  <c r="DK73" i="3"/>
  <c r="AC62" i="3"/>
  <c r="CL39" i="3"/>
  <c r="DF6" i="3"/>
  <c r="J12" i="3"/>
  <c r="CL62" i="3"/>
  <c r="CK61" i="3"/>
  <c r="AR46" i="3"/>
  <c r="EF34" i="3"/>
  <c r="AD77" i="3"/>
  <c r="AN44" i="3"/>
  <c r="Z64" i="3"/>
  <c r="G85" i="3"/>
  <c r="AG77" i="3"/>
  <c r="AG58" i="3"/>
  <c r="BO41" i="3"/>
  <c r="DH63" i="3"/>
  <c r="BT77" i="3"/>
  <c r="BH72" i="3"/>
  <c r="BY69" i="3"/>
  <c r="K6" i="3"/>
  <c r="EJ69" i="3"/>
  <c r="BI6" i="3"/>
  <c r="AY9" i="3"/>
  <c r="D15" i="3"/>
  <c r="E45" i="3"/>
  <c r="AO47" i="3"/>
  <c r="F45" i="3"/>
  <c r="DZ88" i="3"/>
  <c r="CK20" i="3"/>
  <c r="M27" i="3"/>
  <c r="EP73" i="3"/>
  <c r="AS6" i="3"/>
  <c r="J58" i="3"/>
  <c r="AD49" i="3"/>
  <c r="DU55" i="3"/>
  <c r="CP42" i="3"/>
  <c r="AC84" i="3"/>
  <c r="AT33" i="3"/>
  <c r="FD89" i="3"/>
  <c r="J30" i="3"/>
  <c r="BK77" i="3"/>
  <c r="EL29" i="3"/>
  <c r="CO55" i="3"/>
  <c r="CW33" i="3"/>
  <c r="N49" i="3"/>
  <c r="DK67" i="3"/>
  <c r="BJ83" i="3"/>
  <c r="BM83" i="3"/>
  <c r="BU31" i="3"/>
  <c r="EB33" i="3"/>
  <c r="DM53" i="3"/>
  <c r="AZ32" i="3"/>
  <c r="AP90" i="3"/>
  <c r="DF38" i="3"/>
  <c r="BA5" i="3"/>
  <c r="AC38" i="3"/>
  <c r="BP84" i="3"/>
  <c r="DU53" i="3"/>
  <c r="BZ50" i="3"/>
  <c r="C2" i="3"/>
  <c r="I77" i="3"/>
  <c r="T84" i="3"/>
  <c r="L67" i="3"/>
  <c r="DQ10" i="3"/>
  <c r="ED29" i="3"/>
  <c r="AS84" i="3"/>
  <c r="DV88" i="3"/>
  <c r="AS77" i="3"/>
  <c r="AL24" i="3"/>
  <c r="DL33" i="3"/>
  <c r="L23" i="3"/>
  <c r="CL4" i="3"/>
  <c r="V12" i="3"/>
  <c r="BL10" i="3"/>
  <c r="L76" i="3"/>
  <c r="DJ17" i="3"/>
  <c r="EK56" i="3"/>
  <c r="BN60" i="3"/>
  <c r="DZ81" i="3"/>
  <c r="AJ4" i="3"/>
  <c r="BL90" i="3"/>
  <c r="EZ27" i="3"/>
  <c r="CH13" i="3"/>
  <c r="AH3" i="3"/>
  <c r="EX62" i="3"/>
  <c r="CV26" i="3"/>
  <c r="BK21" i="3"/>
  <c r="AW22" i="3"/>
  <c r="EZ86" i="3"/>
  <c r="AJ77" i="3"/>
  <c r="P22" i="3"/>
  <c r="EG31" i="3"/>
  <c r="BS85" i="3"/>
  <c r="CR84" i="3"/>
  <c r="EW5" i="3"/>
  <c r="ES37" i="3"/>
  <c r="CP51" i="3"/>
  <c r="BA53" i="3"/>
  <c r="DC49" i="3"/>
  <c r="F83" i="3"/>
  <c r="AS90" i="3"/>
  <c r="BZ38" i="3"/>
  <c r="DE57" i="3"/>
  <c r="CV67" i="3"/>
  <c r="AU25" i="3"/>
  <c r="DE77" i="3"/>
  <c r="BC86" i="3"/>
  <c r="BA77" i="3"/>
  <c r="EA85" i="3"/>
  <c r="DY28" i="3"/>
  <c r="DL88" i="3"/>
  <c r="CR70" i="3"/>
  <c r="DT31" i="3"/>
  <c r="DT82" i="3"/>
  <c r="DN51" i="3"/>
  <c r="CL78" i="3"/>
  <c r="BN35" i="3"/>
  <c r="AR36" i="3"/>
  <c r="AV10" i="3"/>
  <c r="AR67" i="3"/>
  <c r="DM52" i="3"/>
  <c r="BN23" i="3"/>
  <c r="AF35" i="3"/>
  <c r="CN69" i="3"/>
  <c r="AH46" i="3"/>
  <c r="CG47" i="3"/>
  <c r="BC39" i="3"/>
  <c r="DU44" i="3"/>
  <c r="CY31" i="3"/>
  <c r="BU35" i="3"/>
  <c r="EN51" i="3"/>
  <c r="X89" i="3"/>
  <c r="AM45" i="3"/>
  <c r="AS38" i="3"/>
  <c r="BM10" i="3"/>
  <c r="BE37" i="3"/>
  <c r="ED80" i="3"/>
  <c r="CA41" i="3"/>
  <c r="EF42" i="3"/>
  <c r="DO43" i="3"/>
  <c r="DH40" i="3"/>
  <c r="BZ35" i="3"/>
  <c r="EE69" i="3"/>
  <c r="DP59" i="3"/>
  <c r="DU50" i="3"/>
  <c r="BQ33" i="3"/>
  <c r="CG87" i="3"/>
  <c r="AH90" i="3"/>
  <c r="BJ5" i="3"/>
  <c r="CT71" i="3"/>
  <c r="U78" i="3"/>
  <c r="X78" i="3"/>
  <c r="Q28" i="3"/>
  <c r="BR22" i="3"/>
  <c r="I32" i="3"/>
  <c r="CI73" i="3"/>
  <c r="BS55" i="3"/>
  <c r="BC44" i="3"/>
  <c r="BS30" i="3"/>
  <c r="DJ50" i="3"/>
  <c r="BA73" i="3"/>
  <c r="AN67" i="3"/>
  <c r="B72" i="3"/>
  <c r="EA46" i="3"/>
  <c r="DK40" i="3"/>
  <c r="CE29" i="3"/>
  <c r="DQ45" i="3"/>
  <c r="DH44" i="3"/>
  <c r="AA70" i="3"/>
  <c r="BN36" i="3"/>
  <c r="EI44" i="3"/>
  <c r="DX78" i="3"/>
  <c r="AH53" i="3"/>
  <c r="EH85" i="3"/>
  <c r="AD65" i="3"/>
  <c r="AK82" i="3"/>
  <c r="CT31" i="3"/>
  <c r="T44" i="3"/>
  <c r="BS36" i="3"/>
  <c r="CB50" i="3"/>
  <c r="DY32" i="3"/>
  <c r="CT46" i="3"/>
  <c r="BN26" i="3"/>
  <c r="DL56" i="3"/>
  <c r="DD40" i="3"/>
  <c r="BY48" i="3"/>
  <c r="AH84" i="3"/>
  <c r="CD80" i="3"/>
  <c r="DF30" i="3"/>
  <c r="DV77" i="3"/>
  <c r="AD78" i="3"/>
  <c r="BA84" i="3"/>
  <c r="DB60" i="3"/>
  <c r="AR59" i="3"/>
  <c r="AJ58" i="3"/>
  <c r="CS73" i="3"/>
  <c r="AB77" i="3"/>
  <c r="DG29" i="3"/>
  <c r="DJ3" i="3"/>
  <c r="V6" i="3"/>
  <c r="DQ9" i="3"/>
  <c r="BR44" i="3"/>
  <c r="CU11" i="3"/>
  <c r="CT91" i="3"/>
  <c r="CQ88" i="3"/>
  <c r="BB19" i="3"/>
  <c r="CP57" i="3"/>
  <c r="DM56" i="3"/>
  <c r="DT76" i="3"/>
  <c r="BJ38" i="3"/>
  <c r="ET38" i="3"/>
  <c r="K37" i="3"/>
  <c r="DX83" i="3"/>
  <c r="BS8" i="3"/>
  <c r="DE56" i="3"/>
  <c r="DB2" i="3"/>
  <c r="BE32" i="3"/>
  <c r="G73" i="3"/>
  <c r="DC20" i="3"/>
  <c r="DR35" i="3"/>
  <c r="CP73" i="3"/>
  <c r="EG57" i="3"/>
  <c r="AM73" i="3"/>
  <c r="AK54" i="3"/>
  <c r="AT69" i="3"/>
  <c r="K45" i="3"/>
  <c r="AT22" i="3"/>
  <c r="AY35" i="3"/>
  <c r="CU68" i="3"/>
  <c r="EE76" i="3"/>
  <c r="U50" i="3"/>
  <c r="DU36" i="3"/>
  <c r="BU28" i="3"/>
  <c r="AD89" i="3"/>
  <c r="Y32" i="3"/>
  <c r="AB67" i="3"/>
  <c r="EB73" i="3"/>
  <c r="CW76" i="3"/>
  <c r="AC53" i="3"/>
  <c r="BX84" i="3"/>
  <c r="DY45" i="3"/>
  <c r="AR32" i="3"/>
  <c r="ET50" i="3"/>
  <c r="BC49" i="3"/>
  <c r="J61" i="3"/>
  <c r="AM37" i="3"/>
  <c r="AB23" i="3"/>
  <c r="CK87" i="3"/>
  <c r="BQ60" i="3"/>
  <c r="BK72" i="3"/>
  <c r="FC3" i="3"/>
  <c r="ED2" i="3"/>
  <c r="CY90" i="3"/>
  <c r="BN91" i="3"/>
  <c r="AC56" i="3"/>
  <c r="AZ84" i="3"/>
  <c r="FA61" i="3"/>
  <c r="BZ39" i="3"/>
  <c r="DA32" i="3"/>
  <c r="AH91" i="3"/>
  <c r="EC55" i="3"/>
  <c r="N28" i="3"/>
  <c r="EJ68" i="3"/>
  <c r="DU87" i="3"/>
  <c r="DS86" i="3"/>
  <c r="DW20" i="3"/>
  <c r="BF60" i="3"/>
  <c r="DW72" i="3"/>
  <c r="BX77" i="3"/>
  <c r="CG36" i="3"/>
  <c r="BP68" i="3"/>
  <c r="BZ22" i="3"/>
  <c r="BI56" i="3"/>
  <c r="O46" i="3"/>
  <c r="AH52" i="3"/>
  <c r="Z91" i="3"/>
  <c r="G2" i="3"/>
  <c r="AC42" i="3"/>
  <c r="EG10" i="3"/>
  <c r="F49" i="3"/>
  <c r="DZ62" i="3"/>
  <c r="V40" i="3"/>
  <c r="EP60" i="3"/>
  <c r="AM90" i="3"/>
  <c r="CF42" i="3"/>
  <c r="DT70" i="3"/>
  <c r="DR78" i="3"/>
  <c r="AZ67" i="3"/>
  <c r="FB14" i="3"/>
  <c r="AF76" i="3"/>
  <c r="S88" i="3"/>
  <c r="DE54" i="3"/>
  <c r="BN57" i="3"/>
  <c r="DH47" i="3"/>
  <c r="DC85" i="3"/>
  <c r="ES84" i="3"/>
  <c r="T32" i="3"/>
  <c r="EJ34" i="3"/>
  <c r="EH61" i="3"/>
  <c r="CD2" i="3"/>
  <c r="CC5" i="3"/>
  <c r="CV69" i="3"/>
  <c r="AX73" i="3"/>
  <c r="CH50" i="3"/>
  <c r="DC69" i="3"/>
  <c r="BC73" i="3"/>
  <c r="BK9" i="3"/>
  <c r="EV10" i="3"/>
  <c r="F38" i="3"/>
  <c r="BV57" i="3"/>
  <c r="CM79" i="3"/>
  <c r="BR83" i="3"/>
  <c r="BK56" i="3"/>
  <c r="DZ41" i="3"/>
  <c r="AS56" i="3"/>
  <c r="DN50" i="3"/>
  <c r="K68" i="3"/>
  <c r="AK42" i="3"/>
  <c r="AG48" i="3"/>
  <c r="D77" i="3"/>
  <c r="X87" i="3"/>
  <c r="DT87" i="3"/>
  <c r="AZ74" i="3"/>
  <c r="AX42" i="3"/>
  <c r="DO54" i="3"/>
  <c r="AU80" i="3"/>
  <c r="AU43" i="3"/>
  <c r="BQ52" i="3"/>
  <c r="HS22" i="1" a="1"/>
  <c r="HS22" i="1" s="1"/>
  <c r="HU22" i="1" s="1"/>
  <c r="HW22" i="1" s="1"/>
  <c r="R91" i="3" s="1"/>
  <c r="BK20" i="3"/>
  <c r="BZ13" i="3"/>
  <c r="CA49" i="3"/>
  <c r="CZ48" i="3"/>
  <c r="AL41" i="3"/>
  <c r="I87" i="3"/>
  <c r="DD26" i="3"/>
  <c r="EB77" i="3"/>
  <c r="DS85" i="3"/>
  <c r="K90" i="3"/>
  <c r="BJ37" i="3"/>
  <c r="CU22" i="3"/>
  <c r="EG83" i="3"/>
  <c r="CS31" i="3"/>
  <c r="CN68" i="3"/>
  <c r="AS55" i="3"/>
  <c r="AB6" i="3"/>
  <c r="EU72" i="3"/>
  <c r="CP38" i="3"/>
  <c r="CP40" i="3"/>
  <c r="K24" i="3"/>
  <c r="BQ41" i="3"/>
  <c r="D68" i="3"/>
  <c r="ED84" i="3"/>
  <c r="FC30" i="3"/>
  <c r="AT38" i="3"/>
  <c r="BH66" i="3"/>
  <c r="CF32" i="3"/>
  <c r="DM10" i="3"/>
  <c r="DZ91" i="3"/>
  <c r="BO69" i="3"/>
  <c r="DI16" i="3"/>
  <c r="ET52" i="3"/>
  <c r="BO85" i="3"/>
  <c r="ER28" i="3"/>
  <c r="CD91" i="3"/>
  <c r="DT25" i="3"/>
  <c r="DQ6" i="3"/>
  <c r="FE12" i="3"/>
  <c r="DZ52" i="3"/>
  <c r="DH21" i="3"/>
  <c r="EE51" i="3"/>
  <c r="DW37" i="3"/>
  <c r="AF25" i="3"/>
  <c r="BS87" i="3"/>
  <c r="DI56" i="3"/>
  <c r="EA83" i="3"/>
  <c r="BW89" i="3"/>
  <c r="CO70" i="3"/>
  <c r="K88" i="3"/>
  <c r="V38" i="3"/>
  <c r="M53" i="3"/>
  <c r="G88" i="3"/>
  <c r="AT20" i="3"/>
  <c r="CN20" i="3"/>
  <c r="EE85" i="3"/>
  <c r="CJ87" i="3"/>
  <c r="BI52" i="3"/>
  <c r="ES61" i="3"/>
  <c r="DM33" i="3"/>
  <c r="CP13" i="3"/>
  <c r="DS9" i="3"/>
  <c r="CM28" i="3"/>
  <c r="AO59" i="3"/>
  <c r="EQ69" i="3"/>
  <c r="BF18" i="3"/>
  <c r="DT69" i="3"/>
  <c r="CH39" i="3"/>
  <c r="AT49" i="3"/>
  <c r="B89" i="3"/>
  <c r="AV24" i="3"/>
  <c r="EU73" i="3"/>
  <c r="BT19" i="3"/>
  <c r="CJ26" i="3"/>
  <c r="DF42" i="3"/>
  <c r="AO31" i="3"/>
  <c r="CE88" i="3"/>
  <c r="P2" i="3"/>
  <c r="EZ68" i="3"/>
  <c r="AS22" i="3"/>
  <c r="DL68" i="3"/>
  <c r="EL14" i="3"/>
  <c r="CY49" i="3"/>
  <c r="E54" i="3"/>
  <c r="E77" i="3"/>
  <c r="BY36" i="3"/>
  <c r="AL21" i="3"/>
  <c r="CK5" i="3"/>
  <c r="EB67" i="3"/>
  <c r="BJ9" i="3"/>
  <c r="CT83" i="3"/>
  <c r="EI84" i="3"/>
  <c r="AY23" i="3"/>
  <c r="DJ91" i="3"/>
  <c r="DU56" i="3"/>
  <c r="CG37" i="3"/>
  <c r="EA25" i="3"/>
  <c r="EY85" i="3"/>
  <c r="CF4" i="3"/>
  <c r="AS61" i="3"/>
  <c r="AU85" i="3"/>
  <c r="CL85" i="3"/>
  <c r="AE6" i="3"/>
  <c r="AJ32" i="3"/>
  <c r="AU9" i="3"/>
  <c r="DU61" i="3"/>
  <c r="CW77" i="3"/>
  <c r="V85" i="3"/>
  <c r="BA76" i="3"/>
  <c r="Q12" i="3"/>
  <c r="BQ20" i="3"/>
  <c r="CW57" i="3"/>
  <c r="AU87" i="3"/>
  <c r="EY3" i="3"/>
  <c r="EZ77" i="3"/>
  <c r="DG84" i="3"/>
  <c r="AV4" i="3"/>
  <c r="AJ67" i="3"/>
  <c r="CX13" i="3"/>
  <c r="ER34" i="3"/>
  <c r="EW12" i="3"/>
  <c r="BF86" i="3"/>
  <c r="BV60" i="3"/>
  <c r="FA15" i="3"/>
  <c r="AO88" i="3"/>
  <c r="ED14" i="3"/>
  <c r="CG55" i="3"/>
  <c r="DY33" i="3"/>
  <c r="EX90" i="3"/>
  <c r="AW55" i="3"/>
  <c r="BT3" i="3"/>
  <c r="DZ60" i="3"/>
  <c r="AP9" i="3"/>
  <c r="BY52" i="3"/>
  <c r="EX8" i="3"/>
  <c r="CV33" i="3"/>
  <c r="BX68" i="3"/>
  <c r="EC53" i="3"/>
  <c r="CH85" i="3"/>
  <c r="DB91" i="3"/>
  <c r="DA10" i="3"/>
  <c r="CO84" i="3"/>
  <c r="BX2" i="3"/>
  <c r="ES86" i="3"/>
  <c r="EE20" i="3"/>
  <c r="CA91" i="3"/>
  <c r="AN88" i="3"/>
  <c r="AG12" i="3"/>
  <c r="BJ13" i="3"/>
  <c r="DR14" i="3"/>
  <c r="FB39" i="3"/>
  <c r="DE53" i="3"/>
  <c r="H9" i="3"/>
  <c r="CI89" i="3"/>
  <c r="J83" i="3"/>
  <c r="AO84" i="3"/>
  <c r="BQ54" i="3"/>
  <c r="CU69" i="3"/>
  <c r="L77" i="3"/>
  <c r="AN2" i="3"/>
  <c r="AH12" i="3"/>
  <c r="EJ76" i="3"/>
  <c r="EB76" i="3"/>
  <c r="AB68" i="3"/>
  <c r="AL51" i="3"/>
  <c r="AR3" i="3"/>
  <c r="AO55" i="3"/>
  <c r="ER86" i="3"/>
  <c r="EL23" i="3"/>
  <c r="AR76" i="3"/>
  <c r="AK36" i="3"/>
  <c r="DQ11" i="3"/>
  <c r="CK56" i="3"/>
  <c r="BS90" i="3"/>
  <c r="EU31" i="3"/>
  <c r="BR37" i="3"/>
  <c r="EL51" i="3"/>
  <c r="AM9" i="3"/>
  <c r="FC31" i="3"/>
  <c r="DC6" i="3"/>
  <c r="Y31" i="3"/>
  <c r="AN86" i="3"/>
  <c r="AT6" i="3"/>
  <c r="DY91" i="3"/>
  <c r="W89" i="3"/>
  <c r="CQ44" i="3"/>
  <c r="CL82" i="3"/>
  <c r="AZ72" i="3"/>
  <c r="DF87" i="3"/>
  <c r="BY33" i="3"/>
  <c r="CM45" i="3"/>
  <c r="BC82" i="3"/>
  <c r="DM54" i="3"/>
  <c r="AI35" i="3"/>
  <c r="CQ39" i="3"/>
  <c r="BR42" i="3"/>
  <c r="DQ40" i="3"/>
  <c r="EH83" i="3"/>
  <c r="CM26" i="3"/>
  <c r="BR54" i="3"/>
  <c r="BZ82" i="3"/>
  <c r="AM49" i="3"/>
  <c r="BZ85" i="3"/>
  <c r="CH83" i="3"/>
  <c r="DE40" i="3"/>
  <c r="AL62" i="3"/>
  <c r="EA57" i="3"/>
  <c r="DD39" i="3"/>
  <c r="BH35" i="3"/>
  <c r="O76" i="3"/>
  <c r="DQ72" i="3"/>
  <c r="CE87" i="3"/>
  <c r="BO54" i="3"/>
  <c r="DU88" i="3"/>
  <c r="AC35" i="3"/>
  <c r="CS40" i="3"/>
  <c r="CQ60" i="3"/>
  <c r="BH29" i="3"/>
  <c r="CL89" i="3"/>
  <c r="AE87" i="3"/>
  <c r="DV47" i="3"/>
  <c r="EL50" i="3"/>
  <c r="CU54" i="3"/>
  <c r="AC83" i="3"/>
  <c r="AF48" i="3"/>
  <c r="CD49" i="3"/>
  <c r="CS28" i="3"/>
  <c r="DR85" i="3"/>
  <c r="DX36" i="3"/>
  <c r="DR86" i="3"/>
  <c r="AF81" i="3"/>
  <c r="BY30" i="3"/>
  <c r="AV36" i="3"/>
  <c r="DO39" i="3"/>
  <c r="AS64" i="3"/>
  <c r="CF84" i="3"/>
  <c r="CE81" i="3"/>
  <c r="BC77" i="3"/>
  <c r="I74" i="3"/>
  <c r="AX35" i="3"/>
  <c r="DN85" i="3"/>
  <c r="CY28" i="3"/>
  <c r="EA70" i="3"/>
  <c r="AP37" i="3"/>
  <c r="CO49" i="3"/>
  <c r="AT79" i="3"/>
  <c r="AU59" i="3"/>
  <c r="CO89" i="3"/>
  <c r="DP81" i="3"/>
  <c r="BC32" i="3"/>
  <c r="AX63" i="3"/>
  <c r="BZ87" i="3"/>
  <c r="CQ61" i="3"/>
  <c r="DY68" i="3"/>
  <c r="CZ41" i="3"/>
  <c r="AV73" i="3"/>
  <c r="DR44" i="3"/>
  <c r="CN56" i="3"/>
  <c r="CG74" i="3"/>
  <c r="AO52" i="3"/>
  <c r="Y89" i="3"/>
  <c r="CP88" i="3"/>
  <c r="AI37" i="3"/>
  <c r="DP51" i="3"/>
  <c r="AP62" i="3"/>
  <c r="DO48" i="3"/>
  <c r="CN47" i="3"/>
  <c r="EK51" i="3"/>
  <c r="DV79" i="3"/>
  <c r="CE89" i="3"/>
  <c r="CL21" i="3"/>
  <c r="AG69" i="3"/>
  <c r="T46" i="3"/>
  <c r="DX38" i="3"/>
  <c r="DP88" i="3"/>
  <c r="DI51" i="3"/>
  <c r="BJ31" i="3"/>
  <c r="DT71" i="3"/>
  <c r="AZ77" i="3"/>
  <c r="CN28" i="3"/>
  <c r="DR59" i="3"/>
  <c r="CZ31" i="3"/>
  <c r="CL75" i="3"/>
  <c r="DS43" i="3"/>
  <c r="AN53" i="3"/>
  <c r="AN72" i="3"/>
  <c r="AI69" i="3"/>
  <c r="AI72" i="3"/>
  <c r="AI89" i="3"/>
  <c r="DP74" i="3"/>
  <c r="EB70" i="3"/>
  <c r="AG49" i="3"/>
  <c r="CA36" i="3"/>
  <c r="O69" i="3"/>
  <c r="CB82" i="3"/>
  <c r="AS83" i="3"/>
  <c r="AF46" i="3"/>
  <c r="AM51" i="3"/>
  <c r="DZ36" i="3"/>
  <c r="DS52" i="3"/>
  <c r="CE80" i="3"/>
  <c r="AI48" i="3"/>
  <c r="AS78" i="3"/>
  <c r="CP61" i="3"/>
  <c r="CE18" i="3"/>
  <c r="X82" i="3"/>
  <c r="BM57" i="3"/>
  <c r="DZ44" i="3"/>
  <c r="AU86" i="3"/>
  <c r="X84" i="3"/>
  <c r="BT40" i="3"/>
  <c r="L75" i="3"/>
  <c r="BD69" i="3"/>
  <c r="CO67" i="3"/>
  <c r="AO64" i="3"/>
  <c r="AA77" i="3"/>
  <c r="AM77" i="3"/>
  <c r="AT68" i="3"/>
  <c r="H85" i="3"/>
  <c r="DN87" i="3"/>
  <c r="BE30" i="3"/>
  <c r="DQ35" i="3"/>
  <c r="EE73" i="3"/>
  <c r="DY42" i="3"/>
  <c r="DR45" i="3"/>
  <c r="ED75" i="3"/>
  <c r="DJ39" i="3"/>
  <c r="DG43" i="3"/>
  <c r="EC75" i="3"/>
  <c r="BD89" i="3"/>
  <c r="AT91" i="3"/>
  <c r="AE80" i="3"/>
  <c r="S86" i="3"/>
  <c r="S78" i="3"/>
  <c r="BI34" i="3"/>
  <c r="AY87" i="3"/>
  <c r="CN91" i="3"/>
  <c r="DN40" i="3"/>
  <c r="DU78" i="3"/>
  <c r="AN81" i="3"/>
  <c r="O65" i="3"/>
  <c r="DJ84" i="3"/>
  <c r="AT65" i="3"/>
  <c r="AS88" i="3"/>
  <c r="CM40" i="3"/>
  <c r="AK77" i="3"/>
  <c r="EB48" i="3"/>
  <c r="DN41" i="3"/>
  <c r="AE81" i="3"/>
  <c r="EH68" i="3"/>
  <c r="AO73" i="3"/>
  <c r="DT48" i="3"/>
  <c r="BS37" i="3"/>
  <c r="BG48" i="3"/>
  <c r="DY71" i="3"/>
  <c r="CK81" i="3"/>
  <c r="DU74" i="3"/>
  <c r="BY42" i="3"/>
  <c r="DV35" i="3"/>
  <c r="AA42" i="3"/>
  <c r="BE91" i="3"/>
  <c r="DG89" i="3"/>
  <c r="AR69" i="3"/>
  <c r="DI35" i="3"/>
  <c r="AN79" i="3"/>
  <c r="CU88" i="3"/>
  <c r="AY70" i="3"/>
  <c r="DV46" i="3"/>
  <c r="DB87" i="3"/>
  <c r="DY55" i="3"/>
  <c r="DK50" i="3"/>
  <c r="CE28" i="3"/>
  <c r="EC47" i="3"/>
  <c r="AL79" i="3"/>
  <c r="AX83" i="3"/>
  <c r="DU76" i="3"/>
  <c r="DF88" i="3"/>
  <c r="AY75" i="3"/>
  <c r="AM86" i="3"/>
  <c r="BD85" i="3"/>
  <c r="O86" i="3"/>
  <c r="CL79" i="3"/>
  <c r="BK57" i="3"/>
  <c r="DH41" i="3"/>
  <c r="Y48" i="3"/>
  <c r="V46" i="3"/>
  <c r="AZ38" i="3"/>
  <c r="AU34" i="3"/>
  <c r="ED87" i="3"/>
  <c r="BM38" i="3"/>
  <c r="T49" i="3"/>
  <c r="EC80" i="3"/>
  <c r="AS58" i="3"/>
  <c r="BY81" i="3"/>
  <c r="DR77" i="3"/>
  <c r="CQ77" i="3"/>
  <c r="BQ40" i="3"/>
  <c r="DF55" i="3"/>
  <c r="DC41" i="3"/>
  <c r="CS61" i="3"/>
  <c r="EH78" i="3"/>
  <c r="CP47" i="3"/>
  <c r="DH91" i="3"/>
  <c r="CH73" i="3"/>
  <c r="EC48" i="3"/>
  <c r="BY45" i="3"/>
  <c r="AD73" i="3"/>
  <c r="AN57" i="3"/>
  <c r="AZ31" i="3"/>
  <c r="DW75" i="3"/>
  <c r="AF34" i="3"/>
  <c r="DN84" i="3"/>
  <c r="CH79" i="3"/>
  <c r="BI48" i="3"/>
  <c r="AB88" i="3"/>
  <c r="DY43" i="3"/>
  <c r="AR78" i="3"/>
  <c r="DU79" i="3"/>
  <c r="CS85" i="3"/>
  <c r="BE87" i="3"/>
  <c r="CD48" i="3"/>
  <c r="AU69" i="3"/>
  <c r="CG85" i="3"/>
  <c r="BU47" i="3"/>
  <c r="EB50" i="3"/>
  <c r="DZ61" i="3"/>
  <c r="DH54" i="3"/>
  <c r="AD71" i="3"/>
  <c r="DK55" i="3"/>
  <c r="N80" i="3"/>
  <c r="DI49" i="3"/>
  <c r="AT59" i="3"/>
  <c r="AT72" i="3"/>
  <c r="AQ86" i="3"/>
  <c r="CN39" i="3"/>
  <c r="AV76" i="3"/>
  <c r="DY38" i="3"/>
  <c r="CB33" i="3"/>
  <c r="EO45" i="3"/>
  <c r="DA48" i="3"/>
  <c r="CG81" i="3"/>
  <c r="AH75" i="3"/>
  <c r="CG83" i="3"/>
  <c r="CS38" i="3"/>
  <c r="AP64" i="3"/>
  <c r="N76" i="3"/>
  <c r="DS63" i="3"/>
  <c r="M65" i="3"/>
  <c r="CW29" i="3"/>
  <c r="DD89" i="3"/>
  <c r="BV41" i="3"/>
  <c r="BL65" i="3"/>
  <c r="AJ38" i="3"/>
  <c r="AP52" i="3"/>
  <c r="DM46" i="3"/>
  <c r="CR67" i="3"/>
  <c r="AC80" i="3"/>
  <c r="DK57" i="3"/>
  <c r="CJ77" i="3"/>
  <c r="DS66" i="3"/>
  <c r="DF32" i="3"/>
  <c r="CJ71" i="3"/>
  <c r="DL79" i="3"/>
  <c r="EA76" i="3"/>
  <c r="DR87" i="3"/>
  <c r="DT83" i="3"/>
  <c r="CF31" i="3"/>
  <c r="BV36" i="3"/>
  <c r="O67" i="3"/>
  <c r="DK54" i="3"/>
  <c r="CP82" i="3"/>
  <c r="DX49" i="3"/>
  <c r="AB78" i="3"/>
  <c r="P46" i="3"/>
  <c r="AV91" i="3"/>
  <c r="DY74" i="3"/>
  <c r="AO36" i="3"/>
  <c r="CC42" i="3"/>
  <c r="BA27" i="3"/>
  <c r="CF46" i="3"/>
  <c r="EU48" i="3"/>
  <c r="CJ68" i="3"/>
  <c r="DJ47" i="3"/>
  <c r="P66" i="3"/>
  <c r="DF41" i="3"/>
  <c r="AW68" i="3"/>
  <c r="CP84" i="3"/>
  <c r="CN32" i="3"/>
  <c r="AH77" i="3"/>
  <c r="AG78" i="3"/>
  <c r="BI30" i="3"/>
  <c r="CO66" i="3"/>
  <c r="ET64" i="3"/>
  <c r="DJ67" i="3"/>
  <c r="CM58" i="3"/>
  <c r="CC72" i="3"/>
  <c r="CO38" i="3"/>
  <c r="DL63" i="3"/>
  <c r="M73" i="3"/>
  <c r="CI36" i="3"/>
  <c r="V88" i="3"/>
  <c r="BG77" i="3"/>
  <c r="AS81" i="3"/>
  <c r="AE61" i="3"/>
  <c r="CQ43" i="3"/>
  <c r="DT51" i="3"/>
  <c r="AG83" i="3"/>
  <c r="CZ35" i="3"/>
  <c r="AX80" i="3"/>
  <c r="AG85" i="3"/>
  <c r="U46" i="3"/>
  <c r="CB47" i="3"/>
  <c r="AV65" i="3"/>
  <c r="AV84" i="3"/>
  <c r="BM48" i="3"/>
  <c r="DD74" i="3"/>
  <c r="CD46" i="3"/>
  <c r="DL51" i="3"/>
  <c r="BL60" i="3"/>
  <c r="AP65" i="3"/>
  <c r="AY38" i="3"/>
  <c r="CG44" i="3"/>
  <c r="BE47" i="3"/>
  <c r="BE43" i="3"/>
  <c r="DB80" i="3"/>
  <c r="AS45" i="3"/>
  <c r="DC87" i="3"/>
  <c r="BE70" i="3"/>
  <c r="L81" i="3"/>
  <c r="CY29" i="3"/>
  <c r="BO27" i="3"/>
  <c r="B73" i="3"/>
  <c r="DD44" i="3"/>
  <c r="AA60" i="3"/>
  <c r="AH48" i="3"/>
  <c r="DE89" i="3"/>
  <c r="CP83" i="3"/>
  <c r="AW44" i="3"/>
  <c r="AW61" i="3"/>
  <c r="AU40" i="3"/>
  <c r="EC46" i="3"/>
  <c r="BI46" i="3"/>
  <c r="W71" i="3"/>
  <c r="DT63" i="3"/>
  <c r="CT59" i="3"/>
  <c r="BL83" i="3"/>
  <c r="EM51" i="3"/>
  <c r="AA50" i="3"/>
  <c r="DH62" i="3"/>
  <c r="CI38" i="3"/>
  <c r="EK49" i="3"/>
  <c r="B81" i="3"/>
  <c r="BW75" i="3"/>
  <c r="F69" i="3"/>
  <c r="DM61" i="3"/>
  <c r="BW81" i="3"/>
  <c r="BB39" i="3"/>
  <c r="EH86" i="3"/>
  <c r="DV89" i="3"/>
  <c r="DL53" i="3"/>
  <c r="AW66" i="3"/>
  <c r="AN33" i="3"/>
  <c r="CJ45" i="3"/>
  <c r="BD41" i="3"/>
  <c r="BV43" i="3"/>
  <c r="BA32" i="3"/>
  <c r="BV38" i="3"/>
  <c r="K82" i="3"/>
  <c r="BY38" i="3"/>
  <c r="DK49" i="3"/>
  <c r="CV56" i="3"/>
  <c r="BX80" i="3"/>
  <c r="CY41" i="3"/>
  <c r="CB78" i="3"/>
  <c r="DY65" i="3"/>
  <c r="DQ61" i="3"/>
  <c r="EJ44" i="3"/>
  <c r="BN80" i="3"/>
  <c r="AO49" i="3"/>
  <c r="DE32" i="3"/>
  <c r="AT75" i="3"/>
  <c r="DD71" i="3"/>
  <c r="BW42" i="3"/>
  <c r="BV42" i="3"/>
  <c r="AG62" i="3"/>
  <c r="L79" i="3"/>
  <c r="BL33" i="3"/>
  <c r="DM78" i="3"/>
  <c r="AR38" i="3"/>
  <c r="L83" i="3"/>
  <c r="BA68" i="3"/>
  <c r="AD57" i="3"/>
  <c r="DI62" i="3"/>
  <c r="AN85" i="3"/>
  <c r="AO35" i="3"/>
  <c r="BW43" i="3"/>
  <c r="DD43" i="3"/>
  <c r="DY47" i="3"/>
  <c r="R65" i="3"/>
  <c r="DK58" i="3"/>
  <c r="BK38" i="3"/>
  <c r="R87" i="3"/>
  <c r="DF48" i="3"/>
  <c r="BL66" i="3"/>
  <c r="AU91" i="3"/>
  <c r="AR40" i="3"/>
  <c r="R82" i="3"/>
  <c r="CU89" i="3"/>
  <c r="CQ34" i="3"/>
  <c r="BI72" i="3"/>
  <c r="CR90" i="3"/>
  <c r="BR47" i="3"/>
  <c r="AQ84" i="3"/>
  <c r="V82" i="3"/>
  <c r="AG68" i="3"/>
  <c r="L45" i="3"/>
  <c r="DZ69" i="3"/>
  <c r="EF79" i="3"/>
  <c r="EC65" i="3"/>
  <c r="AG72" i="3"/>
  <c r="DE42" i="3"/>
  <c r="EH67" i="3"/>
  <c r="DK37" i="3"/>
  <c r="BG60" i="3"/>
  <c r="DT73" i="3"/>
  <c r="CM35" i="3"/>
  <c r="AD64" i="3"/>
  <c r="BW82" i="3"/>
  <c r="CR43" i="3"/>
  <c r="BF42" i="3"/>
  <c r="CM88" i="3"/>
  <c r="AH69" i="3"/>
  <c r="AH68" i="3"/>
  <c r="CB32" i="3"/>
  <c r="AR75" i="3"/>
  <c r="AI66" i="3"/>
  <c r="CV60" i="3"/>
  <c r="BK44" i="3"/>
  <c r="AU58" i="3"/>
  <c r="H76" i="3"/>
  <c r="V74" i="3"/>
  <c r="BM67" i="3"/>
  <c r="AF68" i="3"/>
  <c r="Z81" i="3"/>
  <c r="BH59" i="3"/>
  <c r="CK42" i="3"/>
  <c r="DO41" i="3"/>
  <c r="BH91" i="3"/>
  <c r="BM68" i="3"/>
  <c r="DB62" i="3"/>
  <c r="AU75" i="3"/>
  <c r="DC53" i="3"/>
  <c r="BX79" i="3"/>
  <c r="CX36" i="3"/>
  <c r="AI83" i="3"/>
  <c r="BM42" i="3"/>
  <c r="F79" i="3"/>
  <c r="DR65" i="3"/>
  <c r="T73" i="3"/>
  <c r="BS73" i="3"/>
  <c r="CQ33" i="3"/>
  <c r="DY46" i="3"/>
  <c r="CK91" i="3"/>
  <c r="DY62" i="3"/>
  <c r="N67" i="3"/>
  <c r="BG85" i="3"/>
  <c r="Y72" i="3"/>
  <c r="BO33" i="3"/>
  <c r="DW52" i="3"/>
  <c r="EC40" i="3"/>
  <c r="BD39" i="3"/>
  <c r="BI75" i="3"/>
  <c r="AE41" i="3"/>
  <c r="BF68" i="3"/>
  <c r="BH34" i="3"/>
  <c r="DU51" i="3"/>
  <c r="DC79" i="3"/>
  <c r="S89" i="3"/>
  <c r="BP36" i="3"/>
  <c r="BL64" i="3"/>
  <c r="BN61" i="3"/>
  <c r="Y50" i="3"/>
  <c r="BQ38" i="3"/>
  <c r="DN52" i="3"/>
  <c r="DW88" i="3"/>
  <c r="AR77" i="3"/>
  <c r="BV86" i="3"/>
  <c r="DY49" i="3"/>
  <c r="EA43" i="3"/>
  <c r="CG33" i="3"/>
  <c r="V43" i="3"/>
  <c r="H84" i="3"/>
  <c r="BZ47" i="3"/>
  <c r="AV44" i="3"/>
  <c r="AN46" i="3"/>
  <c r="BB79" i="3"/>
  <c r="L74" i="3"/>
  <c r="BS77" i="3"/>
  <c r="W46" i="3"/>
  <c r="BE80" i="3"/>
  <c r="M74" i="3"/>
  <c r="BM40" i="3"/>
  <c r="AB57" i="3"/>
  <c r="DG83" i="3"/>
  <c r="AZ71" i="3"/>
  <c r="EF87" i="3"/>
  <c r="CO29" i="3"/>
  <c r="EH40" i="3"/>
  <c r="CW48" i="3"/>
  <c r="DX45" i="3"/>
  <c r="AN65" i="3"/>
  <c r="Z86" i="3"/>
  <c r="AC45" i="3"/>
  <c r="BI47" i="3"/>
  <c r="DX61" i="3"/>
  <c r="DJ72" i="3"/>
  <c r="AX57" i="3"/>
  <c r="BT71" i="3"/>
  <c r="O49" i="3"/>
  <c r="AP47" i="3"/>
  <c r="DQ73" i="3"/>
  <c r="BZ34" i="3"/>
  <c r="AY37" i="3"/>
  <c r="DZ84" i="3"/>
  <c r="EG81" i="3"/>
  <c r="EA63" i="3"/>
  <c r="EB83" i="3"/>
  <c r="CJ90" i="3"/>
  <c r="EA45" i="3"/>
  <c r="BS70" i="3"/>
  <c r="DI76" i="3"/>
  <c r="AY90" i="3"/>
  <c r="CJ40" i="3"/>
  <c r="DY48" i="3"/>
  <c r="AA58" i="3"/>
  <c r="BD44" i="3"/>
  <c r="P84" i="3"/>
  <c r="AA61" i="3"/>
  <c r="BR25" i="3"/>
  <c r="DL46" i="3"/>
  <c r="CD44" i="3"/>
  <c r="AJ64" i="3"/>
  <c r="V89" i="3"/>
  <c r="DH52" i="3"/>
  <c r="BJ27" i="3"/>
  <c r="BU42" i="3"/>
  <c r="AQ65" i="3"/>
  <c r="DJ89" i="3"/>
  <c r="AN74" i="3"/>
  <c r="BK41" i="3"/>
  <c r="AN18" i="3"/>
  <c r="AR64" i="3"/>
  <c r="DG18" i="3"/>
  <c r="BI71" i="3"/>
  <c r="Y19" i="3"/>
  <c r="CB23" i="3"/>
  <c r="EC21" i="3"/>
  <c r="ES41" i="3"/>
  <c r="EI31" i="3"/>
  <c r="DC62" i="3"/>
  <c r="V84" i="3"/>
  <c r="AT46" i="3"/>
  <c r="EN78" i="3"/>
  <c r="CI23" i="3"/>
  <c r="Q7" i="3"/>
  <c r="AO89" i="3"/>
  <c r="DV11" i="3"/>
  <c r="DP31" i="3"/>
  <c r="EM39" i="3"/>
  <c r="EY84" i="3"/>
  <c r="AA23" i="3"/>
  <c r="BD55" i="3"/>
  <c r="CW41" i="3"/>
  <c r="AB29" i="3"/>
  <c r="N51" i="3"/>
  <c r="BA19" i="3"/>
  <c r="EU90" i="3"/>
  <c r="BM17" i="3"/>
  <c r="CP79" i="3"/>
  <c r="AO30" i="3"/>
  <c r="EO43" i="3"/>
  <c r="M32" i="3"/>
  <c r="J24" i="3"/>
  <c r="AB11" i="3"/>
  <c r="I66" i="3"/>
  <c r="EO63" i="3"/>
  <c r="AM6" i="3"/>
  <c r="AV79" i="3"/>
  <c r="Z41" i="3"/>
  <c r="Q57" i="3"/>
  <c r="AF9" i="3"/>
  <c r="B37" i="3"/>
  <c r="C7" i="3"/>
  <c r="DG3" i="3"/>
  <c r="N82" i="3"/>
  <c r="BB61" i="3"/>
  <c r="DV2" i="3"/>
  <c r="EB89" i="3"/>
  <c r="U24" i="3"/>
  <c r="CO43" i="3"/>
  <c r="CG46" i="3"/>
  <c r="EZ3" i="3"/>
  <c r="BO7" i="3"/>
  <c r="EC19" i="3"/>
  <c r="DV29" i="3"/>
  <c r="AE5" i="3"/>
  <c r="BG8" i="3"/>
  <c r="EA34" i="3"/>
  <c r="EM88" i="3"/>
  <c r="CJ22" i="3"/>
  <c r="AG26" i="3"/>
  <c r="X22" i="3"/>
  <c r="AY50" i="3"/>
  <c r="AT10" i="3"/>
  <c r="DI43" i="3"/>
  <c r="BC31" i="3"/>
  <c r="FE79" i="3"/>
  <c r="C69" i="3"/>
  <c r="F62" i="3"/>
  <c r="BH10" i="3"/>
  <c r="EJ9" i="3"/>
  <c r="AW24" i="3"/>
  <c r="DG80" i="3"/>
  <c r="CV47" i="3"/>
  <c r="DQ56" i="3"/>
  <c r="BJ66" i="3"/>
  <c r="DU18" i="3"/>
  <c r="EB61" i="3"/>
  <c r="S57" i="3"/>
  <c r="DX32" i="3"/>
  <c r="T10" i="3"/>
  <c r="ER74" i="3"/>
  <c r="AK21" i="3"/>
  <c r="Y56" i="3"/>
  <c r="DC12" i="3"/>
  <c r="CS48" i="3"/>
  <c r="BX12" i="3"/>
  <c r="AU8" i="3"/>
  <c r="EZ26" i="3"/>
  <c r="I84" i="3"/>
  <c r="AH87" i="3"/>
  <c r="EZ69" i="3"/>
  <c r="EW16" i="3"/>
  <c r="ER23" i="3"/>
  <c r="EN49" i="3"/>
  <c r="FE67" i="3"/>
  <c r="EL22" i="3"/>
  <c r="DJ88" i="3"/>
  <c r="EW64" i="3"/>
  <c r="CL9" i="3"/>
  <c r="K86" i="3"/>
  <c r="Y54" i="3"/>
  <c r="DY2" i="3"/>
  <c r="DK45" i="3"/>
  <c r="BL4" i="3"/>
  <c r="DU46" i="3"/>
  <c r="EG55" i="3"/>
  <c r="FE88" i="3"/>
  <c r="EA89" i="3"/>
  <c r="AR51" i="3"/>
  <c r="CZ4" i="3"/>
  <c r="CB76" i="3"/>
  <c r="Q42" i="3"/>
  <c r="DT5" i="3"/>
  <c r="H60" i="3"/>
  <c r="CE17" i="3"/>
  <c r="AL2" i="3"/>
  <c r="AP17" i="3"/>
  <c r="ET10" i="3"/>
  <c r="DW27" i="3"/>
  <c r="EX44" i="3"/>
  <c r="W54" i="3"/>
  <c r="FE60" i="3"/>
  <c r="CF20" i="3"/>
  <c r="FB7" i="3"/>
  <c r="W38" i="3"/>
  <c r="BP16" i="3"/>
  <c r="Y25" i="3"/>
  <c r="DW3" i="3"/>
  <c r="DU62" i="3"/>
  <c r="DA68" i="3"/>
  <c r="T56" i="3"/>
  <c r="AV59" i="3"/>
  <c r="EE35" i="3"/>
  <c r="EJ62" i="3"/>
  <c r="FA50" i="3"/>
  <c r="CJ62" i="3"/>
  <c r="AJ19" i="3"/>
  <c r="H81" i="3"/>
  <c r="DO45" i="3"/>
  <c r="ER7" i="3"/>
  <c r="V44" i="3"/>
  <c r="EM17" i="3"/>
  <c r="H34" i="3"/>
  <c r="CT41" i="3"/>
  <c r="EJ89" i="3"/>
  <c r="DU85" i="3"/>
  <c r="X35" i="3"/>
  <c r="EM28" i="3"/>
  <c r="CJ15" i="3"/>
  <c r="K54" i="3"/>
  <c r="CL14" i="3"/>
  <c r="EY26" i="3"/>
  <c r="ED27" i="3"/>
  <c r="J22" i="3"/>
  <c r="EN85" i="3"/>
  <c r="CN5" i="3"/>
  <c r="AG63" i="3"/>
  <c r="EK35" i="3"/>
  <c r="EI66" i="3"/>
  <c r="G26" i="3"/>
  <c r="BO35" i="3"/>
  <c r="CR46" i="3"/>
  <c r="AC14" i="3"/>
  <c r="S46" i="3"/>
  <c r="BV16" i="3"/>
  <c r="ER89" i="3"/>
  <c r="Q41" i="3"/>
  <c r="EU59" i="3"/>
  <c r="U9" i="3"/>
  <c r="DK43" i="3"/>
  <c r="EW34" i="3"/>
  <c r="Z20" i="3"/>
  <c r="DX25" i="3"/>
  <c r="DY52" i="3"/>
  <c r="FA28" i="3"/>
  <c r="CF18" i="3"/>
  <c r="EZ12" i="3"/>
  <c r="L82" i="3"/>
  <c r="FE55" i="3"/>
  <c r="DL42" i="3"/>
  <c r="CB39" i="3"/>
  <c r="AU13" i="3"/>
  <c r="DR46" i="3"/>
  <c r="CH10" i="3"/>
  <c r="H69" i="3"/>
  <c r="DZ21" i="3"/>
  <c r="CS62" i="3"/>
  <c r="DL4" i="3"/>
  <c r="ER75" i="3"/>
  <c r="EP24" i="3"/>
  <c r="BF27" i="3"/>
  <c r="DX2" i="3"/>
  <c r="BA57" i="3"/>
  <c r="AF39" i="3"/>
  <c r="BV13" i="3"/>
  <c r="EY20" i="3"/>
  <c r="M31" i="3"/>
  <c r="DP67" i="3"/>
  <c r="EM33" i="3"/>
  <c r="AL3" i="3"/>
  <c r="AQ78" i="3"/>
  <c r="BB66" i="3"/>
  <c r="DT78" i="3"/>
  <c r="CV41" i="3"/>
  <c r="AO14" i="3"/>
  <c r="EI8" i="3"/>
  <c r="AO48" i="3"/>
  <c r="AE46" i="3"/>
  <c r="AD47" i="3"/>
  <c r="CR21" i="3"/>
  <c r="B3" i="3"/>
  <c r="ER78" i="3"/>
  <c r="EI72" i="3"/>
  <c r="BE2" i="3"/>
  <c r="BH20" i="3"/>
  <c r="H20" i="3"/>
  <c r="BT4" i="3"/>
  <c r="CT24" i="3"/>
  <c r="EP76" i="3"/>
  <c r="DC4" i="3"/>
  <c r="BO44" i="3"/>
  <c r="BQ14" i="3"/>
  <c r="DP29" i="3"/>
  <c r="EA33" i="3"/>
  <c r="EG20" i="3"/>
  <c r="E34" i="3"/>
  <c r="CO13" i="3"/>
  <c r="CL49" i="3"/>
  <c r="EO29" i="3"/>
  <c r="EW59" i="3"/>
  <c r="BC88" i="3"/>
  <c r="AS29" i="3"/>
  <c r="DN32" i="3"/>
  <c r="DB8" i="3"/>
  <c r="ES7" i="3"/>
  <c r="EG29" i="3"/>
  <c r="J11" i="3"/>
  <c r="I60" i="3"/>
  <c r="AW16" i="3"/>
  <c r="E39" i="3"/>
  <c r="X69" i="3"/>
  <c r="AW87" i="3"/>
  <c r="AZ21" i="3"/>
  <c r="DP7" i="3"/>
  <c r="EM11" i="3"/>
  <c r="ER58" i="3"/>
  <c r="CR85" i="3"/>
  <c r="AZ44" i="3"/>
  <c r="C65" i="3"/>
  <c r="C76" i="3"/>
  <c r="BW26" i="3"/>
  <c r="CB12" i="3"/>
  <c r="BB56" i="3"/>
  <c r="EV68" i="3"/>
  <c r="AM18" i="3"/>
  <c r="EU70" i="3"/>
  <c r="EA17" i="3"/>
  <c r="DR69" i="3"/>
  <c r="O53" i="3"/>
  <c r="ER48" i="3"/>
  <c r="AE7" i="3"/>
  <c r="DA37" i="3"/>
  <c r="EI80" i="3"/>
  <c r="DM36" i="3"/>
  <c r="CH9" i="3"/>
  <c r="DH12" i="3"/>
  <c r="AR16" i="3"/>
  <c r="FD78" i="3"/>
  <c r="EU39" i="3"/>
  <c r="BF15" i="3"/>
  <c r="DD76" i="3"/>
  <c r="CW38" i="3"/>
  <c r="BN43" i="3"/>
  <c r="DB31" i="3"/>
  <c r="DS72" i="3"/>
  <c r="BC74" i="3"/>
  <c r="CZ17" i="3"/>
  <c r="Q25" i="3"/>
  <c r="BW32" i="3"/>
  <c r="DB56" i="3"/>
  <c r="DW48" i="3"/>
  <c r="AZ24" i="3"/>
  <c r="CH21" i="3"/>
  <c r="BD54" i="3"/>
  <c r="AM75" i="3"/>
  <c r="EO30" i="3"/>
  <c r="DG24" i="3"/>
  <c r="Q55" i="3"/>
  <c r="X20" i="3"/>
  <c r="AD34" i="3"/>
  <c r="E57" i="3"/>
  <c r="CQ10" i="3"/>
  <c r="DV87" i="3"/>
  <c r="FC84" i="3"/>
  <c r="CV59" i="3"/>
  <c r="FB38" i="3"/>
  <c r="EA2" i="3"/>
  <c r="Y33" i="3"/>
  <c r="BX8" i="3"/>
  <c r="AE32" i="3"/>
  <c r="Z19" i="3"/>
  <c r="BO73" i="3"/>
  <c r="EO80" i="3"/>
  <c r="DZ24" i="3"/>
  <c r="CV78" i="3"/>
  <c r="BW46" i="3"/>
  <c r="EU47" i="3"/>
  <c r="EW10" i="3"/>
  <c r="EE15" i="3"/>
  <c r="BS12" i="3"/>
  <c r="CW51" i="3"/>
  <c r="AW8" i="3"/>
  <c r="DI2" i="3"/>
  <c r="BD56" i="3"/>
  <c r="CR15" i="3"/>
  <c r="ET79" i="3"/>
  <c r="ER54" i="3"/>
  <c r="EL38" i="3"/>
  <c r="BI27" i="3"/>
  <c r="CJ24" i="3"/>
  <c r="AF55" i="3"/>
  <c r="B58" i="3"/>
  <c r="DD49" i="3"/>
  <c r="AW36" i="3"/>
  <c r="CL11" i="3"/>
  <c r="AK26" i="3"/>
  <c r="DU25" i="3"/>
  <c r="BL81" i="3"/>
  <c r="O52" i="3"/>
  <c r="V13" i="3"/>
  <c r="CZ49" i="3"/>
  <c r="CA81" i="3"/>
  <c r="BE54" i="3"/>
  <c r="BC53" i="3"/>
  <c r="DI61" i="3"/>
  <c r="ES22" i="3"/>
  <c r="T58" i="3"/>
  <c r="BE38" i="3"/>
  <c r="BI51" i="3"/>
  <c r="BL12" i="3"/>
  <c r="AC67" i="3"/>
  <c r="CG82" i="3"/>
  <c r="ER6" i="3"/>
  <c r="DX9" i="3"/>
  <c r="DG26" i="3"/>
  <c r="FD49" i="3"/>
  <c r="CP66" i="3"/>
  <c r="EH18" i="3"/>
  <c r="FC32" i="3"/>
  <c r="CT70" i="3"/>
  <c r="EO34" i="3"/>
  <c r="DX89" i="3"/>
  <c r="ES46" i="3"/>
  <c r="FA83" i="3"/>
  <c r="BE12" i="3"/>
  <c r="FB61" i="3"/>
  <c r="CX81" i="3"/>
  <c r="EZ57" i="3"/>
  <c r="AP42" i="3"/>
  <c r="AM3" i="3"/>
  <c r="M48" i="3"/>
  <c r="DE15" i="3"/>
  <c r="FD27" i="3"/>
  <c r="CR51" i="3"/>
  <c r="BQ4" i="3"/>
  <c r="FA75" i="3"/>
  <c r="L54" i="3"/>
  <c r="F10" i="3"/>
  <c r="M40" i="3"/>
  <c r="P44" i="3"/>
  <c r="BL91" i="3"/>
  <c r="BI14" i="3"/>
  <c r="DV59" i="3"/>
  <c r="AA39" i="3"/>
  <c r="EP2" i="3"/>
  <c r="AM22" i="3"/>
  <c r="AP11" i="3"/>
  <c r="BE75" i="3"/>
  <c r="EV74" i="3"/>
  <c r="EO3" i="3"/>
  <c r="AF16" i="3"/>
  <c r="J29" i="3"/>
  <c r="BN81" i="3"/>
  <c r="CI19" i="3"/>
  <c r="BO36" i="3"/>
  <c r="EU74" i="3"/>
  <c r="DM75" i="3"/>
  <c r="DR50" i="3"/>
  <c r="EG41" i="3"/>
  <c r="CZ26" i="3"/>
  <c r="DR81" i="3"/>
  <c r="EQ90" i="3"/>
  <c r="AA29" i="3"/>
  <c r="G12" i="3"/>
  <c r="EJ23" i="3"/>
  <c r="FE25" i="3"/>
  <c r="D5" i="3"/>
  <c r="DF37" i="3"/>
  <c r="DN69" i="3"/>
  <c r="DC26" i="3"/>
  <c r="EO76" i="3"/>
  <c r="EN64" i="3"/>
  <c r="AS7" i="3"/>
  <c r="ER66" i="3"/>
  <c r="AE34" i="3"/>
  <c r="EH5" i="3"/>
  <c r="EB52" i="3"/>
  <c r="DW46" i="3"/>
  <c r="EI7" i="3"/>
  <c r="CN10" i="3"/>
  <c r="BR48" i="3"/>
  <c r="AX59" i="3"/>
  <c r="BT66" i="3"/>
  <c r="BT11" i="3"/>
  <c r="AQ14" i="3"/>
  <c r="DR19" i="3"/>
  <c r="BC13" i="3"/>
  <c r="EC45" i="3"/>
  <c r="AG8" i="3"/>
  <c r="CH35" i="3"/>
  <c r="S3" i="3"/>
  <c r="AJ21" i="3"/>
  <c r="CG19" i="3"/>
  <c r="ES43" i="3"/>
  <c r="EN28" i="3"/>
  <c r="ED4" i="3"/>
  <c r="FE20" i="3"/>
  <c r="CZ33" i="3"/>
  <c r="J49" i="3"/>
  <c r="FE11" i="3"/>
  <c r="AK90" i="3"/>
  <c r="EK15" i="3"/>
  <c r="M43" i="3"/>
  <c r="CX78" i="3"/>
  <c r="Y27" i="3"/>
  <c r="CE86" i="3"/>
  <c r="ER47" i="3"/>
  <c r="EL36" i="3"/>
  <c r="Z25" i="3"/>
  <c r="DV62" i="3"/>
  <c r="DG20" i="3"/>
  <c r="CW13" i="3"/>
  <c r="CL3" i="3"/>
  <c r="EM14" i="3"/>
  <c r="CM2" i="3"/>
  <c r="DN20" i="3"/>
  <c r="DQ8" i="3"/>
  <c r="EF5" i="3"/>
  <c r="BQ56" i="3"/>
  <c r="EX75" i="3"/>
  <c r="AL7" i="3"/>
  <c r="AD59" i="3"/>
  <c r="CP21" i="3"/>
  <c r="AY31" i="3"/>
  <c r="EM64" i="3"/>
  <c r="CB70" i="3"/>
  <c r="CF35" i="3"/>
  <c r="CW67" i="3"/>
  <c r="DS48" i="3"/>
  <c r="EX42" i="3"/>
  <c r="CG20" i="3"/>
  <c r="AQ18" i="3"/>
  <c r="ES64" i="3"/>
  <c r="T33" i="3"/>
  <c r="DG37" i="3"/>
  <c r="EU40" i="3"/>
  <c r="E62" i="3"/>
  <c r="O28" i="3"/>
  <c r="AE21" i="3"/>
  <c r="CA78" i="3"/>
  <c r="CQ45" i="3"/>
  <c r="DV56" i="3"/>
  <c r="C30" i="3"/>
  <c r="CB11" i="3"/>
  <c r="EM25" i="3"/>
  <c r="B61" i="3"/>
  <c r="AA34" i="3"/>
  <c r="FC57" i="3"/>
  <c r="DM11" i="3"/>
  <c r="AB45" i="3"/>
  <c r="CH29" i="3"/>
  <c r="ET46" i="3"/>
  <c r="M13" i="3"/>
  <c r="CL27" i="3"/>
  <c r="FA58" i="3"/>
  <c r="DD28" i="3"/>
  <c r="FE27" i="3"/>
  <c r="EX85" i="3"/>
  <c r="EH65" i="3"/>
  <c r="CY48" i="3"/>
  <c r="X75" i="3"/>
  <c r="CB16" i="3"/>
  <c r="EP64" i="3"/>
  <c r="G3" i="3"/>
  <c r="T9" i="3"/>
  <c r="EE17" i="3"/>
  <c r="AG56" i="3"/>
  <c r="EM85" i="3"/>
  <c r="DQ33" i="3"/>
  <c r="AA38" i="3"/>
  <c r="CT29" i="3"/>
  <c r="H31" i="3"/>
  <c r="DA25" i="3"/>
  <c r="D36" i="3"/>
  <c r="L4" i="3"/>
  <c r="X2" i="3"/>
  <c r="CT17" i="3"/>
  <c r="EI88" i="3"/>
  <c r="AR8" i="3"/>
  <c r="Y24" i="3"/>
  <c r="FB64" i="3"/>
  <c r="BZ2" i="3"/>
  <c r="EW79" i="3"/>
  <c r="B8" i="3"/>
  <c r="EA23" i="3"/>
  <c r="BH60" i="3"/>
  <c r="U13" i="3"/>
  <c r="BY11" i="3"/>
  <c r="EW9" i="3"/>
  <c r="M68" i="3"/>
  <c r="FD3" i="3"/>
  <c r="EA55" i="3"/>
  <c r="EZ33" i="3"/>
  <c r="DV6" i="3"/>
  <c r="BE13" i="3"/>
  <c r="FB69" i="3"/>
  <c r="AC79" i="3"/>
  <c r="BI50" i="3"/>
  <c r="BG52" i="3"/>
  <c r="DY17" i="3"/>
  <c r="BI16" i="3"/>
  <c r="DK4" i="3"/>
  <c r="AH27" i="3"/>
  <c r="CL58" i="3"/>
  <c r="CC12" i="3"/>
  <c r="EO21" i="3"/>
  <c r="CN48" i="3"/>
  <c r="BS6" i="3"/>
  <c r="EJ52" i="3"/>
  <c r="DM22" i="3"/>
  <c r="AH38" i="3"/>
  <c r="EM38" i="3"/>
  <c r="EM47" i="3"/>
  <c r="AZ54" i="3"/>
  <c r="AM33" i="3"/>
  <c r="AG40" i="3"/>
  <c r="EV39" i="3"/>
  <c r="EI42" i="3"/>
  <c r="ER82" i="3"/>
  <c r="CC25" i="3"/>
  <c r="EZ75" i="3"/>
  <c r="X73" i="3"/>
  <c r="AP85" i="3"/>
  <c r="EI81" i="3"/>
  <c r="BB6" i="3"/>
  <c r="CN3" i="3"/>
  <c r="DO17" i="3"/>
  <c r="CQ2" i="3"/>
  <c r="EW85" i="3"/>
  <c r="CO44" i="3"/>
  <c r="B12" i="3"/>
  <c r="AA30" i="3"/>
  <c r="I30" i="3"/>
  <c r="C3" i="3"/>
  <c r="X61" i="3"/>
  <c r="CK85" i="3"/>
  <c r="V36" i="3"/>
  <c r="CW86" i="3"/>
  <c r="CF24" i="3"/>
  <c r="N44" i="3"/>
  <c r="ER53" i="3"/>
  <c r="J80" i="3"/>
  <c r="FA70" i="3"/>
  <c r="CS68" i="3"/>
  <c r="BA6" i="3"/>
  <c r="DS29" i="3"/>
  <c r="EF45" i="3"/>
  <c r="CS76" i="3"/>
  <c r="DF81" i="3"/>
  <c r="E4" i="3"/>
  <c r="R22" i="3"/>
  <c r="DY53" i="3"/>
  <c r="BH79" i="3"/>
  <c r="C60" i="3"/>
  <c r="ES60" i="3"/>
  <c r="AB21" i="3"/>
  <c r="BJ15" i="3"/>
  <c r="EA10" i="3"/>
  <c r="DD20" i="3"/>
  <c r="DM80" i="3"/>
  <c r="BS53" i="3"/>
  <c r="FB49" i="3"/>
  <c r="FA14" i="3"/>
  <c r="FB20" i="3"/>
  <c r="AP6" i="3"/>
  <c r="FC67" i="3"/>
  <c r="EV33" i="3"/>
  <c r="Y44" i="3"/>
  <c r="K2" i="3"/>
  <c r="AA14" i="3"/>
  <c r="Z18" i="3"/>
  <c r="AU7" i="3"/>
  <c r="AW47" i="3"/>
  <c r="BI7" i="3"/>
  <c r="AQ2" i="3"/>
  <c r="AT3" i="3"/>
  <c r="AQ32" i="3"/>
  <c r="DR9" i="3"/>
  <c r="AF32" i="3"/>
  <c r="CM15" i="3"/>
  <c r="AT41" i="3"/>
  <c r="EE60" i="3"/>
  <c r="ES6" i="3"/>
  <c r="EF17" i="3"/>
  <c r="EL73" i="3"/>
  <c r="DN55" i="3"/>
  <c r="FE5" i="3"/>
  <c r="E88" i="3"/>
  <c r="EL48" i="3"/>
  <c r="BS33" i="3"/>
  <c r="FB76" i="3"/>
  <c r="AH4" i="3"/>
  <c r="DF74" i="3"/>
  <c r="AP54" i="3"/>
  <c r="S26" i="3"/>
  <c r="DB27" i="3"/>
  <c r="EM31" i="3"/>
  <c r="DH13" i="3"/>
  <c r="FA90" i="3"/>
  <c r="CQ54" i="3"/>
  <c r="BH50" i="3"/>
  <c r="CO32" i="3"/>
  <c r="CX14" i="3"/>
  <c r="BZ46" i="3"/>
  <c r="R10" i="3"/>
  <c r="EV49" i="3"/>
  <c r="D59" i="3"/>
  <c r="CX45" i="3"/>
  <c r="P12" i="3"/>
  <c r="BR67" i="3"/>
  <c r="ET25" i="3"/>
  <c r="BK26" i="3"/>
  <c r="CO63" i="3"/>
  <c r="BF56" i="3"/>
  <c r="CD72" i="3"/>
  <c r="EV23" i="3"/>
  <c r="CZ69" i="3"/>
  <c r="V28" i="3"/>
  <c r="EZ22" i="3"/>
  <c r="AM13" i="3"/>
  <c r="D54" i="3"/>
  <c r="AP10" i="3"/>
  <c r="N45" i="3"/>
  <c r="DU40" i="3"/>
  <c r="AG25" i="3"/>
  <c r="EM29" i="3"/>
  <c r="EZ80" i="3"/>
  <c r="EE57" i="3"/>
  <c r="FE46" i="3"/>
  <c r="AZ53" i="3"/>
  <c r="EQ42" i="3"/>
  <c r="DG7" i="3"/>
  <c r="EA58" i="3"/>
  <c r="FA87" i="3"/>
  <c r="M25" i="3"/>
  <c r="AD11" i="3"/>
  <c r="EE39" i="3"/>
  <c r="EQ59" i="3"/>
  <c r="BC14" i="3"/>
  <c r="B9" i="3"/>
  <c r="CY67" i="3"/>
  <c r="AS50" i="3"/>
  <c r="BM8" i="3"/>
  <c r="ET75" i="3"/>
  <c r="N4" i="3"/>
  <c r="CK35" i="3"/>
  <c r="EI37" i="3"/>
  <c r="CR11" i="3"/>
  <c r="AD5" i="3"/>
  <c r="AE59" i="3"/>
  <c r="B63" i="3"/>
  <c r="BJ55" i="3"/>
  <c r="K25" i="3"/>
  <c r="AZ49" i="3"/>
  <c r="D50" i="3"/>
  <c r="EJ82" i="3"/>
  <c r="X64" i="3"/>
  <c r="S61" i="3"/>
  <c r="FD74" i="3"/>
  <c r="N59" i="3"/>
  <c r="EV45" i="3"/>
  <c r="BF23" i="3"/>
  <c r="EA54" i="3"/>
  <c r="CF15" i="3"/>
  <c r="EW61" i="3"/>
  <c r="BS20" i="3"/>
  <c r="EQ33" i="3"/>
  <c r="CB7" i="3"/>
  <c r="FA45" i="3"/>
  <c r="EU5" i="3"/>
  <c r="AM31" i="3"/>
  <c r="K9" i="3"/>
  <c r="BI10" i="3"/>
  <c r="CV72" i="3"/>
  <c r="H5" i="3"/>
  <c r="Y15" i="3"/>
  <c r="C87" i="3"/>
  <c r="AD6" i="3"/>
  <c r="AQ35" i="3"/>
  <c r="AU19" i="3"/>
  <c r="EI86" i="3"/>
  <c r="AQ87" i="3"/>
  <c r="EX33" i="3"/>
  <c r="BV40" i="3"/>
  <c r="DJ25" i="3"/>
  <c r="AK89" i="3"/>
  <c r="DV82" i="3"/>
  <c r="BM28" i="3"/>
  <c r="EN82" i="3"/>
  <c r="CL28" i="3"/>
  <c r="EW72" i="3"/>
  <c r="BW22" i="3"/>
  <c r="EW78" i="3"/>
  <c r="CU14" i="3"/>
  <c r="B10" i="3"/>
  <c r="DC70" i="3"/>
  <c r="EF19" i="3"/>
  <c r="BG42" i="3"/>
  <c r="DE7" i="3"/>
  <c r="U60" i="3"/>
  <c r="DZ90" i="3"/>
  <c r="EQ28" i="3"/>
  <c r="EH6" i="3"/>
  <c r="FA81" i="3"/>
  <c r="EZ70" i="3"/>
  <c r="EV46" i="3"/>
  <c r="AM5" i="3"/>
  <c r="BX10" i="3"/>
  <c r="AQ24" i="3"/>
  <c r="R8" i="3"/>
  <c r="BD59" i="3"/>
  <c r="B49" i="3"/>
  <c r="BL82" i="3"/>
  <c r="EK14" i="3"/>
  <c r="Y84" i="3"/>
  <c r="EX4" i="3"/>
  <c r="BX3" i="3"/>
  <c r="CG56" i="3"/>
  <c r="Y81" i="3"/>
  <c r="AF26" i="3"/>
  <c r="CA19" i="3"/>
  <c r="BR46" i="3"/>
  <c r="EC8" i="3"/>
  <c r="EJ66" i="3"/>
  <c r="BB27" i="3"/>
  <c r="BT41" i="3"/>
  <c r="EZ71" i="3"/>
  <c r="BA18" i="3"/>
  <c r="CF48" i="3"/>
  <c r="S56" i="3"/>
  <c r="DU7" i="3"/>
  <c r="EG44" i="3"/>
  <c r="Y52" i="3"/>
  <c r="CZ84" i="3"/>
  <c r="P63" i="3"/>
  <c r="EY41" i="3"/>
  <c r="ET47" i="3"/>
  <c r="CM48" i="3"/>
  <c r="AB31" i="3"/>
  <c r="C5" i="3"/>
  <c r="FC63" i="3"/>
  <c r="EZ29" i="3"/>
  <c r="DS83" i="3"/>
  <c r="CH7" i="3"/>
  <c r="CB80" i="3"/>
  <c r="ET78" i="3"/>
  <c r="DU89" i="3"/>
  <c r="AI24" i="3"/>
  <c r="CF10" i="3"/>
  <c r="EZ59" i="3"/>
  <c r="CG17" i="3"/>
  <c r="EU88" i="3"/>
  <c r="CG15" i="3"/>
  <c r="ES45" i="3"/>
  <c r="EI36" i="3"/>
  <c r="S22" i="3"/>
  <c r="CY50" i="3"/>
  <c r="EB8" i="3"/>
  <c r="BH18" i="3"/>
  <c r="AJ31" i="3"/>
  <c r="AC29" i="3"/>
  <c r="W34" i="3"/>
  <c r="AW46" i="3"/>
  <c r="BT89" i="3"/>
  <c r="P9" i="3"/>
  <c r="CD79" i="3"/>
  <c r="AV21" i="3"/>
  <c r="EU62" i="3"/>
  <c r="AB81" i="3"/>
  <c r="M86" i="3"/>
  <c r="W58" i="3"/>
  <c r="BF69" i="3"/>
  <c r="EA14" i="3"/>
  <c r="BF21" i="3"/>
  <c r="AI18" i="3"/>
  <c r="EN45" i="3"/>
  <c r="DL7" i="3"/>
  <c r="AT21" i="3"/>
  <c r="FC42" i="3"/>
  <c r="CH28" i="3"/>
  <c r="W49" i="3"/>
  <c r="BS16" i="3"/>
  <c r="EO55" i="3"/>
  <c r="EM73" i="3"/>
  <c r="CP63" i="3"/>
  <c r="BE67" i="3"/>
  <c r="T62" i="3"/>
  <c r="EF88" i="3"/>
  <c r="EW89" i="3"/>
  <c r="D8" i="3"/>
  <c r="BB37" i="3"/>
  <c r="CR3" i="3"/>
  <c r="BU2" i="3"/>
  <c r="BA8" i="3"/>
  <c r="BL37" i="3"/>
  <c r="EE29" i="3"/>
  <c r="EB11" i="3"/>
  <c r="CE20" i="3"/>
  <c r="CJ23" i="3"/>
  <c r="EF86" i="3"/>
  <c r="EB60" i="3"/>
  <c r="BD22" i="3"/>
  <c r="BT72" i="3"/>
  <c r="DD63" i="3"/>
  <c r="DW25" i="3"/>
  <c r="FA5" i="3"/>
  <c r="AP45" i="3"/>
  <c r="CA12" i="3"/>
  <c r="N72" i="3"/>
  <c r="AQ33" i="3"/>
  <c r="DB26" i="3"/>
  <c r="CT84" i="3"/>
  <c r="EX26" i="3"/>
  <c r="CN17" i="3"/>
  <c r="DO34" i="3"/>
  <c r="EU82" i="3"/>
  <c r="EA13" i="3"/>
  <c r="CQ24" i="3"/>
  <c r="G15" i="3"/>
  <c r="EM79" i="3"/>
  <c r="X71" i="3"/>
  <c r="BP21" i="3"/>
  <c r="F58" i="3"/>
  <c r="K34" i="3"/>
  <c r="Q90" i="3"/>
  <c r="BO9" i="3"/>
  <c r="BO45" i="3"/>
  <c r="S77" i="3"/>
  <c r="AK22" i="3"/>
  <c r="BY21" i="3"/>
  <c r="BI8" i="3"/>
  <c r="ET83" i="3"/>
  <c r="DC32" i="3"/>
  <c r="CW49" i="3"/>
  <c r="O59" i="3"/>
  <c r="DU90" i="3"/>
  <c r="EX67" i="3"/>
  <c r="DL16" i="3"/>
  <c r="CZ56" i="3"/>
  <c r="EM83" i="3"/>
  <c r="BW77" i="3"/>
  <c r="CU66" i="3"/>
  <c r="DE20" i="3"/>
  <c r="N57" i="3"/>
  <c r="BN28" i="3"/>
  <c r="EP15" i="3"/>
  <c r="FC7" i="3"/>
  <c r="H53" i="3"/>
  <c r="K11" i="3"/>
  <c r="CZ28" i="3"/>
  <c r="DZ70" i="3"/>
  <c r="BG71" i="3"/>
  <c r="F47" i="3"/>
  <c r="Y73" i="3"/>
  <c r="DC45" i="3"/>
  <c r="CV24" i="3"/>
  <c r="CZ16" i="3"/>
  <c r="ET19" i="3"/>
  <c r="CJ82" i="3"/>
  <c r="W15" i="3"/>
  <c r="CD12" i="3"/>
  <c r="CA7" i="3"/>
  <c r="EN26" i="3"/>
  <c r="AW37" i="3"/>
  <c r="ER29" i="3"/>
  <c r="DV31" i="3"/>
  <c r="I21" i="3"/>
  <c r="L53" i="3"/>
  <c r="FD54" i="3"/>
  <c r="BM23" i="3"/>
  <c r="Z2" i="3"/>
  <c r="DF52" i="3"/>
  <c r="BV6" i="3"/>
  <c r="AD8" i="3"/>
  <c r="Q21" i="3"/>
  <c r="Z36" i="3"/>
  <c r="AJ74" i="3"/>
  <c r="BC11" i="3"/>
  <c r="EX76" i="3"/>
  <c r="C40" i="3"/>
  <c r="DJ5" i="3"/>
  <c r="ES72" i="3"/>
  <c r="DY44" i="3"/>
  <c r="CA26" i="3"/>
  <c r="BK29" i="3"/>
  <c r="CL40" i="3"/>
  <c r="W69" i="3"/>
  <c r="FD9" i="3"/>
  <c r="CQ62" i="3"/>
  <c r="EZ58" i="3"/>
  <c r="CC67" i="3"/>
  <c r="CV34" i="3"/>
  <c r="CA21" i="3"/>
  <c r="CS79" i="3"/>
  <c r="CS19" i="3"/>
  <c r="EZ61" i="3"/>
  <c r="BK84" i="3"/>
  <c r="D74" i="3"/>
  <c r="BK18" i="3"/>
  <c r="E42" i="3"/>
  <c r="BG10" i="3"/>
  <c r="U47" i="3"/>
  <c r="CP58" i="3"/>
  <c r="CE23" i="3"/>
  <c r="CO30" i="3"/>
  <c r="Y43" i="3"/>
  <c r="D63" i="3"/>
  <c r="BR81" i="3"/>
  <c r="CX10" i="3"/>
  <c r="EV29" i="3"/>
  <c r="CI29" i="3"/>
  <c r="EP74" i="3"/>
  <c r="EQ67" i="3"/>
  <c r="W21" i="3"/>
  <c r="AH23" i="3"/>
  <c r="DZ20" i="3"/>
  <c r="CT55" i="3"/>
  <c r="FE14" i="3"/>
  <c r="BM21" i="3"/>
  <c r="BG64" i="3"/>
  <c r="I69" i="3"/>
  <c r="FA44" i="3"/>
  <c r="FB88" i="3"/>
  <c r="DE62" i="3"/>
  <c r="EK48" i="3"/>
  <c r="BA28" i="3"/>
  <c r="AB34" i="3"/>
  <c r="CC56" i="3"/>
  <c r="Q76" i="3"/>
  <c r="EV55" i="3"/>
  <c r="BE89" i="3"/>
  <c r="CE48" i="3"/>
  <c r="AX17" i="3"/>
  <c r="B86" i="3"/>
  <c r="CS60" i="3"/>
  <c r="EE13" i="3"/>
  <c r="EO58" i="3"/>
  <c r="AJ39" i="3"/>
  <c r="W55" i="3"/>
  <c r="BS42" i="3"/>
  <c r="EZ30" i="3"/>
  <c r="CT48" i="3"/>
  <c r="AI50" i="3"/>
  <c r="V14" i="3"/>
  <c r="Y3" i="3"/>
  <c r="DA85" i="3"/>
  <c r="DI55" i="3"/>
  <c r="L3" i="3"/>
  <c r="CR16" i="3"/>
  <c r="DW55" i="3"/>
  <c r="R79" i="3"/>
  <c r="BK7" i="3"/>
  <c r="R33" i="3"/>
  <c r="DU23" i="3"/>
  <c r="CP2" i="3"/>
  <c r="FE83" i="3"/>
  <c r="C17" i="3"/>
  <c r="J64" i="3"/>
  <c r="DG22" i="3"/>
  <c r="AH78" i="3"/>
  <c r="EF58" i="3"/>
  <c r="W20" i="3"/>
  <c r="L6" i="3"/>
  <c r="CL34" i="3"/>
  <c r="CV63" i="3"/>
  <c r="CX69" i="3"/>
  <c r="Y77" i="3"/>
  <c r="ES75" i="3"/>
  <c r="Z52" i="3"/>
  <c r="BS5" i="3"/>
  <c r="AX54" i="3"/>
  <c r="R54" i="3"/>
  <c r="EN19" i="3"/>
  <c r="DL34" i="3"/>
  <c r="I7" i="3"/>
  <c r="CJ27" i="3"/>
  <c r="EU15" i="3"/>
  <c r="EO71" i="3"/>
  <c r="CV40" i="3"/>
  <c r="CD64" i="3"/>
  <c r="BR28" i="3"/>
  <c r="ET3" i="3"/>
  <c r="Z89" i="3"/>
  <c r="CG59" i="3"/>
  <c r="DI39" i="3"/>
  <c r="BF10" i="3"/>
  <c r="CH4" i="3"/>
  <c r="CS16" i="3"/>
  <c r="BS31" i="3"/>
  <c r="BC47" i="3"/>
  <c r="EK76" i="3"/>
  <c r="BC75" i="3"/>
  <c r="CG43" i="3"/>
  <c r="B19" i="3"/>
  <c r="DI8" i="3"/>
  <c r="DH68" i="3"/>
  <c r="BJ64" i="3"/>
  <c r="EP68" i="3"/>
  <c r="DG39" i="3"/>
  <c r="CW24" i="3"/>
  <c r="BI80" i="3"/>
  <c r="O78" i="3"/>
  <c r="EL13" i="3"/>
  <c r="EW90" i="3"/>
  <c r="J8" i="3"/>
  <c r="D31" i="3"/>
  <c r="CZ34" i="3"/>
  <c r="O8" i="3"/>
  <c r="EI14" i="3"/>
  <c r="BE4" i="3"/>
  <c r="BC69" i="3"/>
  <c r="CO79" i="3"/>
  <c r="DY4" i="3"/>
  <c r="Z7" i="3"/>
  <c r="ER90" i="3"/>
  <c r="V19" i="3"/>
  <c r="CW65" i="3"/>
  <c r="EO60" i="3"/>
  <c r="AY20" i="3"/>
  <c r="BH61" i="3"/>
  <c r="CR2" i="3"/>
  <c r="BV20" i="3"/>
  <c r="U23" i="3"/>
  <c r="AF80" i="3"/>
  <c r="DB76" i="3"/>
  <c r="Y53" i="3"/>
  <c r="DP19" i="3"/>
  <c r="D87" i="3"/>
  <c r="AX75" i="3"/>
  <c r="EL37" i="3"/>
  <c r="EB25" i="3"/>
  <c r="CJ21" i="3"/>
  <c r="EO15" i="3"/>
  <c r="B47" i="3"/>
  <c r="BI22" i="3"/>
  <c r="CX18" i="3"/>
  <c r="AH18" i="3"/>
  <c r="EE61" i="3"/>
  <c r="DI14" i="3"/>
  <c r="EX28" i="3"/>
  <c r="AT2" i="3"/>
  <c r="AK10" i="3"/>
  <c r="N88" i="3"/>
  <c r="E7" i="3"/>
  <c r="EZ66" i="3"/>
  <c r="C31" i="3"/>
  <c r="AE25" i="3"/>
  <c r="CG60" i="3"/>
  <c r="CV51" i="3"/>
  <c r="DG82" i="3"/>
  <c r="ET21" i="3"/>
  <c r="EQ62" i="3"/>
  <c r="EJ45" i="3"/>
  <c r="J38" i="3"/>
  <c r="CJ64" i="3"/>
  <c r="CG16" i="3"/>
  <c r="CV14" i="3"/>
  <c r="BW18" i="3"/>
  <c r="DX8" i="3"/>
  <c r="BM20" i="3"/>
  <c r="BL8" i="3"/>
  <c r="S41" i="3"/>
  <c r="FC87" i="3"/>
  <c r="BV46" i="3"/>
  <c r="AE63" i="3"/>
  <c r="CS49" i="3"/>
  <c r="EW17" i="3"/>
  <c r="M26" i="3"/>
  <c r="CX27" i="3"/>
  <c r="BK58" i="3"/>
  <c r="AU2" i="3"/>
  <c r="CL2" i="3"/>
  <c r="DA6" i="3"/>
  <c r="DJ2" i="3"/>
  <c r="CQ3" i="3"/>
  <c r="EG8" i="3"/>
  <c r="FE30" i="3"/>
  <c r="EG21" i="3"/>
  <c r="CB8" i="3"/>
  <c r="C27" i="3"/>
  <c r="EY79" i="3"/>
  <c r="EQ47" i="3"/>
  <c r="EW15" i="3"/>
  <c r="EX6" i="3"/>
  <c r="BR57" i="3"/>
  <c r="BW5" i="3"/>
  <c r="CG2" i="3"/>
  <c r="DJ16" i="3"/>
  <c r="CN57" i="3"/>
  <c r="CF62" i="3"/>
  <c r="X24" i="3"/>
  <c r="EM8" i="3"/>
  <c r="CK8" i="3"/>
  <c r="BX72" i="3"/>
  <c r="BS14" i="3"/>
  <c r="BD52" i="3"/>
  <c r="S53" i="3"/>
  <c r="ES30" i="3"/>
  <c r="EN25" i="3"/>
  <c r="BC54" i="3"/>
  <c r="CD13" i="3"/>
  <c r="E14" i="3"/>
  <c r="AA8" i="3"/>
  <c r="CV20" i="3"/>
  <c r="DW8" i="3"/>
  <c r="AD30" i="3"/>
  <c r="EO61" i="3"/>
  <c r="DV23" i="3"/>
  <c r="BP50" i="3"/>
  <c r="DO57" i="3"/>
  <c r="FC49" i="3"/>
  <c r="K40" i="3"/>
  <c r="CV3" i="3"/>
  <c r="FA3" i="3"/>
  <c r="EA6" i="3"/>
  <c r="W78" i="3"/>
  <c r="R57" i="3"/>
  <c r="BT64" i="3"/>
  <c r="BS25" i="3"/>
  <c r="AE38" i="3"/>
  <c r="BQ10" i="3"/>
  <c r="EE3" i="3"/>
  <c r="AG15" i="3"/>
  <c r="EJ39" i="3"/>
  <c r="BK25" i="3"/>
  <c r="O55" i="3"/>
  <c r="W6" i="3"/>
  <c r="CQ20" i="3"/>
  <c r="FD10" i="3"/>
  <c r="FE22" i="3"/>
  <c r="BC45" i="3"/>
  <c r="BR27" i="3"/>
  <c r="ES47" i="3"/>
  <c r="G45" i="3"/>
  <c r="BX60" i="3"/>
  <c r="AT29" i="3"/>
  <c r="BO23" i="3"/>
  <c r="DR80" i="3"/>
  <c r="BW45" i="3"/>
  <c r="EN10" i="3"/>
  <c r="EP46" i="3"/>
  <c r="EC32" i="3"/>
  <c r="DL5" i="3"/>
  <c r="DG48" i="3"/>
  <c r="X23" i="3"/>
  <c r="Y7" i="3"/>
  <c r="DF59" i="3"/>
  <c r="FB89" i="3"/>
  <c r="D44" i="3"/>
  <c r="FD23" i="3"/>
  <c r="AP21" i="3"/>
  <c r="CH82" i="3"/>
  <c r="CV10" i="3"/>
  <c r="EZ51" i="3"/>
  <c r="BX17" i="3"/>
  <c r="EW77" i="3"/>
  <c r="ET18" i="3"/>
  <c r="W43" i="3"/>
  <c r="M11" i="3"/>
  <c r="CS24" i="3"/>
  <c r="BA41" i="3"/>
  <c r="CS45" i="3"/>
  <c r="ED63" i="3"/>
  <c r="Z29" i="3"/>
  <c r="DK29" i="3"/>
  <c r="ET2" i="3"/>
  <c r="BL19" i="3"/>
  <c r="EO33" i="3"/>
  <c r="AN40" i="3"/>
  <c r="DG5" i="3"/>
  <c r="EW47" i="3"/>
  <c r="EH66" i="3"/>
  <c r="FB46" i="3"/>
  <c r="CV11" i="3"/>
  <c r="ET69" i="3"/>
  <c r="EX54" i="3"/>
  <c r="X56" i="3"/>
  <c r="EA31" i="3"/>
  <c r="CK57" i="3"/>
  <c r="BP11" i="3"/>
  <c r="FD38" i="3"/>
  <c r="ER16" i="3"/>
  <c r="FD41" i="3"/>
  <c r="DS54" i="3"/>
  <c r="EL47" i="3"/>
  <c r="AD82" i="3"/>
  <c r="AU35" i="3"/>
  <c r="BX27" i="3"/>
  <c r="DD8" i="3"/>
  <c r="DZ25" i="3"/>
  <c r="EV62" i="3"/>
  <c r="DA66" i="3"/>
  <c r="AN7" i="3"/>
  <c r="DJ51" i="3"/>
  <c r="ET35" i="3"/>
  <c r="BG46" i="3"/>
  <c r="ET14" i="3"/>
  <c r="BR14" i="3"/>
  <c r="FD12" i="3"/>
  <c r="BD2" i="3"/>
  <c r="N18" i="3"/>
  <c r="BL15" i="3"/>
  <c r="CI22" i="3"/>
  <c r="EH33" i="3"/>
  <c r="B68" i="3"/>
  <c r="AX51" i="3"/>
  <c r="U11" i="3"/>
  <c r="S40" i="3"/>
  <c r="EC36" i="3"/>
  <c r="DU81" i="3"/>
  <c r="BG21" i="3"/>
  <c r="EE37" i="3"/>
  <c r="EC62" i="3"/>
  <c r="BL26" i="3"/>
  <c r="DB5" i="3"/>
  <c r="EG40" i="3"/>
  <c r="EO19" i="3"/>
  <c r="CO10" i="3"/>
  <c r="I11" i="3"/>
  <c r="AS39" i="3"/>
  <c r="EJ63" i="3"/>
  <c r="AI15" i="3"/>
  <c r="DU4" i="3"/>
  <c r="EX84" i="3"/>
  <c r="ER79" i="3"/>
  <c r="EB79" i="3"/>
  <c r="CB74" i="3"/>
  <c r="EJ25" i="3"/>
  <c r="DL87" i="3"/>
  <c r="X12" i="3"/>
  <c r="DU8" i="3"/>
  <c r="FE84" i="3"/>
  <c r="AX10" i="3"/>
  <c r="G18" i="3"/>
  <c r="J56" i="3"/>
  <c r="H38" i="3"/>
  <c r="CG9" i="3"/>
  <c r="AT12" i="3"/>
  <c r="M3" i="3"/>
  <c r="M8" i="3"/>
  <c r="EV30" i="3"/>
  <c r="CK89" i="3"/>
  <c r="DW34" i="3"/>
  <c r="DQ29" i="3"/>
  <c r="DC51" i="3"/>
  <c r="BE21" i="3"/>
  <c r="Y16" i="3"/>
  <c r="BN14" i="3"/>
  <c r="G35" i="3"/>
  <c r="CP54" i="3"/>
  <c r="I3" i="3"/>
  <c r="AD32" i="3"/>
  <c r="ES48" i="3"/>
  <c r="DC46" i="3"/>
  <c r="BN8" i="3"/>
  <c r="FE51" i="3"/>
  <c r="DN88" i="3"/>
  <c r="DR22" i="3"/>
  <c r="BU43" i="3"/>
  <c r="BS4" i="3"/>
  <c r="CQ42" i="3"/>
  <c r="BW6" i="3"/>
  <c r="DD90" i="3"/>
  <c r="J74" i="3"/>
  <c r="AW12" i="3"/>
  <c r="EN12" i="3"/>
  <c r="G58" i="3"/>
  <c r="ES3" i="3"/>
  <c r="CC20" i="3"/>
  <c r="AS80" i="3"/>
  <c r="CF12" i="3"/>
  <c r="EL55" i="3"/>
  <c r="P62" i="3"/>
  <c r="Q61" i="3"/>
  <c r="AZ52" i="3"/>
  <c r="AC17" i="3"/>
  <c r="DD7" i="3"/>
  <c r="AM23" i="3"/>
  <c r="EH19" i="3"/>
  <c r="BF65" i="3"/>
  <c r="ES54" i="3"/>
  <c r="G68" i="3"/>
  <c r="CA52" i="3"/>
  <c r="DA63" i="3"/>
  <c r="EL15" i="3"/>
  <c r="EB20" i="3"/>
  <c r="EK16" i="3"/>
  <c r="CE12" i="3"/>
  <c r="AX53" i="3"/>
  <c r="EI24" i="3"/>
  <c r="DF39" i="3"/>
  <c r="DJ24" i="3"/>
  <c r="DF64" i="3"/>
  <c r="DI5" i="3"/>
  <c r="AK81" i="3"/>
  <c r="BG7" i="3"/>
  <c r="ER31" i="3"/>
  <c r="CM24" i="3"/>
  <c r="EX13" i="3"/>
  <c r="EQ50" i="3"/>
  <c r="EJ42" i="3"/>
  <c r="BF52" i="3"/>
  <c r="FD59" i="3"/>
  <c r="EC85" i="3"/>
  <c r="ES44" i="3"/>
  <c r="AC20" i="3"/>
  <c r="ED55" i="3"/>
  <c r="BL25" i="3"/>
  <c r="AY48" i="3"/>
  <c r="FD34" i="3"/>
  <c r="FA84" i="3"/>
  <c r="CB5" i="3"/>
  <c r="DC18" i="3"/>
  <c r="AC16" i="3"/>
  <c r="BF55" i="3"/>
  <c r="Y39" i="3"/>
  <c r="EP66" i="3"/>
  <c r="ET88" i="3"/>
  <c r="X67" i="3"/>
  <c r="FE34" i="3"/>
  <c r="DL9" i="3"/>
  <c r="FC78" i="3"/>
  <c r="FC35" i="3"/>
  <c r="DU47" i="3"/>
  <c r="DU12" i="3"/>
  <c r="EV9" i="3"/>
  <c r="CH49" i="3"/>
  <c r="DL20" i="3"/>
  <c r="T63" i="3"/>
  <c r="CX17" i="3"/>
  <c r="CP25" i="3"/>
  <c r="DN9" i="3"/>
  <c r="Z55" i="3"/>
  <c r="E41" i="3"/>
  <c r="DT23" i="3"/>
  <c r="CS11" i="3"/>
  <c r="CS15" i="3"/>
  <c r="X63" i="3"/>
  <c r="EZ39" i="3"/>
  <c r="BK15" i="3"/>
  <c r="Z31" i="3"/>
  <c r="FA86" i="3"/>
  <c r="CK69" i="3"/>
  <c r="CI63" i="3"/>
  <c r="BW3" i="3"/>
  <c r="M20" i="3"/>
  <c r="CS74" i="3"/>
  <c r="AL74" i="3"/>
  <c r="CN6" i="3"/>
  <c r="S75" i="3"/>
  <c r="BJ10" i="3"/>
  <c r="CK55" i="3"/>
  <c r="CW47" i="3"/>
  <c r="S55" i="3"/>
  <c r="BB33" i="3"/>
  <c r="G70" i="3"/>
  <c r="BJ48" i="3"/>
  <c r="BI15" i="3"/>
  <c r="BI19" i="3"/>
  <c r="AC10" i="3"/>
  <c r="CE51" i="3"/>
  <c r="L90" i="3"/>
  <c r="DI32" i="3"/>
  <c r="BW10" i="3"/>
  <c r="DH75" i="3"/>
  <c r="AA5" i="3"/>
  <c r="AY56" i="3"/>
  <c r="BO20" i="3"/>
  <c r="CQ13" i="3"/>
  <c r="ED10" i="3"/>
  <c r="ED8" i="3"/>
  <c r="BH26" i="3"/>
  <c r="EP18" i="3"/>
  <c r="EN62" i="3"/>
  <c r="CH24" i="3"/>
  <c r="CC61" i="3"/>
  <c r="CV55" i="3"/>
  <c r="DV65" i="3"/>
  <c r="FD40" i="3"/>
  <c r="FA78" i="3"/>
  <c r="T18" i="3"/>
  <c r="D48" i="3"/>
  <c r="U42" i="3"/>
  <c r="AE88" i="3"/>
  <c r="AN77" i="3"/>
  <c r="AG28" i="3"/>
  <c r="EP25" i="3"/>
  <c r="BW25" i="3"/>
  <c r="EF3" i="3"/>
  <c r="DJ52" i="3"/>
  <c r="BU19" i="3"/>
  <c r="CE44" i="3"/>
  <c r="FE6" i="3"/>
  <c r="CG50" i="3"/>
  <c r="O56" i="3"/>
  <c r="CZ64" i="3"/>
  <c r="V66" i="3"/>
  <c r="R64" i="3"/>
  <c r="BA20" i="3"/>
  <c r="EU75" i="3"/>
  <c r="DQ65" i="3"/>
  <c r="EF70" i="3"/>
  <c r="N40" i="3"/>
  <c r="AW20" i="3"/>
  <c r="FC72" i="3"/>
  <c r="AQ40" i="3"/>
  <c r="CR47" i="3"/>
  <c r="EP7" i="3"/>
  <c r="H41" i="3"/>
  <c r="CL86" i="3"/>
  <c r="DO16" i="3"/>
  <c r="BG76" i="3"/>
  <c r="BF64" i="3"/>
  <c r="BG13" i="3"/>
  <c r="CJ14" i="3"/>
  <c r="EK44" i="3"/>
  <c r="EM71" i="3"/>
  <c r="K66" i="3"/>
  <c r="EA12" i="3"/>
  <c r="DW14" i="3"/>
  <c r="AE35" i="3"/>
  <c r="CU65" i="3"/>
  <c r="CU60" i="3"/>
  <c r="AE65" i="3"/>
  <c r="BR6" i="3"/>
  <c r="AB42" i="3"/>
  <c r="EY71" i="3"/>
  <c r="O32" i="3"/>
  <c r="E24" i="3"/>
  <c r="EW68" i="3"/>
  <c r="BW83" i="3"/>
  <c r="BV48" i="3"/>
  <c r="EO42" i="3"/>
  <c r="DD55" i="3"/>
  <c r="EJ12" i="3"/>
  <c r="DX55" i="3"/>
  <c r="EG89" i="3"/>
  <c r="AB55" i="3"/>
  <c r="Q58" i="3"/>
  <c r="CJ12" i="3"/>
  <c r="ES88" i="3"/>
  <c r="BZ43" i="3"/>
  <c r="I52" i="3"/>
  <c r="EL74" i="3"/>
  <c r="DO76" i="3"/>
  <c r="BW65" i="3"/>
  <c r="D6" i="3"/>
  <c r="EP10" i="3"/>
  <c r="AQ20" i="3"/>
  <c r="BY79" i="3"/>
  <c r="CJ51" i="3"/>
  <c r="X65" i="3"/>
  <c r="DL84" i="3"/>
  <c r="BU21" i="3"/>
  <c r="FB68" i="3"/>
  <c r="DP15" i="3"/>
  <c r="P34" i="3"/>
  <c r="AE9" i="3"/>
  <c r="CT19" i="3"/>
  <c r="Z39" i="3"/>
  <c r="E13" i="3"/>
  <c r="CI84" i="3"/>
  <c r="X27" i="3"/>
  <c r="FC38" i="3"/>
  <c r="EJ58" i="3"/>
  <c r="AZ11" i="3"/>
  <c r="EL81" i="3"/>
  <c r="AJ15" i="3"/>
  <c r="CZ67" i="3"/>
  <c r="CK12" i="3"/>
  <c r="L84" i="3"/>
  <c r="L21" i="3"/>
  <c r="ED59" i="3"/>
  <c r="E20" i="3"/>
  <c r="CH17" i="3"/>
  <c r="FA19" i="3"/>
  <c r="BJ34" i="3"/>
  <c r="B39" i="3"/>
  <c r="G50" i="3"/>
  <c r="BI9" i="3"/>
  <c r="CK3" i="3"/>
  <c r="BB58" i="3"/>
  <c r="EZ81" i="3"/>
  <c r="DL19" i="3"/>
  <c r="D47" i="3"/>
  <c r="S34" i="3"/>
  <c r="EK54" i="3"/>
  <c r="AH20" i="3"/>
  <c r="EW62" i="3"/>
  <c r="AP49" i="3"/>
  <c r="W52" i="3"/>
  <c r="DQ15" i="3"/>
  <c r="CO23" i="3"/>
  <c r="AA16" i="3"/>
  <c r="BS65" i="3"/>
  <c r="BY62" i="3"/>
  <c r="FA69" i="3"/>
  <c r="AC11" i="3"/>
  <c r="AS20" i="3"/>
  <c r="EB59" i="3"/>
  <c r="FB29" i="3"/>
  <c r="EV65" i="3"/>
  <c r="CG26" i="3"/>
  <c r="G6" i="3"/>
  <c r="V10" i="3"/>
  <c r="CW2" i="3"/>
  <c r="BH6" i="3"/>
  <c r="EN16" i="3"/>
  <c r="X66" i="3"/>
  <c r="DH55" i="3"/>
  <c r="FC24" i="3"/>
  <c r="O16" i="3"/>
  <c r="E2" i="3"/>
  <c r="AR18" i="3"/>
  <c r="BG62" i="3"/>
  <c r="D34" i="3"/>
  <c r="DT14" i="3"/>
  <c r="BF30" i="3"/>
  <c r="M44" i="3"/>
  <c r="CL13" i="3"/>
  <c r="D43" i="3"/>
  <c r="DJ79" i="3"/>
  <c r="AE73" i="3"/>
  <c r="DX30" i="3"/>
  <c r="DD51" i="3"/>
  <c r="EX68" i="3"/>
  <c r="K70" i="3"/>
  <c r="BQ32" i="3"/>
  <c r="DI18" i="3"/>
  <c r="CL54" i="3"/>
  <c r="DA2" i="3"/>
  <c r="AQ4" i="3"/>
  <c r="ES2" i="3"/>
  <c r="EP9" i="3"/>
  <c r="ET15" i="3"/>
  <c r="EQ6" i="3"/>
  <c r="BM63" i="3"/>
  <c r="AO5" i="3"/>
  <c r="FD33" i="3"/>
  <c r="BI66" i="3"/>
  <c r="EP11" i="3"/>
  <c r="EY53" i="3"/>
  <c r="AZ8" i="3"/>
  <c r="EG90" i="3"/>
  <c r="EU17" i="3"/>
  <c r="FB24" i="3"/>
  <c r="BG9" i="3"/>
  <c r="S38" i="3"/>
  <c r="Z26" i="3"/>
  <c r="AV20" i="3"/>
  <c r="ER10" i="3"/>
  <c r="BG15" i="3"/>
  <c r="EY30" i="3"/>
  <c r="AG3" i="3"/>
  <c r="CM9" i="3"/>
  <c r="AF19" i="3"/>
  <c r="CI39" i="3"/>
  <c r="AO13" i="3"/>
  <c r="EX20" i="3"/>
  <c r="R17" i="3"/>
  <c r="BF48" i="3"/>
  <c r="BQ29" i="3"/>
  <c r="AF47" i="3"/>
  <c r="BL77" i="3"/>
  <c r="D49" i="3"/>
  <c r="F60" i="3"/>
  <c r="AT52" i="3"/>
  <c r="CV18" i="3"/>
  <c r="J88" i="3"/>
  <c r="BT17" i="3"/>
  <c r="EN46" i="3"/>
  <c r="BO51" i="3"/>
  <c r="AE64" i="3"/>
  <c r="DB53" i="3"/>
  <c r="DK10" i="3"/>
  <c r="W31" i="3"/>
  <c r="ER12" i="3"/>
  <c r="AC12" i="3"/>
  <c r="L86" i="3"/>
  <c r="EX32" i="3"/>
  <c r="EK30" i="3"/>
  <c r="FB5" i="3"/>
  <c r="DC3" i="3"/>
  <c r="G17" i="3"/>
  <c r="DO15" i="3"/>
  <c r="DO72" i="3"/>
  <c r="CN73" i="3"/>
  <c r="BI57" i="3"/>
  <c r="Y29" i="3"/>
  <c r="EX70" i="3"/>
  <c r="CJ34" i="3"/>
  <c r="N38" i="3"/>
  <c r="CK64" i="3"/>
  <c r="K8" i="3"/>
  <c r="EV79" i="3"/>
  <c r="BN13" i="3"/>
  <c r="BP43" i="3"/>
  <c r="E64" i="3"/>
  <c r="AK17" i="3"/>
  <c r="DT90" i="3"/>
  <c r="BM15" i="3"/>
  <c r="S58" i="3"/>
  <c r="AW14" i="3"/>
  <c r="CI10" i="3"/>
  <c r="EW50" i="3"/>
  <c r="B74" i="3"/>
  <c r="R56" i="3"/>
  <c r="H21" i="3"/>
  <c r="CH25" i="3"/>
  <c r="AI12" i="3"/>
  <c r="DB71" i="3"/>
  <c r="EQ11" i="3"/>
  <c r="BW52" i="3"/>
  <c r="CQ28" i="3"/>
  <c r="FE43" i="3"/>
  <c r="EX40" i="3"/>
  <c r="CY10" i="3"/>
  <c r="ER15" i="3"/>
  <c r="FD51" i="3"/>
  <c r="CP10" i="3"/>
  <c r="H3" i="3"/>
  <c r="EG37" i="3"/>
  <c r="AA37" i="3"/>
  <c r="ES15" i="3"/>
  <c r="BO43" i="3"/>
  <c r="AY53" i="3"/>
  <c r="FA11" i="3"/>
  <c r="DW21" i="3"/>
  <c r="EJ5" i="3"/>
  <c r="EF9" i="3"/>
  <c r="ET62" i="3"/>
  <c r="BC6" i="3"/>
  <c r="EZ31" i="3"/>
  <c r="BF77" i="3"/>
  <c r="H13" i="3"/>
  <c r="FA25" i="3"/>
  <c r="G69" i="3"/>
  <c r="EZ9" i="3"/>
  <c r="R47" i="3"/>
  <c r="EI63" i="3"/>
  <c r="BG24" i="3"/>
  <c r="BI5" i="3"/>
  <c r="DZ58" i="3"/>
  <c r="BS22" i="3"/>
  <c r="DT18" i="3"/>
  <c r="CO7" i="3"/>
  <c r="DZ6" i="3"/>
  <c r="BH51" i="3"/>
  <c r="CS9" i="3"/>
  <c r="BR20" i="3"/>
  <c r="FD71" i="3"/>
  <c r="AU21" i="3"/>
  <c r="AB8" i="3"/>
  <c r="H89" i="3"/>
  <c r="CK21" i="3"/>
  <c r="BX75" i="3"/>
  <c r="BZ17" i="3"/>
  <c r="S16" i="3"/>
  <c r="EH58" i="3"/>
  <c r="EW60" i="3"/>
  <c r="CQ21" i="3"/>
  <c r="EB72" i="3"/>
  <c r="DU5" i="3"/>
  <c r="EM66" i="3"/>
  <c r="EN31" i="3"/>
  <c r="EN71" i="3"/>
  <c r="H14" i="3"/>
  <c r="EH80" i="3"/>
  <c r="CE11" i="3"/>
  <c r="CR55" i="3"/>
  <c r="BM70" i="3"/>
  <c r="CR57" i="3"/>
  <c r="U30" i="3"/>
  <c r="BA47" i="3"/>
  <c r="DK52" i="3"/>
  <c r="DO27" i="3"/>
  <c r="BX62" i="3"/>
  <c r="FC70" i="3"/>
  <c r="EA20" i="3"/>
  <c r="EY36" i="3"/>
  <c r="FE70" i="3"/>
  <c r="BB36" i="3"/>
  <c r="CH11" i="3"/>
  <c r="EW2" i="3"/>
  <c r="CR4" i="3"/>
  <c r="EO69" i="3"/>
  <c r="BZ15" i="3"/>
  <c r="EY29" i="3"/>
  <c r="BC28" i="3"/>
  <c r="CP69" i="3"/>
  <c r="CV19" i="3"/>
  <c r="ET67" i="3"/>
  <c r="BO10" i="3"/>
  <c r="CA54" i="3"/>
  <c r="G47" i="3"/>
  <c r="G33" i="3"/>
  <c r="Q14" i="3"/>
  <c r="FD31" i="3"/>
  <c r="EY77" i="3"/>
  <c r="CY69" i="3"/>
  <c r="CK13" i="3"/>
  <c r="B41" i="3"/>
  <c r="CB73" i="3"/>
  <c r="EQ36" i="3"/>
  <c r="DZ49" i="3"/>
  <c r="BK23" i="3"/>
  <c r="CT52" i="3"/>
  <c r="AJ49" i="3"/>
  <c r="CX51" i="3"/>
  <c r="DC5" i="3"/>
  <c r="P13" i="3"/>
  <c r="BZ12" i="3"/>
  <c r="BP12" i="3"/>
  <c r="EM36" i="3"/>
  <c r="EM81" i="3"/>
  <c r="BP28" i="3"/>
  <c r="Q20" i="3"/>
  <c r="AL25" i="3"/>
  <c r="AH89" i="3"/>
  <c r="AN13" i="3"/>
  <c r="DM73" i="3"/>
  <c r="EW54" i="3"/>
  <c r="J20" i="3"/>
  <c r="BD9" i="3"/>
  <c r="AK28" i="3"/>
  <c r="AE26" i="3"/>
  <c r="AH71" i="3"/>
  <c r="DE66" i="3"/>
  <c r="EZ42" i="3"/>
  <c r="V55" i="3"/>
  <c r="CW20" i="3"/>
  <c r="CQ84" i="3"/>
  <c r="R9" i="3"/>
  <c r="T16" i="3"/>
  <c r="DC35" i="3"/>
  <c r="FC39" i="3"/>
  <c r="AY44" i="3"/>
  <c r="EF35" i="3"/>
  <c r="AH83" i="3"/>
  <c r="BB41" i="3"/>
  <c r="V58" i="3"/>
  <c r="N54" i="3"/>
  <c r="DG90" i="3"/>
  <c r="AR68" i="3"/>
  <c r="DC61" i="3"/>
  <c r="FC75" i="3"/>
  <c r="DN6" i="3"/>
  <c r="DQ2" i="3"/>
  <c r="BP23" i="3"/>
  <c r="EM74" i="3"/>
  <c r="CS3" i="3"/>
  <c r="BI78" i="3"/>
  <c r="DM91" i="3"/>
  <c r="FB56" i="3"/>
  <c r="EU52" i="3"/>
  <c r="EB54" i="3"/>
  <c r="CH65" i="3"/>
  <c r="AA90" i="3"/>
  <c r="L13" i="3"/>
  <c r="DE74" i="3"/>
  <c r="EO36" i="3"/>
  <c r="DA45" i="3"/>
  <c r="CY13" i="3"/>
  <c r="T53" i="3"/>
  <c r="FA73" i="3"/>
  <c r="W33" i="3"/>
  <c r="CQ74" i="3"/>
  <c r="CY25" i="3"/>
  <c r="EP30" i="3"/>
  <c r="EN42" i="3"/>
  <c r="DP22" i="3"/>
  <c r="U59" i="3"/>
  <c r="N24" i="3"/>
  <c r="CZ61" i="3"/>
  <c r="CZ88" i="3"/>
  <c r="V5" i="3"/>
  <c r="CT50" i="3"/>
  <c r="AT45" i="3"/>
  <c r="F43" i="3"/>
  <c r="DA17" i="3"/>
  <c r="DI38" i="3"/>
  <c r="EZ74" i="3"/>
  <c r="DN5" i="3"/>
  <c r="AI87" i="3"/>
  <c r="DD36" i="3"/>
  <c r="FE85" i="3"/>
  <c r="CH16" i="3"/>
  <c r="AD44" i="3"/>
  <c r="EO77" i="3"/>
  <c r="DR84" i="3"/>
  <c r="CU24" i="3"/>
  <c r="DM30" i="3"/>
  <c r="DA57" i="3"/>
  <c r="BQ34" i="3"/>
  <c r="FD72" i="3"/>
  <c r="AT32" i="3"/>
  <c r="EM50" i="3"/>
  <c r="CN16" i="3"/>
  <c r="AP36" i="3"/>
  <c r="AC73" i="3"/>
  <c r="EO68" i="3"/>
  <c r="CM23" i="3"/>
  <c r="AS44" i="3"/>
  <c r="DG21" i="3"/>
  <c r="BN25" i="3"/>
  <c r="EC63" i="3"/>
  <c r="FB55" i="3"/>
  <c r="AR62" i="3"/>
  <c r="BS17" i="3"/>
  <c r="BU23" i="3"/>
  <c r="EY88" i="3"/>
  <c r="EB30" i="3"/>
  <c r="L62" i="3"/>
  <c r="DJ18" i="3"/>
  <c r="BS23" i="3"/>
  <c r="BC43" i="3"/>
  <c r="EO25" i="3"/>
  <c r="EL59" i="3"/>
  <c r="EF20" i="3"/>
  <c r="V87" i="3"/>
  <c r="EM21" i="3"/>
  <c r="CX64" i="3"/>
  <c r="AN25" i="3"/>
  <c r="BU8" i="3"/>
  <c r="EZ8" i="3"/>
  <c r="Z37" i="3"/>
  <c r="Q38" i="3"/>
  <c r="BK53" i="3"/>
  <c r="EJ86" i="3"/>
  <c r="X15" i="3"/>
  <c r="CI49" i="3"/>
  <c r="DQ16" i="3"/>
  <c r="CI52" i="3"/>
  <c r="X79" i="3"/>
  <c r="CC16" i="3"/>
  <c r="FC68" i="3"/>
  <c r="AG4" i="3"/>
  <c r="BK6" i="3"/>
  <c r="BA43" i="3"/>
  <c r="BK12" i="3"/>
  <c r="EZ13" i="3"/>
  <c r="BD34" i="3"/>
  <c r="CP90" i="3"/>
  <c r="ES63" i="3"/>
  <c r="U31" i="3"/>
  <c r="EZ15" i="3"/>
  <c r="P61" i="3"/>
  <c r="DS33" i="3"/>
  <c r="EH16" i="3"/>
  <c r="FA12" i="3"/>
  <c r="CB14" i="3"/>
  <c r="FD62" i="3"/>
  <c r="AB36" i="3"/>
  <c r="CQ15" i="3"/>
  <c r="R41" i="3"/>
  <c r="CI9" i="3"/>
  <c r="EW75" i="3"/>
  <c r="AJ22" i="3"/>
  <c r="Q87" i="3"/>
  <c r="S32" i="3"/>
  <c r="DZ53" i="3"/>
  <c r="EG2" i="3"/>
  <c r="CS66" i="3"/>
  <c r="EQ79" i="3"/>
  <c r="D62" i="3"/>
  <c r="ET81" i="3"/>
  <c r="AJ82" i="3"/>
  <c r="BD29" i="3"/>
  <c r="AC24" i="3"/>
  <c r="AS27" i="3"/>
  <c r="H88" i="3"/>
  <c r="BO16" i="3"/>
  <c r="EA68" i="3"/>
  <c r="FB44" i="3"/>
  <c r="H37" i="3"/>
  <c r="BA45" i="3"/>
  <c r="EH10" i="3"/>
  <c r="CH60" i="3"/>
  <c r="CJ49" i="3"/>
  <c r="DZ89" i="3"/>
  <c r="Z15" i="3"/>
  <c r="FA80" i="3"/>
  <c r="CS18" i="3"/>
  <c r="ED54" i="3"/>
  <c r="AV8" i="3"/>
  <c r="U25" i="3"/>
  <c r="BF19" i="3"/>
  <c r="BQ47" i="3"/>
  <c r="AA87" i="3"/>
  <c r="DI85" i="3"/>
  <c r="BY17" i="3"/>
  <c r="BB62" i="3"/>
  <c r="BB16" i="3"/>
  <c r="DB20" i="3"/>
  <c r="ED86" i="3"/>
  <c r="G90" i="3"/>
  <c r="BC18" i="3"/>
  <c r="DA44" i="3"/>
  <c r="CS20" i="3"/>
  <c r="L60" i="3"/>
  <c r="FA46" i="3"/>
  <c r="F40" i="3"/>
  <c r="AZ41" i="3"/>
  <c r="F2" i="3"/>
  <c r="AP53" i="3"/>
  <c r="AD18" i="3"/>
  <c r="ED88" i="3"/>
  <c r="Y55" i="3"/>
  <c r="AY28" i="3"/>
  <c r="AR29" i="3"/>
  <c r="AX29" i="3"/>
  <c r="E25" i="3"/>
  <c r="AY10" i="3"/>
  <c r="EL76" i="3"/>
  <c r="EJ32" i="3"/>
  <c r="Z63" i="3"/>
  <c r="CY4" i="3"/>
  <c r="CH43" i="3"/>
  <c r="DS20" i="3"/>
  <c r="EP86" i="3"/>
  <c r="EZ47" i="3"/>
  <c r="EW71" i="3"/>
  <c r="H19" i="3"/>
  <c r="EX74" i="3"/>
  <c r="CY23" i="3"/>
  <c r="BK19" i="3"/>
  <c r="EL6" i="3"/>
  <c r="EA90" i="3"/>
  <c r="AH9" i="3"/>
  <c r="CI13" i="3"/>
  <c r="FD68" i="3"/>
  <c r="Z84" i="3"/>
  <c r="EQ58" i="3"/>
  <c r="DV20" i="3"/>
  <c r="O81" i="3"/>
  <c r="CX16" i="3"/>
  <c r="AN17" i="3"/>
  <c r="ES67" i="3"/>
  <c r="FB48" i="3"/>
  <c r="BE14" i="3"/>
  <c r="AF89" i="3"/>
  <c r="FE35" i="3"/>
  <c r="BR3" i="3"/>
  <c r="G32" i="3"/>
  <c r="BU17" i="3"/>
  <c r="DB17" i="3"/>
  <c r="EV4" i="3"/>
  <c r="EH63" i="3"/>
  <c r="BQ16" i="3"/>
  <c r="AX52" i="3"/>
  <c r="DO74" i="3"/>
  <c r="AL60" i="3"/>
  <c r="CT20" i="3"/>
  <c r="CA11" i="3"/>
  <c r="BA26" i="3"/>
  <c r="CV65" i="3"/>
  <c r="EI87" i="3"/>
  <c r="H16" i="3"/>
  <c r="DW32" i="3"/>
  <c r="DD37" i="3"/>
  <c r="CV50" i="3"/>
  <c r="BW14" i="3"/>
  <c r="BO28" i="3"/>
  <c r="EY59" i="3"/>
  <c r="X40" i="3"/>
  <c r="O36" i="3"/>
  <c r="X62" i="3"/>
  <c r="B25" i="3"/>
  <c r="FB72" i="3"/>
  <c r="AG24" i="3"/>
  <c r="EL56" i="3"/>
  <c r="H65" i="3"/>
  <c r="EU60" i="3"/>
  <c r="BD23" i="3"/>
  <c r="CS57" i="3"/>
  <c r="DM44" i="3"/>
  <c r="DZ26" i="3"/>
  <c r="EA11" i="3"/>
  <c r="CQ22" i="3"/>
  <c r="CN13" i="3"/>
  <c r="N65" i="3"/>
  <c r="K7" i="3"/>
  <c r="BE31" i="3"/>
  <c r="CK52" i="3"/>
  <c r="AB22" i="3"/>
  <c r="CM14" i="3"/>
  <c r="T45" i="3"/>
  <c r="W22" i="3"/>
  <c r="E6" i="3"/>
  <c r="AH34" i="3"/>
  <c r="H72" i="3"/>
  <c r="BQ8" i="3"/>
  <c r="BB46" i="3"/>
  <c r="BB3" i="3"/>
  <c r="CZ58" i="3"/>
  <c r="I61" i="3"/>
  <c r="EQ32" i="3"/>
  <c r="BS71" i="3"/>
  <c r="I29" i="3"/>
  <c r="CN70" i="3"/>
  <c r="V35" i="3"/>
  <c r="BH8" i="3"/>
  <c r="CA77" i="3"/>
  <c r="AK58" i="3"/>
  <c r="EL16" i="3"/>
  <c r="N53" i="3"/>
  <c r="F56" i="3"/>
  <c r="EV21" i="3"/>
  <c r="DE80" i="3"/>
  <c r="ES71" i="3"/>
  <c r="AQ81" i="3"/>
  <c r="DO86" i="3"/>
  <c r="U51" i="3"/>
  <c r="G89" i="3"/>
  <c r="EJ26" i="3"/>
  <c r="EG27" i="3"/>
  <c r="AF51" i="3"/>
  <c r="K4" i="3"/>
  <c r="CL20" i="3"/>
  <c r="BO22" i="3"/>
  <c r="DN25" i="3"/>
  <c r="B26" i="3"/>
  <c r="AE53" i="3"/>
  <c r="EO28" i="3"/>
  <c r="EW40" i="3"/>
  <c r="DM25" i="3"/>
  <c r="F63" i="3"/>
  <c r="CX26" i="3"/>
  <c r="BH45" i="3"/>
  <c r="EU22" i="3"/>
  <c r="CJ47" i="3"/>
  <c r="AO50" i="3"/>
  <c r="DV33" i="3"/>
  <c r="DQ19" i="3"/>
  <c r="BK52" i="3"/>
  <c r="DO65" i="3"/>
  <c r="CD24" i="3"/>
  <c r="DV16" i="3"/>
  <c r="BY7" i="3"/>
  <c r="DW7" i="3"/>
  <c r="CQ72" i="3"/>
  <c r="FC60" i="3"/>
  <c r="CE43" i="3"/>
  <c r="U49" i="3"/>
  <c r="EZ4" i="3"/>
  <c r="AJ2" i="3"/>
  <c r="BD16" i="3"/>
  <c r="AQ7" i="3"/>
  <c r="U58" i="3"/>
  <c r="AB48" i="3"/>
  <c r="CF23" i="3"/>
  <c r="CU38" i="3"/>
  <c r="X83" i="3"/>
  <c r="AZ60" i="3"/>
  <c r="BH17" i="3"/>
  <c r="FC55" i="3"/>
  <c r="EO9" i="3"/>
  <c r="EE58" i="3"/>
  <c r="R84" i="3"/>
  <c r="CR65" i="3"/>
  <c r="EK28" i="3"/>
  <c r="BV62" i="3"/>
  <c r="EU57" i="3"/>
  <c r="AV22" i="3"/>
  <c r="DU35" i="3"/>
  <c r="BU13" i="3"/>
  <c r="DC31" i="3"/>
  <c r="CW8" i="3"/>
  <c r="BZ16" i="3"/>
  <c r="AN31" i="3"/>
  <c r="DJ34" i="3"/>
  <c r="ET66" i="3"/>
  <c r="BA2" i="3"/>
  <c r="EH39" i="3"/>
  <c r="EH12" i="3"/>
  <c r="W29" i="3"/>
  <c r="BA31" i="3"/>
  <c r="AH2" i="3"/>
  <c r="EX55" i="3"/>
  <c r="Q43" i="3"/>
  <c r="EI32" i="3"/>
  <c r="AK74" i="3"/>
  <c r="EU8" i="3"/>
  <c r="DI13" i="3"/>
  <c r="BU60" i="3"/>
  <c r="AQ22" i="3"/>
  <c r="FC17" i="3"/>
  <c r="FC16" i="3"/>
  <c r="AB25" i="3"/>
  <c r="G56" i="3"/>
  <c r="CA16" i="3"/>
  <c r="BF45" i="3"/>
  <c r="AJ72" i="3"/>
  <c r="DC63" i="3"/>
  <c r="I41" i="3"/>
  <c r="N35" i="3"/>
  <c r="EL70" i="3"/>
  <c r="FE9" i="3"/>
  <c r="CE6" i="3"/>
  <c r="FE17" i="3"/>
  <c r="EV84" i="3"/>
  <c r="AY54" i="3"/>
  <c r="BE9" i="3"/>
  <c r="BD37" i="3"/>
  <c r="DO60" i="3"/>
  <c r="FB54" i="3"/>
  <c r="V2" i="3"/>
  <c r="EW67" i="3"/>
  <c r="BV52" i="3"/>
  <c r="R27" i="3"/>
  <c r="CF39" i="3"/>
  <c r="FC14" i="3"/>
  <c r="CE10" i="3"/>
  <c r="DG11" i="3"/>
  <c r="EM18" i="3"/>
  <c r="T23" i="3"/>
  <c r="K55" i="3"/>
  <c r="EO24" i="3"/>
  <c r="EM4" i="3"/>
  <c r="BZ14" i="3"/>
  <c r="EC60" i="3"/>
  <c r="BD30" i="3"/>
  <c r="EY22" i="3"/>
  <c r="G4" i="3"/>
  <c r="BS40" i="3"/>
  <c r="O20" i="3"/>
  <c r="AY62" i="3"/>
  <c r="EA62" i="3"/>
  <c r="P24" i="3"/>
  <c r="U90" i="3"/>
  <c r="CK19" i="3"/>
  <c r="DW54" i="3"/>
  <c r="DM18" i="3"/>
  <c r="EJ83" i="3"/>
  <c r="DL28" i="3"/>
  <c r="EC7" i="3"/>
  <c r="AL89" i="3"/>
  <c r="AF15" i="3"/>
  <c r="DV58" i="3"/>
  <c r="AC34" i="3"/>
  <c r="D86" i="3"/>
  <c r="AN32" i="3"/>
  <c r="EL69" i="3"/>
  <c r="P39" i="3"/>
  <c r="CP20" i="3"/>
  <c r="BC89" i="3"/>
  <c r="AV40" i="3"/>
  <c r="FC9" i="3"/>
  <c r="M38" i="3"/>
  <c r="EG5" i="3"/>
  <c r="J65" i="3"/>
  <c r="E37" i="3"/>
  <c r="AK4" i="3"/>
  <c r="EN43" i="3"/>
  <c r="CS6" i="3"/>
  <c r="CS87" i="3"/>
  <c r="CZ66" i="3"/>
  <c r="AV23" i="3"/>
  <c r="DY29" i="3"/>
  <c r="BT14" i="3"/>
  <c r="BB59" i="3"/>
  <c r="DM32" i="3"/>
  <c r="DI11" i="3"/>
  <c r="DG36" i="3"/>
  <c r="DF22" i="3"/>
  <c r="AX84" i="3"/>
  <c r="EK83" i="3"/>
  <c r="EZ20" i="3"/>
  <c r="AP3" i="3"/>
  <c r="EQ49" i="3"/>
  <c r="R77" i="3"/>
  <c r="BV63" i="3"/>
  <c r="J7" i="3"/>
  <c r="DG52" i="3"/>
  <c r="ES40" i="3"/>
  <c r="J31" i="3"/>
  <c r="BB4" i="3"/>
  <c r="EM13" i="3"/>
  <c r="DM63" i="3"/>
  <c r="EV75" i="3"/>
  <c r="AY6" i="3"/>
  <c r="ER25" i="3"/>
  <c r="ER32" i="3"/>
  <c r="G60" i="3"/>
  <c r="EJ14" i="3"/>
  <c r="AY11" i="3"/>
  <c r="B42" i="3"/>
  <c r="DT28" i="3"/>
  <c r="BZ40" i="3"/>
  <c r="R44" i="3"/>
  <c r="AN26" i="3"/>
  <c r="F24" i="3"/>
  <c r="Q3" i="3"/>
  <c r="FD65" i="3"/>
  <c r="BA40" i="3"/>
  <c r="EW55" i="3"/>
  <c r="F82" i="3"/>
  <c r="DS44" i="3"/>
  <c r="EY56" i="3"/>
  <c r="DU52" i="3"/>
  <c r="AU4" i="3"/>
  <c r="DV61" i="3"/>
  <c r="EW25" i="3"/>
  <c r="FA33" i="3"/>
  <c r="AW88" i="3"/>
  <c r="AI39" i="3"/>
  <c r="CL26" i="3"/>
  <c r="DN14" i="3"/>
  <c r="AW43" i="3"/>
  <c r="EV88" i="3"/>
  <c r="DW13" i="3"/>
  <c r="CW9" i="3"/>
  <c r="FD57" i="3"/>
  <c r="AD72" i="3"/>
  <c r="CA46" i="3"/>
  <c r="CW63" i="3"/>
  <c r="CO25" i="3"/>
  <c r="AS15" i="3"/>
  <c r="Q5" i="3"/>
  <c r="CH33" i="3"/>
  <c r="P33" i="3"/>
  <c r="FB13" i="3"/>
  <c r="CW18" i="3"/>
  <c r="H39" i="3"/>
  <c r="AM2" i="3"/>
  <c r="K63" i="3"/>
  <c r="DE5" i="3"/>
  <c r="FC71" i="3"/>
  <c r="DV72" i="3"/>
  <c r="AJ18" i="3"/>
  <c r="AF2" i="3"/>
  <c r="H8" i="3"/>
  <c r="BY10" i="3"/>
  <c r="EW26" i="3"/>
  <c r="EB3" i="3"/>
  <c r="ER81" i="3"/>
  <c r="L87" i="3"/>
  <c r="AY15" i="3"/>
  <c r="DA19" i="3"/>
  <c r="CQ89" i="3"/>
  <c r="J13" i="3"/>
  <c r="CO50" i="3"/>
  <c r="T30" i="3"/>
  <c r="FD61" i="3"/>
  <c r="L20" i="3"/>
  <c r="BY13" i="3"/>
  <c r="BJ25" i="3"/>
  <c r="EW7" i="3"/>
  <c r="C52" i="3"/>
  <c r="AG22" i="3"/>
  <c r="CD36" i="3"/>
  <c r="P37" i="3"/>
  <c r="CS70" i="3"/>
  <c r="CR49" i="3"/>
  <c r="O27" i="3"/>
  <c r="O61" i="3"/>
  <c r="DE35" i="3"/>
  <c r="ET86" i="3"/>
  <c r="AK12" i="3"/>
  <c r="AY3" i="3"/>
  <c r="CM13" i="3"/>
  <c r="CB69" i="3"/>
  <c r="EW41" i="3"/>
  <c r="EZ5" i="3"/>
  <c r="N15" i="3"/>
  <c r="BI81" i="3"/>
  <c r="EA71" i="3"/>
  <c r="L28" i="3"/>
  <c r="AW78" i="3"/>
  <c r="CU67" i="3"/>
  <c r="CT15" i="3"/>
  <c r="BL28" i="3"/>
  <c r="Z11" i="3"/>
  <c r="W45" i="3"/>
  <c r="AS47" i="3"/>
  <c r="DW11" i="3"/>
  <c r="FC90" i="3"/>
  <c r="EO11" i="3"/>
  <c r="BR19" i="3"/>
  <c r="CZ11" i="3"/>
  <c r="BG2" i="3"/>
  <c r="AZ4" i="3"/>
  <c r="BB5" i="3"/>
  <c r="BJ90" i="3"/>
  <c r="EJ64" i="3"/>
  <c r="CE5" i="3"/>
  <c r="DY3" i="3"/>
  <c r="DA77" i="3"/>
  <c r="CV23" i="3"/>
  <c r="BQ48" i="3"/>
  <c r="DA22" i="3"/>
  <c r="EQ74" i="3"/>
  <c r="BL17" i="3"/>
  <c r="CA23" i="3"/>
  <c r="AU27" i="3"/>
  <c r="B21" i="3"/>
  <c r="FD45" i="3"/>
  <c r="BL36" i="3"/>
  <c r="DT56" i="3"/>
  <c r="FE64" i="3"/>
  <c r="Y17" i="3"/>
  <c r="AD83" i="3"/>
  <c r="EZ87" i="3"/>
  <c r="DQ27" i="3"/>
  <c r="DE43" i="3"/>
  <c r="EN86" i="3"/>
  <c r="BQ23" i="3"/>
  <c r="L25" i="3"/>
  <c r="AR20" i="3"/>
  <c r="CL15" i="3"/>
  <c r="EH15" i="3"/>
  <c r="DJ46" i="3"/>
  <c r="EO8" i="3"/>
  <c r="EN89" i="3"/>
  <c r="J6" i="3"/>
  <c r="CY14" i="3"/>
  <c r="EO81" i="3"/>
  <c r="BD57" i="3"/>
  <c r="AQ80" i="3"/>
  <c r="M4" i="3"/>
  <c r="BT39" i="3"/>
  <c r="DU26" i="3"/>
  <c r="CK10" i="3"/>
  <c r="ET29" i="3"/>
  <c r="AE77" i="3"/>
  <c r="BR89" i="3"/>
  <c r="BT26" i="3"/>
  <c r="AE54" i="3"/>
  <c r="AE22" i="3"/>
  <c r="CK26" i="3"/>
  <c r="BL14" i="3"/>
  <c r="AW77" i="3"/>
  <c r="DY5" i="3"/>
  <c r="DG87" i="3"/>
  <c r="AX25" i="3"/>
  <c r="CH53" i="3"/>
  <c r="U20" i="3"/>
  <c r="M41" i="3"/>
  <c r="DD66" i="3"/>
  <c r="CY47" i="3"/>
  <c r="DC74" i="3"/>
  <c r="EU34" i="3"/>
  <c r="M58" i="3"/>
  <c r="DH90" i="3"/>
  <c r="EY39" i="3"/>
  <c r="O19" i="3"/>
  <c r="CI7" i="3"/>
  <c r="AE31" i="3"/>
  <c r="U16" i="3"/>
  <c r="CI46" i="3"/>
  <c r="AH22" i="3"/>
  <c r="AM4" i="3"/>
  <c r="CZ12" i="3"/>
  <c r="EU18" i="3"/>
  <c r="DQ78" i="3"/>
  <c r="EN58" i="3"/>
  <c r="CS47" i="3"/>
  <c r="BC21" i="3"/>
  <c r="EJ43" i="3"/>
  <c r="EU79" i="3"/>
  <c r="CL56" i="3"/>
  <c r="AU26" i="3"/>
  <c r="CQ12" i="3"/>
  <c r="EK25" i="3"/>
  <c r="DT15" i="3"/>
  <c r="BP73" i="3"/>
  <c r="EA18" i="3"/>
  <c r="EU76" i="3"/>
  <c r="CY65" i="3"/>
  <c r="E40" i="3"/>
  <c r="AO17" i="3"/>
  <c r="AH33" i="3"/>
  <c r="ER60" i="3"/>
  <c r="EW88" i="3"/>
  <c r="EB21" i="3"/>
  <c r="EW56" i="3"/>
  <c r="AT9" i="3"/>
  <c r="EB64" i="3"/>
  <c r="AN28" i="3"/>
  <c r="K14" i="3"/>
  <c r="BF49" i="3"/>
  <c r="DH9" i="3"/>
  <c r="BV15" i="3"/>
  <c r="BN49" i="3"/>
  <c r="EP54" i="3"/>
  <c r="CU25" i="3"/>
  <c r="EW27" i="3"/>
  <c r="AG10" i="3"/>
  <c r="ET42" i="3"/>
  <c r="EB34" i="3"/>
  <c r="C66" i="3"/>
  <c r="EC27" i="3"/>
  <c r="FE3" i="3"/>
  <c r="DV18" i="3"/>
  <c r="DX48" i="3"/>
  <c r="BH69" i="3"/>
  <c r="B50" i="3"/>
  <c r="AS21" i="3"/>
  <c r="CE4" i="3"/>
  <c r="BY18" i="3"/>
  <c r="ED66" i="3"/>
  <c r="DL26" i="3"/>
  <c r="FA65" i="3"/>
  <c r="DB66" i="3"/>
  <c r="CI11" i="3"/>
  <c r="CN55" i="3"/>
  <c r="DB42" i="3"/>
  <c r="R36" i="3"/>
  <c r="J44" i="3"/>
  <c r="DF27" i="3"/>
  <c r="FC74" i="3"/>
  <c r="EF51" i="3"/>
  <c r="FC5" i="3"/>
  <c r="AH88" i="3"/>
  <c r="ED81" i="3"/>
  <c r="DE45" i="3"/>
  <c r="DV12" i="3"/>
  <c r="AB41" i="3"/>
  <c r="BF11" i="3"/>
  <c r="AC31" i="3"/>
  <c r="DW9" i="3"/>
  <c r="BX13" i="3"/>
  <c r="DK75" i="3"/>
  <c r="BN58" i="3"/>
  <c r="ED21" i="3"/>
  <c r="FA57" i="3"/>
  <c r="CM22" i="3"/>
  <c r="EY78" i="3"/>
  <c r="BX73" i="3"/>
  <c r="BM6" i="3"/>
  <c r="EK18" i="3"/>
  <c r="CO8" i="3"/>
  <c r="DL31" i="3"/>
  <c r="AV27" i="3"/>
  <c r="W64" i="3"/>
  <c r="EL28" i="3"/>
  <c r="EI61" i="3"/>
  <c r="EA67" i="3"/>
  <c r="BB31" i="3"/>
  <c r="EU51" i="3"/>
  <c r="EV63" i="3"/>
  <c r="DY21" i="3"/>
  <c r="CE57" i="3"/>
  <c r="AO87" i="3"/>
  <c r="BH40" i="3"/>
  <c r="L29" i="3"/>
  <c r="AD14" i="3"/>
  <c r="FB35" i="3"/>
  <c r="FB80" i="3"/>
  <c r="DV7" i="3"/>
  <c r="AJ16" i="3"/>
  <c r="AP2" i="3"/>
  <c r="BM2" i="3"/>
  <c r="CF9" i="3"/>
  <c r="CG22" i="3"/>
  <c r="AN80" i="3"/>
  <c r="C47" i="3"/>
  <c r="G82" i="3"/>
  <c r="AX15" i="3"/>
  <c r="BA46" i="3"/>
  <c r="W32" i="3"/>
  <c r="BM25" i="3"/>
  <c r="Z21" i="3"/>
  <c r="R48" i="3"/>
  <c r="CQ56" i="3"/>
  <c r="AL5" i="3"/>
  <c r="DH51" i="3"/>
  <c r="CI28" i="3"/>
  <c r="AT24" i="3"/>
  <c r="EE54" i="3"/>
  <c r="DF45" i="3"/>
  <c r="BX19" i="3"/>
  <c r="O18" i="3"/>
  <c r="BO3" i="3"/>
  <c r="EI2" i="3"/>
  <c r="CS90" i="3"/>
  <c r="EN35" i="3"/>
  <c r="BN24" i="3"/>
  <c r="DM23" i="3"/>
  <c r="ED57" i="3"/>
  <c r="CY64" i="3"/>
  <c r="BC19" i="3"/>
  <c r="AI2" i="3"/>
  <c r="R15" i="3"/>
  <c r="O31" i="3"/>
  <c r="CR23" i="3"/>
  <c r="BO6" i="3"/>
  <c r="DU15" i="3"/>
  <c r="AW62" i="3"/>
  <c r="I67" i="3"/>
  <c r="EK59" i="3"/>
  <c r="EV83" i="3"/>
  <c r="CT60" i="3"/>
  <c r="CN33" i="3"/>
  <c r="FC44" i="3"/>
  <c r="DD30" i="3"/>
  <c r="AP88" i="3"/>
  <c r="EO66" i="3"/>
  <c r="CB9" i="3"/>
  <c r="U8" i="3"/>
  <c r="CS52" i="3"/>
  <c r="AA53" i="3"/>
  <c r="EV82" i="3"/>
  <c r="N8" i="3"/>
  <c r="P52" i="3"/>
  <c r="BP44" i="3"/>
  <c r="EL5" i="3"/>
  <c r="FD82" i="3"/>
  <c r="CV9" i="3"/>
  <c r="AV47" i="3"/>
  <c r="BV69" i="3"/>
  <c r="CH54" i="3"/>
  <c r="AD54" i="3"/>
  <c r="EX83" i="3"/>
  <c r="AB60" i="3"/>
  <c r="Z34" i="3"/>
  <c r="EO26" i="3"/>
  <c r="Q29" i="3"/>
  <c r="EF27" i="3"/>
  <c r="BF44" i="3"/>
  <c r="AB20" i="3"/>
  <c r="AF11" i="3"/>
  <c r="EX22" i="3"/>
  <c r="BH28" i="3"/>
  <c r="BT5" i="3"/>
  <c r="AP78" i="3"/>
  <c r="DH30" i="3"/>
  <c r="BX42" i="3"/>
  <c r="BR11" i="3"/>
  <c r="CO40" i="3"/>
  <c r="BJ39" i="3"/>
  <c r="H48" i="3"/>
  <c r="T22" i="3"/>
  <c r="EX25" i="3"/>
  <c r="CH22" i="3"/>
  <c r="EK12" i="3"/>
  <c r="DV24" i="3"/>
  <c r="EY68" i="3"/>
  <c r="T11" i="3"/>
  <c r="EK40" i="3"/>
  <c r="FB87" i="3"/>
  <c r="DW49" i="3"/>
  <c r="EP49" i="3"/>
  <c r="EX78" i="3"/>
  <c r="DF8" i="3"/>
  <c r="AQ11" i="3"/>
  <c r="CE13" i="3"/>
  <c r="AB12" i="3"/>
  <c r="EQ12" i="3"/>
  <c r="R51" i="3"/>
  <c r="BK43" i="3"/>
  <c r="EJ35" i="3"/>
  <c r="BP15" i="3"/>
  <c r="EQ31" i="3"/>
  <c r="D51" i="3"/>
  <c r="CR38" i="3"/>
  <c r="EV52" i="3"/>
  <c r="BW34" i="3"/>
  <c r="AC85" i="3"/>
  <c r="CJ63" i="3"/>
  <c r="K65" i="3"/>
  <c r="S10" i="3"/>
  <c r="CA5" i="3"/>
  <c r="H58" i="3"/>
  <c r="R58" i="3"/>
  <c r="V47" i="3"/>
  <c r="J32" i="3"/>
  <c r="ET16" i="3"/>
  <c r="DZ50" i="3"/>
  <c r="CZ54" i="3"/>
  <c r="Y87" i="3"/>
  <c r="P16" i="3"/>
  <c r="K71" i="3"/>
  <c r="L39" i="3"/>
  <c r="B59" i="3"/>
  <c r="BI18" i="3"/>
  <c r="CU35" i="3"/>
  <c r="C41" i="3"/>
  <c r="BW72" i="3"/>
  <c r="BC56" i="3"/>
  <c r="I24" i="3"/>
  <c r="I54" i="3"/>
  <c r="FA42" i="3"/>
  <c r="V80" i="3"/>
  <c r="EE33" i="3"/>
  <c r="DE18" i="3"/>
  <c r="EH22" i="3"/>
  <c r="AW45" i="3"/>
  <c r="AU73" i="3"/>
  <c r="F35" i="3"/>
  <c r="EN48" i="3"/>
  <c r="I45" i="3"/>
  <c r="AX76" i="3"/>
  <c r="DX5" i="3"/>
  <c r="CE2" i="3"/>
  <c r="CQ9" i="3"/>
  <c r="CY19" i="3"/>
  <c r="CT22" i="3"/>
  <c r="B17" i="3"/>
  <c r="AA36" i="3"/>
  <c r="Y41" i="3"/>
  <c r="DF31" i="3"/>
  <c r="F68" i="3"/>
  <c r="ET37" i="3"/>
  <c r="CZ39" i="3"/>
  <c r="BQ55" i="3"/>
  <c r="ET12" i="3"/>
  <c r="DP20" i="3"/>
  <c r="EN90" i="3"/>
  <c r="S28" i="3"/>
  <c r="BM24" i="3"/>
  <c r="CB2" i="3"/>
  <c r="AO4" i="3"/>
  <c r="FB57" i="3"/>
  <c r="CQ79" i="3"/>
  <c r="AA15" i="3"/>
  <c r="BM19" i="3"/>
  <c r="BR23" i="3"/>
  <c r="CM8" i="3"/>
  <c r="DB72" i="3"/>
  <c r="DQ52" i="3"/>
  <c r="CB52" i="3"/>
  <c r="EM56" i="3"/>
  <c r="EL72" i="3"/>
  <c r="AJ17" i="3"/>
  <c r="AI16" i="3"/>
  <c r="DK26" i="3"/>
  <c r="DE10" i="3"/>
  <c r="CM25" i="3"/>
  <c r="ER24" i="3"/>
  <c r="ER88" i="3"/>
  <c r="EB88" i="3"/>
  <c r="I13" i="3"/>
  <c r="EZ65" i="3"/>
  <c r="BQ15" i="3"/>
  <c r="R52" i="3"/>
  <c r="FA82" i="3"/>
  <c r="Q49" i="3"/>
  <c r="CR14" i="3"/>
  <c r="N34" i="3"/>
  <c r="T17" i="3"/>
  <c r="DE51" i="3"/>
  <c r="EY67" i="3"/>
  <c r="BA24" i="3"/>
  <c r="I47" i="3"/>
  <c r="BQ12" i="3"/>
  <c r="I19" i="3"/>
  <c r="EI65" i="3"/>
  <c r="AG6" i="3"/>
  <c r="CZ5" i="3"/>
  <c r="EM5" i="3"/>
  <c r="BR21" i="3"/>
  <c r="EE4" i="3"/>
  <c r="EP62" i="3"/>
  <c r="EZ24" i="3"/>
  <c r="I65" i="3"/>
  <c r="ER76" i="3"/>
  <c r="EV89" i="3"/>
  <c r="CA39" i="3"/>
  <c r="AA52" i="3"/>
  <c r="AX85" i="3"/>
  <c r="EV72" i="3"/>
  <c r="CP64" i="3"/>
  <c r="EG36" i="3"/>
  <c r="Z13" i="3"/>
  <c r="EZ36" i="3"/>
  <c r="DT55" i="3"/>
  <c r="EF57" i="3"/>
  <c r="FC80" i="3"/>
  <c r="CB22" i="3"/>
  <c r="AL45" i="3"/>
  <c r="S8" i="3"/>
  <c r="EV13" i="3"/>
  <c r="AI13" i="3"/>
  <c r="DI30" i="3"/>
  <c r="AE24" i="3"/>
  <c r="Y20" i="3"/>
  <c r="DO14" i="3"/>
  <c r="BH33" i="3"/>
  <c r="EV8" i="3"/>
  <c r="EJ3" i="3"/>
  <c r="BO46" i="3"/>
  <c r="EK17" i="3"/>
  <c r="X11" i="3"/>
  <c r="EP57" i="3"/>
  <c r="FD6" i="3"/>
  <c r="AN59" i="3"/>
  <c r="DK25" i="3"/>
  <c r="BH21" i="3"/>
  <c r="H44" i="3"/>
  <c r="DF5" i="3"/>
  <c r="I37" i="3"/>
  <c r="EX60" i="3"/>
  <c r="CW12" i="3"/>
  <c r="F31" i="3"/>
  <c r="AG5" i="3"/>
  <c r="BA11" i="3"/>
  <c r="N89" i="3"/>
  <c r="I64" i="3"/>
  <c r="CM52" i="3"/>
  <c r="V57" i="3"/>
  <c r="DS12" i="3"/>
  <c r="BU5" i="3"/>
  <c r="AE29" i="3"/>
  <c r="CZ51" i="3"/>
  <c r="G55" i="3"/>
  <c r="DL70" i="3"/>
  <c r="AB50" i="3"/>
  <c r="T21" i="3"/>
  <c r="AR22" i="3"/>
  <c r="CH37" i="3"/>
  <c r="B87" i="3"/>
  <c r="DH15" i="3"/>
  <c r="Y68" i="3"/>
  <c r="I28" i="3"/>
  <c r="CH19" i="3"/>
  <c r="DO25" i="3"/>
  <c r="E50" i="3"/>
  <c r="CW88" i="3"/>
  <c r="CP55" i="3"/>
  <c r="AD31" i="3"/>
  <c r="EU87" i="3"/>
  <c r="G54" i="3"/>
  <c r="CO62" i="3"/>
  <c r="DR6" i="3"/>
  <c r="M6" i="3"/>
  <c r="DY85" i="3"/>
  <c r="CW17" i="3"/>
  <c r="BP2" i="3"/>
  <c r="L63" i="3"/>
  <c r="CG38" i="3"/>
  <c r="J62" i="3"/>
  <c r="EV78" i="3"/>
  <c r="FE58" i="3"/>
  <c r="BD87" i="3"/>
  <c r="J53" i="3"/>
  <c r="V3" i="3"/>
  <c r="X59" i="3"/>
  <c r="DP53" i="3"/>
  <c r="EN72" i="3"/>
  <c r="EL18" i="3"/>
  <c r="J51" i="3"/>
  <c r="AU37" i="3"/>
  <c r="FC36" i="3"/>
  <c r="D65" i="3"/>
  <c r="BL13" i="3"/>
  <c r="BP53" i="3"/>
  <c r="ES26" i="3"/>
  <c r="AZ19" i="3"/>
  <c r="Z73" i="3"/>
  <c r="CT62" i="3"/>
  <c r="BP18" i="3"/>
  <c r="AU18" i="3"/>
  <c r="T59" i="3"/>
  <c r="AG14" i="3"/>
  <c r="I89" i="3"/>
  <c r="EG88" i="3"/>
  <c r="BO48" i="3"/>
  <c r="DC50" i="3"/>
  <c r="BR50" i="3"/>
  <c r="CN29" i="3"/>
  <c r="BE83" i="3"/>
  <c r="BA14" i="3"/>
  <c r="BH86" i="3"/>
  <c r="CW66" i="3"/>
  <c r="BH25" i="3"/>
  <c r="B71" i="3"/>
  <c r="AE51" i="3"/>
  <c r="EV47" i="3"/>
  <c r="CD20" i="3"/>
  <c r="BS84" i="3"/>
  <c r="EY55" i="3"/>
  <c r="FE45" i="3"/>
  <c r="AY34" i="3"/>
  <c r="DV15" i="3"/>
  <c r="CK11" i="3"/>
  <c r="FA26" i="3"/>
  <c r="BZ64" i="3"/>
  <c r="DP30" i="3"/>
  <c r="AR11" i="3"/>
  <c r="X33" i="3"/>
  <c r="T36" i="3"/>
  <c r="EQ72" i="3"/>
  <c r="CR82" i="3"/>
  <c r="J16" i="3"/>
  <c r="AT43" i="3"/>
  <c r="AQ6" i="3"/>
  <c r="CR13" i="3"/>
  <c r="H51" i="3"/>
  <c r="K36" i="3"/>
  <c r="E72" i="3"/>
  <c r="ES90" i="3"/>
  <c r="CD17" i="3"/>
  <c r="DX73" i="3"/>
  <c r="DB16" i="3"/>
  <c r="FB77" i="3"/>
  <c r="ES42" i="3"/>
  <c r="EG74" i="3"/>
  <c r="DT44" i="3"/>
  <c r="EH52" i="3"/>
  <c r="CP7" i="3"/>
  <c r="DO21" i="3"/>
  <c r="EF68" i="3"/>
  <c r="Z47" i="3"/>
  <c r="S17" i="3"/>
  <c r="BT21" i="3"/>
  <c r="Y51" i="3"/>
  <c r="ES58" i="3"/>
  <c r="ER11" i="3"/>
  <c r="EI34" i="3"/>
  <c r="DB14" i="3"/>
  <c r="BJ28" i="3"/>
  <c r="DO32" i="3"/>
  <c r="EG13" i="3"/>
  <c r="CK25" i="3"/>
  <c r="BV17" i="3"/>
  <c r="AK78" i="3"/>
  <c r="DO9" i="3"/>
  <c r="P51" i="3"/>
  <c r="EW82" i="3"/>
  <c r="EN7" i="3"/>
  <c r="EM44" i="3"/>
  <c r="AU14" i="3"/>
  <c r="AY84" i="3"/>
  <c r="DD10" i="3"/>
  <c r="CW6" i="3"/>
  <c r="J55" i="3"/>
  <c r="CN36" i="3"/>
  <c r="AM15" i="3"/>
  <c r="J86" i="3"/>
  <c r="EK5" i="3"/>
  <c r="DI9" i="3"/>
  <c r="CX6" i="3"/>
  <c r="J9" i="3"/>
  <c r="EV61" i="3"/>
  <c r="DS38" i="3"/>
  <c r="CR10" i="3"/>
  <c r="BW47" i="3"/>
  <c r="EG4" i="3"/>
  <c r="P88" i="3"/>
  <c r="AW15" i="3"/>
  <c r="FD47" i="3"/>
  <c r="CW25" i="3"/>
  <c r="C71" i="3"/>
  <c r="FB9" i="3"/>
  <c r="Z44" i="3"/>
  <c r="CC4" i="3"/>
  <c r="EK19" i="3"/>
  <c r="BC15" i="3"/>
  <c r="EG65" i="3"/>
  <c r="EO39" i="3"/>
  <c r="CA17" i="3"/>
  <c r="DZ10" i="3"/>
  <c r="CQ30" i="3"/>
  <c r="Q4" i="3"/>
  <c r="DC56" i="3"/>
  <c r="FC23" i="3"/>
  <c r="EY47" i="3"/>
  <c r="BV24" i="3"/>
  <c r="BU16" i="3"/>
  <c r="P32" i="3"/>
  <c r="EX63" i="3"/>
  <c r="B56" i="3"/>
  <c r="C28" i="3"/>
  <c r="FA76" i="3"/>
  <c r="CN65" i="3"/>
  <c r="EN30" i="3"/>
  <c r="AI26" i="3"/>
  <c r="AO32" i="3"/>
  <c r="EZ44" i="3"/>
  <c r="L73" i="3"/>
  <c r="P59" i="3"/>
  <c r="AD20" i="3"/>
  <c r="BW17" i="3"/>
  <c r="R46" i="3"/>
  <c r="I55" i="3"/>
  <c r="EQ40" i="3"/>
  <c r="CY44" i="3"/>
  <c r="BH49" i="3"/>
  <c r="CM47" i="3"/>
  <c r="BY26" i="3"/>
  <c r="AH28" i="3"/>
  <c r="ES31" i="3"/>
  <c r="CJ73" i="3"/>
  <c r="DM5" i="3"/>
  <c r="CH74" i="3"/>
  <c r="AZ63" i="3"/>
  <c r="BN19" i="3"/>
  <c r="EV5" i="3"/>
  <c r="K46" i="3"/>
  <c r="P60" i="3"/>
  <c r="BE53" i="3"/>
  <c r="EW87" i="3"/>
  <c r="AB9" i="3"/>
  <c r="DD11" i="3"/>
  <c r="EM60" i="3"/>
  <c r="CT18" i="3"/>
  <c r="W40" i="3"/>
  <c r="BV8" i="3"/>
  <c r="EU68" i="3"/>
  <c r="EB35" i="3"/>
  <c r="EM58" i="3"/>
  <c r="CB15" i="3"/>
  <c r="G59" i="3"/>
  <c r="EP59" i="3"/>
  <c r="AH19" i="3"/>
  <c r="F37" i="3"/>
  <c r="AJ6" i="3"/>
  <c r="BK5" i="3"/>
  <c r="AO23" i="3"/>
  <c r="CK65" i="3"/>
  <c r="BC55" i="3"/>
  <c r="FC52" i="3"/>
  <c r="G44" i="3"/>
  <c r="AF5" i="3"/>
  <c r="BE26" i="3"/>
  <c r="BB14" i="3"/>
  <c r="BQ21" i="3"/>
  <c r="AA48" i="3"/>
  <c r="EO75" i="3"/>
  <c r="CT27" i="3"/>
  <c r="DQ51" i="3"/>
  <c r="R90" i="3"/>
  <c r="Y66" i="3"/>
  <c r="AM81" i="3"/>
  <c r="EQ73" i="3"/>
  <c r="EQ9" i="3"/>
  <c r="CE73" i="3"/>
  <c r="CO14" i="3"/>
  <c r="T20" i="3"/>
  <c r="CQ38" i="3"/>
  <c r="L19" i="3"/>
  <c r="FC12" i="3"/>
  <c r="BS28" i="3"/>
  <c r="H42" i="3"/>
  <c r="EH24" i="3"/>
  <c r="EK32" i="3"/>
  <c r="C33" i="3"/>
  <c r="BS19" i="3"/>
  <c r="DE52" i="3"/>
  <c r="AL30" i="3"/>
  <c r="W90" i="3"/>
  <c r="FA43" i="3"/>
  <c r="E22" i="3"/>
  <c r="CW14" i="3"/>
  <c r="CJ53" i="3"/>
  <c r="P19" i="3"/>
  <c r="DK21" i="3"/>
  <c r="D40" i="3"/>
  <c r="BG44" i="3"/>
  <c r="CD8" i="3"/>
  <c r="EP70" i="3"/>
  <c r="EP65" i="3"/>
  <c r="DE19" i="3"/>
  <c r="DR25" i="3"/>
  <c r="AO8" i="3"/>
  <c r="EJ22" i="3"/>
  <c r="CV37" i="3"/>
  <c r="ER18" i="3"/>
  <c r="AE42" i="3"/>
  <c r="Y10" i="3"/>
  <c r="ED61" i="3"/>
  <c r="DX34" i="3"/>
  <c r="D45" i="3"/>
  <c r="CT34" i="3"/>
  <c r="DP64" i="3"/>
  <c r="AS57" i="3"/>
  <c r="ET7" i="3"/>
  <c r="FA2" i="3"/>
  <c r="M46" i="3"/>
  <c r="DQ7" i="3"/>
  <c r="EH8" i="3"/>
  <c r="DH27" i="3"/>
  <c r="I59" i="3"/>
  <c r="ET74" i="3"/>
  <c r="DO2" i="3"/>
  <c r="DG81" i="3"/>
  <c r="EQ48" i="3"/>
  <c r="DV21" i="3"/>
  <c r="EU67" i="3"/>
  <c r="AY39" i="3"/>
  <c r="EK69" i="3"/>
  <c r="AZ9" i="3"/>
  <c r="EH89" i="3"/>
  <c r="EJ13" i="3"/>
  <c r="DW30" i="3"/>
  <c r="EY51" i="3"/>
  <c r="DV45" i="3"/>
  <c r="O58" i="3"/>
  <c r="EF21" i="3"/>
  <c r="DM24" i="3"/>
  <c r="AT27" i="3"/>
  <c r="DB6" i="3"/>
  <c r="EA28" i="3"/>
  <c r="BN10" i="3"/>
  <c r="BE20" i="3"/>
  <c r="AG11" i="3"/>
  <c r="EM40" i="3"/>
  <c r="EO72" i="3"/>
  <c r="AU11" i="3"/>
  <c r="AI27" i="3"/>
  <c r="S7" i="3"/>
  <c r="X26" i="3"/>
  <c r="D18" i="3"/>
  <c r="DO56" i="3"/>
  <c r="EW86" i="3"/>
  <c r="DS49" i="3"/>
  <c r="AK32" i="3"/>
  <c r="I57" i="3"/>
  <c r="E28" i="3"/>
  <c r="EU6" i="3"/>
  <c r="EK4" i="3"/>
  <c r="AT85" i="3"/>
  <c r="Q37" i="3"/>
  <c r="F70" i="3"/>
  <c r="BB34" i="3"/>
  <c r="AV38" i="3"/>
  <c r="DB15" i="3"/>
  <c r="E60" i="3"/>
  <c r="CN8" i="3"/>
  <c r="BS58" i="3"/>
  <c r="CV2" i="3"/>
  <c r="CU61" i="3"/>
  <c r="BS7" i="3"/>
  <c r="FB58" i="3"/>
  <c r="EA59" i="3"/>
  <c r="BF20" i="3"/>
  <c r="F20" i="3"/>
  <c r="F29" i="3"/>
  <c r="EN54" i="3"/>
  <c r="BY22" i="3"/>
  <c r="AG54" i="3"/>
  <c r="BB24" i="3"/>
  <c r="CP81" i="3"/>
  <c r="CU36" i="3"/>
  <c r="FB85" i="3"/>
  <c r="EW18" i="3"/>
  <c r="EB55" i="3"/>
  <c r="EW84" i="3"/>
  <c r="EQ30" i="3"/>
  <c r="EJ4" i="3"/>
  <c r="DD18" i="3"/>
  <c r="CQ35" i="3"/>
  <c r="DR18" i="3"/>
  <c r="T89" i="3"/>
  <c r="EH30" i="3"/>
  <c r="BM9" i="3"/>
  <c r="BE58" i="3"/>
  <c r="BE50" i="3"/>
  <c r="FC81" i="3"/>
  <c r="EB16" i="3"/>
  <c r="CU5" i="3"/>
  <c r="DP8" i="3"/>
  <c r="AI9" i="3"/>
  <c r="AU46" i="3"/>
  <c r="E51" i="3"/>
  <c r="DN29" i="3"/>
  <c r="B31" i="3"/>
  <c r="EH87" i="3"/>
  <c r="CA72" i="3"/>
  <c r="EW43" i="3"/>
  <c r="BY51" i="3"/>
  <c r="CM65" i="3"/>
  <c r="CP80" i="3"/>
  <c r="EC39" i="3"/>
  <c r="AL17" i="3"/>
  <c r="DS11" i="3"/>
  <c r="AO86" i="3"/>
  <c r="FD44" i="3"/>
  <c r="FB67" i="3"/>
  <c r="W5" i="3"/>
  <c r="DS60" i="3"/>
  <c r="AD3" i="3"/>
  <c r="AE33" i="3"/>
  <c r="FD70" i="3"/>
  <c r="ES14" i="3"/>
  <c r="J43" i="3"/>
  <c r="DV4" i="3"/>
  <c r="CZ22" i="3"/>
  <c r="EL57" i="3"/>
  <c r="BZ68" i="3"/>
  <c r="EC82" i="3"/>
  <c r="EQ45" i="3"/>
  <c r="BR63" i="3"/>
  <c r="Q53" i="3"/>
  <c r="CR17" i="3"/>
  <c r="ET68" i="3"/>
  <c r="EP79" i="3"/>
  <c r="AG50" i="3"/>
  <c r="DE27" i="3"/>
  <c r="DE25" i="3"/>
  <c r="R28" i="3"/>
  <c r="R19" i="3"/>
  <c r="EM41" i="3"/>
  <c r="ED90" i="3"/>
  <c r="BL21" i="3"/>
  <c r="CB38" i="3"/>
  <c r="V60" i="3"/>
  <c r="CK18" i="3"/>
  <c r="ES20" i="3"/>
  <c r="H33" i="3"/>
  <c r="FD63" i="3"/>
  <c r="AV19" i="3"/>
  <c r="B78" i="3"/>
  <c r="E32" i="3"/>
  <c r="CU2" i="3"/>
  <c r="DU57" i="3"/>
  <c r="BX44" i="3"/>
  <c r="EU10" i="3"/>
  <c r="DT13" i="3"/>
  <c r="M90" i="3"/>
  <c r="ER26" i="3"/>
  <c r="DZ79" i="3"/>
  <c r="EI3" i="3"/>
  <c r="H46" i="3"/>
  <c r="K33" i="3"/>
  <c r="BJ19" i="3"/>
  <c r="EG54" i="3"/>
  <c r="CD29" i="3"/>
  <c r="AP18" i="3"/>
  <c r="EK60" i="3"/>
  <c r="EI16" i="3"/>
  <c r="DV22" i="3"/>
  <c r="W16" i="3"/>
  <c r="L48" i="3"/>
  <c r="CL5" i="3"/>
  <c r="EP84" i="3"/>
  <c r="EV67" i="3"/>
  <c r="EO56" i="3"/>
  <c r="AZ90" i="3"/>
  <c r="CI3" i="3"/>
  <c r="AX33" i="3"/>
  <c r="N2" i="3"/>
  <c r="AB51" i="3"/>
  <c r="AL18" i="3"/>
  <c r="EY27" i="3"/>
  <c r="CA4" i="3"/>
  <c r="BJ18" i="3"/>
  <c r="AZ29" i="3"/>
  <c r="EM90" i="3"/>
  <c r="E53" i="3"/>
  <c r="BA9" i="3"/>
  <c r="EG9" i="3"/>
  <c r="AO15" i="3"/>
  <c r="DN3" i="3"/>
  <c r="DE13" i="3"/>
  <c r="M37" i="3"/>
  <c r="CF8" i="3"/>
  <c r="AQ16" i="3"/>
  <c r="BC66" i="3"/>
  <c r="U33" i="3"/>
  <c r="W47" i="3"/>
  <c r="EN47" i="3"/>
  <c r="EG28" i="3"/>
  <c r="AK29" i="3"/>
  <c r="AM65" i="3"/>
  <c r="EC54" i="3"/>
  <c r="BW7" i="3"/>
  <c r="AG21" i="3"/>
  <c r="FC73" i="3"/>
  <c r="AE4" i="3"/>
  <c r="EZ45" i="3"/>
  <c r="O66" i="3"/>
  <c r="R6" i="3"/>
  <c r="EC52" i="3"/>
  <c r="BW71" i="3"/>
  <c r="DD48" i="3"/>
  <c r="EL7" i="3"/>
  <c r="CW80" i="3"/>
  <c r="AY73" i="3"/>
  <c r="DU21" i="3"/>
  <c r="EU86" i="3"/>
  <c r="DP6" i="3"/>
  <c r="DH23" i="3"/>
  <c r="E65" i="3"/>
  <c r="EV19" i="3"/>
  <c r="CC9" i="3"/>
  <c r="Q6" i="3"/>
  <c r="ER65" i="3"/>
  <c r="AO37" i="3"/>
  <c r="DI31" i="3"/>
  <c r="DN79" i="3"/>
  <c r="B18" i="3"/>
  <c r="CO6" i="3"/>
  <c r="F6" i="3"/>
  <c r="DJ49" i="3"/>
  <c r="BN16" i="3"/>
  <c r="EH56" i="3"/>
  <c r="K51" i="3"/>
  <c r="BH22" i="3"/>
  <c r="J40" i="3"/>
  <c r="EP5" i="3"/>
  <c r="AU67" i="3"/>
  <c r="EC76" i="3"/>
  <c r="AU84" i="3"/>
  <c r="DE6" i="3"/>
  <c r="DB51" i="3"/>
  <c r="EV73" i="3"/>
  <c r="EI18" i="3"/>
  <c r="EU81" i="3"/>
  <c r="EQ71" i="3"/>
  <c r="AD10" i="3"/>
  <c r="BV47" i="3"/>
  <c r="BD11" i="3"/>
  <c r="DA20" i="3"/>
  <c r="CC3" i="3"/>
  <c r="BV19" i="3"/>
  <c r="BG6" i="3"/>
  <c r="EE7" i="3"/>
  <c r="DN33" i="3"/>
  <c r="X34" i="3"/>
  <c r="EC59" i="3"/>
  <c r="ER52" i="3"/>
  <c r="EQ3" i="3"/>
  <c r="Z16" i="3"/>
  <c r="BM55" i="3"/>
  <c r="L18" i="3"/>
  <c r="CG40" i="3"/>
  <c r="DR55" i="3"/>
  <c r="AI28" i="3"/>
  <c r="CU19" i="3"/>
  <c r="DC13" i="3"/>
  <c r="EC12" i="3"/>
  <c r="FC47" i="3"/>
  <c r="R24" i="3"/>
  <c r="BJ36" i="3"/>
  <c r="T12" i="3"/>
  <c r="EY44" i="3"/>
  <c r="BJ50" i="3"/>
  <c r="CY18" i="3"/>
  <c r="EP88" i="3"/>
  <c r="EX66" i="3"/>
  <c r="DG73" i="3"/>
  <c r="AR7" i="3"/>
  <c r="AV54" i="3"/>
  <c r="EN13" i="3"/>
  <c r="ER38" i="3"/>
  <c r="Z24" i="3"/>
  <c r="BI45" i="3"/>
  <c r="DY35" i="3"/>
  <c r="O60" i="3"/>
  <c r="BP22" i="3"/>
  <c r="AF56" i="3"/>
  <c r="CP3" i="3"/>
  <c r="AX38" i="3"/>
  <c r="BS75" i="3"/>
  <c r="Y11" i="3"/>
  <c r="CT51" i="3"/>
  <c r="BD76" i="3"/>
  <c r="P21" i="3"/>
  <c r="AA27" i="3"/>
  <c r="V7" i="3"/>
  <c r="EU27" i="3"/>
  <c r="CF71" i="3"/>
  <c r="E49" i="3"/>
  <c r="CI55" i="3"/>
  <c r="I48" i="3"/>
  <c r="BP7" i="3"/>
  <c r="V64" i="3"/>
  <c r="EN57" i="3"/>
  <c r="EP38" i="3"/>
  <c r="CM59" i="3"/>
  <c r="AA68" i="3"/>
  <c r="CT38" i="3"/>
  <c r="F19" i="3"/>
  <c r="BR16" i="3"/>
  <c r="BW20" i="3"/>
  <c r="AE30" i="3"/>
  <c r="DI89" i="3"/>
  <c r="DU20" i="3"/>
  <c r="ET65" i="3"/>
  <c r="ED32" i="3"/>
  <c r="ER39" i="3"/>
  <c r="F87" i="3"/>
  <c r="BG4" i="3"/>
  <c r="BV7" i="3"/>
  <c r="BZ29" i="3"/>
  <c r="U17" i="3"/>
  <c r="E23" i="3"/>
  <c r="ER70" i="3"/>
  <c r="BR9" i="3"/>
  <c r="C78" i="3"/>
  <c r="DO23" i="3"/>
  <c r="EY46" i="3"/>
  <c r="AV35" i="3"/>
  <c r="ER2" i="3"/>
  <c r="AQ30" i="3"/>
  <c r="EL86" i="3"/>
  <c r="BY16" i="3"/>
  <c r="G13" i="3"/>
  <c r="DR52" i="3"/>
  <c r="AV51" i="3"/>
  <c r="FD86" i="3"/>
  <c r="EF16" i="3"/>
  <c r="CE7" i="3"/>
  <c r="BB47" i="3"/>
  <c r="EQ89" i="3"/>
  <c r="P35" i="3"/>
  <c r="EX50" i="3"/>
  <c r="CW3" i="3"/>
  <c r="G22" i="3"/>
  <c r="CA18" i="3"/>
  <c r="L43" i="3"/>
  <c r="J63" i="3"/>
  <c r="CC17" i="3"/>
  <c r="ES38" i="3"/>
  <c r="EK20" i="3"/>
  <c r="EM86" i="3"/>
  <c r="EV90" i="3"/>
  <c r="EG42" i="3"/>
  <c r="BN18" i="3"/>
  <c r="AN27" i="3"/>
  <c r="AO22" i="3"/>
  <c r="AI8" i="3"/>
  <c r="EY49" i="3"/>
  <c r="F84" i="3"/>
  <c r="CU48" i="3"/>
  <c r="FE61" i="3"/>
  <c r="EQ88" i="3"/>
  <c r="CF13" i="3"/>
  <c r="CS55" i="3"/>
  <c r="DF28" i="3"/>
  <c r="H6" i="3"/>
  <c r="L72" i="3"/>
  <c r="CE77" i="3"/>
  <c r="AZ26" i="3"/>
  <c r="DZ12" i="3"/>
  <c r="ET87" i="3"/>
  <c r="BM16" i="3"/>
  <c r="CK6" i="3"/>
  <c r="FC85" i="3"/>
  <c r="DM6" i="3"/>
  <c r="EC20" i="3"/>
  <c r="EY45" i="3"/>
  <c r="AS25" i="3"/>
  <c r="BG3" i="3"/>
  <c r="CZ8" i="3"/>
  <c r="ER37" i="3"/>
  <c r="DM87" i="3"/>
  <c r="DH38" i="3"/>
  <c r="DP2" i="3"/>
  <c r="EX79" i="3"/>
  <c r="U52" i="3"/>
  <c r="AH16" i="3"/>
  <c r="DV32" i="3"/>
  <c r="DJ33" i="3"/>
  <c r="DZ40" i="3"/>
  <c r="DB23" i="3"/>
  <c r="AC50" i="3"/>
  <c r="EZ64" i="3"/>
  <c r="EZ53" i="3"/>
  <c r="G9" i="3"/>
  <c r="EG70" i="3"/>
  <c r="EB12" i="3"/>
  <c r="E47" i="3"/>
  <c r="BS64" i="3"/>
  <c r="J79" i="3"/>
  <c r="D33" i="3"/>
  <c r="DV8" i="3"/>
  <c r="B43" i="3"/>
  <c r="AP26" i="3"/>
  <c r="M88" i="3"/>
  <c r="EM76" i="3"/>
  <c r="AI76" i="3"/>
  <c r="DP49" i="3"/>
  <c r="CX2" i="3"/>
  <c r="B84" i="3"/>
  <c r="CG77" i="3"/>
  <c r="DT3" i="3"/>
  <c r="C84" i="3"/>
  <c r="EV2" i="3"/>
  <c r="AT4" i="3"/>
  <c r="EN81" i="3"/>
  <c r="FA74" i="3"/>
  <c r="H36" i="3"/>
  <c r="AU82" i="3"/>
  <c r="CN14" i="3"/>
  <c r="DW24" i="3"/>
  <c r="CW16" i="3"/>
  <c r="N25" i="3"/>
  <c r="EO23" i="3"/>
  <c r="BF51" i="3"/>
  <c r="D38" i="3"/>
  <c r="Z28" i="3"/>
  <c r="O82" i="3"/>
  <c r="CT25" i="3"/>
  <c r="K62" i="3"/>
  <c r="D26" i="3"/>
  <c r="U44" i="3"/>
  <c r="BE48" i="3"/>
  <c r="BP91" i="3"/>
  <c r="BF47" i="3"/>
  <c r="AU77" i="3"/>
  <c r="N90" i="3"/>
  <c r="FC22" i="3"/>
  <c r="BZ49" i="3"/>
  <c r="FA39" i="3"/>
  <c r="BG14" i="3"/>
  <c r="EB31" i="3"/>
  <c r="T60" i="3"/>
  <c r="CE32" i="3"/>
  <c r="AZ62" i="3"/>
  <c r="FA17" i="3"/>
  <c r="AC40" i="3"/>
  <c r="AP67" i="3"/>
  <c r="AM89" i="3"/>
  <c r="AF77" i="3"/>
  <c r="CY27" i="3"/>
  <c r="BL23" i="3"/>
  <c r="EL31" i="3"/>
  <c r="G65" i="3"/>
  <c r="CG10" i="3"/>
  <c r="J82" i="3"/>
  <c r="EI40" i="3"/>
  <c r="FA49" i="3"/>
  <c r="EN74" i="3"/>
  <c r="EW49" i="3"/>
  <c r="FB32" i="3"/>
  <c r="DN7" i="3"/>
  <c r="AI34" i="3"/>
  <c r="W80" i="3"/>
  <c r="EW51" i="3"/>
  <c r="EO20" i="3"/>
  <c r="DO6" i="3"/>
  <c r="BW12" i="3"/>
  <c r="BM91" i="3"/>
  <c r="T38" i="3"/>
  <c r="X48" i="3"/>
  <c r="DF14" i="3"/>
  <c r="CD75" i="3"/>
  <c r="D12" i="3"/>
  <c r="EV18" i="3"/>
  <c r="Q47" i="3"/>
  <c r="AA40" i="3"/>
  <c r="L41" i="3"/>
  <c r="DJ4" i="3"/>
  <c r="AI5" i="3"/>
  <c r="P6" i="3"/>
  <c r="N47" i="3"/>
  <c r="EQ22" i="3"/>
  <c r="DS8" i="3"/>
  <c r="BY44" i="3"/>
  <c r="FE31" i="3"/>
  <c r="EG12" i="3"/>
  <c r="CR41" i="3"/>
  <c r="EM52" i="3"/>
  <c r="EM7" i="3"/>
  <c r="CC89" i="3"/>
  <c r="EG46" i="3"/>
  <c r="AA69" i="3"/>
  <c r="EV28" i="3"/>
  <c r="DR30" i="3"/>
  <c r="BT53" i="3"/>
  <c r="AQ9" i="3"/>
  <c r="E63" i="3"/>
  <c r="L44" i="3"/>
  <c r="EA36" i="3"/>
  <c r="BH53" i="3"/>
  <c r="ER21" i="3"/>
  <c r="CD19" i="3"/>
  <c r="N21" i="3"/>
  <c r="DN58" i="3"/>
  <c r="DV27" i="3"/>
  <c r="AS8" i="3"/>
  <c r="C62" i="3"/>
  <c r="CM89" i="3"/>
  <c r="DP5" i="3"/>
  <c r="Q24" i="3"/>
  <c r="V65" i="3"/>
  <c r="EA53" i="3"/>
  <c r="AP28" i="3"/>
  <c r="CD40" i="3"/>
  <c r="CQ14" i="3"/>
  <c r="BJ6" i="3"/>
  <c r="ET57" i="3"/>
  <c r="CE62" i="3"/>
  <c r="ER3" i="3"/>
  <c r="AJ29" i="3"/>
  <c r="CU17" i="3"/>
  <c r="EB42" i="3"/>
  <c r="FE4" i="3"/>
  <c r="AX66" i="3"/>
  <c r="AF13" i="3"/>
  <c r="AL13" i="3"/>
  <c r="BK17" i="3"/>
  <c r="E26" i="3"/>
  <c r="DM28" i="3"/>
  <c r="EW46" i="3"/>
  <c r="AG7" i="3"/>
  <c r="EO27" i="3"/>
  <c r="DQ54" i="3"/>
  <c r="DC9" i="3"/>
  <c r="DA9" i="3"/>
  <c r="AN19" i="3"/>
  <c r="AB19" i="3"/>
  <c r="DD23" i="3"/>
  <c r="P3" i="3"/>
  <c r="AX31" i="3"/>
  <c r="EX9" i="3"/>
  <c r="BV18" i="3"/>
  <c r="BD33" i="3"/>
  <c r="G74" i="3"/>
  <c r="BU55" i="3"/>
  <c r="EX31" i="3"/>
  <c r="EV48" i="3"/>
  <c r="CO20" i="3"/>
  <c r="CO18" i="3"/>
  <c r="ES24" i="3"/>
  <c r="AD26" i="3"/>
  <c r="CG12" i="3"/>
  <c r="EO13" i="3"/>
  <c r="EP55" i="3"/>
  <c r="R38" i="3"/>
  <c r="DG68" i="3"/>
  <c r="FE13" i="3"/>
  <c r="AC33" i="3"/>
  <c r="BZ25" i="3"/>
  <c r="EQ84" i="3"/>
  <c r="AJ30" i="3"/>
  <c r="EU85" i="3"/>
  <c r="C43" i="3"/>
  <c r="FE71" i="3"/>
  <c r="DY9" i="3"/>
  <c r="BK54" i="3"/>
  <c r="EK63" i="3"/>
  <c r="DS79" i="3"/>
  <c r="FB63" i="3"/>
  <c r="DC43" i="3"/>
  <c r="DM20" i="3"/>
  <c r="DY23" i="3"/>
  <c r="EB57" i="3"/>
  <c r="CU46" i="3"/>
  <c r="DZ11" i="3"/>
  <c r="ES87" i="3"/>
  <c r="AS26" i="3"/>
  <c r="DP38" i="3"/>
  <c r="EL82" i="3"/>
  <c r="EL19" i="3"/>
  <c r="BF8" i="3"/>
  <c r="AV14" i="3"/>
  <c r="AY24" i="3"/>
  <c r="EP22" i="3"/>
  <c r="CU64" i="3"/>
  <c r="FD85" i="3"/>
  <c r="W48" i="3"/>
  <c r="AL23" i="3"/>
  <c r="DY16" i="3"/>
  <c r="B85" i="3"/>
  <c r="E44" i="3"/>
  <c r="DN24" i="3"/>
  <c r="BK16" i="3"/>
  <c r="CU52" i="3"/>
  <c r="EG63" i="3"/>
  <c r="EJ53" i="3"/>
  <c r="ER13" i="3"/>
  <c r="EF32" i="3"/>
  <c r="N30" i="3"/>
  <c r="CR5" i="3"/>
  <c r="AI30" i="3"/>
  <c r="EN44" i="3"/>
  <c r="DK36" i="3"/>
  <c r="C49" i="3"/>
  <c r="B64" i="3"/>
  <c r="FE65" i="3"/>
  <c r="EQ85" i="3"/>
  <c r="CN7" i="3"/>
  <c r="DC15" i="3"/>
  <c r="EC30" i="3"/>
  <c r="DZ23" i="3"/>
  <c r="BT46" i="3"/>
  <c r="DN2" i="3"/>
  <c r="CP22" i="3"/>
  <c r="EG59" i="3"/>
  <c r="BK40" i="3"/>
  <c r="C22" i="3"/>
  <c r="AC5" i="3"/>
  <c r="EF23" i="3"/>
  <c r="AO29" i="3"/>
  <c r="EZ72" i="3"/>
  <c r="BK47" i="3"/>
  <c r="CJ17" i="3"/>
  <c r="X25" i="3"/>
  <c r="S44" i="3"/>
  <c r="FD58" i="3"/>
  <c r="FD35" i="3"/>
  <c r="BK13" i="3"/>
  <c r="AP24" i="3"/>
  <c r="EQ16" i="3"/>
  <c r="EE66" i="3"/>
  <c r="ES21" i="3"/>
  <c r="C80" i="3"/>
  <c r="BB18" i="3"/>
  <c r="P41" i="3"/>
  <c r="DI25" i="3"/>
  <c r="AK2" i="3"/>
  <c r="EL61" i="3"/>
  <c r="AP32" i="3"/>
  <c r="DE4" i="3"/>
  <c r="AC66" i="3"/>
  <c r="DJ11" i="3"/>
  <c r="EB10" i="3"/>
  <c r="EU3" i="3"/>
  <c r="U3" i="3"/>
  <c r="DO8" i="3"/>
  <c r="BN17" i="3"/>
  <c r="BS80" i="3"/>
  <c r="X3" i="3"/>
  <c r="CA53" i="3"/>
  <c r="DI10" i="3"/>
  <c r="AM44" i="3"/>
  <c r="CX63" i="3"/>
  <c r="Z33" i="3"/>
  <c r="AR10" i="3"/>
  <c r="CH14" i="3"/>
  <c r="FB81" i="3"/>
  <c r="N56" i="3"/>
  <c r="O40" i="3"/>
  <c r="DX11" i="3"/>
  <c r="EI35" i="3"/>
  <c r="EF6" i="3"/>
  <c r="ET43" i="3"/>
  <c r="AN10" i="3"/>
  <c r="FB27" i="3"/>
  <c r="EL44" i="3"/>
  <c r="ER51" i="3"/>
  <c r="EG6" i="3"/>
  <c r="BH7" i="3"/>
  <c r="FE89" i="3"/>
  <c r="AB30" i="3"/>
  <c r="DM74" i="3"/>
  <c r="CP18" i="3"/>
  <c r="BH76" i="3"/>
  <c r="DR2" i="3"/>
  <c r="EK47" i="3"/>
  <c r="H11" i="3"/>
  <c r="EV42" i="3"/>
  <c r="F34" i="3"/>
  <c r="AC27" i="3"/>
  <c r="DO26" i="3"/>
  <c r="EP85" i="3"/>
  <c r="DU6" i="3"/>
  <c r="DS53" i="3"/>
  <c r="ES66" i="3"/>
  <c r="O89" i="3"/>
  <c r="EY86" i="3"/>
  <c r="AA28" i="3"/>
  <c r="ES9" i="3"/>
  <c r="EH4" i="3"/>
  <c r="CK86" i="3"/>
  <c r="AV5" i="3"/>
  <c r="EQ17" i="3"/>
  <c r="AG51" i="3"/>
  <c r="M23" i="3"/>
  <c r="I63" i="3"/>
  <c r="CJ39" i="3"/>
  <c r="CF40" i="3"/>
  <c r="BC7" i="3"/>
  <c r="DN22" i="3"/>
  <c r="EU78" i="3"/>
  <c r="EK22" i="3"/>
  <c r="C15" i="3"/>
  <c r="AE19" i="3"/>
  <c r="DB58" i="3"/>
  <c r="AE39" i="3"/>
  <c r="X46" i="3"/>
  <c r="CG54" i="3"/>
  <c r="CX23" i="3"/>
  <c r="ET26" i="3"/>
  <c r="BD14" i="3"/>
  <c r="U35" i="3"/>
  <c r="E48" i="3"/>
  <c r="M14" i="3"/>
  <c r="C54" i="3"/>
  <c r="EH57" i="3"/>
  <c r="EL11" i="3"/>
  <c r="EL8" i="3"/>
  <c r="BB29" i="3"/>
  <c r="FB45" i="3"/>
  <c r="EZ18" i="3"/>
  <c r="ET36" i="3"/>
  <c r="BH32" i="3"/>
  <c r="G41" i="3"/>
  <c r="DF91" i="3"/>
  <c r="W4" i="3"/>
  <c r="AO10" i="3"/>
  <c r="CZ27" i="3"/>
  <c r="AY7" i="3"/>
  <c r="CS21" i="3"/>
  <c r="EM20" i="3"/>
  <c r="BU11" i="3"/>
  <c r="D67" i="3"/>
  <c r="EN60" i="3"/>
  <c r="BJ23" i="3"/>
  <c r="DQ22" i="3"/>
  <c r="F65" i="3"/>
  <c r="ED78" i="3"/>
  <c r="BE23" i="3"/>
  <c r="EZ2" i="3"/>
  <c r="BN2" i="3"/>
  <c r="EI43" i="3"/>
  <c r="G87" i="3"/>
  <c r="AA19" i="3"/>
  <c r="EX87" i="3"/>
  <c r="K64" i="3"/>
  <c r="EF64" i="3"/>
  <c r="CQ49" i="3"/>
  <c r="AR71" i="3"/>
  <c r="CY9" i="3"/>
  <c r="FE77" i="3"/>
  <c r="FB6" i="3"/>
  <c r="BI41" i="3"/>
  <c r="FD26" i="3"/>
  <c r="BB87" i="3"/>
  <c r="BQ46" i="3"/>
  <c r="BA3" i="3"/>
  <c r="FD29" i="3"/>
  <c r="AJ88" i="3"/>
  <c r="EH2" i="3"/>
  <c r="FE80" i="3"/>
  <c r="V20" i="3"/>
  <c r="EK81" i="3"/>
  <c r="CD16" i="3"/>
  <c r="DB21" i="3"/>
  <c r="EZ73" i="3"/>
  <c r="AU74" i="3"/>
  <c r="DJ35" i="3"/>
  <c r="ET70" i="3"/>
  <c r="EX56" i="3"/>
  <c r="CH68" i="3"/>
  <c r="EA4" i="3"/>
  <c r="EO16" i="3"/>
  <c r="BD58" i="3"/>
  <c r="AF90" i="3"/>
  <c r="AB53" i="3"/>
  <c r="DV84" i="3"/>
  <c r="AJ11" i="3"/>
  <c r="EL3" i="3"/>
  <c r="DA15" i="3"/>
  <c r="EZ6" i="3"/>
  <c r="N13" i="3"/>
  <c r="AV37" i="3"/>
  <c r="AA21" i="3"/>
  <c r="P47" i="3"/>
  <c r="AC22" i="3"/>
  <c r="EK11" i="3"/>
  <c r="ED52" i="3"/>
  <c r="AR26" i="3"/>
  <c r="AL14" i="3"/>
  <c r="O25" i="3"/>
  <c r="CA25" i="3"/>
  <c r="DK15" i="3"/>
  <c r="BF50" i="3"/>
  <c r="CP59" i="3"/>
  <c r="CO37" i="3"/>
  <c r="DZ29" i="3"/>
  <c r="ET56" i="3"/>
  <c r="DQ24" i="3"/>
  <c r="C20" i="3"/>
  <c r="AD53" i="3"/>
  <c r="Z27" i="3"/>
  <c r="K3" i="3"/>
  <c r="EY50" i="3"/>
  <c r="DH83" i="3"/>
  <c r="DL12" i="3"/>
  <c r="EU16" i="3"/>
  <c r="CR48" i="3"/>
  <c r="EG16" i="3"/>
  <c r="D84" i="3"/>
  <c r="AK14" i="3"/>
  <c r="K32" i="3"/>
  <c r="DH56" i="3"/>
  <c r="BT22" i="3"/>
  <c r="EX59" i="3"/>
  <c r="CA56" i="3"/>
  <c r="BG59" i="3"/>
  <c r="Q11" i="3"/>
  <c r="B35" i="3"/>
  <c r="EG60" i="3"/>
  <c r="I68" i="3"/>
  <c r="BM18" i="3"/>
  <c r="AD12" i="3"/>
  <c r="L49" i="3"/>
  <c r="AI6" i="3"/>
  <c r="EO70" i="3"/>
  <c r="FA79" i="3"/>
  <c r="S43" i="3"/>
  <c r="BV12" i="3"/>
  <c r="CX47" i="3"/>
  <c r="X21" i="3"/>
  <c r="BH13" i="3"/>
  <c r="CJ13" i="3"/>
  <c r="EQ35" i="3"/>
  <c r="CM72" i="3"/>
  <c r="ER84" i="3"/>
  <c r="FC45" i="3"/>
  <c r="CO17" i="3"/>
  <c r="AA89" i="3"/>
  <c r="EY9" i="3"/>
  <c r="DI40" i="3"/>
  <c r="BD7" i="3"/>
  <c r="EU80" i="3"/>
  <c r="EO35" i="3"/>
  <c r="FC37" i="3"/>
  <c r="ER85" i="3"/>
  <c r="DE23" i="3"/>
  <c r="DM19" i="3"/>
  <c r="B67" i="3"/>
  <c r="EN84" i="3"/>
  <c r="BD77" i="3"/>
  <c r="EP89" i="3"/>
  <c r="M28" i="3"/>
  <c r="R3" i="3"/>
  <c r="BR17" i="3"/>
  <c r="BF46" i="3"/>
  <c r="AI57" i="3"/>
  <c r="L27" i="3"/>
  <c r="EX24" i="3"/>
  <c r="W9" i="3"/>
  <c r="AM26" i="3"/>
  <c r="EY12" i="3"/>
  <c r="EY52" i="3"/>
  <c r="EE31" i="3"/>
  <c r="DY67" i="3"/>
  <c r="T57" i="3"/>
  <c r="DM26" i="3"/>
  <c r="BX43" i="3"/>
  <c r="DJ56" i="3"/>
  <c r="CE3" i="3"/>
  <c r="FE2" i="3"/>
  <c r="DT58" i="3"/>
  <c r="AD15" i="3"/>
  <c r="EO52" i="3"/>
  <c r="EI52" i="3"/>
  <c r="EX71" i="3"/>
  <c r="DN64" i="3"/>
  <c r="FB60" i="3"/>
  <c r="DE22" i="3"/>
  <c r="BE11" i="3"/>
  <c r="E11" i="3"/>
  <c r="ED26" i="3"/>
  <c r="AI21" i="3"/>
  <c r="AD16" i="3"/>
  <c r="BY47" i="3"/>
  <c r="BP45" i="3"/>
  <c r="EV80" i="3"/>
  <c r="DP21" i="3"/>
  <c r="AB10" i="3"/>
  <c r="ET60" i="3"/>
  <c r="DR17" i="3"/>
  <c r="EY34" i="3"/>
  <c r="BG17" i="3"/>
  <c r="I49" i="3"/>
  <c r="BG50" i="3"/>
  <c r="DC66" i="3"/>
  <c r="AM88" i="3"/>
  <c r="DP79" i="3"/>
  <c r="CP9" i="3"/>
  <c r="X16" i="3"/>
  <c r="AN36" i="3"/>
  <c r="Z59" i="3"/>
  <c r="F57" i="3"/>
  <c r="DF43" i="3"/>
  <c r="Y18" i="3"/>
  <c r="EW52" i="3"/>
  <c r="BS49" i="3"/>
  <c r="CS17" i="3"/>
  <c r="EP26" i="3"/>
  <c r="J19" i="3"/>
  <c r="FB41" i="3"/>
  <c r="FE81" i="3"/>
  <c r="T28" i="3"/>
  <c r="BX4" i="3"/>
  <c r="EE10" i="3"/>
  <c r="H18" i="3"/>
  <c r="AN6" i="3"/>
  <c r="EF54" i="3"/>
  <c r="H43" i="3"/>
  <c r="CO48" i="3"/>
  <c r="R14" i="3"/>
  <c r="CC65" i="3"/>
  <c r="EE6" i="3"/>
  <c r="W37" i="3"/>
  <c r="B65" i="3"/>
  <c r="BU66" i="3"/>
  <c r="CU15" i="3"/>
  <c r="S33" i="3"/>
  <c r="ES25" i="3"/>
  <c r="BC22" i="3"/>
  <c r="ET34" i="3"/>
  <c r="CN62" i="3"/>
  <c r="ET4" i="3"/>
  <c r="F88" i="3"/>
  <c r="D20" i="3"/>
  <c r="ER44" i="3"/>
  <c r="V54" i="3"/>
  <c r="CM7" i="3"/>
  <c r="ER57" i="3"/>
  <c r="EA60" i="3"/>
  <c r="EJ88" i="3"/>
  <c r="X31" i="3"/>
  <c r="EV77" i="3"/>
  <c r="E59" i="3"/>
  <c r="EY7" i="3"/>
  <c r="DP76" i="3"/>
  <c r="CY36" i="3"/>
  <c r="EV50" i="3"/>
  <c r="BD86" i="3"/>
  <c r="AF72" i="3"/>
  <c r="BB63" i="3"/>
  <c r="BW73" i="3"/>
  <c r="BG16" i="3"/>
  <c r="EH34" i="3"/>
  <c r="BC5" i="3"/>
  <c r="EY90" i="3"/>
  <c r="BH46" i="3"/>
  <c r="EI17" i="3"/>
  <c r="AF17" i="3"/>
  <c r="Q69" i="3"/>
  <c r="AS35" i="3"/>
  <c r="DL18" i="3"/>
  <c r="CG8" i="3"/>
  <c r="DY90" i="3"/>
  <c r="O57" i="3"/>
  <c r="M24" i="3"/>
  <c r="DF16" i="3"/>
  <c r="FE47" i="3"/>
  <c r="DA50" i="3"/>
  <c r="EV7" i="3"/>
  <c r="EB17" i="3"/>
  <c r="ED20" i="3"/>
  <c r="K52" i="3"/>
  <c r="AI23" i="3"/>
  <c r="DM49" i="3"/>
  <c r="DU77" i="3"/>
  <c r="ER17" i="3"/>
  <c r="I38" i="3"/>
  <c r="EQ76" i="3"/>
  <c r="CR28" i="3"/>
  <c r="ED6" i="3"/>
  <c r="FC18" i="3"/>
  <c r="BB11" i="3"/>
  <c r="DN31" i="3"/>
  <c r="CR12" i="3"/>
  <c r="EJ60" i="3"/>
  <c r="BB44" i="3"/>
  <c r="EO14" i="3"/>
  <c r="DS6" i="3"/>
  <c r="FB75" i="3"/>
  <c r="O21" i="3"/>
  <c r="Z57" i="3"/>
  <c r="DX52" i="3"/>
  <c r="DW82" i="3"/>
  <c r="DD14" i="3"/>
  <c r="C18" i="3"/>
  <c r="EO22" i="3"/>
  <c r="DK17" i="3"/>
  <c r="FE52" i="3"/>
  <c r="AN22" i="3"/>
  <c r="AX45" i="3"/>
  <c r="D30" i="3"/>
  <c r="F80" i="3"/>
  <c r="DF20" i="3"/>
  <c r="C39" i="3"/>
  <c r="AE60" i="3"/>
  <c r="BE55" i="3"/>
  <c r="E90" i="3"/>
  <c r="EX61" i="3"/>
  <c r="T13" i="3"/>
  <c r="DO24" i="3"/>
  <c r="BC25" i="3"/>
  <c r="R42" i="3"/>
  <c r="EJ90" i="3"/>
  <c r="ES73" i="3"/>
  <c r="AE10" i="3"/>
  <c r="DX14" i="3"/>
  <c r="CS2" i="3"/>
  <c r="EF65" i="3"/>
  <c r="EN6" i="3"/>
  <c r="BJ45" i="3"/>
  <c r="CV4" i="3"/>
  <c r="CL10" i="3"/>
  <c r="CJ88" i="3"/>
  <c r="AY25" i="3"/>
  <c r="BX6" i="3"/>
  <c r="BM35" i="3"/>
  <c r="BB7" i="3"/>
  <c r="EO89" i="3"/>
  <c r="EH27" i="3"/>
  <c r="BQ5" i="3"/>
  <c r="FB31" i="3"/>
  <c r="F32" i="3"/>
  <c r="CX11" i="3"/>
  <c r="BR15" i="3"/>
  <c r="EB86" i="3"/>
  <c r="EB2" i="3"/>
  <c r="CH15" i="3"/>
  <c r="DP87" i="3"/>
  <c r="AZ79" i="3"/>
  <c r="BU9" i="3"/>
  <c r="EW20" i="3"/>
  <c r="AG76" i="3"/>
  <c r="ET20" i="3"/>
  <c r="U83" i="3"/>
  <c r="V59" i="3"/>
  <c r="EZ35" i="3"/>
  <c r="AR50" i="3"/>
  <c r="FB65" i="3"/>
  <c r="EJ31" i="3"/>
  <c r="FB83" i="3"/>
  <c r="EL52" i="3"/>
  <c r="AL59" i="3"/>
  <c r="DK30" i="3"/>
  <c r="ED19" i="3"/>
  <c r="DL6" i="3"/>
  <c r="R16" i="3"/>
  <c r="EI75" i="3"/>
  <c r="EN80" i="3"/>
  <c r="AJ46" i="3"/>
  <c r="CC24" i="3"/>
  <c r="M7" i="3"/>
  <c r="BP17" i="3"/>
  <c r="AP27" i="3"/>
  <c r="V25" i="3"/>
  <c r="AW82" i="3"/>
  <c r="CT5" i="3"/>
  <c r="DO28" i="3"/>
  <c r="EO82" i="3"/>
  <c r="DW45" i="3"/>
  <c r="BC29" i="3"/>
  <c r="K19" i="3"/>
  <c r="DN8" i="3"/>
  <c r="CC32" i="3"/>
  <c r="AC4" i="3"/>
  <c r="EZ83" i="3"/>
  <c r="BS13" i="3"/>
  <c r="BK11" i="3"/>
  <c r="CJ48" i="3"/>
  <c r="AO57" i="3"/>
  <c r="EP78" i="3"/>
  <c r="EV35" i="3"/>
  <c r="AW52" i="3"/>
  <c r="DA47" i="3"/>
  <c r="Z32" i="3"/>
  <c r="AO28" i="3"/>
  <c r="CM5" i="3"/>
  <c r="DU67" i="3"/>
  <c r="AX12" i="3"/>
  <c r="CA10" i="3"/>
  <c r="G7" i="3"/>
  <c r="EX27" i="3"/>
  <c r="EG87" i="3"/>
  <c r="H22" i="3"/>
  <c r="R29" i="3"/>
  <c r="E80" i="3"/>
  <c r="BH27" i="3"/>
  <c r="DN68" i="3"/>
  <c r="BX14" i="3"/>
  <c r="AL36" i="3"/>
  <c r="AH74" i="3"/>
  <c r="AU22" i="3"/>
  <c r="CU3" i="3"/>
  <c r="DL29" i="3"/>
  <c r="DK20" i="3"/>
  <c r="EH90" i="3"/>
  <c r="K87" i="3"/>
  <c r="CN22" i="3"/>
  <c r="EC74" i="3"/>
  <c r="EU83" i="3"/>
  <c r="N43" i="3"/>
  <c r="ES19" i="3"/>
  <c r="EB28" i="3"/>
  <c r="BW8" i="3"/>
  <c r="J35" i="3"/>
  <c r="DL11" i="3"/>
  <c r="AY45" i="3"/>
  <c r="AX7" i="3"/>
  <c r="H52" i="3"/>
  <c r="DR54" i="3"/>
  <c r="BC3" i="3"/>
  <c r="AZ10" i="3"/>
  <c r="EE62" i="3"/>
  <c r="R55" i="3"/>
  <c r="DR4" i="3"/>
  <c r="DW90" i="3"/>
  <c r="CY62" i="3"/>
  <c r="U26" i="3"/>
  <c r="CK24" i="3"/>
  <c r="DX17" i="3"/>
  <c r="K57" i="3"/>
  <c r="DW19" i="3"/>
  <c r="AG30" i="3"/>
  <c r="CD7" i="3"/>
  <c r="BV21" i="3"/>
  <c r="ED53" i="3"/>
  <c r="EV44" i="3"/>
  <c r="CO81" i="3"/>
  <c r="EY33" i="3"/>
  <c r="CT14" i="3"/>
  <c r="FA51" i="3"/>
  <c r="K49" i="3"/>
  <c r="CI25" i="3"/>
  <c r="BG74" i="3"/>
  <c r="EU4" i="3"/>
  <c r="CF64" i="3"/>
  <c r="AX4" i="3"/>
  <c r="EG25" i="3"/>
  <c r="ER9" i="3"/>
  <c r="BA51" i="3"/>
  <c r="D9" i="3"/>
  <c r="H68" i="3"/>
  <c r="FD50" i="3"/>
  <c r="AC28" i="3"/>
  <c r="DQ4" i="3"/>
  <c r="AE74" i="3"/>
  <c r="EK33" i="3"/>
  <c r="BA75" i="3"/>
  <c r="CK46" i="3"/>
  <c r="EA52" i="3"/>
  <c r="ET90" i="3"/>
  <c r="AS73" i="3"/>
  <c r="AK25" i="3"/>
  <c r="DP27" i="3"/>
  <c r="AB56" i="3"/>
  <c r="CA31" i="3"/>
  <c r="DU58" i="3"/>
  <c r="EK52" i="3"/>
  <c r="AK11" i="3"/>
  <c r="DI6" i="3"/>
  <c r="EP87" i="3"/>
  <c r="EL32" i="3"/>
  <c r="FD32" i="3"/>
  <c r="BE3" i="3"/>
  <c r="EI56" i="3"/>
  <c r="BF66" i="3"/>
  <c r="CF53" i="3"/>
  <c r="CS44" i="3"/>
  <c r="J42" i="3"/>
  <c r="AP16" i="3"/>
  <c r="CC47" i="3"/>
  <c r="CU31" i="3"/>
  <c r="M57" i="3"/>
  <c r="EP56" i="3"/>
  <c r="CF50" i="3"/>
  <c r="R34" i="3"/>
  <c r="EW19" i="3"/>
  <c r="EI4" i="3"/>
  <c r="FE23" i="3"/>
  <c r="ER62" i="3"/>
  <c r="CU33" i="3"/>
  <c r="U61" i="3"/>
  <c r="AA18" i="3"/>
  <c r="DF25" i="3"/>
  <c r="EK72" i="3"/>
  <c r="AO26" i="3"/>
  <c r="AJ27" i="3"/>
  <c r="CV12" i="3"/>
  <c r="E12" i="3"/>
  <c r="L40" i="3"/>
  <c r="BS9" i="3"/>
  <c r="Y28" i="3"/>
  <c r="FA7" i="3"/>
  <c r="AZ14" i="3"/>
  <c r="AK8" i="3"/>
  <c r="EN15" i="3"/>
  <c r="BG58" i="3"/>
  <c r="BZ81" i="3"/>
  <c r="CA9" i="3"/>
  <c r="CL19" i="3"/>
  <c r="FB22" i="3"/>
  <c r="AQ15" i="3"/>
  <c r="X17" i="3"/>
  <c r="EC49" i="3"/>
  <c r="EX89" i="3"/>
  <c r="EQ54" i="3"/>
  <c r="CK47" i="3"/>
  <c r="EV14" i="3"/>
  <c r="AI90" i="3"/>
  <c r="ES68" i="3"/>
  <c r="DW18" i="3"/>
  <c r="ED37" i="3"/>
  <c r="DD34" i="3"/>
  <c r="AO70" i="3"/>
  <c r="D29" i="3"/>
  <c r="S42" i="3"/>
  <c r="EV69" i="3"/>
  <c r="FE10" i="3"/>
  <c r="BB57" i="3"/>
  <c r="CT64" i="3"/>
  <c r="F13" i="3"/>
  <c r="EF14" i="3"/>
  <c r="BG12" i="3"/>
  <c r="V32" i="3"/>
  <c r="EO2" i="3"/>
  <c r="EM35" i="3"/>
  <c r="EQ87" i="3"/>
  <c r="CU13" i="3"/>
  <c r="DV60" i="3"/>
  <c r="AC19" i="3"/>
  <c r="EA21" i="3"/>
  <c r="AV75" i="3"/>
  <c r="DR66" i="3"/>
  <c r="EY72" i="3"/>
  <c r="CP14" i="3"/>
  <c r="ES35" i="3"/>
  <c r="J81" i="3"/>
  <c r="BU73" i="3"/>
  <c r="EK3" i="3"/>
  <c r="AG45" i="3"/>
  <c r="AA55" i="3"/>
  <c r="DH7" i="3"/>
  <c r="BL18" i="3"/>
  <c r="AL19" i="3"/>
  <c r="X47" i="3"/>
  <c r="EK29" i="3"/>
  <c r="DH89" i="3"/>
  <c r="EI20" i="3"/>
  <c r="EW24" i="3"/>
  <c r="ER36" i="3"/>
  <c r="CP29" i="3"/>
  <c r="AB32" i="3"/>
  <c r="X58" i="3"/>
  <c r="EW14" i="3"/>
  <c r="EM89" i="3"/>
  <c r="EK26" i="3"/>
  <c r="CU23" i="3"/>
  <c r="CU18" i="3"/>
  <c r="EW31" i="3"/>
  <c r="I20" i="3"/>
  <c r="CF19" i="3"/>
  <c r="BS3" i="3"/>
  <c r="EF30" i="3"/>
  <c r="AZ16" i="3"/>
  <c r="BA48" i="3"/>
  <c r="AY29" i="3"/>
  <c r="DT86" i="3"/>
  <c r="AJ37" i="3"/>
  <c r="CY24" i="3"/>
  <c r="AR6" i="3"/>
  <c r="CP48" i="3"/>
  <c r="EY61" i="3"/>
  <c r="BP59" i="3"/>
  <c r="E86" i="3"/>
  <c r="BZ52" i="3"/>
  <c r="BA21" i="3"/>
  <c r="EX53" i="3"/>
  <c r="CM18" i="3"/>
  <c r="EB87" i="3"/>
  <c r="V27" i="3"/>
  <c r="DF15" i="3"/>
  <c r="AT31" i="3"/>
  <c r="BF6" i="3"/>
  <c r="EL85" i="3"/>
  <c r="EU25" i="3"/>
  <c r="BB10" i="3"/>
  <c r="J52" i="3"/>
  <c r="EE42" i="3"/>
  <c r="D66" i="3"/>
  <c r="EG82" i="3"/>
  <c r="CF5" i="3"/>
  <c r="BT18" i="3"/>
  <c r="DB77" i="3"/>
  <c r="CM16" i="3"/>
  <c r="AW23" i="3"/>
  <c r="AY52" i="3"/>
  <c r="EE55" i="3"/>
  <c r="EH77" i="3"/>
  <c r="FA38" i="3"/>
  <c r="BO18" i="3"/>
  <c r="BL9" i="3"/>
  <c r="EZ10" i="3"/>
  <c r="CL7" i="3"/>
  <c r="AY72" i="3"/>
  <c r="BI25" i="3"/>
  <c r="EG58" i="3"/>
  <c r="EP33" i="3"/>
  <c r="AP5" i="3"/>
  <c r="CD68" i="3"/>
  <c r="EI89" i="3"/>
  <c r="EK87" i="3"/>
  <c r="BH19" i="3"/>
  <c r="CT35" i="3"/>
  <c r="B44" i="3"/>
  <c r="EX58" i="3"/>
  <c r="BT75" i="3"/>
  <c r="CK2" i="3"/>
  <c r="FA60" i="3"/>
  <c r="CY68" i="3"/>
  <c r="CK45" i="3"/>
  <c r="AR19" i="3"/>
  <c r="DE47" i="3"/>
  <c r="EN37" i="3"/>
  <c r="DJ54" i="3"/>
  <c r="EY2" i="3"/>
  <c r="AU78" i="3"/>
  <c r="DH10" i="3"/>
  <c r="EU44" i="3"/>
  <c r="BM37" i="3"/>
  <c r="DN10" i="3"/>
  <c r="AO20" i="3"/>
  <c r="AH82" i="3"/>
  <c r="K80" i="3"/>
  <c r="EZ19" i="3"/>
  <c r="AE23" i="3"/>
  <c r="BA29" i="3"/>
  <c r="X39" i="3"/>
  <c r="EY66" i="3"/>
  <c r="CX7" i="3"/>
  <c r="EQ44" i="3"/>
  <c r="EV41" i="3"/>
  <c r="AB14" i="3"/>
  <c r="W36" i="3"/>
  <c r="O12" i="3"/>
  <c r="DA51" i="3"/>
  <c r="Y57" i="3"/>
  <c r="ET59" i="3"/>
  <c r="AD29" i="3"/>
  <c r="AT16" i="3"/>
  <c r="ES85" i="3"/>
  <c r="ED58" i="3"/>
  <c r="C16" i="3"/>
  <c r="DR28" i="3"/>
  <c r="EG17" i="3"/>
  <c r="EZ85" i="3"/>
  <c r="AM27" i="3"/>
  <c r="D11" i="3"/>
  <c r="DJ22" i="3"/>
  <c r="EU64" i="3"/>
  <c r="DV34" i="3"/>
  <c r="AA2" i="3"/>
  <c r="BU25" i="3"/>
  <c r="CP15" i="3"/>
  <c r="B13" i="3"/>
  <c r="AI19" i="3"/>
  <c r="N60" i="3"/>
  <c r="BV81" i="3"/>
  <c r="H25" i="3"/>
  <c r="H12" i="3"/>
  <c r="DB4" i="3"/>
  <c r="EG49" i="3"/>
  <c r="AZ85" i="3"/>
  <c r="O90" i="3"/>
  <c r="EF80" i="3"/>
  <c r="AW19" i="3"/>
  <c r="AT25" i="3"/>
  <c r="EW81" i="3"/>
  <c r="CR63" i="3"/>
  <c r="BX9" i="3"/>
  <c r="E36" i="3"/>
  <c r="BF12" i="3"/>
  <c r="AV87" i="3"/>
  <c r="CS25" i="3"/>
  <c r="BE28" i="3"/>
  <c r="AL15" i="3"/>
  <c r="EI62" i="3"/>
  <c r="EK39" i="3"/>
  <c r="CJ79" i="3"/>
  <c r="EN17" i="3"/>
  <c r="CC13" i="3"/>
  <c r="AK85" i="3"/>
  <c r="CQ85" i="3"/>
  <c r="H49" i="3"/>
  <c r="CH23" i="3"/>
  <c r="AB15" i="3"/>
  <c r="CV6" i="3"/>
  <c r="V17" i="3"/>
  <c r="AL22" i="3"/>
  <c r="B82" i="3"/>
  <c r="DJ55" i="3"/>
  <c r="AB3" i="3"/>
  <c r="FD13" i="3"/>
  <c r="EI71" i="3"/>
  <c r="BQ2" i="3"/>
  <c r="BJ57" i="3"/>
  <c r="EI55" i="3"/>
  <c r="EZ84" i="3"/>
  <c r="EG43" i="3"/>
  <c r="P54" i="3"/>
  <c r="AH10" i="3"/>
  <c r="CZ68" i="3"/>
  <c r="EV64" i="3"/>
  <c r="AN48" i="3"/>
  <c r="AQ28" i="3"/>
  <c r="CH18" i="3"/>
  <c r="B5" i="3"/>
  <c r="ET24" i="3"/>
  <c r="ES29" i="3"/>
  <c r="AG16" i="3"/>
  <c r="AL28" i="3"/>
  <c r="BA30" i="3"/>
  <c r="DV30" i="3"/>
  <c r="L37" i="3"/>
  <c r="EH36" i="3"/>
  <c r="EV71" i="3"/>
  <c r="EA38" i="3"/>
  <c r="BM27" i="3"/>
  <c r="DL13" i="3"/>
  <c r="EG26" i="3"/>
  <c r="EK71" i="3"/>
  <c r="BE7" i="3"/>
  <c r="BB12" i="3"/>
  <c r="W83" i="3"/>
  <c r="BX20" i="3"/>
  <c r="DH2" i="3"/>
  <c r="BT16" i="3"/>
  <c r="EL65" i="3"/>
  <c r="DI15" i="3"/>
  <c r="C37" i="3"/>
  <c r="CB54" i="3"/>
  <c r="D89" i="3"/>
  <c r="BR29" i="3"/>
  <c r="EC6" i="3"/>
  <c r="BF25" i="3"/>
  <c r="G25" i="3"/>
  <c r="EQ63" i="3"/>
  <c r="AJ80" i="3"/>
  <c r="L88" i="3"/>
  <c r="CZ72" i="3"/>
  <c r="CZ10" i="3"/>
  <c r="DR48" i="3"/>
  <c r="H86" i="3"/>
  <c r="AB27" i="3"/>
  <c r="CE14" i="3"/>
  <c r="EQ14" i="3"/>
  <c r="EB90" i="3"/>
  <c r="DB59" i="3"/>
  <c r="EE87" i="3"/>
  <c r="U5" i="3"/>
  <c r="FA21" i="3"/>
  <c r="AT48" i="3"/>
  <c r="DF21" i="3"/>
  <c r="E38" i="3"/>
  <c r="R11" i="3"/>
  <c r="AU15" i="3"/>
  <c r="FE37" i="3"/>
  <c r="CH3" i="3"/>
  <c r="DT30" i="3"/>
  <c r="AM11" i="3"/>
  <c r="Q17" i="3"/>
  <c r="EK65" i="3"/>
  <c r="BV5" i="3"/>
  <c r="C61" i="3"/>
  <c r="EP77" i="3"/>
  <c r="DH8" i="3"/>
  <c r="CB65" i="3"/>
  <c r="EI39" i="3"/>
  <c r="CR68" i="3"/>
  <c r="N9" i="3"/>
  <c r="EP58" i="3"/>
  <c r="DS89" i="3"/>
  <c r="CP23" i="3"/>
  <c r="CL29" i="3"/>
  <c r="W51" i="3"/>
  <c r="ES50" i="3"/>
  <c r="X30" i="3"/>
  <c r="BR5" i="3"/>
  <c r="EQ52" i="3"/>
  <c r="M33" i="3"/>
  <c r="DX80" i="3"/>
  <c r="CN19" i="3"/>
  <c r="FE69" i="3"/>
  <c r="CX40" i="3"/>
  <c r="Z51" i="3"/>
  <c r="Q31" i="3"/>
  <c r="AL67" i="3"/>
  <c r="FC61" i="3"/>
  <c r="F50" i="3"/>
  <c r="AV82" i="3"/>
  <c r="CW7" i="3"/>
  <c r="L56" i="3"/>
  <c r="M89" i="3"/>
  <c r="ET22" i="3"/>
  <c r="AW7" i="3"/>
  <c r="E19" i="3"/>
  <c r="DF65" i="3"/>
  <c r="R21" i="3"/>
  <c r="EJ80" i="3"/>
  <c r="AJ14" i="3"/>
  <c r="BP20" i="3"/>
  <c r="FE40" i="3"/>
  <c r="S4" i="3"/>
  <c r="DR8" i="3"/>
  <c r="M51" i="3"/>
  <c r="BJ46" i="3"/>
  <c r="DD6" i="3"/>
  <c r="H23" i="3"/>
  <c r="N16" i="3"/>
  <c r="BB25" i="3"/>
  <c r="DX4" i="3"/>
  <c r="EF15" i="3"/>
  <c r="CS54" i="3"/>
  <c r="BU51" i="3"/>
  <c r="EQ75" i="3"/>
  <c r="AM29" i="3"/>
  <c r="DI22" i="3"/>
  <c r="EH9" i="3"/>
  <c r="EF28" i="3"/>
  <c r="DO87" i="3"/>
  <c r="H35" i="3"/>
  <c r="CU16" i="3"/>
  <c r="DS90" i="3"/>
  <c r="DK39" i="3"/>
  <c r="EA51" i="3"/>
  <c r="BC40" i="3"/>
  <c r="E29" i="3"/>
  <c r="CI15" i="3"/>
  <c r="AF22" i="3"/>
  <c r="EY83" i="3"/>
  <c r="CQ4" i="3"/>
  <c r="CS37" i="3"/>
  <c r="CW19" i="3"/>
  <c r="ES56" i="3"/>
  <c r="AD2" i="3"/>
  <c r="DK12" i="3"/>
  <c r="DP18" i="3"/>
  <c r="AV9" i="3"/>
  <c r="ED76" i="3"/>
  <c r="CD71" i="3"/>
  <c r="Y2" i="3"/>
  <c r="EI58" i="3"/>
  <c r="AW26" i="3"/>
  <c r="EU50" i="3"/>
  <c r="BP74" i="3"/>
  <c r="CA22" i="3"/>
  <c r="DC27" i="3"/>
  <c r="FD64" i="3"/>
  <c r="V30" i="3"/>
  <c r="FD48" i="3"/>
  <c r="EH20" i="3"/>
  <c r="EP13" i="3"/>
  <c r="EP4" i="3"/>
  <c r="BU64" i="3"/>
  <c r="DG23" i="3"/>
  <c r="BJ3" i="3"/>
  <c r="BW30" i="3"/>
  <c r="DN45" i="3"/>
  <c r="AT26" i="3"/>
  <c r="DM9" i="3"/>
  <c r="ET80" i="3"/>
  <c r="EM46" i="3"/>
  <c r="EV70" i="3"/>
  <c r="BT23" i="3"/>
  <c r="EG24" i="3"/>
  <c r="CZ7" i="3"/>
  <c r="AE43" i="3"/>
  <c r="J28" i="3"/>
  <c r="DL3" i="3"/>
  <c r="DU10" i="3"/>
  <c r="BP24" i="3"/>
  <c r="CB24" i="3"/>
  <c r="BE68" i="3"/>
  <c r="CN24" i="3"/>
  <c r="EK45" i="3"/>
  <c r="ED11" i="3"/>
  <c r="K58" i="3"/>
  <c r="CQ18" i="3"/>
  <c r="EC35" i="3"/>
  <c r="AR33" i="3"/>
  <c r="AP83" i="3"/>
  <c r="DS55" i="3"/>
  <c r="S47" i="3"/>
  <c r="AX16" i="3"/>
  <c r="BX71" i="3"/>
  <c r="BJ11" i="3"/>
  <c r="EV38" i="3"/>
  <c r="BX51" i="3"/>
  <c r="AS41" i="3"/>
  <c r="CT56" i="3"/>
  <c r="EL54" i="3"/>
  <c r="EO49" i="3"/>
  <c r="CZ23" i="3"/>
  <c r="EY70" i="3"/>
  <c r="L52" i="3"/>
  <c r="U19" i="3"/>
  <c r="CM60" i="3"/>
  <c r="W30" i="3"/>
  <c r="EO40" i="3"/>
  <c r="V41" i="3"/>
  <c r="AP7" i="3"/>
  <c r="BN7" i="3"/>
  <c r="Z17" i="3"/>
  <c r="K27" i="3"/>
  <c r="EL20" i="3"/>
  <c r="EQ55" i="3"/>
  <c r="CM4" i="3"/>
  <c r="ET89" i="3"/>
  <c r="CS12" i="3"/>
  <c r="V24" i="3"/>
  <c r="J89" i="3"/>
  <c r="AT83" i="3"/>
  <c r="AG31" i="3"/>
  <c r="H4" i="3"/>
  <c r="DF9" i="3"/>
  <c r="DX31" i="3"/>
  <c r="O51" i="3"/>
  <c r="AB49" i="3"/>
  <c r="EU33" i="3"/>
  <c r="EJ11" i="3"/>
  <c r="AF54" i="3"/>
  <c r="DT11" i="3"/>
  <c r="AI42" i="3"/>
  <c r="EZ37" i="3"/>
  <c r="BI21" i="3"/>
  <c r="BW24" i="3"/>
  <c r="DV3" i="3"/>
  <c r="DN86" i="3"/>
  <c r="AX19" i="3"/>
  <c r="BJ8" i="3"/>
  <c r="EY21" i="3"/>
  <c r="AF10" i="3"/>
  <c r="B23" i="3"/>
  <c r="ES51" i="3"/>
  <c r="DV90" i="3"/>
  <c r="F59" i="3"/>
  <c r="CE58" i="3"/>
  <c r="EG38" i="3"/>
  <c r="AN12" i="3"/>
  <c r="AC8" i="3"/>
  <c r="K61" i="3"/>
  <c r="FB2" i="3"/>
  <c r="CV5" i="3"/>
  <c r="EI59" i="3"/>
  <c r="CC11" i="3"/>
  <c r="H29" i="3"/>
  <c r="BJ47" i="3"/>
  <c r="BD28" i="3"/>
  <c r="CM51" i="3"/>
  <c r="DM29" i="3"/>
  <c r="AW51" i="3"/>
  <c r="BC48" i="3"/>
  <c r="CO41" i="3"/>
  <c r="CR56" i="3"/>
  <c r="BB9" i="3"/>
  <c r="E67" i="3"/>
  <c r="DY14" i="3"/>
  <c r="EQ61" i="3"/>
  <c r="DU29" i="3"/>
  <c r="EI28" i="3"/>
  <c r="AX3" i="3"/>
  <c r="AS16" i="3"/>
  <c r="DC54" i="3"/>
  <c r="AY46" i="3"/>
  <c r="CN84" i="3"/>
  <c r="K5" i="3"/>
  <c r="R4" i="3"/>
  <c r="AX46" i="3"/>
  <c r="AF12" i="3"/>
  <c r="AX23" i="3"/>
  <c r="EV24" i="3"/>
  <c r="FE87" i="3"/>
  <c r="C25" i="3"/>
  <c r="CV46" i="3"/>
  <c r="D39" i="3"/>
  <c r="DX13" i="3"/>
  <c r="AU54" i="3"/>
  <c r="DC73" i="3"/>
  <c r="AQ91" i="3"/>
  <c r="BH4" i="3"/>
  <c r="X55" i="3"/>
  <c r="AV69" i="3"/>
  <c r="CN27" i="3"/>
  <c r="P18" i="3"/>
  <c r="AZ50" i="3"/>
  <c r="BK31" i="3"/>
  <c r="FB34" i="3"/>
  <c r="FD66" i="3"/>
  <c r="ER55" i="3"/>
  <c r="L38" i="3"/>
  <c r="AY91" i="3"/>
  <c r="DV19" i="3"/>
  <c r="AV13" i="3"/>
  <c r="W18" i="3"/>
  <c r="DB86" i="3"/>
  <c r="B52" i="3"/>
  <c r="CX60" i="3"/>
  <c r="B22" i="3"/>
  <c r="BY23" i="3"/>
  <c r="DP12" i="3"/>
  <c r="AP56" i="3"/>
  <c r="DJ14" i="3"/>
  <c r="AM16" i="3"/>
  <c r="BJ12" i="3"/>
  <c r="G64" i="3"/>
  <c r="AE11" i="3"/>
  <c r="O33" i="3"/>
  <c r="DR70" i="3"/>
  <c r="J39" i="3"/>
  <c r="DD46" i="3"/>
  <c r="ED36" i="3"/>
  <c r="CU55" i="3"/>
  <c r="AF31" i="3"/>
  <c r="EL42" i="3"/>
  <c r="P28" i="3"/>
  <c r="ES18" i="3"/>
  <c r="DI19" i="3"/>
  <c r="BW15" i="3"/>
  <c r="EZ49" i="3"/>
  <c r="EV31" i="3"/>
  <c r="BT42" i="3"/>
  <c r="D19" i="3"/>
  <c r="BJ51" i="3"/>
  <c r="CN9" i="3"/>
  <c r="BB8" i="3"/>
  <c r="BF54" i="3"/>
  <c r="EG23" i="3"/>
  <c r="BV4" i="3"/>
  <c r="D14" i="3"/>
  <c r="BW4" i="3"/>
  <c r="Q27" i="3"/>
  <c r="DF47" i="3"/>
  <c r="C23" i="3"/>
  <c r="H47" i="3"/>
  <c r="EP42" i="3"/>
  <c r="FC2" i="3"/>
  <c r="BX11" i="3"/>
  <c r="DV14" i="3"/>
  <c r="CO21" i="3"/>
  <c r="EP48" i="3"/>
  <c r="EF33" i="3"/>
  <c r="BA35" i="3"/>
  <c r="AY57" i="3"/>
  <c r="EP40" i="3"/>
  <c r="CV27" i="3"/>
  <c r="BL86" i="3"/>
  <c r="CA8" i="3"/>
  <c r="AQ34" i="3"/>
  <c r="CL17" i="3"/>
  <c r="AY26" i="3"/>
  <c r="AO19" i="3"/>
  <c r="T61" i="3"/>
  <c r="DB13" i="3"/>
  <c r="DA27" i="3"/>
  <c r="FD75" i="3"/>
  <c r="CO11" i="3"/>
  <c r="CR27" i="3"/>
  <c r="DX19" i="3"/>
  <c r="EM77" i="3"/>
  <c r="CY35" i="3"/>
  <c r="EN65" i="3"/>
  <c r="FE73" i="3"/>
  <c r="AJ23" i="3"/>
  <c r="D23" i="3"/>
  <c r="DA7" i="3"/>
  <c r="EE19" i="3"/>
  <c r="CW46" i="3"/>
  <c r="AZ13" i="3"/>
  <c r="DR16" i="3"/>
  <c r="EK21" i="3"/>
  <c r="CR50" i="3"/>
  <c r="H64" i="3"/>
  <c r="DP24" i="3"/>
  <c r="DD47" i="3"/>
  <c r="AD86" i="3"/>
  <c r="P43" i="3"/>
  <c r="U15" i="3"/>
  <c r="EQ78" i="3"/>
  <c r="EH46" i="3"/>
  <c r="FC58" i="3"/>
  <c r="H40" i="3"/>
  <c r="BD5" i="3"/>
  <c r="AV49" i="3"/>
  <c r="G86" i="3"/>
  <c r="AX62" i="3"/>
  <c r="EC28" i="3"/>
  <c r="CK17" i="3"/>
  <c r="EE22" i="3"/>
  <c r="P17" i="3"/>
  <c r="H50" i="3"/>
  <c r="CC18" i="3"/>
  <c r="DW22" i="3"/>
  <c r="BH3" i="3"/>
  <c r="DZ8" i="3"/>
  <c r="D57" i="3"/>
  <c r="EF24" i="3"/>
  <c r="AX6" i="3"/>
  <c r="T35" i="3"/>
  <c r="BG25" i="3"/>
  <c r="AK23" i="3"/>
  <c r="BS41" i="3"/>
  <c r="AN5" i="3"/>
  <c r="F18" i="3"/>
  <c r="CC39" i="3"/>
  <c r="AG52" i="3"/>
  <c r="BL29" i="3"/>
  <c r="DY30" i="3"/>
  <c r="F48" i="3"/>
  <c r="Y30" i="3"/>
  <c r="BM12" i="3"/>
  <c r="BZ5" i="3"/>
  <c r="DQ67" i="3"/>
  <c r="EX80" i="3"/>
  <c r="U12" i="3"/>
  <c r="AK40" i="3"/>
  <c r="DG27" i="3"/>
  <c r="Z53" i="3"/>
  <c r="I33" i="3"/>
  <c r="EU24" i="3"/>
  <c r="Z40" i="3"/>
  <c r="AY17" i="3"/>
  <c r="I90" i="3"/>
  <c r="AP23" i="3"/>
  <c r="R59" i="3"/>
  <c r="AR13" i="3"/>
  <c r="BB52" i="3"/>
  <c r="AO41" i="3"/>
  <c r="X52" i="3"/>
  <c r="BZ51" i="3"/>
  <c r="CR22" i="3"/>
  <c r="BF9" i="3"/>
  <c r="EM63" i="3"/>
  <c r="BE16" i="3"/>
  <c r="P8" i="3"/>
  <c r="BV77" i="3"/>
  <c r="EP36" i="3"/>
  <c r="FA53" i="3"/>
  <c r="DG15" i="3"/>
  <c r="BZ10" i="3"/>
  <c r="AW60" i="3"/>
  <c r="BK3" i="3"/>
  <c r="FE90" i="3"/>
  <c r="DA64" i="3"/>
  <c r="DT26" i="3"/>
  <c r="AK31" i="3"/>
  <c r="AC3" i="3"/>
  <c r="EF8" i="3"/>
  <c r="AR89" i="3"/>
  <c r="DO88" i="3"/>
  <c r="BC26" i="3"/>
  <c r="ED15" i="3"/>
  <c r="ES76" i="3"/>
  <c r="DC83" i="3"/>
  <c r="J27" i="3"/>
  <c r="DH24" i="3"/>
  <c r="ED39" i="3"/>
  <c r="EM6" i="3"/>
  <c r="L51" i="3"/>
  <c r="EH35" i="3"/>
  <c r="DS87" i="3"/>
  <c r="EC88" i="3"/>
  <c r="DI57" i="3"/>
  <c r="CW79" i="3"/>
  <c r="EH42" i="3"/>
  <c r="CY26" i="3"/>
  <c r="I15" i="3"/>
  <c r="EW29" i="3"/>
  <c r="DT16" i="3"/>
  <c r="EV3" i="3"/>
  <c r="BJ52" i="3"/>
  <c r="BF57" i="3"/>
  <c r="DG14" i="3"/>
  <c r="Z4" i="3"/>
  <c r="EU13" i="3"/>
  <c r="BM79" i="3"/>
  <c r="DA73" i="3"/>
  <c r="DS31" i="3"/>
  <c r="BG69" i="3"/>
  <c r="ER80" i="3"/>
  <c r="EW23" i="3"/>
  <c r="EH26" i="3"/>
  <c r="AK27" i="3"/>
  <c r="P20" i="3"/>
  <c r="AR21" i="3"/>
  <c r="EU77" i="3"/>
  <c r="BI61" i="3"/>
  <c r="R89" i="3"/>
  <c r="CH44" i="3"/>
  <c r="ET31" i="3"/>
  <c r="AP13" i="3"/>
  <c r="CQ52" i="3"/>
  <c r="L12" i="3"/>
  <c r="CR8" i="3"/>
  <c r="DH78" i="3"/>
  <c r="CV8" i="3"/>
  <c r="BE27" i="3"/>
  <c r="L34" i="3"/>
  <c r="C68" i="3"/>
  <c r="EV56" i="3"/>
  <c r="EK61" i="3"/>
  <c r="BE6" i="3"/>
  <c r="ER19" i="3"/>
  <c r="DI20" i="3"/>
  <c r="B30" i="3"/>
  <c r="CV17" i="3"/>
  <c r="BL27" i="3"/>
  <c r="AF52" i="3"/>
  <c r="N42" i="3"/>
  <c r="DJ20" i="3"/>
  <c r="CW15" i="3"/>
  <c r="DJ15" i="3"/>
  <c r="CF57" i="3"/>
  <c r="EO65" i="3"/>
  <c r="BN59" i="3"/>
  <c r="BR4" i="3"/>
  <c r="EM55" i="3"/>
  <c r="EQ10" i="3"/>
  <c r="DI34" i="3"/>
  <c r="F55" i="3"/>
  <c r="EM57" i="3"/>
  <c r="AA86" i="3"/>
  <c r="DG17" i="3"/>
  <c r="FD17" i="3"/>
  <c r="BI49" i="3"/>
  <c r="EZ56" i="3"/>
  <c r="BY25" i="3"/>
  <c r="DT59" i="3"/>
  <c r="DD64" i="3"/>
  <c r="AX77" i="3"/>
  <c r="FC62" i="3"/>
  <c r="CS88" i="3"/>
  <c r="DM8" i="3"/>
  <c r="Q19" i="3"/>
  <c r="B24" i="3"/>
  <c r="CU47" i="3"/>
  <c r="K15" i="3"/>
  <c r="AS43" i="3"/>
  <c r="BT7" i="3"/>
  <c r="CI59" i="3"/>
  <c r="K67" i="3"/>
  <c r="EK46" i="3"/>
  <c r="DW76" i="3"/>
  <c r="BU18" i="3"/>
  <c r="EN87" i="3"/>
  <c r="J21" i="3"/>
  <c r="EK43" i="3"/>
  <c r="I36" i="3"/>
  <c r="BJ62" i="3"/>
  <c r="BU22" i="3"/>
  <c r="CK63" i="3"/>
  <c r="EP61" i="3"/>
  <c r="Y8" i="3"/>
  <c r="AX14" i="3"/>
  <c r="AL32" i="3"/>
  <c r="BI3" i="3"/>
  <c r="DW77" i="3"/>
  <c r="CR54" i="3"/>
  <c r="P55" i="3"/>
  <c r="EQ81" i="3"/>
  <c r="CO16" i="3"/>
  <c r="AR39" i="3"/>
  <c r="F14" i="3"/>
  <c r="EL2" i="3"/>
  <c r="C6" i="3"/>
  <c r="AW50" i="3"/>
  <c r="DB37" i="3"/>
  <c r="G67" i="3"/>
  <c r="CX9" i="3"/>
  <c r="FD69" i="3"/>
  <c r="FA35" i="3"/>
  <c r="EU58" i="3"/>
  <c r="CD9" i="3"/>
  <c r="BH47" i="3"/>
  <c r="AG38" i="3"/>
  <c r="E82" i="3"/>
  <c r="AN64" i="3"/>
  <c r="CE45" i="3"/>
  <c r="DE60" i="3"/>
  <c r="BY12" i="3"/>
  <c r="BH77" i="3"/>
  <c r="BU48" i="3"/>
  <c r="ER4" i="3"/>
  <c r="FD52" i="3"/>
  <c r="I26" i="3"/>
  <c r="CL25" i="3"/>
  <c r="DR13" i="3"/>
  <c r="AL12" i="3"/>
  <c r="BQ6" i="3"/>
  <c r="CV21" i="3"/>
  <c r="DF17" i="3"/>
  <c r="CK30" i="3"/>
  <c r="ER43" i="3"/>
  <c r="DC57" i="3"/>
  <c r="D25" i="3"/>
  <c r="BA4" i="3"/>
  <c r="CZ3" i="3"/>
  <c r="DS91" i="3"/>
  <c r="BK10" i="3"/>
  <c r="U14" i="3"/>
  <c r="EY5" i="3"/>
  <c r="I85" i="3"/>
  <c r="DZ59" i="3"/>
  <c r="AE12" i="3"/>
  <c r="EA26" i="3"/>
  <c r="ER46" i="3"/>
  <c r="ER5" i="3"/>
  <c r="I43" i="3"/>
  <c r="DW16" i="3"/>
  <c r="BE85" i="3"/>
  <c r="ED3" i="3"/>
  <c r="CN12" i="3"/>
  <c r="FB66" i="3"/>
  <c r="AZ57" i="3"/>
  <c r="EP34" i="3"/>
  <c r="EZ79" i="3"/>
  <c r="DU70" i="3"/>
  <c r="DN36" i="3"/>
  <c r="DJ27" i="3"/>
  <c r="EX18" i="3"/>
  <c r="AF21" i="3"/>
  <c r="CW68" i="3"/>
  <c r="R63" i="3"/>
  <c r="EJ75" i="3"/>
  <c r="P4" i="3"/>
  <c r="AC23" i="3"/>
  <c r="BQ45" i="3"/>
  <c r="FC43" i="3"/>
  <c r="EC58" i="3"/>
  <c r="X7" i="3"/>
  <c r="EZ63" i="3"/>
  <c r="AD33" i="3"/>
  <c r="CM19" i="3"/>
  <c r="ES74" i="3"/>
  <c r="EP67" i="3"/>
  <c r="CU63" i="3"/>
  <c r="AE18" i="3"/>
  <c r="B2" i="3"/>
  <c r="DK88" i="3"/>
  <c r="EV54" i="3"/>
  <c r="FE68" i="3"/>
  <c r="EM65" i="3"/>
  <c r="DW33" i="3"/>
  <c r="AS23" i="3"/>
  <c r="DL91" i="3"/>
  <c r="X88" i="3"/>
  <c r="AZ7" i="3"/>
  <c r="BR64" i="3"/>
  <c r="CG13" i="3"/>
  <c r="N20" i="3"/>
  <c r="BO4" i="3"/>
  <c r="BR31" i="3"/>
  <c r="EE24" i="3"/>
  <c r="ES32" i="3"/>
  <c r="AZ22" i="3"/>
  <c r="AW54" i="3"/>
  <c r="DX28" i="3"/>
  <c r="AF7" i="3"/>
  <c r="EA32" i="3"/>
  <c r="DG10" i="3"/>
  <c r="ET41" i="3"/>
  <c r="CG70" i="3"/>
  <c r="CQ90" i="3"/>
  <c r="CY80" i="3"/>
  <c r="EH29" i="3"/>
  <c r="T4" i="3"/>
  <c r="BC2" i="3"/>
  <c r="EJ59" i="3"/>
  <c r="DH14" i="3"/>
  <c r="R53" i="3"/>
  <c r="BP13" i="3"/>
  <c r="AA31" i="3"/>
  <c r="H71" i="3"/>
  <c r="EY60" i="3"/>
  <c r="BV10" i="3"/>
  <c r="EK53" i="3"/>
  <c r="BT33" i="3"/>
  <c r="FE76" i="3"/>
  <c r="FC50" i="3"/>
  <c r="DS21" i="3"/>
  <c r="EY54" i="3"/>
  <c r="EY48" i="3"/>
  <c r="CX3" i="3"/>
  <c r="EX30" i="3"/>
  <c r="CD11" i="3"/>
  <c r="W35" i="3"/>
  <c r="BJ56" i="3"/>
  <c r="Q30" i="3"/>
  <c r="EZ46" i="3"/>
  <c r="M21" i="3"/>
  <c r="EL21" i="3"/>
  <c r="ET40" i="3"/>
  <c r="R32" i="3"/>
  <c r="AL73" i="3"/>
  <c r="FD42" i="3"/>
  <c r="BP83" i="3"/>
  <c r="EM23" i="3"/>
  <c r="EY82" i="3"/>
  <c r="AC51" i="3"/>
  <c r="DN66" i="3"/>
  <c r="DO70" i="3"/>
  <c r="BX15" i="3"/>
  <c r="ES52" i="3"/>
  <c r="AG53" i="3"/>
  <c r="CD47" i="3"/>
  <c r="BY40" i="3"/>
  <c r="FE54" i="3"/>
  <c r="EU12" i="3"/>
  <c r="BL44" i="3"/>
  <c r="EZ25" i="3"/>
  <c r="CK9" i="3"/>
  <c r="U2" i="3"/>
  <c r="BB60" i="3"/>
  <c r="EU56" i="3"/>
  <c r="FB17" i="3"/>
  <c r="BA10" i="3"/>
  <c r="AI22" i="3"/>
  <c r="EM37" i="3"/>
  <c r="V33" i="3"/>
  <c r="FA68" i="3"/>
  <c r="S45" i="3"/>
  <c r="EO38" i="3"/>
  <c r="AJ25" i="3"/>
  <c r="CX5" i="3"/>
  <c r="BF16" i="3"/>
  <c r="FB62" i="3"/>
  <c r="AP66" i="3"/>
  <c r="FB47" i="3"/>
  <c r="DB39" i="3"/>
  <c r="CU37" i="3"/>
  <c r="EK42" i="3"/>
  <c r="J37" i="3"/>
  <c r="FC65" i="3"/>
  <c r="EZ55" i="3"/>
  <c r="ET72" i="3"/>
  <c r="J90" i="3"/>
  <c r="DZ30" i="3"/>
  <c r="I51" i="3"/>
  <c r="CG4" i="3"/>
  <c r="Q70" i="3"/>
  <c r="Y5" i="3"/>
  <c r="BN11" i="3"/>
  <c r="BR33" i="3"/>
  <c r="BU15" i="3"/>
  <c r="ES89" i="3"/>
  <c r="EK89" i="3"/>
  <c r="P53" i="3"/>
  <c r="FD73" i="3"/>
  <c r="BO21" i="3"/>
  <c r="EY31" i="3"/>
  <c r="EW48" i="3"/>
  <c r="AB47" i="3"/>
  <c r="DS25" i="3"/>
  <c r="AD25" i="3"/>
  <c r="CX24" i="3"/>
  <c r="AE47" i="3"/>
  <c r="CU62" i="3"/>
  <c r="AU5" i="3"/>
  <c r="T90" i="3"/>
  <c r="FD19" i="3"/>
  <c r="DX12" i="3"/>
  <c r="EW76" i="3"/>
  <c r="S14" i="3"/>
  <c r="EF59" i="3"/>
  <c r="EM16" i="3"/>
  <c r="CX21" i="3"/>
  <c r="CZ83" i="3"/>
  <c r="CX19" i="3"/>
  <c r="B70" i="3"/>
  <c r="FC54" i="3"/>
  <c r="AW3" i="3"/>
  <c r="DK24" i="3"/>
  <c r="EM61" i="3"/>
  <c r="CZ14" i="3"/>
  <c r="ET23" i="3"/>
  <c r="DD57" i="3"/>
  <c r="AU24" i="3"/>
  <c r="DP4" i="3"/>
  <c r="AG9" i="3"/>
  <c r="EI9" i="3"/>
  <c r="EY18" i="3"/>
  <c r="CU28" i="3"/>
  <c r="FD81" i="3"/>
  <c r="DY31" i="3"/>
  <c r="AK7" i="3"/>
  <c r="DD12" i="3"/>
  <c r="CW21" i="3"/>
  <c r="EY81" i="3"/>
  <c r="H62" i="3"/>
  <c r="DW26" i="3"/>
  <c r="EW42" i="3"/>
  <c r="CD76" i="3"/>
  <c r="CV29" i="3"/>
  <c r="EJ72" i="3"/>
  <c r="BO70" i="3"/>
  <c r="AY47" i="3"/>
  <c r="CT3" i="3"/>
  <c r="DX54" i="3"/>
  <c r="N27" i="3"/>
  <c r="BH43" i="3"/>
  <c r="CF17" i="3"/>
  <c r="M34" i="3"/>
  <c r="EG61" i="3"/>
  <c r="EB26" i="3"/>
  <c r="BF14" i="3"/>
  <c r="N70" i="3"/>
  <c r="BO24" i="3"/>
  <c r="N22" i="3"/>
  <c r="M87" i="3"/>
  <c r="DX18" i="3"/>
  <c r="AT5" i="3"/>
  <c r="K47" i="3"/>
  <c r="CT16" i="3"/>
  <c r="CN11" i="3"/>
  <c r="CC55" i="3"/>
  <c r="BD4" i="3"/>
  <c r="EU71" i="3"/>
  <c r="EU30" i="3"/>
  <c r="AY79" i="3"/>
  <c r="BE17" i="3"/>
  <c r="EN61" i="3"/>
  <c r="F30" i="3"/>
  <c r="DA69" i="3"/>
  <c r="EK85" i="3"/>
  <c r="EU29" i="3"/>
  <c r="BG81" i="3"/>
  <c r="DP3" i="3"/>
  <c r="DO18" i="3"/>
  <c r="EN53" i="3"/>
  <c r="FD7" i="3"/>
  <c r="DB55" i="3"/>
  <c r="CQ50" i="3"/>
  <c r="AA54" i="3"/>
  <c r="DV10" i="3"/>
  <c r="FA63" i="3"/>
  <c r="EY69" i="3"/>
  <c r="X5" i="3"/>
  <c r="CF25" i="3"/>
  <c r="D53" i="3"/>
  <c r="BU63" i="3"/>
  <c r="J34" i="3"/>
  <c r="DO33" i="3"/>
  <c r="CB62" i="3"/>
  <c r="CB13" i="3"/>
  <c r="H30" i="3"/>
  <c r="BZ18" i="3"/>
  <c r="W10" i="3"/>
  <c r="BC4" i="3"/>
  <c r="AT18" i="3"/>
  <c r="CV61" i="3"/>
  <c r="BL20" i="3"/>
  <c r="BJ20" i="3"/>
  <c r="AO12" i="3"/>
  <c r="CD25" i="3"/>
  <c r="EF12" i="3"/>
  <c r="EK9" i="3"/>
  <c r="AX21" i="3"/>
  <c r="BF43" i="3"/>
  <c r="O41" i="3"/>
  <c r="EY23" i="3"/>
  <c r="AY60" i="3"/>
  <c r="AR45" i="3"/>
  <c r="AO25" i="3"/>
  <c r="DY22" i="3"/>
  <c r="DZ55" i="3"/>
  <c r="BD21" i="3"/>
  <c r="B57" i="3"/>
  <c r="EL4" i="3"/>
  <c r="K42" i="3"/>
  <c r="DH11" i="3"/>
  <c r="P90" i="3"/>
  <c r="ER87" i="3"/>
  <c r="AF18" i="3"/>
  <c r="FD67" i="3"/>
  <c r="EQ77" i="3"/>
  <c r="DD17" i="3"/>
  <c r="EX41" i="3"/>
  <c r="ER77" i="3"/>
  <c r="M10" i="3"/>
  <c r="V15" i="3"/>
  <c r="DO38" i="3"/>
  <c r="F72" i="3"/>
  <c r="ER45" i="3"/>
  <c r="O3" i="3"/>
  <c r="BW9" i="3"/>
  <c r="EX69" i="3"/>
  <c r="BV51" i="3"/>
  <c r="FC27" i="3"/>
  <c r="W13" i="3"/>
  <c r="AS18" i="3"/>
  <c r="FB36" i="3"/>
  <c r="AZ3" i="3"/>
  <c r="DF11" i="3"/>
  <c r="CQ11" i="3"/>
  <c r="BB43" i="3"/>
  <c r="I39" i="3"/>
  <c r="BP39" i="3"/>
  <c r="DT4" i="3"/>
  <c r="DR10" i="3"/>
  <c r="CC73" i="3"/>
  <c r="DH80" i="3"/>
  <c r="FB26" i="3"/>
  <c r="BZ4" i="3"/>
  <c r="CE9" i="3"/>
  <c r="R80" i="3"/>
  <c r="AV7" i="3"/>
  <c r="AE3" i="3"/>
  <c r="AN50" i="3"/>
  <c r="CE25" i="3"/>
  <c r="BB21" i="3"/>
  <c r="DF12" i="3"/>
  <c r="EZ89" i="3"/>
  <c r="EO88" i="3"/>
  <c r="FC56" i="3"/>
  <c r="EB75" i="3"/>
  <c r="DT20" i="3"/>
  <c r="CF72" i="3"/>
  <c r="D60" i="3"/>
  <c r="EM87" i="3"/>
  <c r="AG20" i="3"/>
  <c r="EN29" i="3"/>
  <c r="CG18" i="3"/>
  <c r="BH23" i="3"/>
  <c r="BN6" i="3"/>
  <c r="AX24" i="3"/>
  <c r="FA89" i="3"/>
  <c r="CY63" i="3"/>
  <c r="EH21" i="3"/>
  <c r="DF60" i="3"/>
  <c r="EX49" i="3"/>
  <c r="FC15" i="3"/>
  <c r="DB9" i="3"/>
  <c r="DA18" i="3"/>
  <c r="AK5" i="3"/>
  <c r="BM44" i="3"/>
  <c r="CI12" i="3"/>
  <c r="X38" i="3"/>
  <c r="FE24" i="3"/>
  <c r="EZ50" i="3"/>
  <c r="CG69" i="3"/>
  <c r="EJ54" i="3"/>
  <c r="CW10" i="3"/>
  <c r="DC52" i="3"/>
  <c r="FD11" i="3"/>
  <c r="EO83" i="3"/>
  <c r="AT11" i="3"/>
  <c r="ES27" i="3"/>
  <c r="EK7" i="3"/>
  <c r="EN2" i="3"/>
  <c r="AH14" i="3"/>
  <c r="EL71" i="3"/>
  <c r="DG9" i="3"/>
  <c r="EP16" i="3"/>
  <c r="AT19" i="3"/>
  <c r="ES34" i="3"/>
  <c r="BP29" i="3"/>
  <c r="AL29" i="3"/>
  <c r="AC32" i="3"/>
  <c r="ER73" i="3"/>
  <c r="DK7" i="3"/>
  <c r="DF23" i="3"/>
  <c r="EH7" i="3"/>
  <c r="BV32" i="3"/>
  <c r="DD50" i="3"/>
  <c r="EZ60" i="3"/>
  <c r="CB51" i="3"/>
  <c r="AC39" i="3"/>
  <c r="BZ20" i="3"/>
  <c r="BE49" i="3"/>
  <c r="FB53" i="3"/>
  <c r="DY12" i="3"/>
  <c r="AJ7" i="3"/>
  <c r="EQ21" i="3"/>
  <c r="BB2" i="3"/>
  <c r="FD22" i="3"/>
  <c r="K29" i="3"/>
  <c r="CK22" i="3"/>
  <c r="EP3" i="3"/>
  <c r="CP53" i="3"/>
  <c r="ER71" i="3"/>
  <c r="BV75" i="3"/>
  <c r="CM73" i="3"/>
  <c r="BD6" i="3"/>
  <c r="DY10" i="3"/>
  <c r="F25" i="3"/>
  <c r="FA64" i="3"/>
  <c r="S19" i="3"/>
  <c r="F52" i="3"/>
  <c r="FB25" i="3"/>
  <c r="Z3" i="3"/>
  <c r="AF62" i="3"/>
  <c r="D42" i="3"/>
  <c r="J87" i="3"/>
  <c r="AZ6" i="3"/>
  <c r="AK38" i="3"/>
  <c r="Q33" i="3"/>
  <c r="AW18" i="3"/>
  <c r="FC53" i="3"/>
  <c r="C90" i="3"/>
  <c r="ET85" i="3"/>
  <c r="BN9" i="3"/>
  <c r="AP19" i="3"/>
  <c r="Y9" i="3"/>
  <c r="AM61" i="3"/>
  <c r="J18" i="3"/>
  <c r="J57" i="3"/>
  <c r="BL16" i="3"/>
  <c r="AB62" i="3"/>
  <c r="EW28" i="3"/>
  <c r="DM16" i="3"/>
  <c r="CJ72" i="3"/>
  <c r="S5" i="3"/>
  <c r="DB25" i="3"/>
  <c r="DZ33" i="3"/>
  <c r="Y45" i="3"/>
  <c r="EO62" i="3"/>
  <c r="EN14" i="3"/>
  <c r="AQ27" i="3"/>
  <c r="DM3" i="3"/>
  <c r="P26" i="3"/>
  <c r="DD78" i="3"/>
  <c r="CJ19" i="3"/>
  <c r="BR8" i="3"/>
  <c r="CJ2" i="3"/>
  <c r="T54" i="3"/>
  <c r="DX27" i="3"/>
  <c r="AF29" i="3"/>
  <c r="BW21" i="3"/>
  <c r="CX20" i="3"/>
  <c r="V61" i="3"/>
  <c r="EK24" i="3"/>
  <c r="W61" i="3"/>
  <c r="CE84" i="3"/>
  <c r="T71" i="3"/>
  <c r="CT8" i="3"/>
  <c r="BT76" i="3"/>
  <c r="AO6" i="3"/>
  <c r="DQ3" i="3"/>
  <c r="BR36" i="3"/>
  <c r="G16" i="3"/>
  <c r="DA24" i="3"/>
  <c r="AT35" i="3"/>
  <c r="DW68" i="3"/>
  <c r="BH48" i="3"/>
  <c r="CO19" i="3"/>
  <c r="DC39" i="3"/>
  <c r="EQ56" i="3"/>
  <c r="BM3" i="3"/>
  <c r="EN9" i="3"/>
  <c r="C44" i="3"/>
  <c r="CT2" i="3"/>
  <c r="CN42" i="3"/>
  <c r="BX24" i="3"/>
  <c r="EW38" i="3"/>
  <c r="CQ6" i="3"/>
  <c r="CD54" i="3"/>
  <c r="BU44" i="3"/>
  <c r="FE50" i="3"/>
  <c r="EN5" i="3"/>
  <c r="BG18" i="3"/>
  <c r="BF62" i="3"/>
  <c r="FC33" i="3"/>
  <c r="BK4" i="3"/>
  <c r="ET84" i="3"/>
  <c r="EU11" i="3"/>
  <c r="DS15" i="3"/>
  <c r="CC78" i="3"/>
  <c r="AU23" i="3"/>
  <c r="DD24" i="3"/>
  <c r="EO85" i="3"/>
  <c r="DN27" i="3"/>
  <c r="EE2" i="3"/>
  <c r="G40" i="3"/>
  <c r="BD53" i="3"/>
  <c r="CI8" i="3"/>
  <c r="DT24" i="3"/>
  <c r="BN5" i="3"/>
  <c r="FE42" i="3"/>
  <c r="I16" i="3"/>
  <c r="AP4" i="3"/>
  <c r="EQ34" i="3"/>
  <c r="EY19" i="3"/>
  <c r="AX20" i="3"/>
  <c r="I44" i="3"/>
  <c r="CN23" i="3"/>
  <c r="C13" i="3"/>
  <c r="CU51" i="3"/>
  <c r="EG56" i="3"/>
  <c r="AW2" i="3"/>
  <c r="B55" i="3"/>
  <c r="EJ61" i="3"/>
  <c r="AY41" i="3"/>
  <c r="BF41" i="3"/>
  <c r="BW29" i="3"/>
  <c r="DU80" i="3"/>
  <c r="P89" i="3"/>
  <c r="AA7" i="3"/>
  <c r="D10" i="3"/>
  <c r="AG19" i="3"/>
  <c r="AQ42" i="3"/>
  <c r="H24" i="3"/>
  <c r="T7" i="3"/>
  <c r="EN75" i="3"/>
  <c r="EB27" i="3"/>
  <c r="AW13" i="3"/>
  <c r="DA26" i="3"/>
  <c r="EL77" i="3"/>
  <c r="BN82" i="3"/>
  <c r="CL57" i="3"/>
  <c r="FA13" i="3"/>
  <c r="BG65" i="3"/>
  <c r="T24" i="3"/>
  <c r="EM75" i="3"/>
  <c r="U55" i="3"/>
  <c r="BM43" i="3"/>
  <c r="X51" i="3"/>
  <c r="N33" i="3"/>
  <c r="ER64" i="3"/>
  <c r="AJ8" i="3"/>
  <c r="EJ33" i="3"/>
  <c r="S30" i="3"/>
  <c r="DQ25" i="3"/>
  <c r="EI23" i="3"/>
  <c r="CO15" i="3"/>
  <c r="EQ43" i="3"/>
  <c r="CC28" i="3"/>
  <c r="AS49" i="3"/>
  <c r="BE78" i="3"/>
  <c r="F8" i="3"/>
  <c r="DO19" i="3"/>
  <c r="V16" i="3"/>
  <c r="BF37" i="3"/>
  <c r="DT19" i="3"/>
  <c r="EV76" i="3"/>
  <c r="AW5" i="3"/>
  <c r="EE8" i="3"/>
  <c r="EN39" i="3"/>
  <c r="V22" i="3"/>
  <c r="BD61" i="3"/>
  <c r="AV53" i="3"/>
  <c r="CD14" i="3"/>
  <c r="FC48" i="3"/>
  <c r="DY57" i="3"/>
  <c r="DC23" i="3"/>
  <c r="EZ14" i="3"/>
  <c r="BN55" i="3"/>
  <c r="BE15" i="3"/>
  <c r="DC16" i="3"/>
  <c r="H57" i="3"/>
  <c r="BE22" i="3"/>
  <c r="FA16" i="3"/>
  <c r="EO87" i="3"/>
  <c r="AR55" i="3"/>
  <c r="K53" i="3"/>
  <c r="AI20" i="3"/>
  <c r="AL88" i="3"/>
  <c r="FD84" i="3"/>
  <c r="E66" i="3"/>
  <c r="EY43" i="3"/>
  <c r="CA83" i="3"/>
  <c r="BR7" i="3"/>
  <c r="BO13" i="3"/>
  <c r="EL17" i="3"/>
  <c r="CL88" i="3"/>
  <c r="ET71" i="3"/>
  <c r="X14" i="3"/>
  <c r="EM80" i="3"/>
  <c r="BP88" i="3"/>
  <c r="DX20" i="3"/>
  <c r="M50" i="3"/>
  <c r="EP80" i="3"/>
  <c r="DH20" i="3"/>
  <c r="BF22" i="3"/>
  <c r="P15" i="3"/>
  <c r="M82" i="3"/>
  <c r="DB11" i="3"/>
  <c r="DB69" i="3"/>
  <c r="EJ81" i="3"/>
  <c r="M12" i="3"/>
  <c r="CX22" i="3"/>
  <c r="DL2" i="3"/>
  <c r="DT8" i="3"/>
  <c r="EO78" i="3"/>
  <c r="FC79" i="3"/>
  <c r="BF17" i="3"/>
  <c r="AT50" i="3"/>
  <c r="CW22" i="3"/>
  <c r="G48" i="3"/>
  <c r="D64" i="3"/>
  <c r="D27" i="3"/>
  <c r="BK24" i="3"/>
  <c r="DM17" i="3"/>
  <c r="V29" i="3"/>
  <c r="EI15" i="3"/>
  <c r="BZ19" i="3"/>
  <c r="EX77" i="3"/>
  <c r="AN20" i="3"/>
  <c r="CX70" i="3"/>
  <c r="AG79" i="3"/>
  <c r="AN30" i="3"/>
  <c r="DD16" i="3"/>
  <c r="ES69" i="3"/>
  <c r="CO2" i="3"/>
  <c r="EN32" i="3"/>
  <c r="G28" i="3"/>
  <c r="CU9" i="3"/>
  <c r="DY15" i="3"/>
  <c r="EI60" i="3"/>
  <c r="CK41" i="3"/>
  <c r="CP62" i="3"/>
  <c r="AW17" i="3"/>
  <c r="C29" i="3"/>
  <c r="CB66" i="3"/>
  <c r="AN11" i="3"/>
  <c r="AZ51" i="3"/>
  <c r="DH43" i="3"/>
  <c r="AL26" i="3"/>
  <c r="BY15" i="3"/>
  <c r="Q23" i="3"/>
  <c r="EX57" i="3"/>
  <c r="O37" i="3"/>
  <c r="AC91" i="3"/>
  <c r="AZ56" i="3"/>
  <c r="BR18" i="3"/>
  <c r="Z30" i="3"/>
  <c r="CA24" i="3"/>
  <c r="EO44" i="3"/>
  <c r="EQ39" i="3"/>
  <c r="EU53" i="3"/>
  <c r="G62" i="3"/>
  <c r="CS13" i="3"/>
  <c r="S90" i="3"/>
  <c r="DH73" i="3"/>
  <c r="AC70" i="3"/>
  <c r="L59" i="3"/>
  <c r="I62" i="3"/>
  <c r="EI6" i="3"/>
  <c r="AI29" i="3"/>
  <c r="AH7" i="3"/>
  <c r="FA71" i="3"/>
  <c r="AC7" i="3"/>
  <c r="DP57" i="3"/>
  <c r="AV3" i="3"/>
  <c r="CR20" i="3"/>
  <c r="EF55" i="3"/>
  <c r="FB90" i="3"/>
  <c r="BN15" i="3"/>
  <c r="EO37" i="3"/>
  <c r="H79" i="3"/>
  <c r="B48" i="3"/>
  <c r="EU61" i="3"/>
  <c r="FA72" i="3"/>
  <c r="EX64" i="3"/>
  <c r="CF11" i="3"/>
  <c r="H28" i="3"/>
  <c r="EZ7" i="3"/>
  <c r="EY64" i="3"/>
  <c r="AJ57" i="3"/>
  <c r="FB12" i="3"/>
  <c r="S2" i="3"/>
  <c r="BY5" i="3"/>
  <c r="EQ2" i="3"/>
  <c r="AJ86" i="3"/>
  <c r="CC41" i="3"/>
  <c r="EB4" i="3"/>
  <c r="EW66" i="3"/>
  <c r="X53" i="3"/>
  <c r="FB42" i="3"/>
  <c r="DS56" i="3"/>
  <c r="FE78" i="3"/>
  <c r="AS32" i="3"/>
  <c r="AD35" i="3"/>
  <c r="ET33" i="3"/>
  <c r="T39" i="3"/>
  <c r="EE88" i="3"/>
  <c r="AJ3" i="3"/>
  <c r="AH17" i="3"/>
  <c r="AV11" i="3"/>
  <c r="AV16" i="3"/>
  <c r="O38" i="3"/>
  <c r="AH25" i="3"/>
  <c r="CO9" i="3"/>
  <c r="BL5" i="3"/>
  <c r="FA32" i="3"/>
  <c r="F54" i="3"/>
  <c r="G36" i="3"/>
  <c r="BX22" i="3"/>
  <c r="BX29" i="3"/>
  <c r="EO67" i="3"/>
  <c r="AQ25" i="3"/>
  <c r="AQ19" i="3"/>
  <c r="U37" i="3"/>
  <c r="AP30" i="3"/>
  <c r="CT57" i="3"/>
  <c r="H61" i="3"/>
  <c r="AW4" i="3"/>
  <c r="DE59" i="3"/>
  <c r="N5" i="3"/>
  <c r="EU26" i="3"/>
  <c r="DA28" i="3"/>
  <c r="EA48" i="3"/>
  <c r="X32" i="3"/>
  <c r="BT45" i="3"/>
  <c r="L57" i="3"/>
  <c r="DK16" i="3"/>
  <c r="X57" i="3"/>
  <c r="EV57" i="3"/>
  <c r="DS14" i="3"/>
  <c r="BS11" i="3"/>
  <c r="AF45" i="3"/>
  <c r="H59" i="3"/>
  <c r="CI65" i="3"/>
  <c r="DB19" i="3"/>
  <c r="AA9" i="3"/>
  <c r="EO64" i="3"/>
  <c r="AA51" i="3"/>
  <c r="CM32" i="3"/>
  <c r="EY63" i="3"/>
  <c r="BF74" i="3"/>
  <c r="EH64" i="3"/>
  <c r="O71" i="3"/>
  <c r="AK24" i="3"/>
  <c r="K79" i="3"/>
  <c r="EJ87" i="3"/>
  <c r="DA4" i="3"/>
  <c r="DF44" i="3"/>
  <c r="R23" i="3"/>
  <c r="BF53" i="3"/>
  <c r="CV66" i="3"/>
  <c r="EV36" i="3"/>
  <c r="ET28" i="3"/>
  <c r="G19" i="3"/>
  <c r="BH63" i="3"/>
  <c r="FB86" i="3"/>
  <c r="BW16" i="3"/>
  <c r="I86" i="3"/>
  <c r="CI14" i="3"/>
  <c r="V53" i="3"/>
  <c r="AJ47" i="3"/>
  <c r="FB73" i="3"/>
  <c r="DI27" i="3"/>
  <c r="BH16" i="3"/>
  <c r="S15" i="3"/>
  <c r="ET55" i="3"/>
  <c r="CV7" i="3"/>
  <c r="DA87" i="3"/>
  <c r="BS29" i="3"/>
  <c r="AU16" i="3"/>
  <c r="BE5" i="3"/>
  <c r="FD14" i="3"/>
  <c r="DG51" i="3"/>
  <c r="CE79" i="3"/>
  <c r="N7" i="3"/>
  <c r="FE74" i="3"/>
  <c r="B54" i="3"/>
  <c r="EM49" i="3"/>
  <c r="AC13" i="3"/>
  <c r="N62" i="3"/>
  <c r="EP31" i="3"/>
  <c r="AC6" i="3"/>
  <c r="BB48" i="3"/>
  <c r="AK6" i="3"/>
  <c r="BG19" i="3"/>
  <c r="AN47" i="3"/>
  <c r="AP89" i="3"/>
  <c r="W68" i="3"/>
  <c r="AZ5" i="3"/>
  <c r="EN76" i="3"/>
  <c r="Q36" i="3"/>
  <c r="EZ43" i="3"/>
  <c r="BL24" i="3"/>
  <c r="CC23" i="3"/>
  <c r="N6" i="3"/>
  <c r="EB18" i="3"/>
  <c r="FD43" i="3"/>
  <c r="AI38" i="3"/>
  <c r="AQ29" i="3"/>
  <c r="CI5" i="3"/>
  <c r="EN11" i="3"/>
  <c r="B76" i="3"/>
  <c r="BQ27" i="3"/>
  <c r="S36" i="3"/>
  <c r="F9" i="3"/>
  <c r="EB43" i="3"/>
  <c r="AW63" i="3"/>
  <c r="DX23" i="3"/>
  <c r="BJ63" i="3"/>
  <c r="ER22" i="3"/>
  <c r="DS13" i="3"/>
  <c r="BQ17" i="3"/>
  <c r="EJ28" i="3"/>
  <c r="DN28" i="3"/>
  <c r="DH19" i="3"/>
  <c r="BG27" i="3"/>
  <c r="EE89" i="3"/>
  <c r="FA59" i="3"/>
  <c r="AK20" i="3"/>
  <c r="K12" i="3"/>
  <c r="C89" i="3"/>
  <c r="BU12" i="3"/>
  <c r="FC6" i="3"/>
  <c r="BU6" i="3"/>
  <c r="DW10" i="3"/>
  <c r="EE28" i="3"/>
  <c r="AV60" i="3"/>
  <c r="CS65" i="3"/>
  <c r="AD56" i="3"/>
  <c r="AY19" i="3"/>
  <c r="BA13" i="3"/>
  <c r="O42" i="3"/>
  <c r="FE56" i="3"/>
  <c r="AY59" i="3"/>
  <c r="FD46" i="3"/>
  <c r="BZ24" i="3"/>
  <c r="EZ52" i="3"/>
  <c r="EP83" i="3"/>
  <c r="FC41" i="3"/>
  <c r="Z56" i="3"/>
  <c r="CQ19" i="3"/>
  <c r="D58" i="3"/>
  <c r="AL66" i="3"/>
  <c r="EP14" i="3"/>
  <c r="W44" i="3"/>
  <c r="U38" i="3"/>
  <c r="DH53" i="3"/>
  <c r="EO46" i="3"/>
  <c r="BX21" i="3"/>
  <c r="FD36" i="3"/>
  <c r="DJ12" i="3"/>
  <c r="CO24" i="3"/>
  <c r="F4" i="3"/>
  <c r="W60" i="3"/>
  <c r="BL22" i="3"/>
  <c r="EI5" i="3"/>
  <c r="ES78" i="3"/>
  <c r="E43" i="3"/>
  <c r="EM59" i="3"/>
  <c r="N14" i="3"/>
  <c r="EC31" i="3"/>
  <c r="EX47" i="3"/>
  <c r="CZ55" i="3"/>
  <c r="CZ76" i="3"/>
  <c r="AE17" i="3"/>
  <c r="EX65" i="3"/>
  <c r="CG14" i="3"/>
  <c r="W27" i="3"/>
  <c r="BE10" i="3"/>
  <c r="R60" i="3"/>
  <c r="B15" i="3"/>
  <c r="EY76" i="3"/>
  <c r="G20" i="3"/>
  <c r="AA13" i="3"/>
  <c r="EX46" i="3"/>
  <c r="K35" i="3"/>
  <c r="EM42" i="3"/>
  <c r="CG58" i="3"/>
  <c r="BM7" i="3"/>
  <c r="ED62" i="3"/>
  <c r="AY18" i="3"/>
  <c r="FE75" i="3"/>
  <c r="BG22" i="3"/>
  <c r="ER20" i="3"/>
  <c r="M47" i="3"/>
  <c r="EI48" i="3"/>
  <c r="EY87" i="3"/>
  <c r="S37" i="3"/>
  <c r="L16" i="3"/>
  <c r="BR10" i="3"/>
  <c r="AG23" i="3"/>
  <c r="AE36" i="3"/>
  <c r="DM13" i="3"/>
  <c r="DP33" i="3"/>
  <c r="EZ23" i="3"/>
  <c r="CC2" i="3"/>
  <c r="EF52" i="3"/>
  <c r="AR52" i="3"/>
  <c r="DP66" i="3"/>
  <c r="BH5" i="3"/>
  <c r="EJ38" i="3"/>
  <c r="BA89" i="3"/>
  <c r="FA88" i="3"/>
  <c r="Q22" i="3"/>
  <c r="CS51" i="3"/>
  <c r="EU9" i="3"/>
  <c r="W82" i="3"/>
  <c r="CX12" i="3"/>
  <c r="EY10" i="3"/>
  <c r="FB50" i="3"/>
  <c r="CZ20" i="3"/>
  <c r="EH31" i="3"/>
  <c r="CK53" i="3"/>
  <c r="E21" i="3"/>
  <c r="EK66" i="3"/>
  <c r="FE18" i="3"/>
  <c r="CA3" i="3"/>
  <c r="EJ2" i="3"/>
  <c r="EO57" i="3"/>
  <c r="EF4" i="3"/>
  <c r="AA33" i="3"/>
  <c r="BD48" i="3"/>
  <c r="DB28" i="3"/>
  <c r="DV26" i="3"/>
  <c r="W63" i="3"/>
  <c r="I8" i="3"/>
  <c r="BC58" i="3"/>
  <c r="DC7" i="3"/>
  <c r="EJ55" i="3"/>
  <c r="EJ57" i="3"/>
  <c r="CB21" i="3"/>
  <c r="EE23" i="3"/>
  <c r="U89" i="3"/>
  <c r="EU69" i="3"/>
  <c r="BE71" i="3"/>
  <c r="AY42" i="3"/>
  <c r="EQ23" i="3"/>
  <c r="BH52" i="3"/>
  <c r="FC13" i="3"/>
  <c r="V42" i="3"/>
  <c r="FD24" i="3"/>
  <c r="L50" i="3"/>
  <c r="AV12" i="3"/>
  <c r="FA66" i="3"/>
  <c r="C57" i="3"/>
  <c r="EU32" i="3"/>
  <c r="R30" i="3"/>
  <c r="N26" i="3"/>
  <c r="EF18" i="3"/>
  <c r="EE38" i="3"/>
  <c r="AR53" i="3"/>
  <c r="G10" i="3"/>
  <c r="AB18" i="3"/>
  <c r="CY8" i="3"/>
  <c r="FB71" i="3"/>
  <c r="H54" i="3"/>
  <c r="AP33" i="3"/>
  <c r="F67" i="3"/>
  <c r="X19" i="3"/>
  <c r="B62" i="3"/>
  <c r="K10" i="3"/>
  <c r="EF56" i="3"/>
  <c r="FA4" i="3"/>
  <c r="CU20" i="3"/>
  <c r="ED17" i="3"/>
  <c r="EM26" i="3"/>
  <c r="DE8" i="3"/>
  <c r="EY32" i="3"/>
  <c r="CV15" i="3"/>
  <c r="DY8" i="3"/>
  <c r="CD5" i="3"/>
  <c r="CF2" i="3"/>
  <c r="DZ9" i="3"/>
  <c r="AY51" i="3"/>
  <c r="D4" i="3"/>
  <c r="AD13" i="3"/>
  <c r="BM90" i="3"/>
  <c r="DA30" i="3"/>
  <c r="CD66" i="3"/>
  <c r="EX23" i="3"/>
  <c r="CL12" i="3"/>
  <c r="CJ4" i="3"/>
  <c r="EK82" i="3"/>
  <c r="CL18" i="3"/>
  <c r="CF49" i="3"/>
  <c r="EO90" i="3"/>
  <c r="BR41" i="3"/>
  <c r="BZ27" i="3"/>
  <c r="BS35" i="3"/>
  <c r="EV59" i="3"/>
  <c r="AE90" i="3"/>
  <c r="BM13" i="3"/>
  <c r="CL37" i="3"/>
  <c r="ED22" i="3"/>
  <c r="CM64" i="3"/>
  <c r="EC11" i="3"/>
  <c r="EX72" i="3"/>
  <c r="BF13" i="3"/>
  <c r="L65" i="3"/>
  <c r="D7" i="3"/>
  <c r="DG19" i="3"/>
  <c r="DU9" i="3"/>
  <c r="K56" i="3"/>
  <c r="EW69" i="3"/>
  <c r="EX37" i="3"/>
  <c r="T8" i="3"/>
  <c r="Q8" i="3"/>
  <c r="CX55" i="3"/>
  <c r="BU4" i="3"/>
  <c r="EX17" i="3"/>
  <c r="EQ37" i="3"/>
  <c r="C77" i="3"/>
  <c r="M30" i="3"/>
  <c r="EM72" i="3"/>
  <c r="AW32" i="3"/>
  <c r="FD76" i="3"/>
  <c r="AE8" i="3"/>
  <c r="EU36" i="3"/>
  <c r="EX51" i="3"/>
  <c r="CU8" i="3"/>
  <c r="L11" i="3"/>
  <c r="CD10" i="3"/>
  <c r="AB13" i="3"/>
  <c r="Q60" i="3"/>
  <c r="EY80" i="3"/>
  <c r="AI3" i="3"/>
  <c r="EC26" i="3"/>
  <c r="DC36" i="3"/>
  <c r="FB70" i="3"/>
  <c r="DO12" i="3"/>
  <c r="CC79" i="3"/>
  <c r="FE82" i="3"/>
  <c r="ER41" i="3"/>
  <c r="DE2" i="3"/>
  <c r="CN66" i="3"/>
  <c r="DW2" i="3"/>
  <c r="ED67" i="3"/>
  <c r="EY24" i="3"/>
  <c r="AF14" i="3"/>
  <c r="CP17" i="3"/>
  <c r="EN34" i="3"/>
  <c r="DP63" i="3"/>
  <c r="T85" i="3"/>
  <c r="FA56" i="3"/>
  <c r="ET73" i="3"/>
  <c r="EN59" i="3"/>
  <c r="FC69" i="3"/>
  <c r="EY74" i="3"/>
  <c r="DF36" i="3"/>
  <c r="ET48" i="3"/>
  <c r="AU12" i="3"/>
  <c r="E58" i="3"/>
  <c r="AM12" i="3"/>
  <c r="DI68" i="3"/>
  <c r="EI26" i="3"/>
  <c r="DV28" i="3"/>
  <c r="EH59" i="3"/>
  <c r="CJ28" i="3"/>
  <c r="W12" i="3"/>
  <c r="M35" i="3"/>
  <c r="ER8" i="3"/>
  <c r="DU28" i="3"/>
  <c r="ER61" i="3"/>
  <c r="BN4" i="3"/>
  <c r="G63" i="3"/>
  <c r="DG2" i="3"/>
  <c r="EU66" i="3"/>
  <c r="BC20" i="3"/>
  <c r="EL63" i="3"/>
  <c r="BW23" i="3"/>
  <c r="EJ10" i="3"/>
  <c r="C38" i="3"/>
  <c r="DD21" i="3"/>
  <c r="CE19" i="3"/>
  <c r="EO47" i="3"/>
  <c r="ES23" i="3"/>
  <c r="S31" i="3"/>
  <c r="O2" i="3"/>
  <c r="W25" i="3"/>
  <c r="BE57" i="3"/>
  <c r="EV43" i="3"/>
  <c r="DH6" i="3"/>
  <c r="ES80" i="3"/>
  <c r="FC25" i="3"/>
  <c r="J66" i="3"/>
  <c r="DU31" i="3"/>
  <c r="EZ90" i="3"/>
  <c r="BT9" i="3"/>
  <c r="FC51" i="3"/>
  <c r="U4" i="3"/>
  <c r="CI77" i="3"/>
  <c r="FD15" i="3"/>
  <c r="DY39" i="3"/>
  <c r="AC41" i="3"/>
  <c r="DK11" i="3"/>
  <c r="F42" i="3"/>
  <c r="EL60" i="3"/>
  <c r="AR17" i="3"/>
  <c r="EK27" i="3"/>
  <c r="BU53" i="3"/>
  <c r="AQ17" i="3"/>
  <c r="DI21" i="3"/>
  <c r="DU60" i="3"/>
  <c r="EP39" i="3"/>
  <c r="DR53" i="3"/>
  <c r="AP20" i="3"/>
  <c r="AW11" i="3"/>
  <c r="FD90" i="3"/>
  <c r="P56" i="3"/>
  <c r="BX5" i="3"/>
  <c r="O54" i="3"/>
  <c r="R5" i="3"/>
  <c r="CR87" i="3"/>
  <c r="EI70" i="3"/>
  <c r="AY14" i="3"/>
  <c r="DO11" i="3"/>
  <c r="U27" i="3"/>
  <c r="DO5" i="3"/>
  <c r="EM43" i="3"/>
  <c r="CR30" i="3"/>
  <c r="DP26" i="3"/>
  <c r="DX29" i="3"/>
  <c r="AK18" i="3"/>
  <c r="CY7" i="3"/>
  <c r="Y23" i="3"/>
  <c r="AZ59" i="3"/>
  <c r="AZ2" i="3"/>
  <c r="BC36" i="3"/>
  <c r="EK70" i="3"/>
  <c r="K20" i="3"/>
  <c r="BQ11" i="3"/>
  <c r="EQ8" i="3"/>
  <c r="DK22" i="3"/>
  <c r="BY70" i="3"/>
  <c r="BK48" i="3"/>
  <c r="CA20" i="3"/>
  <c r="EG64" i="3"/>
  <c r="U21" i="3"/>
  <c r="BX81" i="3"/>
  <c r="DC71" i="3"/>
  <c r="AX50" i="3"/>
  <c r="EW58" i="3"/>
  <c r="EP44" i="3"/>
  <c r="BO5" i="3"/>
  <c r="EQ86" i="3"/>
  <c r="EA88" i="3"/>
  <c r="P68" i="3"/>
  <c r="DG13" i="3"/>
  <c r="Z42" i="3"/>
  <c r="G43" i="3"/>
  <c r="C81" i="3"/>
  <c r="H73" i="3"/>
  <c r="ET9" i="3"/>
  <c r="FB19" i="3"/>
  <c r="EC25" i="3"/>
  <c r="CY20" i="3"/>
  <c r="E17" i="3"/>
  <c r="I5" i="3"/>
  <c r="CH55" i="3"/>
  <c r="X18" i="3"/>
  <c r="AC90" i="3"/>
  <c r="BG47" i="3"/>
  <c r="CP19" i="3"/>
  <c r="DL30" i="3"/>
  <c r="BY6" i="3"/>
  <c r="EE26" i="3"/>
  <c r="C58" i="3"/>
  <c r="BT74" i="3"/>
  <c r="BL89" i="3"/>
  <c r="AB28" i="3"/>
  <c r="DW59" i="3"/>
  <c r="CQ17" i="3"/>
  <c r="FC77" i="3"/>
  <c r="DI23" i="3"/>
  <c r="EC29" i="3"/>
  <c r="AN70" i="3"/>
  <c r="EX3" i="3"/>
  <c r="FE19" i="3"/>
  <c r="P23" i="3"/>
  <c r="EV20" i="3"/>
  <c r="EZ40" i="3"/>
  <c r="AR14" i="3"/>
  <c r="AQ21" i="3"/>
  <c r="K31" i="3"/>
  <c r="CP28" i="3"/>
  <c r="W56" i="3"/>
  <c r="FD88" i="3"/>
  <c r="CH20" i="3"/>
  <c r="AS59" i="3"/>
  <c r="G57" i="3"/>
  <c r="EJ8" i="3"/>
  <c r="BS21" i="3"/>
  <c r="C32" i="3"/>
  <c r="DW5" i="3"/>
  <c r="DA61" i="3"/>
  <c r="BL7" i="3"/>
  <c r="EB53" i="3"/>
  <c r="BF24" i="3"/>
  <c r="J77" i="3"/>
  <c r="DP25" i="3"/>
  <c r="DA3" i="3"/>
  <c r="DK3" i="3"/>
  <c r="EL62" i="3"/>
  <c r="CV16" i="3"/>
  <c r="AY58" i="3"/>
  <c r="P38" i="3"/>
  <c r="N41" i="3"/>
  <c r="DR29" i="3"/>
  <c r="EJ36" i="3"/>
  <c r="ES10" i="3"/>
  <c r="K89" i="3"/>
  <c r="EQ7" i="3"/>
  <c r="V9" i="3"/>
  <c r="DZ17" i="3"/>
  <c r="I25" i="3"/>
  <c r="EH41" i="3"/>
  <c r="AY12" i="3"/>
  <c r="CV25" i="3"/>
  <c r="AD24" i="3"/>
  <c r="BY20" i="3"/>
  <c r="H27" i="3"/>
  <c r="AD19" i="3"/>
  <c r="O24" i="3"/>
  <c r="FD5" i="3"/>
  <c r="DP89" i="3"/>
  <c r="BC17" i="3"/>
  <c r="E10" i="3"/>
  <c r="B14" i="3"/>
  <c r="CB6" i="3"/>
  <c r="FC46" i="3"/>
  <c r="DG66" i="3"/>
  <c r="DM39" i="3"/>
  <c r="CA40" i="3"/>
  <c r="AX27" i="3"/>
  <c r="DN11" i="3"/>
  <c r="J17" i="3"/>
  <c r="AE16" i="3"/>
  <c r="EG53" i="3"/>
  <c r="DZ38" i="3"/>
  <c r="AG32" i="3"/>
  <c r="AP22" i="3"/>
  <c r="F3" i="3"/>
  <c r="P25" i="3"/>
  <c r="S18" i="3"/>
  <c r="EX38" i="3"/>
  <c r="BQ19" i="3"/>
  <c r="AN9" i="3"/>
  <c r="AA56" i="3"/>
  <c r="FA24" i="3"/>
  <c r="DN23" i="3"/>
  <c r="AP41" i="3"/>
  <c r="DX6" i="3"/>
  <c r="K18" i="3"/>
  <c r="EK80" i="3"/>
  <c r="CR9" i="3"/>
  <c r="BP48" i="3"/>
  <c r="K59" i="3"/>
  <c r="AD51" i="3"/>
  <c r="Y38" i="3"/>
  <c r="L7" i="3"/>
  <c r="CR7" i="3"/>
  <c r="DB73" i="3"/>
  <c r="EL90" i="3"/>
  <c r="O11" i="3"/>
  <c r="BZ6" i="3"/>
  <c r="AN21" i="3"/>
  <c r="FD2" i="3"/>
  <c r="AB5" i="3"/>
  <c r="EU45" i="3"/>
  <c r="DY50" i="3"/>
  <c r="DL8" i="3"/>
  <c r="C34" i="3"/>
  <c r="EV81" i="3"/>
  <c r="M49" i="3"/>
  <c r="BY24" i="3"/>
  <c r="O7" i="3"/>
  <c r="M15" i="3"/>
  <c r="B53" i="3"/>
  <c r="DS18" i="3"/>
  <c r="CR24" i="3"/>
  <c r="EM9" i="3"/>
  <c r="EL24" i="3"/>
  <c r="BW11" i="3"/>
  <c r="CY11" i="3"/>
  <c r="D35" i="3"/>
  <c r="G52" i="3"/>
  <c r="DU2" i="3"/>
  <c r="EQ27" i="3"/>
  <c r="AD43" i="3"/>
  <c r="CY12" i="3"/>
  <c r="T55" i="3"/>
  <c r="AV83" i="3"/>
  <c r="BX65" i="3"/>
  <c r="BL6" i="3"/>
  <c r="BY87" i="3"/>
  <c r="FB82" i="3"/>
  <c r="EQ51" i="3"/>
  <c r="EP29" i="3"/>
  <c r="N10" i="3"/>
  <c r="BH2" i="3"/>
  <c r="BC50" i="3"/>
  <c r="X91" i="3"/>
  <c r="EN68" i="3"/>
  <c r="BX7" i="3"/>
  <c r="FC20" i="3"/>
  <c r="BA17" i="3"/>
  <c r="DC11" i="3"/>
  <c r="AL4" i="3"/>
  <c r="CQ8" i="3"/>
  <c r="EE25" i="3"/>
  <c r="DM2" i="3"/>
  <c r="EQ80" i="3"/>
  <c r="F41" i="3"/>
  <c r="CC14" i="3"/>
  <c r="B69" i="3"/>
  <c r="G34" i="3"/>
  <c r="FA31" i="3"/>
  <c r="EQ70" i="3"/>
  <c r="FE72" i="3"/>
  <c r="DJ21" i="3"/>
  <c r="CR18" i="3"/>
  <c r="I58" i="3"/>
  <c r="DE17" i="3"/>
  <c r="CO12" i="3"/>
  <c r="EZ34" i="3"/>
  <c r="C12" i="3"/>
  <c r="BG49" i="3"/>
  <c r="BT60" i="3"/>
  <c r="ED9" i="3"/>
  <c r="EJ15" i="3"/>
  <c r="EO48" i="3"/>
  <c r="EY13" i="3"/>
  <c r="N23" i="3"/>
  <c r="O35" i="3"/>
  <c r="DO90" i="3"/>
  <c r="BK30" i="3"/>
  <c r="AK9" i="3"/>
  <c r="BB64" i="3"/>
  <c r="V34" i="3"/>
  <c r="DL22" i="3"/>
  <c r="EV6" i="3"/>
  <c r="FD18" i="3"/>
  <c r="ET77" i="3"/>
  <c r="AB24" i="3"/>
  <c r="DG38" i="3"/>
  <c r="DT38" i="3"/>
  <c r="DY37" i="3"/>
  <c r="DP34" i="3"/>
  <c r="DG28" i="3"/>
  <c r="DW35" i="3"/>
  <c r="AU31" i="3"/>
  <c r="AF30" i="3"/>
  <c r="DQ37" i="3"/>
  <c r="DS35" i="3"/>
  <c r="DR36" i="3"/>
  <c r="EA35" i="3"/>
  <c r="AY36" i="3"/>
  <c r="BA34" i="3"/>
  <c r="AZ33" i="3"/>
  <c r="AZ34" i="3"/>
  <c r="C35" i="3"/>
  <c r="FD37" i="3"/>
  <c r="EI38" i="3"/>
  <c r="AI59" i="3"/>
  <c r="AB26" i="3"/>
  <c r="N3" i="3"/>
  <c r="AI7" i="3"/>
  <c r="EX7" i="3"/>
  <c r="EF2" i="3"/>
  <c r="EK2" i="3"/>
  <c r="EV37" i="3"/>
  <c r="AT34" i="3"/>
  <c r="B20" i="3"/>
  <c r="DF26" i="3"/>
  <c r="G14" i="3"/>
  <c r="M36" i="3"/>
  <c r="EB7" i="3"/>
  <c r="DK9" i="3"/>
  <c r="EF31" i="3"/>
  <c r="CJ8" i="3"/>
  <c r="DF24" i="3"/>
  <c r="I31" i="3"/>
  <c r="CH45" i="3"/>
  <c r="AP46" i="3"/>
  <c r="F46" i="3"/>
  <c r="DN67" i="3"/>
  <c r="BP64" i="3"/>
  <c r="CW64" i="3"/>
  <c r="ED31" i="3"/>
  <c r="M60" i="3" l="1"/>
  <c r="CF61" i="3"/>
  <c r="BS60" i="3"/>
  <c r="CY40" i="3"/>
  <c r="AF60" i="3"/>
  <c r="BE36" i="3"/>
  <c r="BF79" i="3"/>
  <c r="BK89" i="3"/>
  <c r="CA85" i="3"/>
  <c r="CL33" i="3"/>
  <c r="BK28" i="3"/>
  <c r="AY88" i="3"/>
  <c r="BQ25" i="3"/>
  <c r="U67" i="3"/>
  <c r="DB46" i="3"/>
  <c r="AO68" i="3"/>
  <c r="CD45" i="3"/>
  <c r="CA50" i="3"/>
  <c r="AY71" i="3"/>
  <c r="DK8" i="3"/>
  <c r="CS30" i="3"/>
  <c r="AH72" i="3"/>
  <c r="AZ20" i="3"/>
  <c r="DA76" i="3"/>
  <c r="BC67" i="3"/>
  <c r="CA69" i="3"/>
  <c r="AD39" i="3"/>
  <c r="BF67" i="3"/>
  <c r="DM86" i="3"/>
  <c r="BF73" i="3"/>
  <c r="BS2" i="3"/>
  <c r="K39" i="3"/>
  <c r="DL14" i="3"/>
  <c r="DI3" i="3"/>
  <c r="BQ83" i="3"/>
  <c r="AF28" i="3"/>
  <c r="AP31" i="3"/>
  <c r="DB22" i="3"/>
  <c r="AW29" i="3"/>
  <c r="AA3" i="3"/>
  <c r="DS7" i="3"/>
  <c r="DM27" i="3"/>
  <c r="CP5" i="3"/>
  <c r="FC40" i="3"/>
  <c r="EG35" i="3"/>
  <c r="DT91" i="3"/>
  <c r="DV91" i="3"/>
  <c r="I91" i="3"/>
  <c r="EV91" i="3"/>
  <c r="O91" i="3"/>
  <c r="DU91" i="3"/>
  <c r="DN91" i="3"/>
  <c r="W91" i="3"/>
  <c r="K91" i="3"/>
  <c r="V91" i="3"/>
  <c r="EW91" i="3"/>
  <c r="F91" i="3"/>
  <c r="L91" i="3"/>
  <c r="ED91" i="3"/>
  <c r="EI91" i="3"/>
  <c r="U91" i="3"/>
  <c r="AL91" i="3"/>
  <c r="EY91" i="3"/>
  <c r="EF91" i="3"/>
  <c r="C91" i="3"/>
  <c r="EE91" i="3"/>
  <c r="EZ91" i="3"/>
  <c r="DO91" i="3"/>
  <c r="EM91" i="3"/>
  <c r="ET91" i="3"/>
  <c r="BO91" i="3"/>
  <c r="G91" i="3"/>
  <c r="CC91" i="3"/>
  <c r="AI91" i="3"/>
  <c r="FE91" i="3"/>
  <c r="BW91" i="3"/>
  <c r="EP91" i="3"/>
  <c r="S91" i="3"/>
  <c r="H91" i="3"/>
  <c r="EL91" i="3"/>
  <c r="FA91" i="3"/>
  <c r="BX91" i="3"/>
  <c r="N91" i="3"/>
  <c r="EO91" i="3"/>
  <c r="EK91" i="3"/>
  <c r="AA91" i="3"/>
  <c r="T91" i="3"/>
  <c r="D91" i="3"/>
  <c r="EC91" i="3"/>
  <c r="EX91" i="3"/>
  <c r="E91" i="3"/>
  <c r="ES91" i="3"/>
  <c r="EJ91" i="3"/>
  <c r="ER91" i="3"/>
  <c r="M91" i="3"/>
  <c r="BZ91" i="3"/>
  <c r="EB91" i="3"/>
  <c r="EU91" i="3"/>
  <c r="AF91" i="3"/>
  <c r="BR91" i="3"/>
  <c r="DE28" i="3"/>
  <c r="AW35" i="3"/>
  <c r="DO37" i="3"/>
  <c r="EK68" i="3"/>
  <c r="BC79" i="3"/>
  <c r="DG34" i="3"/>
  <c r="DV37" i="3"/>
  <c r="CE64" i="3"/>
  <c r="AJ35" i="3"/>
  <c r="BX83" i="3"/>
  <c r="EG48" i="3"/>
  <c r="DY72" i="3"/>
  <c r="CX75" i="3"/>
  <c r="CH34" i="3"/>
  <c r="BG32" i="3"/>
  <c r="J70" i="3"/>
  <c r="AA83" i="3"/>
  <c r="AU30" i="3"/>
  <c r="AR28" i="3"/>
  <c r="AG91" i="3"/>
  <c r="CE53" i="3"/>
  <c r="BZ79" i="3"/>
  <c r="CJ89" i="3"/>
  <c r="DV44" i="3"/>
  <c r="BG84" i="3"/>
  <c r="AA75" i="3"/>
  <c r="CN71" i="3"/>
  <c r="DF57" i="3"/>
  <c r="AF73" i="3"/>
  <c r="DK65" i="3"/>
  <c r="CA89" i="3"/>
  <c r="BL55" i="3"/>
  <c r="BW87" i="3"/>
  <c r="AK35" i="3"/>
  <c r="CW87" i="3"/>
  <c r="EC79" i="3"/>
  <c r="BD70" i="3"/>
  <c r="BY89" i="3"/>
  <c r="D73" i="3"/>
  <c r="AM79" i="3"/>
  <c r="DS36" i="3"/>
  <c r="BD67" i="3"/>
  <c r="DS42" i="3"/>
  <c r="EJ41" i="3"/>
  <c r="EB71" i="3"/>
  <c r="BS82" i="3"/>
  <c r="AF40" i="3"/>
  <c r="BA72" i="3"/>
  <c r="Z43" i="3"/>
  <c r="AG42" i="3"/>
  <c r="BO30" i="3"/>
  <c r="CG86" i="3"/>
  <c r="CP37" i="3"/>
  <c r="DA55" i="3"/>
  <c r="DW43" i="3"/>
  <c r="BR30" i="3"/>
  <c r="J67" i="3"/>
  <c r="BV85" i="3"/>
  <c r="AJ56" i="3"/>
  <c r="ED70" i="3"/>
  <c r="DU63" i="3"/>
  <c r="L70" i="3"/>
  <c r="AK71" i="3"/>
  <c r="Q78" i="3"/>
  <c r="BE29" i="3"/>
  <c r="K69" i="3"/>
  <c r="CB87" i="3"/>
  <c r="BT58" i="3"/>
  <c r="DO83" i="3"/>
  <c r="DO84" i="3"/>
  <c r="DH72" i="3"/>
  <c r="DK74" i="3"/>
  <c r="DB70" i="3"/>
  <c r="DA71" i="3"/>
  <c r="DH74" i="3"/>
  <c r="DN82" i="3"/>
  <c r="DG69" i="3"/>
  <c r="DE64" i="3"/>
  <c r="DI82" i="3"/>
  <c r="DE73" i="3"/>
  <c r="DK70" i="3"/>
  <c r="DJ74" i="3"/>
  <c r="DD65" i="3"/>
  <c r="DO85" i="3"/>
  <c r="DJ82" i="3"/>
  <c r="DP84" i="3"/>
  <c r="DM83" i="3"/>
  <c r="BN54" i="3"/>
  <c r="DL83" i="3"/>
  <c r="DD70" i="3"/>
  <c r="DN83" i="3"/>
  <c r="DJ70" i="3"/>
  <c r="DG72" i="3"/>
  <c r="DE69" i="3"/>
  <c r="DP83" i="3"/>
  <c r="DF71" i="3"/>
  <c r="DB64" i="3"/>
  <c r="DP85" i="3"/>
  <c r="DJ68" i="3"/>
  <c r="DK80" i="3"/>
  <c r="DI71" i="3"/>
  <c r="DN81" i="3"/>
  <c r="DC64" i="3"/>
  <c r="DJ73" i="3"/>
  <c r="CZ71" i="3"/>
  <c r="DH69" i="3"/>
  <c r="DN80" i="3"/>
  <c r="DE63" i="3"/>
  <c r="DM82" i="3"/>
  <c r="DI69" i="3"/>
  <c r="DH71" i="3"/>
  <c r="DO82" i="3"/>
  <c r="DI70" i="3"/>
  <c r="DD72" i="3"/>
  <c r="BN56" i="3"/>
  <c r="DF73" i="3"/>
  <c r="DF72" i="3"/>
  <c r="DL81" i="3"/>
  <c r="DE71" i="3"/>
  <c r="DM81" i="3"/>
  <c r="BM54" i="3"/>
  <c r="DP80" i="3"/>
  <c r="DC68" i="3"/>
  <c r="DF69" i="3"/>
  <c r="BK50" i="3"/>
  <c r="CL44" i="3"/>
  <c r="DH65" i="3"/>
  <c r="AL50" i="3"/>
  <c r="DI72" i="3"/>
  <c r="BL45" i="3"/>
  <c r="BW44" i="3"/>
  <c r="CA44" i="3"/>
  <c r="BM49" i="3"/>
  <c r="CG49" i="3"/>
  <c r="BX48" i="3"/>
  <c r="DP45" i="3"/>
  <c r="CF52" i="3"/>
  <c r="BQ44" i="3"/>
  <c r="DU45" i="3"/>
  <c r="CG51" i="3"/>
  <c r="BM45" i="3"/>
  <c r="CE50" i="3"/>
  <c r="CC51" i="3"/>
  <c r="BT43" i="3"/>
  <c r="DA72" i="3"/>
  <c r="BT44" i="3"/>
  <c r="BS44" i="3"/>
  <c r="CH51" i="3"/>
  <c r="AC55" i="3"/>
  <c r="BW48" i="3"/>
  <c r="AK50" i="3"/>
  <c r="DR56" i="3"/>
  <c r="CE52" i="3"/>
  <c r="DE65" i="3"/>
  <c r="CH52" i="3"/>
  <c r="CF51" i="3"/>
  <c r="AE56" i="3"/>
  <c r="AP50" i="3"/>
  <c r="DJ80" i="3"/>
  <c r="BV44" i="3"/>
  <c r="DB50" i="3"/>
  <c r="BR49" i="3"/>
  <c r="BL50" i="3"/>
  <c r="DO47" i="3"/>
  <c r="CL45" i="3"/>
  <c r="CP49" i="3"/>
  <c r="BT49" i="3"/>
  <c r="CC77" i="3"/>
  <c r="CL32" i="3"/>
  <c r="DL57" i="3"/>
  <c r="EB37" i="3"/>
  <c r="BT63" i="3"/>
  <c r="DP56" i="3"/>
  <c r="EE65" i="3"/>
  <c r="DI80" i="3"/>
  <c r="DQ64" i="3"/>
  <c r="AR79" i="3"/>
  <c r="BK87" i="3"/>
  <c r="CW26" i="3"/>
  <c r="DI29" i="3"/>
  <c r="E75" i="3"/>
  <c r="CP89" i="3"/>
  <c r="AW39" i="3"/>
  <c r="CB86" i="3"/>
  <c r="EF77" i="3"/>
  <c r="AA85" i="3"/>
  <c r="DP43" i="3"/>
  <c r="AB76" i="3"/>
  <c r="AG71" i="3"/>
  <c r="BP78" i="3"/>
  <c r="EE80" i="3"/>
  <c r="CT58" i="3"/>
  <c r="CL67" i="3"/>
  <c r="F78" i="3"/>
  <c r="EH69" i="3"/>
  <c r="AT55" i="3"/>
  <c r="EC42" i="3"/>
  <c r="DR41" i="3"/>
  <c r="CX91" i="3"/>
  <c r="BT31" i="3"/>
  <c r="BF83" i="3"/>
  <c r="AM68" i="3"/>
  <c r="CJ70" i="3"/>
  <c r="BR52" i="3"/>
  <c r="BW59" i="3"/>
  <c r="BT37" i="3"/>
  <c r="AA71" i="3"/>
  <c r="Q79" i="3"/>
  <c r="CT61" i="3"/>
  <c r="BG39" i="3"/>
  <c r="U74" i="3"/>
  <c r="CR75" i="3"/>
  <c r="CD41" i="3"/>
  <c r="AA88" i="3"/>
  <c r="Z66" i="3"/>
  <c r="AY61" i="3"/>
  <c r="V78" i="3"/>
  <c r="CT30" i="3"/>
  <c r="DW67" i="3"/>
  <c r="CU58" i="3"/>
  <c r="BX31" i="3"/>
  <c r="BT54" i="3"/>
  <c r="J73" i="3"/>
  <c r="BG40" i="3"/>
  <c r="BS81" i="3"/>
  <c r="DW71" i="3"/>
  <c r="BO60" i="3"/>
  <c r="CB84" i="3"/>
  <c r="CB83" i="3"/>
  <c r="AE86" i="3"/>
  <c r="AN52" i="3"/>
  <c r="AV71" i="3"/>
  <c r="R88" i="3"/>
  <c r="R73" i="3"/>
  <c r="DG55" i="3"/>
  <c r="U69" i="3"/>
  <c r="W86" i="3"/>
  <c r="AE72" i="3"/>
  <c r="BS51" i="3"/>
  <c r="BL84" i="3"/>
  <c r="CB34" i="3"/>
  <c r="DZ76" i="3"/>
  <c r="T78" i="3"/>
  <c r="DS75" i="3"/>
  <c r="CN54" i="3"/>
  <c r="CM86" i="3"/>
  <c r="AH63" i="3"/>
  <c r="V68" i="3"/>
  <c r="AV64" i="3"/>
  <c r="BA81" i="3"/>
  <c r="Y75" i="3"/>
  <c r="AN89" i="3"/>
  <c r="EI85" i="3"/>
  <c r="AT64" i="3"/>
  <c r="AX39" i="3"/>
  <c r="CL51" i="3"/>
  <c r="DQ28" i="3"/>
  <c r="AX28" i="3"/>
  <c r="AQ90" i="3"/>
  <c r="BS57" i="3"/>
  <c r="DT74" i="3"/>
  <c r="DX77" i="3"/>
  <c r="AC87" i="3"/>
  <c r="DQ57" i="3"/>
  <c r="DL44" i="3"/>
  <c r="CB53" i="3"/>
  <c r="BQ72" i="3"/>
  <c r="CQ67" i="3"/>
  <c r="EG71" i="3"/>
  <c r="Y80" i="3"/>
  <c r="BR90" i="3"/>
  <c r="Y76" i="3"/>
  <c r="E73" i="3"/>
  <c r="AC81" i="3"/>
  <c r="P64" i="3"/>
  <c r="BT59" i="3"/>
  <c r="BQ85" i="3"/>
  <c r="DY77" i="3"/>
  <c r="BN42" i="3"/>
  <c r="CY85" i="3"/>
  <c r="Y65" i="3"/>
  <c r="DO80" i="3"/>
  <c r="Y78" i="3"/>
  <c r="W39" i="3"/>
  <c r="CA42" i="3"/>
  <c r="CL90" i="3"/>
  <c r="Y71" i="3"/>
  <c r="AF42" i="3"/>
  <c r="BL35" i="3"/>
  <c r="CT86" i="3"/>
  <c r="EG75" i="3"/>
  <c r="AT56" i="3"/>
  <c r="W81" i="3"/>
  <c r="CG89" i="3"/>
  <c r="DL80" i="3"/>
  <c r="Q39" i="3"/>
  <c r="CN31" i="3"/>
  <c r="DH66" i="3"/>
  <c r="AF85" i="3"/>
  <c r="DV69" i="3"/>
  <c r="DN70" i="3"/>
  <c r="CD90" i="3"/>
  <c r="BF31" i="3"/>
  <c r="BB85" i="3"/>
  <c r="DW44" i="3"/>
  <c r="AI70" i="3"/>
  <c r="AV55" i="3"/>
  <c r="BM52" i="3"/>
  <c r="EF78" i="3"/>
  <c r="DE82" i="3"/>
  <c r="AG87" i="3"/>
  <c r="D75" i="3"/>
  <c r="DR82" i="3"/>
  <c r="BD82" i="3"/>
  <c r="CD38" i="3"/>
  <c r="DR63" i="3"/>
  <c r="BX89" i="3"/>
  <c r="AW91" i="3"/>
  <c r="AN39" i="3"/>
  <c r="BL63" i="3"/>
  <c r="AJ81" i="3"/>
  <c r="T40" i="3"/>
  <c r="DI53" i="3"/>
  <c r="BJ89" i="3"/>
  <c r="CK33" i="3"/>
  <c r="AL85" i="3"/>
  <c r="CA62" i="3"/>
  <c r="CH78" i="3"/>
  <c r="BT28" i="3"/>
  <c r="DZ74" i="3"/>
  <c r="CM63" i="3"/>
  <c r="BP90" i="3"/>
  <c r="AB75" i="3"/>
  <c r="BA79" i="3"/>
  <c r="DL67" i="3"/>
  <c r="BZ88" i="3"/>
  <c r="CT53" i="3"/>
  <c r="DI75" i="3"/>
  <c r="BH62" i="3"/>
  <c r="AP43" i="3"/>
  <c r="CN37" i="3"/>
  <c r="AF88" i="3"/>
  <c r="AV48" i="3"/>
  <c r="AT40" i="3"/>
  <c r="AC69" i="3"/>
  <c r="CI66" i="3"/>
  <c r="CS91" i="3"/>
  <c r="ED38" i="3"/>
  <c r="CD67" i="3"/>
  <c r="AX55" i="3"/>
  <c r="M69" i="3"/>
  <c r="AK73" i="3"/>
  <c r="BG70" i="3"/>
  <c r="CO90" i="3"/>
  <c r="CY84" i="3"/>
  <c r="DR39" i="3"/>
  <c r="S71" i="3"/>
  <c r="BA64" i="3"/>
  <c r="AL68" i="3"/>
  <c r="CO86" i="3"/>
  <c r="DK69" i="3"/>
  <c r="BG33" i="3"/>
  <c r="CX77" i="3"/>
  <c r="EA77" i="3"/>
  <c r="N78" i="3"/>
  <c r="AS34" i="3"/>
  <c r="BB30" i="3"/>
  <c r="BM76" i="3"/>
  <c r="DX62" i="3"/>
  <c r="CL53" i="3"/>
  <c r="EK41" i="3"/>
  <c r="AZ46" i="3"/>
  <c r="BP61" i="3"/>
  <c r="BN78" i="3"/>
  <c r="AO38" i="3"/>
  <c r="DC30" i="3"/>
  <c r="CP24" i="3"/>
  <c r="AE70" i="3"/>
  <c r="CV88" i="3"/>
  <c r="BO56" i="3"/>
  <c r="CV83" i="3"/>
  <c r="R72" i="3"/>
  <c r="AL64" i="3"/>
  <c r="AG75" i="3"/>
  <c r="EA78" i="3"/>
  <c r="CF87" i="3"/>
  <c r="DL90" i="3"/>
  <c r="P40" i="3"/>
  <c r="L78" i="3"/>
  <c r="AL70" i="3"/>
  <c r="CR77" i="3"/>
  <c r="CM57" i="3"/>
  <c r="K77" i="3"/>
  <c r="DP78" i="3"/>
  <c r="M66" i="3"/>
  <c r="BI84" i="3"/>
  <c r="DM64" i="3"/>
  <c r="BX57" i="3"/>
  <c r="AG74" i="3"/>
  <c r="BL68" i="3"/>
  <c r="BX53" i="3"/>
  <c r="Z77" i="3"/>
  <c r="AJ59" i="3"/>
  <c r="DR60" i="3"/>
  <c r="DC91" i="3"/>
  <c r="EP41" i="3"/>
  <c r="DX40" i="3"/>
  <c r="BL73" i="3"/>
  <c r="CZ82" i="3"/>
  <c r="AX72" i="3"/>
  <c r="AQ36" i="3"/>
  <c r="AX36" i="3"/>
  <c r="CX72" i="3"/>
  <c r="CQ29" i="3"/>
  <c r="AH85" i="3"/>
  <c r="EM78" i="3"/>
  <c r="BI87" i="3"/>
  <c r="AE83" i="3"/>
  <c r="BY68" i="3"/>
  <c r="DF77" i="3"/>
  <c r="DQ59" i="3"/>
  <c r="CA32" i="3"/>
  <c r="BJ85" i="3"/>
  <c r="AH70" i="3"/>
  <c r="V77" i="3"/>
  <c r="CR42" i="3"/>
  <c r="DE34" i="3"/>
  <c r="EH49" i="3"/>
  <c r="CZ30" i="3"/>
  <c r="DM62" i="3"/>
  <c r="EE74" i="3"/>
  <c r="CM70" i="3"/>
  <c r="AU42" i="3"/>
  <c r="BX88" i="3"/>
  <c r="CW44" i="3"/>
  <c r="CF41" i="3"/>
  <c r="AG44" i="3"/>
  <c r="CI70" i="3"/>
  <c r="DM48" i="3"/>
  <c r="AK62" i="3"/>
  <c r="DI86" i="3"/>
  <c r="CN88" i="3"/>
  <c r="BU36" i="3"/>
  <c r="CI71" i="3"/>
  <c r="EH72" i="3"/>
  <c r="EH73" i="3"/>
  <c r="S69" i="3"/>
  <c r="Z62" i="3"/>
  <c r="AR70" i="3"/>
  <c r="Z82" i="3"/>
  <c r="EE68" i="3"/>
  <c r="DZ77" i="3"/>
  <c r="DY76" i="3"/>
  <c r="BW88" i="3"/>
  <c r="CX34" i="3"/>
  <c r="CA82" i="3"/>
  <c r="CI85" i="3"/>
  <c r="AW33" i="3"/>
  <c r="BZ32" i="3"/>
  <c r="CV58" i="3"/>
  <c r="CC21" i="3"/>
  <c r="Z50" i="3"/>
  <c r="CM27" i="3"/>
  <c r="DU72" i="3"/>
  <c r="CR83" i="3"/>
  <c r="CF91" i="3"/>
  <c r="BE66" i="3"/>
  <c r="EF73" i="3"/>
  <c r="V67" i="3"/>
  <c r="CO78" i="3"/>
  <c r="EL49" i="3"/>
  <c r="DE86" i="3"/>
  <c r="T42" i="3"/>
  <c r="BE88" i="3"/>
  <c r="AC47" i="3"/>
  <c r="C72" i="3"/>
  <c r="AC77" i="3"/>
  <c r="DB48" i="3"/>
  <c r="BW37" i="3"/>
  <c r="BM33" i="3"/>
  <c r="AB33" i="3"/>
  <c r="EA80" i="3"/>
  <c r="CO69" i="3"/>
  <c r="DD79" i="3"/>
  <c r="BV78" i="3"/>
  <c r="CG34" i="3"/>
  <c r="CC80" i="3"/>
  <c r="DY84" i="3"/>
  <c r="AP40" i="3"/>
  <c r="DB82" i="3"/>
  <c r="CG28" i="3"/>
  <c r="Q74" i="3"/>
  <c r="C75" i="3"/>
  <c r="CH32" i="3"/>
  <c r="DV63" i="3"/>
  <c r="AM91" i="3"/>
  <c r="U68" i="3"/>
  <c r="AM66" i="3"/>
  <c r="CX71" i="3"/>
  <c r="DV54" i="3"/>
  <c r="EF48" i="3"/>
  <c r="DW36" i="3"/>
  <c r="BN69" i="3"/>
  <c r="W79" i="3"/>
  <c r="DF46" i="3"/>
  <c r="DS73" i="3"/>
  <c r="M80" i="3"/>
  <c r="DG41" i="3"/>
  <c r="CA87" i="3"/>
  <c r="S79" i="3"/>
  <c r="DE72" i="3"/>
  <c r="BD68" i="3"/>
  <c r="CH71" i="3"/>
  <c r="BP79" i="3"/>
  <c r="BF38" i="3"/>
  <c r="CW56" i="3"/>
  <c r="CS75" i="3"/>
  <c r="CR45" i="3"/>
  <c r="DA89" i="3"/>
  <c r="CF85" i="3"/>
  <c r="CK76" i="3"/>
  <c r="AD62" i="3"/>
  <c r="AN54" i="3"/>
  <c r="AF86" i="3"/>
  <c r="AI32" i="3"/>
  <c r="DP72" i="3"/>
  <c r="I79" i="3"/>
  <c r="CY78" i="3"/>
  <c r="AA78" i="3"/>
  <c r="CR79" i="3"/>
  <c r="EC73" i="3"/>
  <c r="DR62" i="3"/>
  <c r="BX28" i="3"/>
  <c r="AK39" i="3"/>
  <c r="AI86" i="3"/>
  <c r="BH88" i="3"/>
  <c r="CB27" i="3"/>
  <c r="CK27" i="3"/>
  <c r="DS74" i="3"/>
  <c r="AS72" i="3"/>
  <c r="DP48" i="3"/>
  <c r="DD58" i="3"/>
  <c r="I70" i="3"/>
  <c r="CP43" i="3"/>
  <c r="DV74" i="3"/>
  <c r="BJ61" i="3"/>
  <c r="BW39" i="3"/>
  <c r="DC88" i="3"/>
  <c r="EJ50" i="3"/>
  <c r="DY75" i="3"/>
  <c r="BJ35" i="3"/>
  <c r="DO79" i="3"/>
  <c r="CA34" i="3"/>
  <c r="R49" i="3"/>
  <c r="AT42" i="3"/>
  <c r="CV31" i="3"/>
  <c r="BH70" i="3"/>
  <c r="AP75" i="3"/>
  <c r="BB69" i="3"/>
  <c r="CQ40" i="3"/>
  <c r="AT60" i="3"/>
  <c r="DZ72" i="3"/>
  <c r="Q72" i="3"/>
  <c r="AW85" i="3"/>
  <c r="CX89" i="3"/>
  <c r="CL80" i="3"/>
  <c r="BC34" i="3"/>
  <c r="AF71" i="3"/>
  <c r="Q81" i="3"/>
  <c r="BK59" i="3"/>
  <c r="AI65" i="3"/>
  <c r="BR58" i="3"/>
  <c r="BC33" i="3"/>
  <c r="N69" i="3"/>
  <c r="CD89" i="3"/>
  <c r="AP79" i="3"/>
  <c r="CV32" i="3"/>
  <c r="BL80" i="3"/>
  <c r="S70" i="3"/>
  <c r="ED65" i="3"/>
  <c r="CT36" i="3"/>
  <c r="BQ90" i="3"/>
  <c r="CT40" i="3"/>
  <c r="EG72" i="3"/>
  <c r="AB59" i="3"/>
  <c r="AQ51" i="3"/>
  <c r="EF74" i="3"/>
  <c r="CA47" i="3"/>
  <c r="AF65" i="3"/>
  <c r="BY78" i="3"/>
  <c r="DA56" i="3"/>
  <c r="DA65" i="3"/>
  <c r="AY82" i="3"/>
  <c r="M85" i="3"/>
  <c r="BD73" i="3"/>
  <c r="CM29" i="3"/>
  <c r="AY69" i="3"/>
  <c r="CB18" i="3"/>
  <c r="CW35" i="3"/>
  <c r="AR73" i="3"/>
  <c r="AO61" i="3"/>
  <c r="BU20" i="3"/>
  <c r="AG59" i="3"/>
  <c r="CI90" i="3"/>
  <c r="W73" i="3"/>
  <c r="CF79" i="3"/>
  <c r="EG66" i="3"/>
  <c r="CI81" i="3"/>
  <c r="BT50" i="3"/>
  <c r="BO84" i="3"/>
  <c r="DB84" i="3"/>
  <c r="CL23" i="3"/>
  <c r="CG62" i="3"/>
  <c r="DB47" i="3"/>
  <c r="AW76" i="3"/>
  <c r="DX60" i="3"/>
  <c r="DN57" i="3"/>
  <c r="DN75" i="3"/>
  <c r="V73" i="3"/>
  <c r="DL64" i="3"/>
  <c r="CY53" i="3"/>
  <c r="BI44" i="3"/>
  <c r="AX88" i="3"/>
  <c r="DA91" i="3"/>
  <c r="AS82" i="3"/>
  <c r="AT30" i="3"/>
  <c r="AI53" i="3"/>
  <c r="BO38" i="3"/>
  <c r="DR31" i="3"/>
  <c r="DN73" i="3"/>
  <c r="EA66" i="3"/>
  <c r="BU50" i="3"/>
  <c r="CM20" i="3"/>
  <c r="CD59" i="3"/>
  <c r="BC70" i="3"/>
  <c r="BQ79" i="3"/>
  <c r="BH87" i="3"/>
  <c r="DF56" i="3"/>
  <c r="BR56" i="3"/>
  <c r="M67" i="3"/>
  <c r="CI54" i="3"/>
  <c r="F71" i="3"/>
  <c r="D83" i="3"/>
  <c r="BN84" i="3"/>
  <c r="DT40" i="3"/>
  <c r="I71" i="3"/>
  <c r="BZ83" i="3"/>
  <c r="CD26" i="3"/>
  <c r="P74" i="3"/>
  <c r="DA58" i="3"/>
  <c r="CJ31" i="3"/>
  <c r="BW86" i="3"/>
  <c r="AK37" i="3"/>
  <c r="DE70" i="3"/>
  <c r="AQ83" i="3"/>
  <c r="CT49" i="3"/>
  <c r="CM85" i="3"/>
  <c r="BQ89" i="3"/>
  <c r="AJ36" i="3"/>
  <c r="AD36" i="3"/>
  <c r="BV70" i="3"/>
  <c r="BZ67" i="3"/>
  <c r="AI77" i="3"/>
  <c r="CJ83" i="3"/>
  <c r="BT86" i="3"/>
  <c r="BZ58" i="3"/>
  <c r="EF49" i="3"/>
  <c r="BQ51" i="3"/>
  <c r="CC60" i="3"/>
  <c r="CG75" i="3"/>
  <c r="DW51" i="3"/>
  <c r="K83" i="3"/>
  <c r="DK35" i="3"/>
  <c r="EE78" i="3"/>
  <c r="BF33" i="3"/>
  <c r="BK49" i="3"/>
  <c r="DM58" i="3"/>
  <c r="AP38" i="3"/>
  <c r="AD74" i="3"/>
  <c r="DK68" i="3"/>
  <c r="BU57" i="3"/>
  <c r="CI58" i="3"/>
  <c r="CC58" i="3"/>
  <c r="CM87" i="3"/>
  <c r="BQ68" i="3"/>
  <c r="BK80" i="3"/>
  <c r="BU88" i="3"/>
  <c r="AJ79" i="3"/>
  <c r="CM66" i="3"/>
  <c r="EH71" i="3"/>
  <c r="BJ74" i="3"/>
  <c r="EH50" i="3"/>
  <c r="BP51" i="3"/>
  <c r="BP52" i="3"/>
  <c r="CH58" i="3"/>
  <c r="CH56" i="3"/>
  <c r="BX78" i="3"/>
  <c r="DJ62" i="3"/>
  <c r="CA58" i="3"/>
  <c r="DZ78" i="3"/>
  <c r="BV56" i="3"/>
  <c r="BZ57" i="3"/>
  <c r="AC49" i="3"/>
  <c r="BR82" i="3"/>
  <c r="DD52" i="3"/>
  <c r="AZ37" i="3"/>
  <c r="CL65" i="3"/>
  <c r="BA80" i="3"/>
  <c r="DT37" i="3"/>
  <c r="CN67" i="3"/>
  <c r="CN38" i="3"/>
  <c r="CL31" i="3"/>
  <c r="AK79" i="3"/>
  <c r="BH36" i="3"/>
  <c r="CE60" i="3"/>
  <c r="CB57" i="3"/>
  <c r="CB55" i="3"/>
  <c r="AZ76" i="3"/>
  <c r="BQ80" i="3"/>
  <c r="BP70" i="3"/>
  <c r="AS85" i="3"/>
  <c r="AM62" i="3"/>
  <c r="AC58" i="3"/>
  <c r="Z58" i="3"/>
  <c r="BV64" i="3"/>
  <c r="CQ26" i="3"/>
  <c r="BV80" i="3"/>
  <c r="BB70" i="3"/>
  <c r="CY91" i="3"/>
  <c r="AM56" i="3"/>
  <c r="BY54" i="3"/>
  <c r="CE56" i="3"/>
  <c r="EA65" i="3"/>
  <c r="BQ65" i="3"/>
  <c r="DA75" i="3"/>
  <c r="DX42" i="3"/>
  <c r="BX58" i="3"/>
  <c r="AR57" i="3"/>
  <c r="DI81" i="3"/>
  <c r="DX75" i="3"/>
  <c r="CA57" i="3"/>
  <c r="BW54" i="3"/>
  <c r="CE55" i="3"/>
  <c r="BX55" i="3"/>
  <c r="CK58" i="3"/>
  <c r="CJ58" i="3"/>
  <c r="BY58" i="3"/>
  <c r="BM51" i="3"/>
  <c r="BN50" i="3"/>
  <c r="BK51" i="3"/>
  <c r="CC29" i="3"/>
  <c r="BO53" i="3"/>
  <c r="BM53" i="3"/>
  <c r="BN51" i="3"/>
  <c r="BL52" i="3"/>
  <c r="BL53" i="3"/>
  <c r="AE78" i="3"/>
  <c r="BL51" i="3"/>
  <c r="EC71" i="3"/>
  <c r="Q73" i="3"/>
  <c r="BZ42" i="3"/>
  <c r="D71" i="3"/>
  <c r="Z67" i="3"/>
  <c r="DG57" i="3"/>
  <c r="BF91" i="3"/>
  <c r="AE76" i="3"/>
  <c r="Z75" i="3"/>
  <c r="BG78" i="3"/>
  <c r="BT82" i="3"/>
  <c r="DP73" i="3"/>
  <c r="CS84" i="3"/>
  <c r="DQ74" i="3"/>
  <c r="CN87" i="3"/>
  <c r="BX86" i="3"/>
  <c r="BG90" i="3"/>
  <c r="BE77" i="3"/>
  <c r="BE79" i="3"/>
  <c r="CG32" i="3"/>
  <c r="BU85" i="3"/>
  <c r="AB80" i="3"/>
  <c r="X43" i="3"/>
  <c r="T80" i="3"/>
  <c r="CT90" i="3"/>
  <c r="BB86" i="3"/>
  <c r="BF78" i="3"/>
  <c r="BQ87" i="3"/>
  <c r="CX33" i="3"/>
  <c r="BR84" i="3"/>
  <c r="CK54" i="3"/>
  <c r="CI91" i="3"/>
  <c r="O75" i="3"/>
  <c r="CD30" i="3"/>
  <c r="BC91" i="3"/>
  <c r="AV50" i="3"/>
  <c r="BA56" i="3"/>
  <c r="CY61" i="3"/>
  <c r="AW56" i="3"/>
  <c r="AU55" i="3"/>
  <c r="BG53" i="3"/>
  <c r="DG64" i="3"/>
  <c r="D46" i="3"/>
  <c r="CZ37" i="3"/>
  <c r="AV63" i="3"/>
  <c r="T68" i="3"/>
  <c r="CY70" i="3"/>
  <c r="CC59" i="3"/>
  <c r="CU56" i="3"/>
  <c r="BX37" i="3"/>
  <c r="CD82" i="3"/>
  <c r="CT69" i="3"/>
  <c r="CO76" i="3"/>
  <c r="DT57" i="3"/>
  <c r="CS80" i="3"/>
  <c r="BI65" i="3"/>
  <c r="BB40" i="3"/>
  <c r="CX57" i="3"/>
  <c r="CQ69" i="3"/>
  <c r="CO42" i="3"/>
  <c r="CU80" i="3"/>
  <c r="DC34" i="3"/>
  <c r="BF72" i="3"/>
  <c r="DB29" i="3"/>
  <c r="BV35" i="3"/>
  <c r="BZ54" i="3"/>
  <c r="AR35" i="3"/>
  <c r="BI58" i="3"/>
  <c r="BQ75" i="3"/>
  <c r="DL77" i="3"/>
  <c r="BT51" i="3"/>
  <c r="AS69" i="3"/>
  <c r="DD91" i="3"/>
  <c r="AA62" i="3"/>
  <c r="DN44" i="3"/>
  <c r="AJ85" i="3"/>
  <c r="BZ53" i="3"/>
  <c r="G77" i="3"/>
  <c r="EC41" i="3"/>
  <c r="EG84" i="3"/>
  <c r="EL79" i="3"/>
  <c r="BG26" i="3"/>
  <c r="EA49" i="3"/>
  <c r="AH51" i="3"/>
  <c r="CH42" i="3"/>
  <c r="AS36" i="3"/>
  <c r="BG57" i="3"/>
  <c r="BN86" i="3"/>
  <c r="AC76" i="3"/>
  <c r="BT88" i="3"/>
  <c r="DH36" i="3"/>
  <c r="BL85" i="3"/>
  <c r="DP41" i="3"/>
  <c r="CA29" i="3"/>
  <c r="BM66" i="3"/>
  <c r="CV87" i="3"/>
  <c r="DP40" i="3"/>
  <c r="BE46" i="3"/>
  <c r="CP74" i="3"/>
  <c r="CJ84" i="3"/>
  <c r="AP82" i="3"/>
  <c r="DU65" i="3"/>
  <c r="AN62" i="3"/>
  <c r="J78" i="3"/>
  <c r="CP76" i="3"/>
  <c r="BE82" i="3"/>
  <c r="DK85" i="3"/>
  <c r="CI20" i="3"/>
  <c r="O77" i="3"/>
  <c r="BO71" i="3"/>
  <c r="EN56" i="3"/>
  <c r="BQ62" i="3"/>
  <c r="DX41" i="3"/>
  <c r="DZ34" i="3"/>
  <c r="EB47" i="3"/>
  <c r="DL38" i="3"/>
  <c r="CE26" i="3"/>
  <c r="CE49" i="3"/>
  <c r="DE37" i="3"/>
  <c r="DT61" i="3"/>
  <c r="DT72" i="3"/>
  <c r="AM41" i="3"/>
  <c r="CZ44" i="3"/>
  <c r="AG66" i="3"/>
  <c r="CZ36" i="3"/>
  <c r="DO55" i="3"/>
  <c r="Y70" i="3"/>
  <c r="CM81" i="3"/>
  <c r="AY77" i="3"/>
  <c r="DR72" i="3"/>
  <c r="AL54" i="3"/>
  <c r="DJ76" i="3"/>
  <c r="BU82" i="3"/>
  <c r="DU83" i="3"/>
  <c r="S67" i="3"/>
  <c r="BJ80" i="3"/>
  <c r="AK86" i="3"/>
  <c r="BU65" i="3"/>
  <c r="EF37" i="3"/>
  <c r="AK59" i="3"/>
  <c r="AJ84" i="3"/>
  <c r="DJ48" i="3"/>
  <c r="DK79" i="3"/>
  <c r="BB84" i="3"/>
  <c r="AJ91" i="3"/>
  <c r="DB33" i="3"/>
  <c r="CF36" i="3"/>
  <c r="BJ84" i="3"/>
  <c r="BO25" i="3"/>
  <c r="AD79" i="3"/>
  <c r="CL52" i="3"/>
  <c r="BV27" i="3"/>
  <c r="CK66" i="3"/>
  <c r="S72" i="3"/>
  <c r="DX64" i="3"/>
  <c r="AJ44" i="3"/>
  <c r="DQ43" i="3"/>
  <c r="CP65" i="3"/>
  <c r="BR35" i="3"/>
  <c r="AQ64" i="3"/>
  <c r="C74" i="3"/>
  <c r="BZ66" i="3"/>
  <c r="CC33" i="3"/>
  <c r="BW63" i="3"/>
  <c r="DT85" i="3"/>
  <c r="AZ36" i="3"/>
  <c r="BM36" i="3"/>
  <c r="CN76" i="3"/>
  <c r="DL40" i="3"/>
  <c r="AA74" i="3"/>
  <c r="BF61" i="3"/>
  <c r="V86" i="3"/>
  <c r="DX56" i="3"/>
  <c r="AX48" i="3"/>
  <c r="DR68" i="3"/>
  <c r="BO52" i="3"/>
  <c r="AU29" i="3"/>
  <c r="CQ75" i="3"/>
  <c r="BP40" i="3"/>
  <c r="DI91" i="3"/>
  <c r="DR67" i="3"/>
  <c r="AV68" i="3"/>
  <c r="DQ89" i="3"/>
  <c r="BO63" i="3"/>
  <c r="E70" i="3"/>
  <c r="CW30" i="3"/>
  <c r="DZ87" i="3"/>
  <c r="CU90" i="3"/>
  <c r="P73" i="3"/>
  <c r="DZ80" i="3"/>
  <c r="N68" i="3"/>
  <c r="BV72" i="3"/>
  <c r="DW62" i="3"/>
  <c r="DG42" i="3"/>
  <c r="AL81" i="3"/>
  <c r="BH42" i="3"/>
  <c r="AA76" i="3"/>
  <c r="CU30" i="3"/>
  <c r="AU71" i="3"/>
  <c r="AJ83" i="3"/>
  <c r="DX86" i="3"/>
  <c r="CY38" i="3"/>
  <c r="BP33" i="3"/>
  <c r="Q71" i="3"/>
  <c r="DN48" i="3"/>
  <c r="EG68" i="3"/>
  <c r="BU39" i="3"/>
  <c r="BE81" i="3"/>
  <c r="CX42" i="3"/>
  <c r="AT78" i="3"/>
  <c r="J46" i="3"/>
  <c r="DF84" i="3"/>
  <c r="AK65" i="3"/>
  <c r="AL47" i="3"/>
  <c r="AF75" i="3"/>
  <c r="BE64" i="3"/>
  <c r="CA37" i="3"/>
  <c r="M77" i="3"/>
  <c r="CL83" i="3"/>
  <c r="DG60" i="3"/>
  <c r="BO66" i="3"/>
  <c r="AL42" i="3"/>
  <c r="AW59" i="3"/>
  <c r="BF70" i="3"/>
  <c r="CD34" i="3"/>
  <c r="DO66" i="3"/>
  <c r="B83" i="3"/>
  <c r="CL71" i="3"/>
  <c r="BR80" i="3"/>
  <c r="AP72" i="3"/>
  <c r="BE40" i="3"/>
  <c r="CX80" i="3"/>
  <c r="AF67" i="3"/>
  <c r="E85" i="3"/>
  <c r="G84" i="3"/>
  <c r="BW80" i="3"/>
  <c r="EB45" i="3"/>
  <c r="CG71" i="3"/>
  <c r="AZ70" i="3"/>
  <c r="DT80" i="3"/>
  <c r="BW28" i="3"/>
  <c r="DM41" i="3"/>
  <c r="AH49" i="3"/>
  <c r="AR91" i="3"/>
  <c r="CC74" i="3"/>
  <c r="AJ34" i="3"/>
  <c r="E79" i="3"/>
  <c r="DP65" i="3"/>
  <c r="AR54" i="3"/>
  <c r="EE49" i="3"/>
  <c r="AN78" i="3"/>
  <c r="BI32" i="3"/>
  <c r="DL54" i="3"/>
  <c r="BH56" i="3"/>
  <c r="CR89" i="3"/>
  <c r="DH49" i="3"/>
  <c r="BH78" i="3"/>
  <c r="EA73" i="3"/>
  <c r="DM89" i="3"/>
  <c r="BF75" i="3"/>
  <c r="AB35" i="3"/>
  <c r="BZ33" i="3"/>
  <c r="BZ76" i="3"/>
  <c r="O39" i="3"/>
  <c r="CY73" i="3"/>
  <c r="R75" i="3"/>
  <c r="DE76" i="3"/>
  <c r="DD45" i="3"/>
  <c r="CB37" i="3"/>
  <c r="BD71" i="3"/>
  <c r="DB63" i="3"/>
  <c r="CX43" i="3"/>
  <c r="CJ44" i="3"/>
  <c r="R85" i="3"/>
  <c r="BK64" i="3"/>
  <c r="BC80" i="3"/>
  <c r="EA61" i="3"/>
  <c r="U82" i="3"/>
  <c r="AQ79" i="3"/>
  <c r="CF30" i="3"/>
  <c r="CV48" i="3"/>
  <c r="DF29" i="3"/>
  <c r="CN74" i="3"/>
  <c r="DQ84" i="3"/>
  <c r="DO77" i="3"/>
  <c r="E46" i="3"/>
  <c r="BL40" i="3"/>
  <c r="DS45" i="3"/>
  <c r="BQ70" i="3"/>
  <c r="AJ63" i="3"/>
  <c r="BV34" i="3"/>
  <c r="I75" i="3"/>
  <c r="EI77" i="3"/>
  <c r="CL24" i="3"/>
  <c r="EE40" i="3"/>
  <c r="BP56" i="3"/>
  <c r="BN73" i="3"/>
  <c r="CL72" i="3"/>
  <c r="BJ75" i="3"/>
  <c r="BC37" i="3"/>
  <c r="AN91" i="3"/>
  <c r="DM57" i="3"/>
  <c r="CD78" i="3"/>
  <c r="AU83" i="3"/>
  <c r="BO29" i="3"/>
  <c r="AT39" i="3"/>
  <c r="AA64" i="3"/>
  <c r="J48" i="3"/>
  <c r="DN74" i="3"/>
  <c r="DG85" i="3"/>
  <c r="BY46" i="3"/>
  <c r="BM61" i="3"/>
  <c r="BS52" i="3"/>
  <c r="DB52" i="3"/>
  <c r="DK62" i="3"/>
  <c r="CM42" i="3"/>
  <c r="AL72" i="3"/>
  <c r="CH47" i="3"/>
  <c r="AT89" i="3"/>
  <c r="AF59" i="3"/>
  <c r="BG80" i="3"/>
  <c r="BX30" i="3"/>
  <c r="BC38" i="3"/>
  <c r="CB31" i="3"/>
  <c r="BS74" i="3"/>
  <c r="P69" i="3"/>
  <c r="BZ78" i="3"/>
  <c r="DP44" i="3"/>
  <c r="EA86" i="3"/>
  <c r="BB73" i="3"/>
  <c r="AF44" i="3"/>
  <c r="CY87" i="3"/>
  <c r="CI86" i="3"/>
  <c r="BM30" i="3"/>
  <c r="DK46" i="3"/>
  <c r="BN83" i="3"/>
  <c r="AT82" i="3"/>
  <c r="DC65" i="3"/>
  <c r="CO52" i="3"/>
  <c r="DF80" i="3"/>
  <c r="AE50" i="3"/>
  <c r="AK44" i="3"/>
  <c r="BN47" i="3"/>
  <c r="AQ82" i="3"/>
  <c r="BQ42" i="3"/>
  <c r="BV22" i="3"/>
  <c r="BB65" i="3"/>
  <c r="N61" i="3"/>
  <c r="D72" i="3"/>
  <c r="X86" i="3"/>
  <c r="CJ46" i="3"/>
  <c r="BP76" i="3"/>
  <c r="DW38" i="3"/>
  <c r="CQ46" i="3"/>
  <c r="CC69" i="3"/>
  <c r="CK73" i="3"/>
  <c r="BI40" i="3"/>
  <c r="M84" i="3"/>
  <c r="W41" i="3"/>
  <c r="DY89" i="3"/>
  <c r="BO59" i="3"/>
  <c r="BW70" i="3"/>
  <c r="AU39" i="3"/>
  <c r="DE90" i="3"/>
  <c r="CY86" i="3"/>
  <c r="CR31" i="3"/>
  <c r="CJ33" i="3"/>
  <c r="T50" i="3"/>
  <c r="CY76" i="3"/>
  <c r="CJ91" i="3"/>
  <c r="AV57" i="3"/>
  <c r="CG72" i="3"/>
  <c r="DZ37" i="3"/>
  <c r="DD53" i="3"/>
  <c r="EA72" i="3"/>
  <c r="BK37" i="3"/>
  <c r="AP69" i="3"/>
  <c r="BI42" i="3"/>
  <c r="EM67" i="3"/>
  <c r="BN37" i="3"/>
  <c r="AI44" i="3"/>
  <c r="DJ43" i="3"/>
  <c r="EG45" i="3"/>
  <c r="DZ71" i="3"/>
  <c r="BX69" i="3"/>
  <c r="EE71" i="3"/>
  <c r="DC82" i="3"/>
  <c r="CT85" i="3"/>
  <c r="BR71" i="3"/>
  <c r="BN79" i="3"/>
  <c r="AM53" i="3"/>
  <c r="AB72" i="3"/>
  <c r="DA54" i="3"/>
  <c r="CZ32" i="3"/>
  <c r="DL48" i="3"/>
  <c r="CN60" i="3"/>
  <c r="BM62" i="3"/>
  <c r="BB81" i="3"/>
  <c r="CH86" i="3"/>
  <c r="AX82" i="3"/>
  <c r="CF66" i="3"/>
  <c r="AM71" i="3"/>
  <c r="DU73" i="3"/>
  <c r="DF76" i="3"/>
  <c r="BS47" i="3"/>
  <c r="AN49" i="3"/>
  <c r="CU27" i="3"/>
  <c r="CV42" i="3"/>
  <c r="BA61" i="3"/>
  <c r="EL45" i="3"/>
  <c r="AV43" i="3"/>
  <c r="CT63" i="3"/>
  <c r="BI28" i="3"/>
  <c r="CN83" i="3"/>
  <c r="AE44" i="3"/>
  <c r="CP77" i="3"/>
  <c r="BO55" i="3"/>
  <c r="DE68" i="3"/>
  <c r="AA46" i="3"/>
  <c r="BC46" i="3"/>
  <c r="CK28" i="3"/>
  <c r="AQ75" i="3"/>
  <c r="CT44" i="3"/>
  <c r="CP44" i="3"/>
  <c r="AF66" i="3"/>
  <c r="DJ31" i="3"/>
  <c r="P79" i="3"/>
  <c r="AR72" i="3"/>
  <c r="DB45" i="3"/>
  <c r="AX56" i="3"/>
  <c r="CM78" i="3"/>
  <c r="BK70" i="3"/>
  <c r="CM74" i="3"/>
  <c r="T41" i="3"/>
  <c r="BY90" i="3"/>
  <c r="DH57" i="3"/>
  <c r="AH81" i="3"/>
  <c r="DU41" i="3"/>
  <c r="CS72" i="3"/>
  <c r="DR32" i="3"/>
  <c r="S81" i="3"/>
  <c r="Y74" i="3"/>
  <c r="CK59" i="3"/>
  <c r="DW53" i="3"/>
  <c r="BW68" i="3"/>
  <c r="CJ59" i="3"/>
  <c r="DY60" i="3"/>
  <c r="CO72" i="3"/>
  <c r="CU53" i="3"/>
  <c r="C46" i="3"/>
  <c r="Y69" i="3"/>
  <c r="CX86" i="3"/>
  <c r="BS39" i="3"/>
  <c r="CV57" i="3"/>
  <c r="BT62" i="3"/>
  <c r="CC26" i="3"/>
  <c r="DT36" i="3"/>
  <c r="CV54" i="3"/>
  <c r="BG75" i="3"/>
  <c r="AZ83" i="3"/>
  <c r="AC72" i="3"/>
  <c r="DM84" i="3"/>
  <c r="EE79" i="3"/>
  <c r="CL76" i="3"/>
  <c r="CV89" i="3"/>
  <c r="BJ82" i="3"/>
  <c r="DI88" i="3"/>
  <c r="CT82" i="3"/>
  <c r="BJ41" i="3"/>
  <c r="DO59" i="3"/>
  <c r="DS28" i="3"/>
  <c r="BX61" i="3"/>
  <c r="AI54" i="3"/>
  <c r="AR56" i="3"/>
  <c r="BQ67" i="3"/>
  <c r="DD60" i="3"/>
  <c r="EB56" i="3"/>
  <c r="BR79" i="3"/>
  <c r="CS59" i="3"/>
  <c r="DJ63" i="3"/>
  <c r="DZ73" i="3"/>
  <c r="B91" i="3"/>
  <c r="DZ63" i="3"/>
  <c r="AJ73" i="3"/>
  <c r="BQ82" i="3"/>
  <c r="BU87" i="3"/>
  <c r="CW82" i="3"/>
  <c r="DH70" i="3"/>
  <c r="CB44" i="3"/>
  <c r="G78" i="3"/>
  <c r="U73" i="3"/>
  <c r="BD90" i="3"/>
  <c r="AM80" i="3"/>
  <c r="BW53" i="3"/>
  <c r="DL62" i="3"/>
  <c r="CE37" i="3"/>
  <c r="DW64" i="3"/>
  <c r="DQ75" i="3"/>
  <c r="DF62" i="3"/>
  <c r="DR40" i="3"/>
  <c r="DN63" i="3"/>
  <c r="BF81" i="3"/>
  <c r="DW39" i="3"/>
  <c r="CO85" i="3"/>
  <c r="T70" i="3"/>
  <c r="ED74" i="3"/>
  <c r="BQ59" i="3"/>
  <c r="M42" i="3"/>
  <c r="O44" i="3"/>
  <c r="BW79" i="3"/>
  <c r="AA84" i="3"/>
  <c r="CJ50" i="3"/>
  <c r="CE85" i="3"/>
  <c r="AQ88" i="3"/>
  <c r="AD70" i="3"/>
  <c r="CO46" i="3"/>
  <c r="CB85" i="3"/>
  <c r="CG63" i="3"/>
  <c r="BD64" i="3"/>
  <c r="S80" i="3"/>
  <c r="O70" i="3"/>
  <c r="O79" i="3"/>
  <c r="DN89" i="3"/>
  <c r="V39" i="3"/>
</calcChain>
</file>

<file path=xl/sharedStrings.xml><?xml version="1.0" encoding="utf-8"?>
<sst xmlns="http://schemas.openxmlformats.org/spreadsheetml/2006/main" count="368" uniqueCount="90">
  <si>
    <t>Spheres</t>
  </si>
  <si>
    <t>X</t>
  </si>
  <si>
    <t>Y</t>
  </si>
  <si>
    <t>Z</t>
  </si>
  <si>
    <t>Rays</t>
  </si>
  <si>
    <t>W</t>
  </si>
  <si>
    <t>Location</t>
  </si>
  <si>
    <t>Origin</t>
  </si>
  <si>
    <t>Direction</t>
  </si>
  <si>
    <t>Transformation Matrix</t>
  </si>
  <si>
    <t>Radius</t>
  </si>
  <si>
    <t>+</t>
  </si>
  <si>
    <t>-</t>
  </si>
  <si>
    <t>Discriminants</t>
  </si>
  <si>
    <t>Min(t)</t>
  </si>
  <si>
    <t>Intersection of Interest</t>
  </si>
  <si>
    <t>Normal</t>
  </si>
  <si>
    <t>LightSource</t>
  </si>
  <si>
    <t>Intensity</t>
  </si>
  <si>
    <t>Normal Vector</t>
  </si>
  <si>
    <t>Intersection to Light Vector</t>
  </si>
  <si>
    <t>Screen Dimensions</t>
  </si>
  <si>
    <t>ScreenBoard Hit</t>
  </si>
  <si>
    <t>Intersection to Camera Vector</t>
  </si>
  <si>
    <t>Intersection to LightReflection Vector</t>
  </si>
  <si>
    <t>Diffuse</t>
  </si>
  <si>
    <t>Specular</t>
  </si>
  <si>
    <t>Ambient</t>
  </si>
  <si>
    <t>Light Dot</t>
  </si>
  <si>
    <t>Reflect Dot</t>
  </si>
  <si>
    <t>Camera</t>
  </si>
  <si>
    <t>Intensities</t>
  </si>
  <si>
    <t>Shininess</t>
  </si>
  <si>
    <t>Total</t>
  </si>
  <si>
    <t>Selected</t>
  </si>
  <si>
    <t>Sphere</t>
  </si>
  <si>
    <t>Transformations</t>
  </si>
  <si>
    <t>Move Forward</t>
  </si>
  <si>
    <t>Move Backward</t>
  </si>
  <si>
    <t>Strafe Left</t>
  </si>
  <si>
    <t>Strafe Right</t>
  </si>
  <si>
    <t>Rise</t>
  </si>
  <si>
    <t>Descend</t>
  </si>
  <si>
    <t>New</t>
  </si>
  <si>
    <t>None</t>
  </si>
  <si>
    <t>Look Left</t>
  </si>
  <si>
    <t>Look Right</t>
  </si>
  <si>
    <t>Look Up</t>
  </si>
  <si>
    <t>Look Down</t>
  </si>
  <si>
    <t>Tilt Left</t>
  </si>
  <si>
    <t>Tilt Right</t>
  </si>
  <si>
    <t>Previous</t>
  </si>
  <si>
    <t>Shadow Ray</t>
  </si>
  <si>
    <t>Final</t>
  </si>
  <si>
    <t>CameraReflect Vector</t>
  </si>
  <si>
    <t>Reflection Rays</t>
  </si>
  <si>
    <t>Reflect</t>
  </si>
  <si>
    <t>Phong Material Info</t>
  </si>
  <si>
    <t>Animated</t>
  </si>
  <si>
    <t>Animation Setting</t>
  </si>
  <si>
    <t>Current Frame</t>
  </si>
  <si>
    <t>Total Frames</t>
  </si>
  <si>
    <t>Animation Settings</t>
  </si>
  <si>
    <t>Off</t>
  </si>
  <si>
    <t>ReadMe</t>
  </si>
  <si>
    <t>Instructions:</t>
  </si>
  <si>
    <t>by s0lly</t>
  </si>
  <si>
    <t>https://www.youtube.com/c/s0lly</t>
  </si>
  <si>
    <t>https://www.instagram.com/s0lly.gaming/</t>
  </si>
  <si>
    <t>https://twitter.com/s0lly</t>
  </si>
  <si>
    <t>THE MODEL IS PROVIDED WITHOUT WARRANTY OF ANY KIND, EXPRESS OR IMPLIED, INCLUDING BUT NOT LIMITED TO THE WARRANTIES OF MERCHANTABILITY, FITNESS FOR A PARTICULAR PURPOSE AND NONINFRINGEMENT</t>
  </si>
  <si>
    <t>IN NO EVENT SHALL THE AUTHORS BE LIABLE FOR ANY CLAIM, DAMAGES OR OTHER LIABILITY, WHETHER IN AN ACTION OF CONTRACT, TORT OR OTHERWISE, ARISING FROM, OUT OF OR IN CONNECTION WITH THE MODEL OR THE USE OR OTHER DEALINGS IN THE MODEL.</t>
  </si>
  <si>
    <t>https://https://www.twitch.tv/s0llygaming</t>
  </si>
  <si>
    <t>This excel file allows you to gain an intuitive understanding of how raytracing works in the basic setting of an excel workbook.</t>
  </si>
  <si>
    <t>The approach underpinning this model is largely based on that used in the book "The Ray Tracer Challenge" by Jamis Buck. It is an excelllent book that teaches the foundations of Raytracing in a fun and engaging way.</t>
  </si>
  <si>
    <r>
      <t xml:space="preserve">However, this model only implements a select number of concepts from the book, as oddly </t>
    </r>
    <r>
      <rPr>
        <b/>
        <sz val="11"/>
        <color theme="1"/>
        <rFont val="Calibri"/>
        <family val="2"/>
        <scheme val="minor"/>
      </rPr>
      <t>not everything</t>
    </r>
    <r>
      <rPr>
        <sz val="11"/>
        <color theme="1"/>
        <rFont val="Calibri"/>
        <family val="2"/>
        <scheme val="minor"/>
      </rPr>
      <t xml:space="preserve"> is portable to our favourite application!</t>
    </r>
  </si>
  <si>
    <t>I hope this is of help for those trying to learn the basics of raytracing!</t>
  </si>
  <si>
    <t>Raytracer in Excel</t>
  </si>
  <si>
    <t>First, you need to go to the sheet named "Screen". Next, you need to run the macro called "Play" - you can do this using the "PLAY" button.</t>
  </si>
  <si>
    <t>Alternatively, you can press the "ANIMATE" button which will move the camera along a predetermined path.</t>
  </si>
  <si>
    <t xml:space="preserve"> - "esc": press this to end the game and reset all key functionality</t>
  </si>
  <si>
    <t xml:space="preserve"> - "r", "f": press these to move the camera up and down</t>
  </si>
  <si>
    <t xml:space="preserve"> - "u", "i", "o", "j", "k", "l": press these to rotate the camera along the 3 different 3d axes</t>
  </si>
  <si>
    <t>This macro assigns new functionality to the following keys:</t>
  </si>
  <si>
    <t xml:space="preserve"> - "w", "a", "s", "d": press these to move the camera forwards, backwards, and sideways</t>
  </si>
  <si>
    <t>NOTE: this macro overrides these key's normal functionality - you must press ESC at the end of your session to reenble these keys in excel to their original functionality</t>
  </si>
  <si>
    <t>FOR SCREEN TO WORK</t>
  </si>
  <si>
    <t>COPY ROW 24 AND PASTE ----&gt;</t>
  </si>
  <si>
    <t>FROM ROW 25 TO ROW 14405</t>
  </si>
  <si>
    <t>NOTE: For this model to work, you  need to copy Row 24 in the "Objects" tab, and paste it on to Row 25 to Row 14405. This takes a few moments to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</si>
</sst>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amily val="2"/>
      <scheme val="minor"/>
    </font>
    <font>
      <b/>
      <sz val="11"/>
      <color theme="1"/>
      <name val="Calibri"/>
      <family val="2"/>
      <scheme val="minor"/>
    </font>
    <font>
      <b/>
      <u/>
      <sz val="11"/>
      <color theme="1"/>
      <name val="Calibri"/>
      <family val="2"/>
      <scheme val="minor"/>
    </font>
    <font>
      <b/>
      <i/>
      <sz val="11"/>
      <color theme="1"/>
      <name val="Calibri"/>
      <family val="2"/>
      <scheme val="minor"/>
    </font>
    <font>
      <i/>
      <sz val="11"/>
      <color rgb="FFFF0000"/>
      <name val="Calibri"/>
      <family val="2"/>
      <scheme val="minor"/>
    </font>
    <font>
      <u/>
      <sz val="11"/>
      <color theme="10"/>
      <name val="Calibri"/>
      <family val="2"/>
      <scheme val="minor"/>
    </font>
    <font>
      <sz val="22"/>
      <color theme="1"/>
      <name val="Calibri"/>
      <family val="2"/>
      <scheme val="minor"/>
    </font>
    <font>
      <b/>
      <sz val="11"/>
      <color rgb="FFFF0000"/>
      <name val="Calibri"/>
      <family val="2"/>
      <scheme val="minor"/>
    </font>
    <font>
      <b/>
      <sz val="10"/>
      <color theme="1"/>
      <name val="Calibri"/>
      <family val="2"/>
      <scheme val="minor"/>
    </font>
  </fonts>
  <fills count="107">
    <fill>
      <patternFill patternType="none"/>
    </fill>
    <fill>
      <patternFill patternType="gray125"/>
    </fill>
    <fill>
      <patternFill patternType="solid">
        <fgColor theme="5" tint="0.79998168889431442"/>
        <bgColor indexed="64"/>
      </patternFill>
    </fill>
    <fill>
      <patternFill patternType="solid">
        <fgColor rgb="FF000000"/>
        <bgColor indexed="64"/>
      </patternFill>
    </fill>
    <fill>
      <patternFill patternType="solid">
        <fgColor rgb="FF0A0A00"/>
        <bgColor indexed="64"/>
      </patternFill>
    </fill>
    <fill>
      <patternFill patternType="solid">
        <fgColor rgb="FF0F0F00"/>
        <bgColor indexed="64"/>
      </patternFill>
    </fill>
    <fill>
      <patternFill patternType="solid">
        <fgColor rgb="FF0D0D00"/>
        <bgColor indexed="64"/>
      </patternFill>
    </fill>
    <fill>
      <patternFill patternType="solid">
        <fgColor rgb="FF0E0E00"/>
        <bgColor indexed="64"/>
      </patternFill>
    </fill>
    <fill>
      <patternFill patternType="solid">
        <fgColor rgb="FF0C0C00"/>
        <bgColor indexed="64"/>
      </patternFill>
    </fill>
    <fill>
      <patternFill patternType="solid">
        <fgColor rgb="FF010100"/>
        <bgColor indexed="64"/>
      </patternFill>
    </fill>
    <fill>
      <patternFill patternType="solid">
        <fgColor rgb="FFB2B200"/>
        <bgColor indexed="64"/>
      </patternFill>
    </fill>
    <fill>
      <patternFill patternType="solid">
        <fgColor rgb="FFFFFF00"/>
        <bgColor indexed="64"/>
      </patternFill>
    </fill>
    <fill>
      <patternFill patternType="solid">
        <fgColor rgb="FFF2F200"/>
        <bgColor indexed="64"/>
      </patternFill>
    </fill>
    <fill>
      <patternFill patternType="solid">
        <fgColor rgb="FFE5E500"/>
        <bgColor indexed="64"/>
      </patternFill>
    </fill>
    <fill>
      <patternFill patternType="solid">
        <fgColor rgb="FFBCBC00"/>
        <bgColor indexed="64"/>
      </patternFill>
    </fill>
    <fill>
      <patternFill patternType="solid">
        <fgColor rgb="FFFCFC00"/>
        <bgColor indexed="64"/>
      </patternFill>
    </fill>
    <fill>
      <patternFill patternType="solid">
        <fgColor rgb="FFBFBF00"/>
        <bgColor indexed="64"/>
      </patternFill>
    </fill>
    <fill>
      <patternFill patternType="solid">
        <fgColor rgb="FFB7B700"/>
        <bgColor indexed="64"/>
      </patternFill>
    </fill>
    <fill>
      <patternFill patternType="solid">
        <fgColor rgb="FFC5C500"/>
        <bgColor indexed="64"/>
      </patternFill>
    </fill>
    <fill>
      <patternFill patternType="solid">
        <fgColor rgb="FFB6B600"/>
        <bgColor indexed="64"/>
      </patternFill>
    </fill>
    <fill>
      <patternFill patternType="solid">
        <fgColor rgb="FF494900"/>
        <bgColor indexed="64"/>
      </patternFill>
    </fill>
    <fill>
      <patternFill patternType="solid">
        <fgColor rgb="FF3A3A00"/>
        <bgColor indexed="64"/>
      </patternFill>
    </fill>
    <fill>
      <patternFill patternType="solid">
        <fgColor rgb="FF434300"/>
        <bgColor indexed="64"/>
      </patternFill>
    </fill>
    <fill>
      <patternFill patternType="solid">
        <fgColor rgb="FF4D4D00"/>
        <bgColor indexed="64"/>
      </patternFill>
    </fill>
    <fill>
      <patternFill patternType="solid">
        <fgColor rgb="FF313100"/>
        <bgColor indexed="64"/>
      </patternFill>
    </fill>
    <fill>
      <patternFill patternType="solid">
        <fgColor rgb="FF8A8A00"/>
        <bgColor indexed="64"/>
      </patternFill>
    </fill>
    <fill>
      <patternFill patternType="solid">
        <fgColor rgb="FFD9D900"/>
        <bgColor indexed="64"/>
      </patternFill>
    </fill>
    <fill>
      <patternFill patternType="solid">
        <fgColor rgb="FF2A2A00"/>
        <bgColor indexed="64"/>
      </patternFill>
    </fill>
    <fill>
      <patternFill patternType="solid">
        <fgColor rgb="FF4E4E00"/>
        <bgColor indexed="64"/>
      </patternFill>
    </fill>
    <fill>
      <patternFill patternType="solid">
        <fgColor rgb="FF9E9E00"/>
        <bgColor indexed="64"/>
      </patternFill>
    </fill>
    <fill>
      <patternFill patternType="solid">
        <fgColor rgb="FF050500"/>
        <bgColor indexed="64"/>
      </patternFill>
    </fill>
    <fill>
      <patternFill patternType="solid">
        <fgColor rgb="FF5D5D00"/>
        <bgColor indexed="64"/>
      </patternFill>
    </fill>
    <fill>
      <patternFill patternType="solid">
        <fgColor rgb="FF6A6A00"/>
        <bgColor indexed="64"/>
      </patternFill>
    </fill>
    <fill>
      <patternFill patternType="solid">
        <fgColor rgb="FF626200"/>
        <bgColor indexed="64"/>
      </patternFill>
    </fill>
    <fill>
      <patternFill patternType="solid">
        <fgColor rgb="FF595900"/>
        <bgColor indexed="64"/>
      </patternFill>
    </fill>
    <fill>
      <patternFill patternType="solid">
        <fgColor rgb="FF727200"/>
        <bgColor indexed="64"/>
      </patternFill>
    </fill>
    <fill>
      <patternFill patternType="solid">
        <fgColor rgb="FFA5A500"/>
        <bgColor indexed="64"/>
      </patternFill>
    </fill>
    <fill>
      <patternFill patternType="solid">
        <fgColor rgb="FF9F9F00"/>
        <bgColor indexed="64"/>
      </patternFill>
    </fill>
    <fill>
      <patternFill patternType="solid">
        <fgColor rgb="FFA7A700"/>
        <bgColor indexed="64"/>
      </patternFill>
    </fill>
    <fill>
      <patternFill patternType="solid">
        <fgColor rgb="FF797900"/>
        <bgColor indexed="64"/>
      </patternFill>
    </fill>
    <fill>
      <patternFill patternType="solid">
        <fgColor rgb="FF585800"/>
        <bgColor indexed="64"/>
      </patternFill>
    </fill>
    <fill>
      <patternFill patternType="solid">
        <fgColor rgb="FF1A1A00"/>
        <bgColor indexed="64"/>
      </patternFill>
    </fill>
    <fill>
      <patternFill patternType="solid">
        <fgColor rgb="FF191900"/>
        <bgColor indexed="64"/>
      </patternFill>
    </fill>
    <fill>
      <patternFill patternType="solid">
        <fgColor rgb="FFE6E600"/>
        <bgColor indexed="64"/>
      </patternFill>
    </fill>
    <fill>
      <patternFill patternType="solid">
        <fgColor rgb="FFFEFE00"/>
        <bgColor indexed="64"/>
      </patternFill>
    </fill>
    <fill>
      <patternFill patternType="solid">
        <fgColor rgb="FFF3F300"/>
        <bgColor indexed="64"/>
      </patternFill>
    </fill>
    <fill>
      <patternFill patternType="solid">
        <fgColor rgb="FFF1F100"/>
        <bgColor indexed="64"/>
      </patternFill>
    </fill>
    <fill>
      <patternFill patternType="solid">
        <fgColor rgb="FFFDFD00"/>
        <bgColor indexed="64"/>
      </patternFill>
    </fill>
    <fill>
      <patternFill patternType="solid">
        <fgColor rgb="FFD4D400"/>
        <bgColor indexed="64"/>
      </patternFill>
    </fill>
    <fill>
      <patternFill patternType="solid">
        <fgColor rgb="FFD7D700"/>
        <bgColor indexed="64"/>
      </patternFill>
    </fill>
    <fill>
      <patternFill patternType="solid">
        <fgColor rgb="FFCECE00"/>
        <bgColor indexed="64"/>
      </patternFill>
    </fill>
    <fill>
      <patternFill patternType="solid">
        <fgColor rgb="FF282800"/>
        <bgColor indexed="64"/>
      </patternFill>
    </fill>
    <fill>
      <patternFill patternType="solid">
        <fgColor rgb="FF2E2E00"/>
        <bgColor indexed="64"/>
      </patternFill>
    </fill>
    <fill>
      <patternFill patternType="solid">
        <fgColor rgb="FF1D1D00"/>
        <bgColor indexed="64"/>
      </patternFill>
    </fill>
    <fill>
      <patternFill patternType="solid">
        <fgColor rgb="FFCBCB00"/>
        <bgColor indexed="64"/>
      </patternFill>
    </fill>
    <fill>
      <patternFill patternType="solid">
        <fgColor rgb="FF323200"/>
        <bgColor indexed="64"/>
      </patternFill>
    </fill>
    <fill>
      <patternFill patternType="solid">
        <fgColor rgb="FFD1D100"/>
        <bgColor indexed="64"/>
      </patternFill>
    </fill>
    <fill>
      <patternFill patternType="solid">
        <fgColor rgb="FFC0C000"/>
        <bgColor indexed="64"/>
      </patternFill>
    </fill>
    <fill>
      <patternFill patternType="solid">
        <fgColor rgb="FFBEBE00"/>
        <bgColor indexed="64"/>
      </patternFill>
    </fill>
    <fill>
      <patternFill patternType="solid">
        <fgColor rgb="FFD8D800"/>
        <bgColor indexed="64"/>
      </patternFill>
    </fill>
    <fill>
      <patternFill patternType="solid">
        <fgColor rgb="FF484800"/>
        <bgColor indexed="64"/>
      </patternFill>
    </fill>
    <fill>
      <patternFill patternType="solid">
        <fgColor rgb="FF747400"/>
        <bgColor indexed="64"/>
      </patternFill>
    </fill>
    <fill>
      <patternFill patternType="solid">
        <fgColor rgb="FFB5B500"/>
        <bgColor indexed="64"/>
      </patternFill>
    </fill>
    <fill>
      <patternFill patternType="solid">
        <fgColor rgb="FF3C3C00"/>
        <bgColor indexed="64"/>
      </patternFill>
    </fill>
    <fill>
      <patternFill patternType="solid">
        <fgColor rgb="FF080800"/>
        <bgColor indexed="64"/>
      </patternFill>
    </fill>
    <fill>
      <patternFill patternType="solid">
        <fgColor rgb="FF969600"/>
        <bgColor indexed="64"/>
      </patternFill>
    </fill>
    <fill>
      <patternFill patternType="solid">
        <fgColor rgb="FFAAAA00"/>
        <bgColor indexed="64"/>
      </patternFill>
    </fill>
    <fill>
      <patternFill patternType="solid">
        <fgColor rgb="FFA6A600"/>
        <bgColor indexed="64"/>
      </patternFill>
    </fill>
    <fill>
      <patternFill patternType="solid">
        <fgColor rgb="FFA3A300"/>
        <bgColor indexed="64"/>
      </patternFill>
    </fill>
    <fill>
      <patternFill patternType="solid">
        <fgColor rgb="FFAFAF00"/>
        <bgColor indexed="64"/>
      </patternFill>
    </fill>
    <fill>
      <patternFill patternType="solid">
        <fgColor rgb="FFA1A100"/>
        <bgColor indexed="64"/>
      </patternFill>
    </fill>
    <fill>
      <patternFill patternType="solid">
        <fgColor rgb="FF4F4F00"/>
        <bgColor indexed="64"/>
      </patternFill>
    </fill>
    <fill>
      <patternFill patternType="solid">
        <fgColor rgb="FF808000"/>
        <bgColor indexed="64"/>
      </patternFill>
    </fill>
    <fill>
      <patternFill patternType="solid">
        <fgColor rgb="FF6C6C00"/>
        <bgColor indexed="64"/>
      </patternFill>
    </fill>
    <fill>
      <patternFill patternType="solid">
        <fgColor rgb="FF8F8F00"/>
        <bgColor indexed="64"/>
      </patternFill>
    </fill>
    <fill>
      <patternFill patternType="solid">
        <fgColor rgb="FF818100"/>
        <bgColor indexed="64"/>
      </patternFill>
    </fill>
    <fill>
      <patternFill patternType="solid">
        <fgColor rgb="FF939300"/>
        <bgColor indexed="64"/>
      </patternFill>
    </fill>
    <fill>
      <patternFill patternType="solid">
        <fgColor rgb="FF070700"/>
        <bgColor indexed="64"/>
      </patternFill>
    </fill>
    <fill>
      <patternFill patternType="solid">
        <fgColor rgb="FF828200"/>
        <bgColor indexed="64"/>
      </patternFill>
    </fill>
    <fill>
      <patternFill patternType="solid">
        <fgColor rgb="FF8E8E00"/>
        <bgColor indexed="64"/>
      </patternFill>
    </fill>
    <fill>
      <patternFill patternType="solid">
        <fgColor rgb="FF222200"/>
        <bgColor indexed="64"/>
      </patternFill>
    </fill>
    <fill>
      <patternFill patternType="solid">
        <fgColor rgb="FFA2A200"/>
        <bgColor indexed="64"/>
      </patternFill>
    </fill>
    <fill>
      <patternFill patternType="solid">
        <fgColor rgb="FF686800"/>
        <bgColor indexed="64"/>
      </patternFill>
    </fill>
    <fill>
      <patternFill patternType="solid">
        <fgColor rgb="FF858500"/>
        <bgColor indexed="64"/>
      </patternFill>
    </fill>
    <fill>
      <patternFill patternType="solid">
        <fgColor rgb="FFB0B000"/>
        <bgColor indexed="64"/>
      </patternFill>
    </fill>
    <fill>
      <patternFill patternType="solid">
        <fgColor rgb="FF8C8C00"/>
        <bgColor indexed="64"/>
      </patternFill>
    </fill>
    <fill>
      <patternFill patternType="solid">
        <fgColor rgb="FFCFCF00"/>
        <bgColor indexed="64"/>
      </patternFill>
    </fill>
    <fill>
      <patternFill patternType="solid">
        <fgColor rgb="FF393900"/>
        <bgColor indexed="64"/>
      </patternFill>
    </fill>
    <fill>
      <patternFill patternType="solid">
        <fgColor rgb="FF4B4B00"/>
        <bgColor indexed="64"/>
      </patternFill>
    </fill>
    <fill>
      <patternFill patternType="solid">
        <fgColor rgb="FF2C2C00"/>
        <bgColor indexed="64"/>
      </patternFill>
    </fill>
    <fill>
      <patternFill patternType="solid">
        <fgColor rgb="FFD3D300"/>
        <bgColor indexed="64"/>
      </patternFill>
    </fill>
    <fill>
      <patternFill patternType="solid">
        <fgColor rgb="FF3D3D00"/>
        <bgColor indexed="64"/>
      </patternFill>
    </fill>
    <fill>
      <patternFill patternType="solid">
        <fgColor rgb="FF404000"/>
        <bgColor indexed="64"/>
      </patternFill>
    </fill>
    <fill>
      <patternFill patternType="solid">
        <fgColor rgb="FFA9A900"/>
        <bgColor indexed="64"/>
      </patternFill>
    </fill>
    <fill>
      <patternFill patternType="solid">
        <fgColor rgb="FFCACA00"/>
        <bgColor indexed="64"/>
      </patternFill>
    </fill>
    <fill>
      <patternFill patternType="solid">
        <fgColor rgb="FFCDCD00"/>
        <bgColor indexed="64"/>
      </patternFill>
    </fill>
    <fill>
      <patternFill patternType="solid">
        <fgColor rgb="FF3F3F00"/>
        <bgColor indexed="64"/>
      </patternFill>
    </fill>
    <fill>
      <patternFill patternType="solid">
        <fgColor rgb="FF464600"/>
        <bgColor indexed="64"/>
      </patternFill>
    </fill>
    <fill>
      <patternFill patternType="solid">
        <fgColor rgb="FF454500"/>
        <bgColor indexed="64"/>
      </patternFill>
    </fill>
    <fill>
      <patternFill patternType="solid">
        <fgColor rgb="FF0B0B00"/>
        <bgColor indexed="64"/>
      </patternFill>
    </fill>
    <fill>
      <patternFill patternType="solid">
        <fgColor rgb="FF505000"/>
        <bgColor indexed="64"/>
      </patternFill>
    </fill>
    <fill>
      <patternFill patternType="solid">
        <fgColor rgb="FF202000"/>
        <bgColor indexed="64"/>
      </patternFill>
    </fill>
    <fill>
      <patternFill patternType="solid">
        <fgColor rgb="FFD2D200"/>
        <bgColor indexed="64"/>
      </patternFill>
    </fill>
    <fill>
      <patternFill patternType="solid">
        <fgColor rgb="FFDFDF00"/>
        <bgColor indexed="64"/>
      </patternFill>
    </fill>
    <fill>
      <patternFill patternType="solid">
        <fgColor rgb="FF5E5E00"/>
        <bgColor indexed="64"/>
      </patternFill>
    </fill>
    <fill>
      <patternFill patternType="solid">
        <fgColor rgb="FFC1C100"/>
        <bgColor indexed="64"/>
      </patternFill>
    </fill>
    <fill>
      <patternFill patternType="solid">
        <fgColor rgb="FF1E1E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medium">
        <color theme="8" tint="-0.24994659260841701"/>
      </left>
      <right/>
      <top style="medium">
        <color theme="8" tint="-0.24994659260841701"/>
      </top>
      <bottom/>
      <diagonal/>
    </border>
    <border>
      <left/>
      <right/>
      <top style="medium">
        <color theme="8" tint="-0.24994659260841701"/>
      </top>
      <bottom/>
      <diagonal/>
    </border>
    <border>
      <left/>
      <right style="medium">
        <color theme="8" tint="-0.24994659260841701"/>
      </right>
      <top style="medium">
        <color theme="8" tint="-0.24994659260841701"/>
      </top>
      <bottom/>
      <diagonal/>
    </border>
    <border>
      <left style="medium">
        <color theme="8" tint="-0.24994659260841701"/>
      </left>
      <right/>
      <top/>
      <bottom/>
      <diagonal/>
    </border>
    <border>
      <left/>
      <right style="medium">
        <color theme="8" tint="-0.24994659260841701"/>
      </right>
      <top/>
      <bottom/>
      <diagonal/>
    </border>
    <border>
      <left style="medium">
        <color theme="8" tint="-0.24994659260841701"/>
      </left>
      <right/>
      <top/>
      <bottom style="medium">
        <color theme="8" tint="-0.24994659260841701"/>
      </bottom>
      <diagonal/>
    </border>
    <border>
      <left/>
      <right/>
      <top/>
      <bottom style="medium">
        <color theme="8" tint="-0.24994659260841701"/>
      </bottom>
      <diagonal/>
    </border>
    <border>
      <left/>
      <right style="medium">
        <color theme="8" tint="-0.24994659260841701"/>
      </right>
      <top/>
      <bottom style="medium">
        <color theme="8" tint="-0.2499465926084170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0" fontId="5" fillId="0" borderId="0" applyNumberFormat="0" applyFill="0" applyBorder="0" applyAlignment="0" applyProtection="0"/>
  </cellStyleXfs>
  <cellXfs count="142">
    <xf numFmtId="0" fontId="0" fillId="0" borderId="0" xfId="0"/>
    <xf numFmtId="0" fontId="0" fillId="0" borderId="0" xfId="0" applyAlignment="1">
      <alignment horizontal="center"/>
    </xf>
    <xf numFmtId="0" fontId="1" fillId="0" borderId="0" xfId="0" applyFont="1"/>
    <xf numFmtId="0" fontId="1" fillId="0" borderId="2" xfId="0" applyFont="1" applyBorder="1" applyAlignment="1">
      <alignment horizontal="centerContinuous"/>
    </xf>
    <xf numFmtId="0" fontId="1" fillId="0" borderId="3" xfId="0" applyFont="1" applyBorder="1" applyAlignment="1">
      <alignment horizontal="centerContinuous"/>
    </xf>
    <xf numFmtId="0" fontId="1" fillId="0" borderId="4" xfId="0" applyFont="1" applyBorder="1" applyAlignment="1">
      <alignment horizontal="centerContinuous"/>
    </xf>
    <xf numFmtId="0" fontId="1" fillId="0" borderId="5"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0" xfId="0" applyFont="1"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0" fontId="1" fillId="0" borderId="1" xfId="0" applyFont="1" applyBorder="1" applyAlignment="1">
      <alignment horizontal="center"/>
    </xf>
    <xf numFmtId="0" fontId="2" fillId="0" borderId="0" xfId="0" applyFont="1"/>
    <xf numFmtId="164" fontId="0" fillId="0" borderId="0" xfId="0" applyNumberFormat="1"/>
    <xf numFmtId="0" fontId="1" fillId="0" borderId="0" xfId="0" quotePrefix="1" applyFont="1" applyAlignment="1">
      <alignment horizontal="center"/>
    </xf>
    <xf numFmtId="0" fontId="1" fillId="0" borderId="8" xfId="0" applyFont="1" applyBorder="1" applyAlignment="1">
      <alignment horizontal="center"/>
    </xf>
    <xf numFmtId="0" fontId="3" fillId="0" borderId="0" xfId="0" applyFont="1" applyAlignment="1">
      <alignment horizontal="center"/>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4" fillId="0" borderId="0" xfId="0" applyFont="1"/>
    <xf numFmtId="0" fontId="1" fillId="0" borderId="17" xfId="0" applyFont="1" applyBorder="1"/>
    <xf numFmtId="0" fontId="1" fillId="0" borderId="18" xfId="0" applyFont="1" applyBorder="1" applyAlignment="1">
      <alignment horizontal="center"/>
    </xf>
    <xf numFmtId="0" fontId="0" fillId="0" borderId="0" xfId="0" applyAlignment="1">
      <alignment horizontal="centerContinuous"/>
    </xf>
    <xf numFmtId="0" fontId="1" fillId="0" borderId="0" xfId="0" applyFont="1" applyAlignment="1">
      <alignment horizontal="centerContinuous"/>
    </xf>
    <xf numFmtId="0" fontId="2" fillId="0" borderId="0" xfId="0" applyFont="1" applyAlignment="1">
      <alignment horizontal="centerContinuous"/>
    </xf>
    <xf numFmtId="0" fontId="1" fillId="2" borderId="1" xfId="0" applyFont="1" applyFill="1" applyBorder="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6" fillId="0" borderId="0" xfId="0" applyFont="1"/>
    <xf numFmtId="0" fontId="5" fillId="0" borderId="0" xfId="1"/>
    <xf numFmtId="0" fontId="8" fillId="0" borderId="0" xfId="0" applyFont="1"/>
    <xf numFmtId="0" fontId="7" fillId="0" borderId="0" xfId="0" applyFont="1"/>
    <xf numFmtId="0" fontId="3" fillId="0" borderId="0" xfId="0" quotePrefix="1" applyFont="1"/>
  </cellXfs>
  <cellStyles count="2">
    <cellStyle name="Hyperlink" xfId="1" builtinId="8"/>
    <cellStyle name="Normal" xfId="0" builtinId="0"/>
  </cellStyles>
  <dxfs count="0"/>
  <tableStyles count="0" defaultTableStyle="TableStyleMedium2" defaultPivotStyle="PivotStyleLight16"/>
  <colors>
    <mruColors>
      <color rgb="FF00FFFF"/>
      <color rgb="FF008080"/>
      <color rgb="FFFFFFFF"/>
      <color rgb="FF3864B2"/>
      <color rgb="FF648A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163</xdr:col>
      <xdr:colOff>352425</xdr:colOff>
      <xdr:row>14</xdr:row>
      <xdr:rowOff>9525</xdr:rowOff>
    </xdr:from>
    <xdr:to>
      <xdr:col>167</xdr:col>
      <xdr:colOff>123825</xdr:colOff>
      <xdr:row>30</xdr:row>
      <xdr:rowOff>0</xdr:rowOff>
    </xdr:to>
    <xdr:sp macro="[0]!Play" textlink="">
      <xdr:nvSpPr>
        <xdr:cNvPr id="2" name="Rectangle 1">
          <a:extLst>
            <a:ext uri="{FF2B5EF4-FFF2-40B4-BE49-F238E27FC236}">
              <a16:creationId xmlns:a16="http://schemas.microsoft.com/office/drawing/2014/main" id="{91A77913-EE6E-4661-A4B8-E2EAED1E6194}"/>
            </a:ext>
          </a:extLst>
        </xdr:cNvPr>
        <xdr:cNvSpPr/>
      </xdr:nvSpPr>
      <xdr:spPr>
        <a:xfrm>
          <a:off x="10772775" y="809625"/>
          <a:ext cx="2209800" cy="904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4000"/>
            <a:t>PLAY</a:t>
          </a:r>
        </a:p>
      </xdr:txBody>
    </xdr:sp>
    <xdr:clientData/>
  </xdr:twoCellAnchor>
  <xdr:twoCellAnchor>
    <xdr:from>
      <xdr:col>163</xdr:col>
      <xdr:colOff>371475</xdr:colOff>
      <xdr:row>37</xdr:row>
      <xdr:rowOff>28575</xdr:rowOff>
    </xdr:from>
    <xdr:to>
      <xdr:col>167</xdr:col>
      <xdr:colOff>142875</xdr:colOff>
      <xdr:row>53</xdr:row>
      <xdr:rowOff>19050</xdr:rowOff>
    </xdr:to>
    <xdr:sp macro="[0]!Animate" textlink="">
      <xdr:nvSpPr>
        <xdr:cNvPr id="11" name="Rectangle 10">
          <a:extLst>
            <a:ext uri="{FF2B5EF4-FFF2-40B4-BE49-F238E27FC236}">
              <a16:creationId xmlns:a16="http://schemas.microsoft.com/office/drawing/2014/main" id="{A3C35A08-7523-4A02-9A9E-C4CF6C879AE3}"/>
            </a:ext>
          </a:extLst>
        </xdr:cNvPr>
        <xdr:cNvSpPr/>
      </xdr:nvSpPr>
      <xdr:spPr>
        <a:xfrm>
          <a:off x="10791825" y="2143125"/>
          <a:ext cx="2209800" cy="90487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GB" sz="3600"/>
            <a:t>ANIMATE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twitter.com/s0lly" TargetMode="External"/><Relationship Id="rId2" Type="http://schemas.openxmlformats.org/officeDocument/2006/relationships/hyperlink" Target="https://www.instagram.com/s0lly.gaming/" TargetMode="External"/><Relationship Id="rId1" Type="http://schemas.openxmlformats.org/officeDocument/2006/relationships/hyperlink" Target="https://www.youtube.com/c/s0lly" TargetMode="External"/><Relationship Id="rId4" Type="http://schemas.openxmlformats.org/officeDocument/2006/relationships/hyperlink" Target="https://https/www.twitch.tv/s0llygaming"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B5366-F6E5-414B-B711-86510CA90A18}">
  <sheetPr codeName="Sheet7"/>
  <dimension ref="A1:MV242"/>
  <sheetViews>
    <sheetView topLeftCell="A25" zoomScale="270" zoomScaleNormal="270" workbookViewId="0"/>
  </sheetViews>
  <sheetFormatPr defaultRowHeight="15" x14ac:dyDescent="0.25"/>
  <cols>
    <col min="1" max="360" width="0.140625" customWidth="1"/>
  </cols>
  <sheetData>
    <row r="1" spans="1:360" ht="0.75" customHeight="1" x14ac:dyDescent="0.25">
      <c r="A1" s="33"/>
      <c r="B1" s="33"/>
      <c r="C1" s="33"/>
      <c r="D1" s="33"/>
      <c r="E1" s="33"/>
      <c r="F1" s="33"/>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c r="BY1" s="33"/>
      <c r="BZ1" s="33"/>
      <c r="CA1" s="33"/>
      <c r="CB1" s="33"/>
      <c r="CC1" s="33"/>
      <c r="CD1" s="33"/>
      <c r="CE1" s="33"/>
      <c r="CF1" s="33"/>
      <c r="CG1" s="33"/>
      <c r="CH1" s="33"/>
      <c r="CI1" s="33"/>
      <c r="CJ1" s="33"/>
      <c r="CK1" s="33"/>
      <c r="CL1" s="33"/>
      <c r="CM1" s="33"/>
      <c r="CN1" s="33"/>
      <c r="CO1" s="33"/>
      <c r="CP1" s="33"/>
      <c r="CQ1" s="33"/>
      <c r="CR1" s="33"/>
      <c r="CS1" s="33"/>
      <c r="CT1" s="33"/>
      <c r="CU1" s="33"/>
      <c r="CV1" s="33"/>
      <c r="CW1" s="33"/>
      <c r="CX1" s="33"/>
      <c r="CY1" s="33"/>
      <c r="CZ1" s="33"/>
      <c r="DA1" s="33"/>
      <c r="DB1" s="33"/>
      <c r="DC1" s="33"/>
      <c r="DD1" s="33"/>
      <c r="DE1" s="33"/>
      <c r="DF1" s="33"/>
      <c r="DG1" s="33"/>
      <c r="DH1" s="33"/>
      <c r="DI1" s="33"/>
      <c r="DJ1" s="33"/>
      <c r="DK1" s="33"/>
      <c r="DL1" s="33"/>
      <c r="DM1" s="33"/>
      <c r="DN1" s="33"/>
      <c r="DO1" s="33"/>
      <c r="DP1" s="33"/>
      <c r="DQ1" s="33"/>
      <c r="DR1" s="33"/>
      <c r="DS1" s="33"/>
      <c r="DT1" s="33"/>
      <c r="DU1" s="33"/>
      <c r="DV1" s="33"/>
      <c r="DW1" s="33"/>
      <c r="DX1" s="33"/>
      <c r="DY1" s="33"/>
      <c r="DZ1" s="33"/>
      <c r="EA1" s="33"/>
      <c r="EB1" s="33"/>
      <c r="EC1" s="33"/>
      <c r="ED1" s="33"/>
      <c r="EE1" s="33"/>
      <c r="EF1" s="33"/>
      <c r="EG1" s="33"/>
      <c r="EH1" s="33"/>
      <c r="EI1" s="33"/>
      <c r="EJ1" s="33"/>
      <c r="EK1" s="33"/>
      <c r="EL1" s="33"/>
      <c r="EM1" s="33"/>
      <c r="EN1" s="33"/>
      <c r="EO1" s="33"/>
      <c r="EP1" s="33"/>
      <c r="EQ1" s="33"/>
      <c r="ER1" s="33"/>
      <c r="ES1" s="33"/>
      <c r="ET1" s="33"/>
      <c r="EU1" s="33"/>
      <c r="EV1" s="33"/>
      <c r="EW1" s="33"/>
      <c r="EX1" s="33"/>
      <c r="EY1" s="33"/>
      <c r="EZ1" s="33"/>
      <c r="FA1" s="33"/>
      <c r="FB1" s="33"/>
      <c r="FC1" s="33"/>
      <c r="FD1" s="33"/>
      <c r="FE1" s="33"/>
      <c r="FF1" s="33"/>
      <c r="FG1" s="33"/>
      <c r="FH1" s="33"/>
      <c r="FI1" s="33"/>
      <c r="FJ1" s="33"/>
      <c r="FK1" s="33"/>
      <c r="FL1" s="33"/>
      <c r="FM1" s="33"/>
      <c r="FN1" s="33"/>
      <c r="FO1" s="33"/>
      <c r="FP1" s="33"/>
      <c r="FQ1" s="33"/>
      <c r="FR1" s="33"/>
      <c r="FS1" s="33"/>
      <c r="FT1" s="33"/>
      <c r="FU1" s="33"/>
      <c r="FV1" s="33"/>
      <c r="FW1" s="33"/>
      <c r="FX1" s="33"/>
      <c r="FY1" s="33"/>
      <c r="FZ1" s="33"/>
      <c r="GA1" s="33"/>
      <c r="GB1" s="33"/>
      <c r="GC1" s="33"/>
      <c r="GD1" s="33"/>
      <c r="GE1" s="33"/>
      <c r="GF1" s="33"/>
      <c r="GG1" s="33"/>
      <c r="GH1" s="33"/>
      <c r="GI1" s="33"/>
      <c r="GJ1" s="33"/>
      <c r="GK1" s="33"/>
      <c r="GL1" s="33"/>
      <c r="GM1" s="33"/>
      <c r="GN1" s="33"/>
      <c r="GO1" s="33"/>
      <c r="GP1" s="33"/>
      <c r="GQ1" s="33"/>
      <c r="GR1" s="33"/>
      <c r="GS1" s="33"/>
      <c r="GT1" s="33"/>
      <c r="GU1" s="33"/>
      <c r="GV1" s="33"/>
      <c r="GW1" s="33"/>
      <c r="GX1" s="33"/>
      <c r="GY1" s="33"/>
      <c r="GZ1" s="33"/>
      <c r="HA1" s="33"/>
      <c r="HB1" s="33"/>
      <c r="HC1" s="33"/>
      <c r="HD1" s="33"/>
      <c r="HE1" s="33"/>
      <c r="HF1" s="33"/>
      <c r="HG1" s="33"/>
      <c r="HH1" s="33"/>
      <c r="HI1" s="33"/>
      <c r="HJ1" s="33"/>
      <c r="HK1" s="33"/>
      <c r="HL1" s="33"/>
      <c r="HM1" s="33"/>
      <c r="HN1" s="33"/>
      <c r="HO1" s="33"/>
      <c r="HP1" s="33"/>
      <c r="HQ1" s="33"/>
      <c r="HR1" s="33"/>
      <c r="HS1" s="33"/>
      <c r="HT1" s="33"/>
      <c r="HU1" s="33"/>
      <c r="HV1" s="33"/>
      <c r="HW1" s="33"/>
      <c r="HX1" s="33"/>
      <c r="HY1" s="33"/>
      <c r="HZ1" s="33"/>
      <c r="IA1" s="33"/>
      <c r="IB1" s="33"/>
      <c r="IC1" s="33"/>
      <c r="ID1" s="33"/>
      <c r="IE1" s="33"/>
      <c r="IF1" s="33"/>
      <c r="IG1" s="33"/>
      <c r="IH1" s="33"/>
      <c r="II1" s="33"/>
      <c r="IJ1" s="33"/>
      <c r="IK1" s="33"/>
      <c r="IL1" s="33"/>
      <c r="IM1" s="33"/>
      <c r="IN1" s="33"/>
      <c r="IO1" s="33"/>
      <c r="IP1" s="33"/>
      <c r="IQ1" s="33"/>
      <c r="IR1" s="33"/>
      <c r="IS1" s="33"/>
      <c r="IT1" s="33"/>
      <c r="IU1" s="33"/>
      <c r="IV1" s="33"/>
      <c r="IW1" s="33"/>
      <c r="IX1" s="33"/>
      <c r="IY1" s="33"/>
      <c r="IZ1" s="33"/>
      <c r="JA1" s="33"/>
      <c r="JB1" s="33"/>
      <c r="JC1" s="33"/>
      <c r="JD1" s="33"/>
      <c r="JE1" s="33"/>
      <c r="JF1" s="33"/>
      <c r="JG1" s="33"/>
      <c r="JH1" s="33"/>
      <c r="JI1" s="33"/>
      <c r="JJ1" s="33"/>
      <c r="JK1" s="33"/>
      <c r="JL1" s="33"/>
      <c r="JM1" s="33"/>
      <c r="JN1" s="33"/>
      <c r="JO1" s="33"/>
      <c r="JP1" s="33"/>
      <c r="JQ1" s="33"/>
      <c r="JR1" s="33"/>
      <c r="JS1" s="33"/>
      <c r="JT1" s="33"/>
      <c r="JU1" s="33"/>
      <c r="JV1" s="33"/>
      <c r="JW1" s="33"/>
      <c r="JX1" s="33"/>
      <c r="JY1" s="33"/>
      <c r="JZ1" s="33"/>
      <c r="KA1" s="33"/>
      <c r="KB1" s="33"/>
      <c r="KC1" s="33"/>
      <c r="KD1" s="33"/>
      <c r="KE1" s="33"/>
      <c r="KF1" s="33"/>
      <c r="KG1" s="33"/>
      <c r="KH1" s="33"/>
      <c r="KI1" s="33"/>
      <c r="KJ1" s="33"/>
      <c r="KK1" s="33"/>
      <c r="KL1" s="33"/>
      <c r="KM1" s="33"/>
      <c r="KN1" s="33"/>
      <c r="KO1" s="33"/>
      <c r="KP1" s="33"/>
      <c r="KQ1" s="33"/>
      <c r="KR1" s="33"/>
      <c r="KS1" s="33"/>
      <c r="KT1" s="33"/>
      <c r="KU1" s="33"/>
      <c r="KV1" s="33"/>
      <c r="KW1" s="33"/>
      <c r="KX1" s="33"/>
      <c r="KY1" s="33"/>
      <c r="KZ1" s="33"/>
      <c r="LA1" s="33"/>
      <c r="LB1" s="33"/>
      <c r="LC1" s="33"/>
      <c r="LD1" s="33"/>
      <c r="LE1" s="33"/>
      <c r="LF1" s="33"/>
      <c r="LG1" s="33"/>
      <c r="LH1" s="33"/>
      <c r="LI1" s="33"/>
      <c r="LJ1" s="33"/>
      <c r="LK1" s="33"/>
      <c r="LL1" s="33"/>
      <c r="LM1" s="33"/>
      <c r="LN1" s="33"/>
      <c r="LO1" s="33"/>
      <c r="LP1" s="33"/>
      <c r="LQ1" s="33"/>
      <c r="LR1" s="33"/>
      <c r="LS1" s="33"/>
      <c r="LT1" s="33"/>
      <c r="LU1" s="33"/>
      <c r="LV1" s="33"/>
      <c r="LW1" s="33"/>
      <c r="LX1" s="33"/>
      <c r="LY1" s="33"/>
      <c r="LZ1" s="33"/>
      <c r="MA1" s="33"/>
      <c r="MB1" s="33"/>
      <c r="MC1" s="33"/>
      <c r="MD1" s="33"/>
      <c r="ME1" s="33"/>
      <c r="MF1" s="33"/>
      <c r="MG1" s="33"/>
      <c r="MH1" s="33"/>
      <c r="MI1" s="33"/>
      <c r="MJ1" s="33"/>
      <c r="MK1" s="33"/>
      <c r="ML1" s="33"/>
      <c r="MM1" s="33"/>
      <c r="MN1" s="33"/>
      <c r="MO1" s="33"/>
      <c r="MP1" s="33"/>
      <c r="MQ1" s="33"/>
      <c r="MR1" s="33"/>
      <c r="MS1" s="33"/>
      <c r="MT1" s="33"/>
      <c r="MU1" s="33"/>
      <c r="MV1" s="33"/>
    </row>
    <row r="2" spans="1:360" ht="0.75" customHeight="1" x14ac:dyDescent="0.25">
      <c r="A2" s="33"/>
      <c r="B2" s="33"/>
      <c r="C2" s="33"/>
      <c r="D2" s="33"/>
      <c r="E2" s="33"/>
      <c r="F2" s="33"/>
      <c r="G2" s="33"/>
      <c r="H2" s="33"/>
      <c r="I2" s="33"/>
      <c r="J2" s="33"/>
      <c r="K2" s="33"/>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c r="BY2" s="33"/>
      <c r="BZ2" s="33"/>
      <c r="CA2" s="33"/>
      <c r="CB2" s="33"/>
      <c r="CC2" s="33"/>
      <c r="CD2" s="33"/>
      <c r="CE2" s="33"/>
      <c r="CF2" s="33"/>
      <c r="CG2" s="33"/>
      <c r="CH2" s="33"/>
      <c r="CI2" s="33"/>
      <c r="CJ2" s="33"/>
      <c r="CK2" s="33"/>
      <c r="CL2" s="33"/>
      <c r="CM2" s="33"/>
      <c r="CN2" s="33"/>
      <c r="CO2" s="33"/>
      <c r="CP2" s="33"/>
      <c r="CQ2" s="33"/>
      <c r="CR2" s="33"/>
      <c r="CS2" s="33"/>
      <c r="CT2" s="33"/>
      <c r="CU2" s="33"/>
      <c r="CV2" s="33"/>
      <c r="CW2" s="33"/>
      <c r="CX2" s="33"/>
      <c r="CY2" s="33"/>
      <c r="CZ2" s="33"/>
      <c r="DA2" s="33"/>
      <c r="DB2" s="33"/>
      <c r="DC2" s="33"/>
      <c r="DD2" s="33"/>
      <c r="DE2" s="33"/>
      <c r="DF2" s="33"/>
      <c r="DG2" s="33"/>
      <c r="DH2" s="33"/>
      <c r="DI2" s="33"/>
      <c r="DJ2" s="33"/>
      <c r="DK2" s="33"/>
      <c r="DL2" s="33"/>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c r="FG2" s="33"/>
      <c r="FH2" s="33"/>
      <c r="FI2" s="33"/>
      <c r="FJ2" s="33"/>
      <c r="FK2" s="33"/>
      <c r="FL2" s="33"/>
      <c r="FM2" s="33"/>
      <c r="FN2" s="33"/>
      <c r="FO2" s="33"/>
      <c r="FP2" s="33"/>
      <c r="FQ2" s="33"/>
      <c r="FR2" s="33"/>
      <c r="FS2" s="33"/>
      <c r="FT2" s="33"/>
      <c r="FU2" s="33"/>
      <c r="FV2" s="33"/>
      <c r="FW2" s="33"/>
      <c r="FX2" s="33"/>
      <c r="FY2" s="33"/>
      <c r="FZ2" s="33"/>
      <c r="GA2" s="33"/>
      <c r="GB2" s="33"/>
      <c r="GC2" s="33"/>
      <c r="GD2" s="33"/>
      <c r="GE2" s="33"/>
      <c r="GF2" s="33"/>
      <c r="GG2" s="33"/>
      <c r="GH2" s="33"/>
      <c r="GI2" s="33"/>
      <c r="GJ2" s="33"/>
      <c r="GK2" s="33"/>
      <c r="GL2" s="33"/>
      <c r="GM2" s="33"/>
      <c r="GN2" s="33"/>
      <c r="GO2" s="33"/>
      <c r="GP2" s="33"/>
      <c r="GQ2" s="33"/>
      <c r="GR2" s="33"/>
      <c r="GS2" s="33"/>
      <c r="GT2" s="33"/>
      <c r="GU2" s="33"/>
      <c r="GV2" s="33"/>
      <c r="GW2" s="33"/>
      <c r="GX2" s="33"/>
      <c r="GY2" s="33"/>
      <c r="GZ2" s="33"/>
      <c r="HA2" s="33"/>
      <c r="HB2" s="33"/>
      <c r="HC2" s="33"/>
      <c r="HD2" s="33"/>
      <c r="HE2" s="33"/>
      <c r="HF2" s="33"/>
      <c r="HG2" s="33"/>
      <c r="HH2" s="33"/>
      <c r="HI2" s="33"/>
      <c r="HJ2" s="33"/>
      <c r="HK2" s="33"/>
      <c r="HL2" s="33"/>
      <c r="HM2" s="33"/>
      <c r="HN2" s="33"/>
      <c r="HO2" s="33"/>
      <c r="HP2" s="33"/>
      <c r="HQ2" s="33"/>
      <c r="HR2" s="33"/>
      <c r="HS2" s="33"/>
      <c r="HT2" s="33"/>
      <c r="HU2" s="33"/>
      <c r="HV2" s="33"/>
      <c r="HW2" s="33"/>
      <c r="HX2" s="33"/>
      <c r="HY2" s="33"/>
      <c r="HZ2" s="33"/>
      <c r="IA2" s="33"/>
      <c r="IB2" s="33"/>
      <c r="IC2" s="33"/>
      <c r="ID2" s="33"/>
      <c r="IE2" s="33"/>
      <c r="IF2" s="33"/>
      <c r="IG2" s="33"/>
      <c r="IH2" s="33"/>
      <c r="II2" s="33"/>
      <c r="IJ2" s="33"/>
      <c r="IK2" s="33"/>
      <c r="IL2" s="33"/>
      <c r="IM2" s="33"/>
      <c r="IN2" s="33"/>
      <c r="IO2" s="33"/>
      <c r="IP2" s="33"/>
      <c r="IQ2" s="33"/>
      <c r="IR2" s="33"/>
      <c r="IS2" s="33"/>
      <c r="IT2" s="33"/>
      <c r="IU2" s="33"/>
      <c r="IV2" s="33"/>
      <c r="IW2" s="33"/>
      <c r="IX2" s="33"/>
      <c r="IY2" s="33"/>
      <c r="IZ2" s="33"/>
      <c r="JA2" s="33"/>
      <c r="JB2" s="33"/>
      <c r="JC2" s="33"/>
      <c r="JD2" s="33"/>
      <c r="JE2" s="33"/>
      <c r="JF2" s="33"/>
      <c r="JG2" s="33"/>
      <c r="JH2" s="33"/>
      <c r="JI2" s="33"/>
      <c r="JJ2" s="33"/>
      <c r="JK2" s="33"/>
      <c r="JL2" s="33"/>
      <c r="JM2" s="33"/>
      <c r="JN2" s="33"/>
      <c r="JO2" s="33"/>
      <c r="JP2" s="33"/>
      <c r="JQ2" s="33"/>
      <c r="JR2" s="33"/>
      <c r="JS2" s="33"/>
      <c r="JT2" s="33"/>
      <c r="JU2" s="33"/>
      <c r="JV2" s="33"/>
      <c r="JW2" s="33"/>
      <c r="JX2" s="33"/>
      <c r="JY2" s="33"/>
      <c r="JZ2" s="33"/>
      <c r="KA2" s="33"/>
      <c r="KB2" s="33"/>
      <c r="KC2" s="33"/>
      <c r="KD2" s="33"/>
      <c r="KE2" s="33"/>
      <c r="KF2" s="33"/>
      <c r="KG2" s="33"/>
      <c r="KH2" s="33"/>
      <c r="KI2" s="33"/>
      <c r="KJ2" s="33"/>
      <c r="KK2" s="33"/>
      <c r="KL2" s="33"/>
      <c r="KM2" s="33"/>
      <c r="KN2" s="33"/>
      <c r="KO2" s="33"/>
      <c r="KP2" s="33"/>
      <c r="KQ2" s="33"/>
      <c r="KR2" s="33"/>
      <c r="KS2" s="33"/>
      <c r="KT2" s="33"/>
      <c r="KU2" s="33"/>
      <c r="KV2" s="33"/>
      <c r="KW2" s="33"/>
      <c r="KX2" s="33"/>
      <c r="KY2" s="33"/>
      <c r="KZ2" s="33"/>
      <c r="LA2" s="33"/>
      <c r="LB2" s="33"/>
      <c r="LC2" s="33"/>
      <c r="LD2" s="33"/>
      <c r="LE2" s="33"/>
      <c r="LF2" s="33"/>
      <c r="LG2" s="33"/>
      <c r="LH2" s="33"/>
      <c r="LI2" s="33"/>
      <c r="LJ2" s="33"/>
      <c r="LK2" s="33"/>
      <c r="LL2" s="33"/>
      <c r="LM2" s="33"/>
      <c r="LN2" s="33"/>
      <c r="LO2" s="33"/>
      <c r="LP2" s="33"/>
      <c r="LQ2" s="33"/>
      <c r="LR2" s="33"/>
      <c r="LS2" s="33"/>
      <c r="LT2" s="33"/>
      <c r="LU2" s="33"/>
      <c r="LV2" s="33"/>
      <c r="LW2" s="33"/>
      <c r="LX2" s="33"/>
      <c r="LY2" s="33"/>
      <c r="LZ2" s="33"/>
      <c r="MA2" s="33"/>
      <c r="MB2" s="33"/>
      <c r="MC2" s="33"/>
      <c r="MD2" s="33"/>
      <c r="ME2" s="33"/>
      <c r="MF2" s="33"/>
      <c r="MG2" s="33"/>
      <c r="MH2" s="33"/>
      <c r="MI2" s="33"/>
      <c r="MJ2" s="33"/>
      <c r="MK2" s="33"/>
      <c r="ML2" s="33"/>
      <c r="MM2" s="33"/>
      <c r="MN2" s="33"/>
      <c r="MO2" s="33"/>
      <c r="MP2" s="33"/>
      <c r="MQ2" s="33"/>
      <c r="MR2" s="33"/>
      <c r="MS2" s="33"/>
      <c r="MT2" s="33"/>
      <c r="MU2" s="33"/>
      <c r="MV2" s="33"/>
    </row>
    <row r="3" spans="1:360" ht="0.75" customHeight="1" x14ac:dyDescent="0.25">
      <c r="A3" s="33"/>
      <c r="B3" s="33"/>
      <c r="C3" s="33"/>
      <c r="D3" s="33"/>
      <c r="E3" s="33"/>
      <c r="F3" s="33"/>
      <c r="G3" s="33"/>
      <c r="H3" s="33"/>
      <c r="I3" s="33"/>
      <c r="J3" s="33"/>
      <c r="K3" s="33"/>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c r="CV3" s="33"/>
      <c r="CW3" s="33"/>
      <c r="CX3" s="33"/>
      <c r="CY3" s="33"/>
      <c r="CZ3" s="33"/>
      <c r="DA3" s="33"/>
      <c r="DB3" s="33"/>
      <c r="DC3" s="33"/>
      <c r="DD3" s="33"/>
      <c r="DE3" s="33"/>
      <c r="DF3" s="33"/>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c r="FG3" s="33"/>
      <c r="FH3" s="33"/>
      <c r="FI3" s="33"/>
      <c r="FJ3" s="33"/>
      <c r="FK3" s="33"/>
      <c r="FL3" s="33"/>
      <c r="FM3" s="33"/>
      <c r="FN3" s="33"/>
      <c r="FO3" s="33"/>
      <c r="FP3" s="33"/>
      <c r="FQ3" s="33"/>
      <c r="FR3" s="33"/>
      <c r="FS3" s="33"/>
      <c r="FT3" s="33"/>
      <c r="FU3" s="33"/>
      <c r="FV3" s="33"/>
      <c r="FW3" s="33"/>
      <c r="FX3" s="33"/>
      <c r="FY3" s="33"/>
      <c r="FZ3" s="33"/>
      <c r="GA3" s="33"/>
      <c r="GB3" s="33"/>
      <c r="GC3" s="33"/>
      <c r="GD3" s="33"/>
      <c r="GE3" s="33"/>
      <c r="GF3" s="33"/>
      <c r="GG3" s="33"/>
      <c r="GH3" s="33"/>
      <c r="GI3" s="33"/>
      <c r="GJ3" s="33"/>
      <c r="GK3" s="33"/>
      <c r="GL3" s="33"/>
      <c r="GM3" s="33"/>
      <c r="GN3" s="33"/>
      <c r="GO3" s="33"/>
      <c r="GP3" s="33"/>
      <c r="GQ3" s="33"/>
      <c r="GR3" s="33"/>
      <c r="GS3" s="33"/>
      <c r="GT3" s="33"/>
      <c r="GU3" s="33"/>
      <c r="GV3" s="33"/>
      <c r="GW3" s="33"/>
      <c r="GX3" s="33"/>
      <c r="GY3" s="33"/>
      <c r="GZ3" s="33"/>
      <c r="HA3" s="33"/>
      <c r="HB3" s="33"/>
      <c r="HC3" s="33"/>
      <c r="HD3" s="33"/>
      <c r="HE3" s="33"/>
      <c r="HF3" s="33"/>
      <c r="HG3" s="33"/>
      <c r="HH3" s="33"/>
      <c r="HI3" s="33"/>
      <c r="HJ3" s="33"/>
      <c r="HK3" s="33"/>
      <c r="HL3" s="33"/>
      <c r="HM3" s="33"/>
      <c r="HN3" s="33"/>
      <c r="HO3" s="33"/>
      <c r="HP3" s="33"/>
      <c r="HQ3" s="33"/>
      <c r="HR3" s="33"/>
      <c r="HS3" s="33"/>
      <c r="HT3" s="33"/>
      <c r="HU3" s="33"/>
      <c r="HV3" s="33"/>
      <c r="HW3" s="33"/>
      <c r="HX3" s="33"/>
      <c r="HY3" s="33"/>
      <c r="HZ3" s="33"/>
      <c r="IA3" s="33"/>
      <c r="IB3" s="33"/>
      <c r="IC3" s="33"/>
      <c r="ID3" s="33"/>
      <c r="IE3" s="33"/>
      <c r="IF3" s="33"/>
      <c r="IG3" s="33"/>
      <c r="IH3" s="33"/>
      <c r="II3" s="33"/>
      <c r="IJ3" s="33"/>
      <c r="IK3" s="33"/>
      <c r="IL3" s="33"/>
      <c r="IM3" s="33"/>
      <c r="IN3" s="33"/>
      <c r="IO3" s="33"/>
      <c r="IP3" s="33"/>
      <c r="IQ3" s="33"/>
      <c r="IR3" s="33"/>
      <c r="IS3" s="33"/>
      <c r="IT3" s="33"/>
      <c r="IU3" s="33"/>
      <c r="IV3" s="33"/>
      <c r="IW3" s="33"/>
      <c r="IX3" s="33"/>
      <c r="IY3" s="33"/>
      <c r="IZ3" s="33"/>
      <c r="JA3" s="33"/>
      <c r="JB3" s="33"/>
      <c r="JC3" s="33"/>
      <c r="JD3" s="33"/>
      <c r="JE3" s="33"/>
      <c r="JF3" s="33"/>
      <c r="JG3" s="33"/>
      <c r="JH3" s="33"/>
      <c r="JI3" s="33"/>
      <c r="JJ3" s="33"/>
      <c r="JK3" s="33"/>
      <c r="JL3" s="33"/>
      <c r="JM3" s="33"/>
      <c r="JN3" s="33"/>
      <c r="JO3" s="33"/>
      <c r="JP3" s="33"/>
      <c r="JQ3" s="33"/>
      <c r="JR3" s="33"/>
      <c r="JS3" s="33"/>
      <c r="JT3" s="33"/>
      <c r="JU3" s="33"/>
      <c r="JV3" s="33"/>
      <c r="JW3" s="33"/>
      <c r="JX3" s="33"/>
      <c r="JY3" s="33"/>
      <c r="JZ3" s="33"/>
      <c r="KA3" s="33"/>
      <c r="KB3" s="33"/>
      <c r="KC3" s="33"/>
      <c r="KD3" s="33"/>
      <c r="KE3" s="33"/>
      <c r="KF3" s="33"/>
      <c r="KG3" s="33"/>
      <c r="KH3" s="33"/>
      <c r="KI3" s="33"/>
      <c r="KJ3" s="33"/>
      <c r="KK3" s="33"/>
      <c r="KL3" s="33"/>
      <c r="KM3" s="33"/>
      <c r="KN3" s="33"/>
      <c r="KO3" s="33"/>
      <c r="KP3" s="33"/>
      <c r="KQ3" s="33"/>
      <c r="KR3" s="33"/>
      <c r="KS3" s="33"/>
      <c r="KT3" s="33"/>
      <c r="KU3" s="33"/>
      <c r="KV3" s="33"/>
      <c r="KW3" s="33"/>
      <c r="KX3" s="33"/>
      <c r="KY3" s="33"/>
      <c r="KZ3" s="33"/>
      <c r="LA3" s="33"/>
      <c r="LB3" s="33"/>
      <c r="LC3" s="33"/>
      <c r="LD3" s="33"/>
      <c r="LE3" s="33"/>
      <c r="LF3" s="33"/>
      <c r="LG3" s="33"/>
      <c r="LH3" s="33"/>
      <c r="LI3" s="33"/>
      <c r="LJ3" s="33"/>
      <c r="LK3" s="33"/>
      <c r="LL3" s="33"/>
      <c r="LM3" s="33"/>
      <c r="LN3" s="33"/>
      <c r="LO3" s="33"/>
      <c r="LP3" s="33"/>
      <c r="LQ3" s="33"/>
      <c r="LR3" s="33"/>
      <c r="LS3" s="33"/>
      <c r="LT3" s="33"/>
      <c r="LU3" s="33"/>
      <c r="LV3" s="33"/>
      <c r="LW3" s="33"/>
      <c r="LX3" s="33"/>
      <c r="LY3" s="33"/>
      <c r="LZ3" s="33"/>
      <c r="MA3" s="33"/>
      <c r="MB3" s="33"/>
      <c r="MC3" s="33"/>
      <c r="MD3" s="33"/>
      <c r="ME3" s="33"/>
      <c r="MF3" s="33"/>
      <c r="MG3" s="33"/>
      <c r="MH3" s="33"/>
      <c r="MI3" s="33"/>
      <c r="MJ3" s="33"/>
      <c r="MK3" s="33"/>
      <c r="ML3" s="33"/>
      <c r="MM3" s="33"/>
      <c r="MN3" s="33"/>
      <c r="MO3" s="33"/>
      <c r="MP3" s="33"/>
      <c r="MQ3" s="33"/>
      <c r="MR3" s="33"/>
      <c r="MS3" s="33"/>
      <c r="MT3" s="33"/>
      <c r="MU3" s="33"/>
      <c r="MV3" s="33"/>
    </row>
    <row r="4" spans="1:360" ht="0.75" customHeight="1" x14ac:dyDescent="0.25">
      <c r="A4" s="33"/>
      <c r="B4" s="33"/>
      <c r="C4" s="33"/>
      <c r="D4" s="33"/>
      <c r="E4" s="33"/>
      <c r="F4" s="33"/>
      <c r="G4" s="33"/>
      <c r="H4" s="33"/>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c r="BY4" s="33"/>
      <c r="BZ4" s="33"/>
      <c r="CA4" s="33"/>
      <c r="CB4" s="33"/>
      <c r="CC4" s="33"/>
      <c r="CD4" s="33"/>
      <c r="CE4" s="33"/>
      <c r="CF4" s="33"/>
      <c r="CG4" s="33"/>
      <c r="CH4" s="33"/>
      <c r="CI4" s="33"/>
      <c r="CJ4" s="33"/>
      <c r="CK4" s="33"/>
      <c r="CL4" s="33"/>
      <c r="CM4" s="33"/>
      <c r="CN4" s="33"/>
      <c r="CO4" s="33"/>
      <c r="CP4" s="33"/>
      <c r="CQ4" s="33"/>
      <c r="CR4" s="33"/>
      <c r="CS4" s="33"/>
      <c r="CT4" s="33"/>
      <c r="CU4" s="33"/>
      <c r="CV4" s="33"/>
      <c r="CW4" s="33"/>
      <c r="CX4" s="33"/>
      <c r="CY4" s="33"/>
      <c r="CZ4" s="33"/>
      <c r="DA4" s="33"/>
      <c r="DB4" s="33"/>
      <c r="DC4" s="33"/>
      <c r="DD4" s="33"/>
      <c r="DE4" s="33"/>
      <c r="DF4" s="33"/>
      <c r="DG4" s="33"/>
      <c r="DH4" s="33"/>
      <c r="DI4" s="33"/>
      <c r="DJ4" s="33"/>
      <c r="DK4" s="33"/>
      <c r="DL4" s="33"/>
      <c r="DM4" s="33"/>
      <c r="DN4" s="33"/>
      <c r="DO4" s="33"/>
      <c r="DP4" s="33"/>
      <c r="DQ4" s="33"/>
      <c r="DR4" s="33"/>
      <c r="DS4" s="33"/>
      <c r="DT4" s="33"/>
      <c r="DU4" s="33"/>
      <c r="DV4" s="33"/>
      <c r="DW4" s="33"/>
      <c r="DX4" s="33"/>
      <c r="DY4" s="33"/>
      <c r="DZ4" s="33"/>
      <c r="EA4" s="33"/>
      <c r="EB4" s="33"/>
      <c r="EC4" s="33"/>
      <c r="ED4" s="33"/>
      <c r="EE4" s="33"/>
      <c r="EF4" s="33"/>
      <c r="EG4" s="33"/>
      <c r="EH4" s="33"/>
      <c r="EI4" s="33"/>
      <c r="EJ4" s="33"/>
      <c r="EK4" s="33"/>
      <c r="EL4" s="33"/>
      <c r="EM4" s="33"/>
      <c r="EN4" s="33"/>
      <c r="EO4" s="33"/>
      <c r="EP4" s="33"/>
      <c r="EQ4" s="33"/>
      <c r="ER4" s="33"/>
      <c r="ES4" s="33"/>
      <c r="ET4" s="33"/>
      <c r="EU4" s="33"/>
      <c r="EV4" s="33"/>
      <c r="EW4" s="33"/>
      <c r="EX4" s="33"/>
      <c r="EY4" s="33"/>
      <c r="EZ4" s="33"/>
      <c r="FA4" s="33"/>
      <c r="FB4" s="33"/>
      <c r="FC4" s="33"/>
      <c r="FD4" s="33"/>
      <c r="FE4" s="33"/>
      <c r="FF4" s="33"/>
      <c r="FG4" s="33"/>
      <c r="FH4" s="33"/>
      <c r="FI4" s="33"/>
      <c r="FJ4" s="33"/>
      <c r="FK4" s="33"/>
      <c r="FL4" s="33"/>
      <c r="FM4" s="33"/>
      <c r="FN4" s="33"/>
      <c r="FO4" s="33"/>
      <c r="FP4" s="33"/>
      <c r="FQ4" s="33"/>
      <c r="FR4" s="33"/>
      <c r="FS4" s="33"/>
      <c r="FT4" s="33"/>
      <c r="FU4" s="33"/>
      <c r="FV4" s="33"/>
      <c r="FW4" s="33"/>
      <c r="FX4" s="33"/>
      <c r="FY4" s="33"/>
      <c r="FZ4" s="33"/>
      <c r="GA4" s="33"/>
      <c r="GB4" s="33"/>
      <c r="GC4" s="33"/>
      <c r="GD4" s="33"/>
      <c r="GE4" s="33"/>
      <c r="GF4" s="33"/>
      <c r="GG4" s="33"/>
      <c r="GH4" s="33"/>
      <c r="GI4" s="33"/>
      <c r="GJ4" s="33"/>
      <c r="GK4" s="33"/>
      <c r="GL4" s="33"/>
      <c r="GM4" s="33"/>
      <c r="GN4" s="33"/>
      <c r="GO4" s="33"/>
      <c r="GP4" s="33"/>
      <c r="GQ4" s="33"/>
      <c r="GR4" s="33"/>
      <c r="GS4" s="33"/>
      <c r="GT4" s="33"/>
      <c r="GU4" s="33"/>
      <c r="GV4" s="33"/>
      <c r="GW4" s="33"/>
      <c r="GX4" s="33"/>
      <c r="GY4" s="33"/>
      <c r="GZ4" s="33"/>
      <c r="HA4" s="33"/>
      <c r="HB4" s="33"/>
      <c r="HC4" s="33"/>
      <c r="HD4" s="33"/>
      <c r="HE4" s="33"/>
      <c r="HF4" s="33"/>
      <c r="HG4" s="33"/>
      <c r="HH4" s="33"/>
      <c r="HI4" s="33"/>
      <c r="HJ4" s="33"/>
      <c r="HK4" s="33"/>
      <c r="HL4" s="33"/>
      <c r="HM4" s="33"/>
      <c r="HN4" s="33"/>
      <c r="HO4" s="33"/>
      <c r="HP4" s="33"/>
      <c r="HQ4" s="33"/>
      <c r="HR4" s="33"/>
      <c r="HS4" s="33"/>
      <c r="HT4" s="33"/>
      <c r="HU4" s="33"/>
      <c r="HV4" s="33"/>
      <c r="HW4" s="33"/>
      <c r="HX4" s="33"/>
      <c r="HY4" s="33"/>
      <c r="HZ4" s="33"/>
      <c r="IA4" s="33"/>
      <c r="IB4" s="33"/>
      <c r="IC4" s="33"/>
      <c r="ID4" s="33"/>
      <c r="IE4" s="33"/>
      <c r="IF4" s="33"/>
      <c r="IG4" s="33"/>
      <c r="IH4" s="33"/>
      <c r="II4" s="33"/>
      <c r="IJ4" s="33"/>
      <c r="IK4" s="33"/>
      <c r="IL4" s="33"/>
      <c r="IM4" s="33"/>
      <c r="IN4" s="33"/>
      <c r="IO4" s="33"/>
      <c r="IP4" s="33"/>
      <c r="IQ4" s="33"/>
      <c r="IR4" s="33"/>
      <c r="IS4" s="33"/>
      <c r="IT4" s="33"/>
      <c r="IU4" s="33"/>
      <c r="IV4" s="33"/>
      <c r="IW4" s="33"/>
      <c r="IX4" s="33"/>
      <c r="IY4" s="33"/>
      <c r="IZ4" s="33"/>
      <c r="JA4" s="33"/>
      <c r="JB4" s="33"/>
      <c r="JC4" s="33"/>
      <c r="JD4" s="33"/>
      <c r="JE4" s="33"/>
      <c r="JF4" s="33"/>
      <c r="JG4" s="33"/>
      <c r="JH4" s="33"/>
      <c r="JI4" s="33"/>
      <c r="JJ4" s="33"/>
      <c r="JK4" s="33"/>
      <c r="JL4" s="33"/>
      <c r="JM4" s="33"/>
      <c r="JN4" s="33"/>
      <c r="JO4" s="33"/>
      <c r="JP4" s="33"/>
      <c r="JQ4" s="33"/>
      <c r="JR4" s="33"/>
      <c r="JS4" s="33"/>
      <c r="JT4" s="33"/>
      <c r="JU4" s="33"/>
      <c r="JV4" s="33"/>
      <c r="JW4" s="33"/>
      <c r="JX4" s="33"/>
      <c r="JY4" s="33"/>
      <c r="JZ4" s="33"/>
      <c r="KA4" s="33"/>
      <c r="KB4" s="33"/>
      <c r="KC4" s="33"/>
      <c r="KD4" s="33"/>
      <c r="KE4" s="33"/>
      <c r="KF4" s="33"/>
      <c r="KG4" s="33"/>
      <c r="KH4" s="33"/>
      <c r="KI4" s="33"/>
      <c r="KJ4" s="33"/>
      <c r="KK4" s="33"/>
      <c r="KL4" s="33"/>
      <c r="KM4" s="33"/>
      <c r="KN4" s="33"/>
      <c r="KO4" s="33"/>
      <c r="KP4" s="33"/>
      <c r="KQ4" s="33"/>
      <c r="KR4" s="33"/>
      <c r="KS4" s="33"/>
      <c r="KT4" s="33"/>
      <c r="KU4" s="33"/>
      <c r="KV4" s="33"/>
      <c r="KW4" s="33"/>
      <c r="KX4" s="33"/>
      <c r="KY4" s="33"/>
      <c r="KZ4" s="33"/>
      <c r="LA4" s="33"/>
      <c r="LB4" s="33"/>
      <c r="LC4" s="33"/>
      <c r="LD4" s="33"/>
      <c r="LE4" s="33"/>
      <c r="LF4" s="33"/>
      <c r="LG4" s="33"/>
      <c r="LH4" s="33"/>
      <c r="LI4" s="33"/>
      <c r="LJ4" s="33"/>
      <c r="LK4" s="33"/>
      <c r="LL4" s="33"/>
      <c r="LM4" s="33"/>
      <c r="LN4" s="33"/>
      <c r="LO4" s="33"/>
      <c r="LP4" s="33"/>
      <c r="LQ4" s="33"/>
      <c r="LR4" s="33"/>
      <c r="LS4" s="33"/>
      <c r="LT4" s="33"/>
      <c r="LU4" s="33"/>
      <c r="LV4" s="33"/>
      <c r="LW4" s="33"/>
      <c r="LX4" s="33"/>
      <c r="LY4" s="33"/>
      <c r="LZ4" s="33"/>
      <c r="MA4" s="33"/>
      <c r="MB4" s="33"/>
      <c r="MC4" s="33"/>
      <c r="MD4" s="33"/>
      <c r="ME4" s="33"/>
      <c r="MF4" s="33"/>
      <c r="MG4" s="33"/>
      <c r="MH4" s="33"/>
      <c r="MI4" s="33"/>
      <c r="MJ4" s="33"/>
      <c r="MK4" s="33"/>
      <c r="ML4" s="33"/>
      <c r="MM4" s="33"/>
      <c r="MN4" s="33"/>
      <c r="MO4" s="33"/>
      <c r="MP4" s="33"/>
      <c r="MQ4" s="33"/>
      <c r="MR4" s="33"/>
      <c r="MS4" s="33"/>
      <c r="MT4" s="33"/>
      <c r="MU4" s="33"/>
      <c r="MV4" s="33"/>
    </row>
    <row r="5" spans="1:360" ht="0.75" customHeight="1" x14ac:dyDescent="0.25">
      <c r="A5" s="33"/>
      <c r="B5" s="33"/>
      <c r="C5" s="33"/>
      <c r="D5" s="33"/>
      <c r="E5" s="33"/>
      <c r="F5" s="33"/>
      <c r="G5" s="33"/>
      <c r="H5" s="33"/>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c r="BY5" s="33"/>
      <c r="BZ5" s="33"/>
      <c r="CA5" s="33"/>
      <c r="CB5" s="33"/>
      <c r="CC5" s="33"/>
      <c r="CD5" s="33"/>
      <c r="CE5" s="33"/>
      <c r="CF5" s="33"/>
      <c r="CG5" s="33"/>
      <c r="CH5" s="33"/>
      <c r="CI5" s="33"/>
      <c r="CJ5" s="33"/>
      <c r="CK5" s="33"/>
      <c r="CL5" s="33"/>
      <c r="CM5" s="33"/>
      <c r="CN5" s="33"/>
      <c r="CO5" s="33"/>
      <c r="CP5" s="33"/>
      <c r="CQ5" s="33"/>
      <c r="CR5" s="33"/>
      <c r="CS5" s="33"/>
      <c r="CT5" s="33"/>
      <c r="CU5" s="33"/>
      <c r="CV5" s="33"/>
      <c r="CW5" s="33"/>
      <c r="CX5" s="33"/>
      <c r="CY5" s="33"/>
      <c r="CZ5" s="33"/>
      <c r="DA5" s="33"/>
      <c r="DB5" s="33"/>
      <c r="DC5" s="33"/>
      <c r="DD5" s="33"/>
      <c r="DE5" s="33"/>
      <c r="DF5" s="33"/>
      <c r="DG5" s="33"/>
      <c r="DH5" s="33"/>
      <c r="DI5" s="33"/>
      <c r="DJ5" s="33"/>
      <c r="DK5" s="33"/>
      <c r="DL5" s="33"/>
      <c r="DM5" s="33"/>
      <c r="DN5" s="33"/>
      <c r="DO5" s="33"/>
      <c r="DP5" s="33"/>
      <c r="DQ5" s="33"/>
      <c r="DR5" s="33"/>
      <c r="DS5" s="33"/>
      <c r="DT5" s="33"/>
      <c r="DU5" s="33"/>
      <c r="DV5" s="33"/>
      <c r="DW5" s="33"/>
      <c r="DX5" s="33"/>
      <c r="DY5" s="33"/>
      <c r="DZ5" s="33"/>
      <c r="EA5" s="33"/>
      <c r="EB5" s="33"/>
      <c r="EC5" s="33"/>
      <c r="ED5" s="33"/>
      <c r="EE5" s="33"/>
      <c r="EF5" s="33"/>
      <c r="EG5" s="33"/>
      <c r="EH5" s="33"/>
      <c r="EI5" s="33"/>
      <c r="EJ5" s="33"/>
      <c r="EK5" s="33"/>
      <c r="EL5" s="33"/>
      <c r="EM5" s="33"/>
      <c r="EN5" s="33"/>
      <c r="EO5" s="33"/>
      <c r="EP5" s="33"/>
      <c r="EQ5" s="33"/>
      <c r="ER5" s="33"/>
      <c r="ES5" s="33"/>
      <c r="ET5" s="33"/>
      <c r="EU5" s="33"/>
      <c r="EV5" s="33"/>
      <c r="EW5" s="33"/>
      <c r="EX5" s="33"/>
      <c r="EY5" s="33"/>
      <c r="EZ5" s="33"/>
      <c r="FA5" s="33"/>
      <c r="FB5" s="33"/>
      <c r="FC5" s="33"/>
      <c r="FD5" s="33"/>
      <c r="FE5" s="33"/>
      <c r="FF5" s="33"/>
      <c r="FG5" s="33"/>
      <c r="FH5" s="33"/>
      <c r="FI5" s="33"/>
      <c r="FJ5" s="33"/>
      <c r="FK5" s="33"/>
      <c r="FL5" s="33"/>
      <c r="FM5" s="33"/>
      <c r="FN5" s="33"/>
      <c r="FO5" s="33"/>
      <c r="FP5" s="33"/>
      <c r="FQ5" s="33"/>
      <c r="FR5" s="33"/>
      <c r="FS5" s="33"/>
      <c r="FT5" s="33"/>
      <c r="FU5" s="33"/>
      <c r="FV5" s="33"/>
      <c r="FW5" s="33"/>
      <c r="FX5" s="33"/>
      <c r="FY5" s="33"/>
      <c r="FZ5" s="33"/>
      <c r="GA5" s="33"/>
      <c r="GB5" s="33"/>
      <c r="GC5" s="33"/>
      <c r="GD5" s="33"/>
      <c r="GE5" s="33"/>
      <c r="GF5" s="33"/>
      <c r="GG5" s="33"/>
      <c r="GH5" s="33"/>
      <c r="GI5" s="33"/>
      <c r="GJ5" s="33"/>
      <c r="GK5" s="33"/>
      <c r="GL5" s="33"/>
      <c r="GM5" s="33"/>
      <c r="GN5" s="33"/>
      <c r="GO5" s="33"/>
      <c r="GP5" s="33"/>
      <c r="GQ5" s="33"/>
      <c r="GR5" s="33"/>
      <c r="GS5" s="33"/>
      <c r="GT5" s="33"/>
      <c r="GU5" s="33"/>
      <c r="GV5" s="33"/>
      <c r="GW5" s="33"/>
      <c r="GX5" s="33"/>
      <c r="GY5" s="33"/>
      <c r="GZ5" s="33"/>
      <c r="HA5" s="33"/>
      <c r="HB5" s="33"/>
      <c r="HC5" s="33"/>
      <c r="HD5" s="33"/>
      <c r="HE5" s="33"/>
      <c r="HF5" s="33"/>
      <c r="HG5" s="33"/>
      <c r="HH5" s="33"/>
      <c r="HI5" s="33"/>
      <c r="HJ5" s="33"/>
      <c r="HK5" s="33"/>
      <c r="HL5" s="33"/>
      <c r="HM5" s="33"/>
      <c r="HN5" s="33"/>
      <c r="HO5" s="33"/>
      <c r="HP5" s="33"/>
      <c r="HQ5" s="33"/>
      <c r="HR5" s="33"/>
      <c r="HS5" s="33"/>
      <c r="HT5" s="33"/>
      <c r="HU5" s="33"/>
      <c r="HV5" s="33"/>
      <c r="HW5" s="33"/>
      <c r="HX5" s="33"/>
      <c r="HY5" s="33"/>
      <c r="HZ5" s="33"/>
      <c r="IA5" s="33"/>
      <c r="IB5" s="33"/>
      <c r="IC5" s="33"/>
      <c r="ID5" s="33"/>
      <c r="IE5" s="33"/>
      <c r="IF5" s="33"/>
      <c r="IG5" s="33"/>
      <c r="IH5" s="33"/>
      <c r="II5" s="33"/>
      <c r="IJ5" s="33"/>
      <c r="IK5" s="33"/>
      <c r="IL5" s="33"/>
      <c r="IM5" s="33"/>
      <c r="IN5" s="33"/>
      <c r="IO5" s="33"/>
      <c r="IP5" s="33"/>
      <c r="IQ5" s="33"/>
      <c r="IR5" s="33"/>
      <c r="IS5" s="33"/>
      <c r="IT5" s="33"/>
      <c r="IU5" s="33"/>
      <c r="IV5" s="33"/>
      <c r="IW5" s="33"/>
      <c r="IX5" s="33"/>
      <c r="IY5" s="33"/>
      <c r="IZ5" s="33"/>
      <c r="JA5" s="33"/>
      <c r="JB5" s="33"/>
      <c r="JC5" s="33"/>
      <c r="JD5" s="33"/>
      <c r="JE5" s="33"/>
      <c r="JF5" s="33"/>
      <c r="JG5" s="33"/>
      <c r="JH5" s="33"/>
      <c r="JI5" s="33"/>
      <c r="JJ5" s="33"/>
      <c r="JK5" s="33"/>
      <c r="JL5" s="33"/>
      <c r="JM5" s="33"/>
      <c r="JN5" s="33"/>
      <c r="JO5" s="33"/>
      <c r="JP5" s="33"/>
      <c r="JQ5" s="33"/>
      <c r="JR5" s="33"/>
      <c r="JS5" s="33"/>
      <c r="JT5" s="33"/>
      <c r="JU5" s="33"/>
      <c r="JV5" s="33"/>
      <c r="JW5" s="33"/>
      <c r="JX5" s="33"/>
      <c r="JY5" s="33"/>
      <c r="JZ5" s="33"/>
      <c r="KA5" s="33"/>
      <c r="KB5" s="33"/>
      <c r="KC5" s="33"/>
      <c r="KD5" s="33"/>
      <c r="KE5" s="33"/>
      <c r="KF5" s="33"/>
      <c r="KG5" s="33"/>
      <c r="KH5" s="33"/>
      <c r="KI5" s="33"/>
      <c r="KJ5" s="33"/>
      <c r="KK5" s="33"/>
      <c r="KL5" s="33"/>
      <c r="KM5" s="33"/>
      <c r="KN5" s="33"/>
      <c r="KO5" s="33"/>
      <c r="KP5" s="33"/>
      <c r="KQ5" s="33"/>
      <c r="KR5" s="33"/>
      <c r="KS5" s="33"/>
      <c r="KT5" s="33"/>
      <c r="KU5" s="33"/>
      <c r="KV5" s="33"/>
      <c r="KW5" s="33"/>
      <c r="KX5" s="33"/>
      <c r="KY5" s="33"/>
      <c r="KZ5" s="33"/>
      <c r="LA5" s="33"/>
      <c r="LB5" s="33"/>
      <c r="LC5" s="33"/>
      <c r="LD5" s="33"/>
      <c r="LE5" s="33"/>
      <c r="LF5" s="33"/>
      <c r="LG5" s="33"/>
      <c r="LH5" s="33"/>
      <c r="LI5" s="33"/>
      <c r="LJ5" s="33"/>
      <c r="LK5" s="33"/>
      <c r="LL5" s="33"/>
      <c r="LM5" s="33"/>
      <c r="LN5" s="33"/>
      <c r="LO5" s="33"/>
      <c r="LP5" s="33"/>
      <c r="LQ5" s="33"/>
      <c r="LR5" s="33"/>
      <c r="LS5" s="33"/>
      <c r="LT5" s="33"/>
      <c r="LU5" s="33"/>
      <c r="LV5" s="33"/>
      <c r="LW5" s="33"/>
      <c r="LX5" s="33"/>
      <c r="LY5" s="33"/>
      <c r="LZ5" s="33"/>
      <c r="MA5" s="33"/>
      <c r="MB5" s="33"/>
      <c r="MC5" s="33"/>
      <c r="MD5" s="33"/>
      <c r="ME5" s="33"/>
      <c r="MF5" s="33"/>
      <c r="MG5" s="33"/>
      <c r="MH5" s="33"/>
      <c r="MI5" s="33"/>
      <c r="MJ5" s="33"/>
      <c r="MK5" s="33"/>
      <c r="ML5" s="33"/>
      <c r="MM5" s="33"/>
      <c r="MN5" s="33"/>
      <c r="MO5" s="33"/>
      <c r="MP5" s="33"/>
      <c r="MQ5" s="33"/>
      <c r="MR5" s="33"/>
      <c r="MS5" s="33"/>
      <c r="MT5" s="33"/>
      <c r="MU5" s="33"/>
      <c r="MV5" s="33"/>
    </row>
    <row r="6" spans="1:360" ht="0.75" customHeight="1" x14ac:dyDescent="0.25">
      <c r="A6" s="33"/>
      <c r="B6" s="33"/>
      <c r="C6" s="33"/>
      <c r="D6" s="33"/>
      <c r="E6" s="33"/>
      <c r="F6" s="33"/>
      <c r="G6" s="33"/>
      <c r="H6" s="33"/>
      <c r="I6" s="33"/>
      <c r="J6" s="33"/>
      <c r="K6" s="33"/>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c r="BS6" s="33"/>
      <c r="BT6" s="33"/>
      <c r="BU6" s="33"/>
      <c r="BV6" s="33"/>
      <c r="BW6" s="33"/>
      <c r="BX6" s="33"/>
      <c r="BY6" s="33"/>
      <c r="BZ6" s="33"/>
      <c r="CA6" s="33"/>
      <c r="CB6" s="33"/>
      <c r="CC6" s="33"/>
      <c r="CD6" s="33"/>
      <c r="CE6" s="33"/>
      <c r="CF6" s="33"/>
      <c r="CG6" s="33"/>
      <c r="CH6" s="33"/>
      <c r="CI6" s="33"/>
      <c r="CJ6" s="33"/>
      <c r="CK6" s="33"/>
      <c r="CL6" s="33"/>
      <c r="CM6" s="33"/>
      <c r="CN6" s="33"/>
      <c r="CO6" s="33"/>
      <c r="CP6" s="33"/>
      <c r="CQ6" s="33"/>
      <c r="CR6" s="33"/>
      <c r="CS6" s="33"/>
      <c r="CT6" s="33"/>
      <c r="CU6" s="33"/>
      <c r="CV6" s="33"/>
      <c r="CW6" s="33"/>
      <c r="CX6" s="33"/>
      <c r="CY6" s="33"/>
      <c r="CZ6" s="33"/>
      <c r="DA6" s="33"/>
      <c r="DB6" s="33"/>
      <c r="DC6" s="33"/>
      <c r="DD6" s="33"/>
      <c r="DE6" s="33"/>
      <c r="DF6" s="33"/>
      <c r="DG6" s="33"/>
      <c r="DH6" s="33"/>
      <c r="DI6" s="33"/>
      <c r="DJ6" s="33"/>
      <c r="DK6" s="33"/>
      <c r="DL6" s="33"/>
      <c r="DM6" s="33"/>
      <c r="DN6" s="33"/>
      <c r="DO6" s="33"/>
      <c r="DP6" s="33"/>
      <c r="DQ6" s="33"/>
      <c r="DR6" s="33"/>
      <c r="DS6" s="33"/>
      <c r="DT6" s="33"/>
      <c r="DU6" s="33"/>
      <c r="DV6" s="33"/>
      <c r="DW6" s="33"/>
      <c r="DX6" s="33"/>
      <c r="DY6" s="33"/>
      <c r="DZ6" s="33"/>
      <c r="EA6" s="33"/>
      <c r="EB6" s="33"/>
      <c r="EC6" s="33"/>
      <c r="ED6" s="33"/>
      <c r="EE6" s="33"/>
      <c r="EF6" s="33"/>
      <c r="EG6" s="33"/>
      <c r="EH6" s="33"/>
      <c r="EI6" s="33"/>
      <c r="EJ6" s="33"/>
      <c r="EK6" s="33"/>
      <c r="EL6" s="33"/>
      <c r="EM6" s="33"/>
      <c r="EN6" s="33"/>
      <c r="EO6" s="33"/>
      <c r="EP6" s="33"/>
      <c r="EQ6" s="33"/>
      <c r="ER6" s="33"/>
      <c r="ES6" s="33"/>
      <c r="ET6" s="33"/>
      <c r="EU6" s="33"/>
      <c r="EV6" s="33"/>
      <c r="EW6" s="33"/>
      <c r="EX6" s="33"/>
      <c r="EY6" s="33"/>
      <c r="EZ6" s="33"/>
      <c r="FA6" s="33"/>
      <c r="FB6" s="33"/>
      <c r="FC6" s="33"/>
      <c r="FD6" s="33"/>
      <c r="FE6" s="33"/>
      <c r="FF6" s="33"/>
      <c r="FG6" s="33"/>
      <c r="FH6" s="33"/>
      <c r="FI6" s="33"/>
      <c r="FJ6" s="33"/>
      <c r="FK6" s="33"/>
      <c r="FL6" s="33"/>
      <c r="FM6" s="33"/>
      <c r="FN6" s="33"/>
      <c r="FO6" s="33"/>
      <c r="FP6" s="33"/>
      <c r="FQ6" s="33"/>
      <c r="FR6" s="33"/>
      <c r="FS6" s="33"/>
      <c r="FT6" s="33"/>
      <c r="FU6" s="33"/>
      <c r="FV6" s="33"/>
      <c r="FW6" s="33"/>
      <c r="FX6" s="33"/>
      <c r="FY6" s="33"/>
      <c r="FZ6" s="33"/>
      <c r="GA6" s="33"/>
      <c r="GB6" s="33"/>
      <c r="GC6" s="33"/>
      <c r="GD6" s="33"/>
      <c r="GE6" s="33"/>
      <c r="GF6" s="33"/>
      <c r="GG6" s="33"/>
      <c r="GH6" s="33"/>
      <c r="GI6" s="33"/>
      <c r="GJ6" s="33"/>
      <c r="GK6" s="33"/>
      <c r="GL6" s="33"/>
      <c r="GM6" s="33"/>
      <c r="GN6" s="33"/>
      <c r="GO6" s="33"/>
      <c r="GP6" s="33"/>
      <c r="GQ6" s="33"/>
      <c r="GR6" s="33"/>
      <c r="GS6" s="33"/>
      <c r="GT6" s="33"/>
      <c r="GU6" s="33"/>
      <c r="GV6" s="33"/>
      <c r="GW6" s="33"/>
      <c r="GX6" s="33"/>
      <c r="GY6" s="33"/>
      <c r="GZ6" s="33"/>
      <c r="HA6" s="33"/>
      <c r="HB6" s="33"/>
      <c r="HC6" s="33"/>
      <c r="HD6" s="33"/>
      <c r="HE6" s="33"/>
      <c r="HF6" s="33"/>
      <c r="HG6" s="33"/>
      <c r="HH6" s="33"/>
      <c r="HI6" s="33"/>
      <c r="HJ6" s="33"/>
      <c r="HK6" s="33"/>
      <c r="HL6" s="33"/>
      <c r="HM6" s="33"/>
      <c r="HN6" s="33"/>
      <c r="HO6" s="33"/>
      <c r="HP6" s="33"/>
      <c r="HQ6" s="33"/>
      <c r="HR6" s="33"/>
      <c r="HS6" s="33"/>
      <c r="HT6" s="33"/>
      <c r="HU6" s="33"/>
      <c r="HV6" s="33"/>
      <c r="HW6" s="33"/>
      <c r="HX6" s="33"/>
      <c r="HY6" s="33"/>
      <c r="HZ6" s="33"/>
      <c r="IA6" s="33"/>
      <c r="IB6" s="33"/>
      <c r="IC6" s="33"/>
      <c r="ID6" s="33"/>
      <c r="IE6" s="33"/>
      <c r="IF6" s="33"/>
      <c r="IG6" s="33"/>
      <c r="IH6" s="33"/>
      <c r="II6" s="33"/>
      <c r="IJ6" s="33"/>
      <c r="IK6" s="33"/>
      <c r="IL6" s="33"/>
      <c r="IM6" s="33"/>
      <c r="IN6" s="33"/>
      <c r="IO6" s="33"/>
      <c r="IP6" s="33"/>
      <c r="IQ6" s="33"/>
      <c r="IR6" s="33"/>
      <c r="IS6" s="33"/>
      <c r="IT6" s="33"/>
      <c r="IU6" s="33"/>
      <c r="IV6" s="33"/>
      <c r="IW6" s="33"/>
      <c r="IX6" s="33"/>
      <c r="IY6" s="33"/>
      <c r="IZ6" s="33"/>
      <c r="JA6" s="33"/>
      <c r="JB6" s="33"/>
      <c r="JC6" s="33"/>
      <c r="JD6" s="33"/>
      <c r="JE6" s="33"/>
      <c r="JF6" s="33"/>
      <c r="JG6" s="33"/>
      <c r="JH6" s="33"/>
      <c r="JI6" s="33"/>
      <c r="JJ6" s="33"/>
      <c r="JK6" s="33"/>
      <c r="JL6" s="33"/>
      <c r="JM6" s="33"/>
      <c r="JN6" s="33"/>
      <c r="JO6" s="33"/>
      <c r="JP6" s="33"/>
      <c r="JQ6" s="33"/>
      <c r="JR6" s="33"/>
      <c r="JS6" s="33"/>
      <c r="JT6" s="33"/>
      <c r="JU6" s="33"/>
      <c r="JV6" s="33"/>
      <c r="JW6" s="33"/>
      <c r="JX6" s="33"/>
      <c r="JY6" s="33"/>
      <c r="JZ6" s="33"/>
      <c r="KA6" s="33"/>
      <c r="KB6" s="33"/>
      <c r="KC6" s="33"/>
      <c r="KD6" s="33"/>
      <c r="KE6" s="33"/>
      <c r="KF6" s="33"/>
      <c r="KG6" s="33"/>
      <c r="KH6" s="33"/>
      <c r="KI6" s="33"/>
      <c r="KJ6" s="33"/>
      <c r="KK6" s="33"/>
      <c r="KL6" s="33"/>
      <c r="KM6" s="33"/>
      <c r="KN6" s="33"/>
      <c r="KO6" s="33"/>
      <c r="KP6" s="33"/>
      <c r="KQ6" s="33"/>
      <c r="KR6" s="33"/>
      <c r="KS6" s="33"/>
      <c r="KT6" s="33"/>
      <c r="KU6" s="33"/>
      <c r="KV6" s="33"/>
      <c r="KW6" s="33"/>
      <c r="KX6" s="33"/>
      <c r="KY6" s="33"/>
      <c r="KZ6" s="33"/>
      <c r="LA6" s="33"/>
      <c r="LB6" s="33"/>
      <c r="LC6" s="33"/>
      <c r="LD6" s="33"/>
      <c r="LE6" s="33"/>
      <c r="LF6" s="33"/>
      <c r="LG6" s="33"/>
      <c r="LH6" s="33"/>
      <c r="LI6" s="33"/>
      <c r="LJ6" s="33"/>
      <c r="LK6" s="33"/>
      <c r="LL6" s="33"/>
      <c r="LM6" s="33"/>
      <c r="LN6" s="33"/>
      <c r="LO6" s="33"/>
      <c r="LP6" s="33"/>
      <c r="LQ6" s="33"/>
      <c r="LR6" s="33"/>
      <c r="LS6" s="33"/>
      <c r="LT6" s="33"/>
      <c r="LU6" s="33"/>
      <c r="LV6" s="33"/>
      <c r="LW6" s="33"/>
      <c r="LX6" s="33"/>
      <c r="LY6" s="33"/>
      <c r="LZ6" s="33"/>
      <c r="MA6" s="33"/>
      <c r="MB6" s="33"/>
      <c r="MC6" s="33"/>
      <c r="MD6" s="33"/>
      <c r="ME6" s="33"/>
      <c r="MF6" s="33"/>
      <c r="MG6" s="33"/>
      <c r="MH6" s="33"/>
      <c r="MI6" s="33"/>
      <c r="MJ6" s="33"/>
      <c r="MK6" s="33"/>
      <c r="ML6" s="33"/>
      <c r="MM6" s="33"/>
      <c r="MN6" s="33"/>
      <c r="MO6" s="33"/>
      <c r="MP6" s="33"/>
      <c r="MQ6" s="33"/>
      <c r="MR6" s="33"/>
      <c r="MS6" s="33"/>
      <c r="MT6" s="33"/>
      <c r="MU6" s="33"/>
      <c r="MV6" s="33"/>
    </row>
    <row r="7" spans="1:360" ht="0.75" customHeight="1" x14ac:dyDescent="0.25">
      <c r="A7" s="33"/>
      <c r="B7" s="33"/>
      <c r="C7" s="33"/>
      <c r="D7" s="33"/>
      <c r="E7" s="33"/>
      <c r="F7" s="33"/>
      <c r="G7" s="33"/>
      <c r="H7" s="33"/>
      <c r="I7" s="33"/>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c r="BR7" s="33"/>
      <c r="BS7" s="33"/>
      <c r="BT7" s="33"/>
      <c r="BU7" s="33"/>
      <c r="BV7" s="33"/>
      <c r="BW7" s="33"/>
      <c r="BX7" s="33"/>
      <c r="BY7" s="33"/>
      <c r="BZ7" s="33"/>
      <c r="CA7" s="33"/>
      <c r="CB7" s="33"/>
      <c r="CC7" s="33"/>
      <c r="CD7" s="33"/>
      <c r="CE7" s="33"/>
      <c r="CF7" s="33"/>
      <c r="CG7" s="33"/>
      <c r="CH7" s="33"/>
      <c r="CI7" s="33"/>
      <c r="CJ7" s="33"/>
      <c r="CK7" s="33"/>
      <c r="CL7" s="33"/>
      <c r="CM7" s="33"/>
      <c r="CN7" s="33"/>
      <c r="CO7" s="33"/>
      <c r="CP7" s="33"/>
      <c r="CQ7" s="33"/>
      <c r="CR7" s="33"/>
      <c r="CS7" s="33"/>
      <c r="CT7" s="33"/>
      <c r="CU7" s="33"/>
      <c r="CV7" s="33"/>
      <c r="CW7" s="33"/>
      <c r="CX7" s="33"/>
      <c r="CY7" s="33"/>
      <c r="CZ7" s="33"/>
      <c r="DA7" s="33"/>
      <c r="DB7" s="33"/>
      <c r="DC7" s="33"/>
      <c r="DD7" s="33"/>
      <c r="DE7" s="33"/>
      <c r="DF7" s="33"/>
      <c r="DG7" s="33"/>
      <c r="DH7" s="33"/>
      <c r="DI7" s="33"/>
      <c r="DJ7" s="33"/>
      <c r="DK7" s="33"/>
      <c r="DL7" s="33"/>
      <c r="DM7" s="33"/>
      <c r="DN7" s="33"/>
      <c r="DO7" s="33"/>
      <c r="DP7" s="33"/>
      <c r="DQ7" s="33"/>
      <c r="DR7" s="33"/>
      <c r="DS7" s="33"/>
      <c r="DT7" s="33"/>
      <c r="DU7" s="33"/>
      <c r="DV7" s="33"/>
      <c r="DW7" s="33"/>
      <c r="DX7" s="33"/>
      <c r="DY7" s="33"/>
      <c r="DZ7" s="33"/>
      <c r="EA7" s="33"/>
      <c r="EB7" s="33"/>
      <c r="EC7" s="33"/>
      <c r="ED7" s="33"/>
      <c r="EE7" s="33"/>
      <c r="EF7" s="33"/>
      <c r="EG7" s="33"/>
      <c r="EH7" s="33"/>
      <c r="EI7" s="33"/>
      <c r="EJ7" s="33"/>
      <c r="EK7" s="33"/>
      <c r="EL7" s="33"/>
      <c r="EM7" s="33"/>
      <c r="EN7" s="33"/>
      <c r="EO7" s="33"/>
      <c r="EP7" s="33"/>
      <c r="EQ7" s="33"/>
      <c r="ER7" s="33"/>
      <c r="ES7" s="33"/>
      <c r="ET7" s="33"/>
      <c r="EU7" s="33"/>
      <c r="EV7" s="33"/>
      <c r="EW7" s="33"/>
      <c r="EX7" s="33"/>
      <c r="EY7" s="33"/>
      <c r="EZ7" s="33"/>
      <c r="FA7" s="33"/>
      <c r="FB7" s="33"/>
      <c r="FC7" s="33"/>
      <c r="FD7" s="33"/>
      <c r="FE7" s="33"/>
      <c r="FF7" s="33"/>
      <c r="FG7" s="33"/>
      <c r="FH7" s="33"/>
      <c r="FI7" s="33"/>
      <c r="FJ7" s="33"/>
      <c r="FK7" s="33"/>
      <c r="FL7" s="33"/>
      <c r="FM7" s="33"/>
      <c r="FN7" s="33"/>
      <c r="FO7" s="33"/>
      <c r="FP7" s="33"/>
      <c r="FQ7" s="33"/>
      <c r="FR7" s="33"/>
      <c r="FS7" s="33"/>
      <c r="FT7" s="33"/>
      <c r="FU7" s="33"/>
      <c r="FV7" s="33"/>
      <c r="FW7" s="33"/>
      <c r="FX7" s="33"/>
      <c r="FY7" s="33"/>
      <c r="FZ7" s="33"/>
      <c r="GA7" s="33"/>
      <c r="GB7" s="33"/>
      <c r="GC7" s="33"/>
      <c r="GD7" s="33"/>
      <c r="GE7" s="33"/>
      <c r="GF7" s="33"/>
      <c r="GG7" s="33"/>
      <c r="GH7" s="33"/>
      <c r="GI7" s="33"/>
      <c r="GJ7" s="33"/>
      <c r="GK7" s="33"/>
      <c r="GL7" s="33"/>
      <c r="GM7" s="33"/>
      <c r="GN7" s="33"/>
      <c r="GO7" s="33"/>
      <c r="GP7" s="33"/>
      <c r="GQ7" s="33"/>
      <c r="GR7" s="33"/>
      <c r="GS7" s="33"/>
      <c r="GT7" s="33"/>
      <c r="GU7" s="33"/>
      <c r="GV7" s="33"/>
      <c r="GW7" s="33"/>
      <c r="GX7" s="33"/>
      <c r="GY7" s="33"/>
      <c r="GZ7" s="33"/>
      <c r="HA7" s="33"/>
      <c r="HB7" s="33"/>
      <c r="HC7" s="33"/>
      <c r="HD7" s="33"/>
      <c r="HE7" s="33"/>
      <c r="HF7" s="33"/>
      <c r="HG7" s="33"/>
      <c r="HH7" s="33"/>
      <c r="HI7" s="33"/>
      <c r="HJ7" s="33"/>
      <c r="HK7" s="33"/>
      <c r="HL7" s="33"/>
      <c r="HM7" s="33"/>
      <c r="HN7" s="33"/>
      <c r="HO7" s="33"/>
      <c r="HP7" s="33"/>
      <c r="HQ7" s="33"/>
      <c r="HR7" s="33"/>
      <c r="HS7" s="33"/>
      <c r="HT7" s="33"/>
      <c r="HU7" s="33"/>
      <c r="HV7" s="33"/>
      <c r="HW7" s="33"/>
      <c r="HX7" s="33"/>
      <c r="HY7" s="33"/>
      <c r="HZ7" s="33"/>
      <c r="IA7" s="33"/>
      <c r="IB7" s="33"/>
      <c r="IC7" s="33"/>
      <c r="ID7" s="33"/>
      <c r="IE7" s="33"/>
      <c r="IF7" s="33"/>
      <c r="IG7" s="33"/>
      <c r="IH7" s="33"/>
      <c r="II7" s="33"/>
      <c r="IJ7" s="33"/>
      <c r="IK7" s="33"/>
      <c r="IL7" s="33"/>
      <c r="IM7" s="33"/>
      <c r="IN7" s="33"/>
      <c r="IO7" s="33"/>
      <c r="IP7" s="33"/>
      <c r="IQ7" s="33"/>
      <c r="IR7" s="33"/>
      <c r="IS7" s="33"/>
      <c r="IT7" s="33"/>
      <c r="IU7" s="33"/>
      <c r="IV7" s="33"/>
      <c r="IW7" s="33"/>
      <c r="IX7" s="33"/>
      <c r="IY7" s="33"/>
      <c r="IZ7" s="33"/>
      <c r="JA7" s="33"/>
      <c r="JB7" s="33"/>
      <c r="JC7" s="33"/>
      <c r="JD7" s="33"/>
      <c r="JE7" s="33"/>
      <c r="JF7" s="33"/>
      <c r="JG7" s="33"/>
      <c r="JH7" s="33"/>
      <c r="JI7" s="33"/>
      <c r="JJ7" s="33"/>
      <c r="JK7" s="33"/>
      <c r="JL7" s="33"/>
      <c r="JM7" s="33"/>
      <c r="JN7" s="33"/>
      <c r="JO7" s="33"/>
      <c r="JP7" s="33"/>
      <c r="JQ7" s="33"/>
      <c r="JR7" s="33"/>
      <c r="JS7" s="33"/>
      <c r="JT7" s="33"/>
      <c r="JU7" s="33"/>
      <c r="JV7" s="33"/>
      <c r="JW7" s="33"/>
      <c r="JX7" s="33"/>
      <c r="JY7" s="33"/>
      <c r="JZ7" s="33"/>
      <c r="KA7" s="33"/>
      <c r="KB7" s="33"/>
      <c r="KC7" s="33"/>
      <c r="KD7" s="33"/>
      <c r="KE7" s="33"/>
      <c r="KF7" s="33"/>
      <c r="KG7" s="33"/>
      <c r="KH7" s="33"/>
      <c r="KI7" s="33"/>
      <c r="KJ7" s="33"/>
      <c r="KK7" s="33"/>
      <c r="KL7" s="33"/>
      <c r="KM7" s="33"/>
      <c r="KN7" s="33"/>
      <c r="KO7" s="33"/>
      <c r="KP7" s="33"/>
      <c r="KQ7" s="33"/>
      <c r="KR7" s="33"/>
      <c r="KS7" s="33"/>
      <c r="KT7" s="33"/>
      <c r="KU7" s="33"/>
      <c r="KV7" s="33"/>
      <c r="KW7" s="33"/>
      <c r="KX7" s="33"/>
      <c r="KY7" s="33"/>
      <c r="KZ7" s="33"/>
      <c r="LA7" s="33"/>
      <c r="LB7" s="33"/>
      <c r="LC7" s="33"/>
      <c r="LD7" s="33"/>
      <c r="LE7" s="33"/>
      <c r="LF7" s="33"/>
      <c r="LG7" s="33"/>
      <c r="LH7" s="33"/>
      <c r="LI7" s="33"/>
      <c r="LJ7" s="33"/>
      <c r="LK7" s="33"/>
      <c r="LL7" s="33"/>
      <c r="LM7" s="33"/>
      <c r="LN7" s="33"/>
      <c r="LO7" s="33"/>
      <c r="LP7" s="33"/>
      <c r="LQ7" s="33"/>
      <c r="LR7" s="33"/>
      <c r="LS7" s="33"/>
      <c r="LT7" s="33"/>
      <c r="LU7" s="33"/>
      <c r="LV7" s="33"/>
      <c r="LW7" s="33"/>
      <c r="LX7" s="33"/>
      <c r="LY7" s="33"/>
      <c r="LZ7" s="33"/>
      <c r="MA7" s="33"/>
      <c r="MB7" s="33"/>
      <c r="MC7" s="33"/>
      <c r="MD7" s="33"/>
      <c r="ME7" s="33"/>
      <c r="MF7" s="33"/>
      <c r="MG7" s="33"/>
      <c r="MH7" s="33"/>
      <c r="MI7" s="33"/>
      <c r="MJ7" s="33"/>
      <c r="MK7" s="33"/>
      <c r="ML7" s="33"/>
      <c r="MM7" s="33"/>
      <c r="MN7" s="33"/>
      <c r="MO7" s="33"/>
      <c r="MP7" s="33"/>
      <c r="MQ7" s="33"/>
      <c r="MR7" s="33"/>
      <c r="MS7" s="33"/>
      <c r="MT7" s="33"/>
      <c r="MU7" s="33"/>
      <c r="MV7" s="33"/>
    </row>
    <row r="8" spans="1:360" ht="0.75" customHeight="1" x14ac:dyDescent="0.25">
      <c r="A8" s="33"/>
      <c r="B8" s="33"/>
      <c r="C8" s="33"/>
      <c r="D8" s="33"/>
      <c r="E8" s="33"/>
      <c r="F8" s="33"/>
      <c r="G8" s="33"/>
      <c r="H8" s="33"/>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c r="CV8" s="33"/>
      <c r="CW8" s="33"/>
      <c r="CX8" s="33"/>
      <c r="CY8" s="33"/>
      <c r="CZ8" s="33"/>
      <c r="DA8" s="33"/>
      <c r="DB8" s="33"/>
      <c r="DC8" s="33"/>
      <c r="DD8" s="33"/>
      <c r="DE8" s="33"/>
      <c r="DF8" s="33"/>
      <c r="DG8" s="33"/>
      <c r="DH8" s="33"/>
      <c r="DI8" s="33"/>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c r="FK8" s="33"/>
      <c r="FL8" s="33"/>
      <c r="FM8" s="33"/>
      <c r="FN8" s="33"/>
      <c r="FO8" s="33"/>
      <c r="FP8" s="33"/>
      <c r="FQ8" s="33"/>
      <c r="FR8" s="33"/>
      <c r="FS8" s="33"/>
      <c r="FT8" s="33"/>
      <c r="FU8" s="33"/>
      <c r="FV8" s="33"/>
      <c r="FW8" s="33"/>
      <c r="FX8" s="33"/>
      <c r="FY8" s="33"/>
      <c r="FZ8" s="33"/>
      <c r="GA8" s="33"/>
      <c r="GB8" s="33"/>
      <c r="GC8" s="33"/>
      <c r="GD8" s="33"/>
      <c r="GE8" s="33"/>
      <c r="GF8" s="33"/>
      <c r="GG8" s="33"/>
      <c r="GH8" s="33"/>
      <c r="GI8" s="33"/>
      <c r="GJ8" s="33"/>
      <c r="GK8" s="33"/>
      <c r="GL8" s="33"/>
      <c r="GM8" s="33"/>
      <c r="GN8" s="33"/>
      <c r="GO8" s="33"/>
      <c r="GP8" s="33"/>
      <c r="GQ8" s="33"/>
      <c r="GR8" s="33"/>
      <c r="GS8" s="33"/>
      <c r="GT8" s="33"/>
      <c r="GU8" s="33"/>
      <c r="GV8" s="33"/>
      <c r="GW8" s="33"/>
      <c r="GX8" s="33"/>
      <c r="GY8" s="33"/>
      <c r="GZ8" s="33"/>
      <c r="HA8" s="33"/>
      <c r="HB8" s="33"/>
      <c r="HC8" s="33"/>
      <c r="HD8" s="33"/>
      <c r="HE8" s="33"/>
      <c r="HF8" s="33"/>
      <c r="HG8" s="33"/>
      <c r="HH8" s="33"/>
      <c r="HI8" s="33"/>
      <c r="HJ8" s="33"/>
      <c r="HK8" s="33"/>
      <c r="HL8" s="33"/>
      <c r="HM8" s="33"/>
      <c r="HN8" s="33"/>
      <c r="HO8" s="33"/>
      <c r="HP8" s="33"/>
      <c r="HQ8" s="33"/>
      <c r="HR8" s="33"/>
      <c r="HS8" s="33"/>
      <c r="HT8" s="33"/>
      <c r="HU8" s="33"/>
      <c r="HV8" s="33"/>
      <c r="HW8" s="33"/>
      <c r="HX8" s="33"/>
      <c r="HY8" s="33"/>
      <c r="HZ8" s="33"/>
      <c r="IA8" s="33"/>
      <c r="IB8" s="33"/>
      <c r="IC8" s="33"/>
      <c r="ID8" s="33"/>
      <c r="IE8" s="33"/>
      <c r="IF8" s="33"/>
      <c r="IG8" s="33"/>
      <c r="IH8" s="33"/>
      <c r="II8" s="33"/>
      <c r="IJ8" s="33"/>
      <c r="IK8" s="33"/>
      <c r="IL8" s="33"/>
      <c r="IM8" s="33"/>
      <c r="IN8" s="33"/>
      <c r="IO8" s="33"/>
      <c r="IP8" s="33"/>
      <c r="IQ8" s="33"/>
      <c r="IR8" s="33"/>
      <c r="IS8" s="33"/>
      <c r="IT8" s="33"/>
      <c r="IU8" s="33"/>
      <c r="IV8" s="33"/>
      <c r="IW8" s="33"/>
      <c r="IX8" s="33"/>
      <c r="IY8" s="33"/>
      <c r="IZ8" s="33"/>
      <c r="JA8" s="33"/>
      <c r="JB8" s="33"/>
      <c r="JC8" s="33"/>
      <c r="JD8" s="33"/>
      <c r="JE8" s="33"/>
      <c r="JF8" s="33"/>
      <c r="JG8" s="33"/>
      <c r="JH8" s="33"/>
      <c r="JI8" s="33"/>
      <c r="JJ8" s="33"/>
      <c r="JK8" s="33"/>
      <c r="JL8" s="33"/>
      <c r="JM8" s="33"/>
      <c r="JN8" s="33"/>
      <c r="JO8" s="33"/>
      <c r="JP8" s="33"/>
      <c r="JQ8" s="33"/>
      <c r="JR8" s="33"/>
      <c r="JS8" s="33"/>
      <c r="JT8" s="33"/>
      <c r="JU8" s="33"/>
      <c r="JV8" s="33"/>
      <c r="JW8" s="33"/>
      <c r="JX8" s="33"/>
      <c r="JY8" s="33"/>
      <c r="JZ8" s="33"/>
      <c r="KA8" s="33"/>
      <c r="KB8" s="33"/>
      <c r="KC8" s="33"/>
      <c r="KD8" s="33"/>
      <c r="KE8" s="33"/>
      <c r="KF8" s="33"/>
      <c r="KG8" s="33"/>
      <c r="KH8" s="33"/>
      <c r="KI8" s="33"/>
      <c r="KJ8" s="33"/>
      <c r="KK8" s="33"/>
      <c r="KL8" s="33"/>
      <c r="KM8" s="33"/>
      <c r="KN8" s="33"/>
      <c r="KO8" s="33"/>
      <c r="KP8" s="33"/>
      <c r="KQ8" s="33"/>
      <c r="KR8" s="33"/>
      <c r="KS8" s="33"/>
      <c r="KT8" s="33"/>
      <c r="KU8" s="33"/>
      <c r="KV8" s="33"/>
      <c r="KW8" s="33"/>
      <c r="KX8" s="33"/>
      <c r="KY8" s="33"/>
      <c r="KZ8" s="33"/>
      <c r="LA8" s="33"/>
      <c r="LB8" s="33"/>
      <c r="LC8" s="33"/>
      <c r="LD8" s="33"/>
      <c r="LE8" s="33"/>
      <c r="LF8" s="33"/>
      <c r="LG8" s="33"/>
      <c r="LH8" s="33"/>
      <c r="LI8" s="33"/>
      <c r="LJ8" s="33"/>
      <c r="LK8" s="33"/>
      <c r="LL8" s="33"/>
      <c r="LM8" s="33"/>
      <c r="LN8" s="33"/>
      <c r="LO8" s="33"/>
      <c r="LP8" s="33"/>
      <c r="LQ8" s="33"/>
      <c r="LR8" s="33"/>
      <c r="LS8" s="33"/>
      <c r="LT8" s="33"/>
      <c r="LU8" s="33"/>
      <c r="LV8" s="33"/>
      <c r="LW8" s="33"/>
      <c r="LX8" s="33"/>
      <c r="LY8" s="33"/>
      <c r="LZ8" s="33"/>
      <c r="MA8" s="33"/>
      <c r="MB8" s="33"/>
      <c r="MC8" s="33"/>
      <c r="MD8" s="33"/>
      <c r="ME8" s="33"/>
      <c r="MF8" s="33"/>
      <c r="MG8" s="33"/>
      <c r="MH8" s="33"/>
      <c r="MI8" s="33"/>
      <c r="MJ8" s="33"/>
      <c r="MK8" s="33"/>
      <c r="ML8" s="33"/>
      <c r="MM8" s="33"/>
      <c r="MN8" s="33"/>
      <c r="MO8" s="33"/>
      <c r="MP8" s="33"/>
      <c r="MQ8" s="33"/>
      <c r="MR8" s="33"/>
      <c r="MS8" s="33"/>
      <c r="MT8" s="33"/>
      <c r="MU8" s="33"/>
      <c r="MV8" s="33"/>
    </row>
    <row r="9" spans="1:360" ht="0.75" customHeight="1" x14ac:dyDescent="0.25">
      <c r="A9" s="33"/>
      <c r="B9" s="33"/>
      <c r="C9" s="33"/>
      <c r="D9" s="33"/>
      <c r="E9" s="33"/>
      <c r="F9" s="33"/>
      <c r="G9" s="33"/>
      <c r="H9" s="33"/>
      <c r="I9" s="33"/>
      <c r="J9" s="33"/>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c r="BP9" s="33"/>
      <c r="BQ9" s="33"/>
      <c r="BR9" s="33"/>
      <c r="BS9" s="33"/>
      <c r="BT9" s="33"/>
      <c r="BU9" s="33"/>
      <c r="BV9" s="33"/>
      <c r="BW9" s="33"/>
      <c r="BX9" s="33"/>
      <c r="BY9" s="33"/>
      <c r="BZ9" s="33"/>
      <c r="CA9" s="33"/>
      <c r="CB9" s="33"/>
      <c r="CC9" s="33"/>
      <c r="CD9" s="33"/>
      <c r="CE9" s="33"/>
      <c r="CF9" s="33"/>
      <c r="CG9" s="33"/>
      <c r="CH9" s="33"/>
      <c r="CI9" s="33"/>
      <c r="CJ9" s="33"/>
      <c r="CK9" s="33"/>
      <c r="CL9" s="33"/>
      <c r="CM9" s="33"/>
      <c r="CN9" s="33"/>
      <c r="CO9" s="33"/>
      <c r="CP9" s="33"/>
      <c r="CQ9" s="33"/>
      <c r="CR9" s="33"/>
      <c r="CS9" s="33"/>
      <c r="CT9" s="33"/>
      <c r="CU9" s="33"/>
      <c r="CV9" s="33"/>
      <c r="CW9" s="33"/>
      <c r="CX9" s="33"/>
      <c r="CY9" s="33"/>
      <c r="CZ9" s="33"/>
      <c r="DA9" s="33"/>
      <c r="DB9" s="33"/>
      <c r="DC9" s="33"/>
      <c r="DD9" s="33"/>
      <c r="DE9" s="33"/>
      <c r="DF9" s="33"/>
      <c r="DG9" s="33"/>
      <c r="DH9" s="33"/>
      <c r="DI9" s="33"/>
      <c r="DJ9" s="33"/>
      <c r="DK9" s="33"/>
      <c r="DL9" s="33"/>
      <c r="DM9" s="33"/>
      <c r="DN9" s="33"/>
      <c r="DO9" s="33"/>
      <c r="DP9" s="33"/>
      <c r="DQ9" s="33"/>
      <c r="DR9" s="33"/>
      <c r="DS9" s="33"/>
      <c r="DT9" s="33"/>
      <c r="DU9" s="33"/>
      <c r="DV9" s="33"/>
      <c r="DW9" s="33"/>
      <c r="DX9" s="33"/>
      <c r="DY9" s="33"/>
      <c r="DZ9" s="33"/>
      <c r="EA9" s="33"/>
      <c r="EB9" s="33"/>
      <c r="EC9" s="33"/>
      <c r="ED9" s="33"/>
      <c r="EE9" s="33"/>
      <c r="EF9" s="33"/>
      <c r="EG9" s="33"/>
      <c r="EH9" s="33"/>
      <c r="EI9" s="33"/>
      <c r="EJ9" s="33"/>
      <c r="EK9" s="33"/>
      <c r="EL9" s="33"/>
      <c r="EM9" s="33"/>
      <c r="EN9" s="33"/>
      <c r="EO9" s="33"/>
      <c r="EP9" s="33"/>
      <c r="EQ9" s="33"/>
      <c r="ER9" s="33"/>
      <c r="ES9" s="33"/>
      <c r="ET9" s="33"/>
      <c r="EU9" s="33"/>
      <c r="EV9" s="33"/>
      <c r="EW9" s="33"/>
      <c r="EX9" s="33"/>
      <c r="EY9" s="33"/>
      <c r="EZ9" s="33"/>
      <c r="FA9" s="33"/>
      <c r="FB9" s="33"/>
      <c r="FC9" s="33"/>
      <c r="FD9" s="33"/>
      <c r="FE9" s="33"/>
      <c r="FF9" s="33"/>
      <c r="FG9" s="33"/>
      <c r="FH9" s="33"/>
      <c r="FI9" s="33"/>
      <c r="FJ9" s="33"/>
      <c r="FK9" s="33"/>
      <c r="FL9" s="33"/>
      <c r="FM9" s="33"/>
      <c r="FN9" s="33"/>
      <c r="FO9" s="33"/>
      <c r="FP9" s="33"/>
      <c r="FQ9" s="33"/>
      <c r="FR9" s="33"/>
      <c r="FS9" s="33"/>
      <c r="FT9" s="33"/>
      <c r="FU9" s="33"/>
      <c r="FV9" s="33"/>
      <c r="FW9" s="33"/>
      <c r="FX9" s="33"/>
      <c r="FY9" s="33"/>
      <c r="FZ9" s="33"/>
      <c r="GA9" s="33"/>
      <c r="GB9" s="33"/>
      <c r="GC9" s="33"/>
      <c r="GD9" s="33"/>
      <c r="GE9" s="33"/>
      <c r="GF9" s="33"/>
      <c r="GG9" s="33"/>
      <c r="GH9" s="33"/>
      <c r="GI9" s="33"/>
      <c r="GJ9" s="33"/>
      <c r="GK9" s="33"/>
      <c r="GL9" s="33"/>
      <c r="GM9" s="33"/>
      <c r="GN9" s="33"/>
      <c r="GO9" s="33"/>
      <c r="GP9" s="33"/>
      <c r="GQ9" s="33"/>
      <c r="GR9" s="33"/>
      <c r="GS9" s="33"/>
      <c r="GT9" s="33"/>
      <c r="GU9" s="33"/>
      <c r="GV9" s="33"/>
      <c r="GW9" s="33"/>
      <c r="GX9" s="33"/>
      <c r="GY9" s="33"/>
      <c r="GZ9" s="33"/>
      <c r="HA9" s="33"/>
      <c r="HB9" s="33"/>
      <c r="HC9" s="33"/>
      <c r="HD9" s="33"/>
      <c r="HE9" s="33"/>
      <c r="HF9" s="33"/>
      <c r="HG9" s="33"/>
      <c r="HH9" s="33"/>
      <c r="HI9" s="33"/>
      <c r="HJ9" s="33"/>
      <c r="HK9" s="33"/>
      <c r="HL9" s="33"/>
      <c r="HM9" s="33"/>
      <c r="HN9" s="33"/>
      <c r="HO9" s="33"/>
      <c r="HP9" s="33"/>
      <c r="HQ9" s="33"/>
      <c r="HR9" s="33"/>
      <c r="HS9" s="33"/>
      <c r="HT9" s="33"/>
      <c r="HU9" s="33"/>
      <c r="HV9" s="33"/>
      <c r="HW9" s="33"/>
      <c r="HX9" s="33"/>
      <c r="HY9" s="33"/>
      <c r="HZ9" s="33"/>
      <c r="IA9" s="33"/>
      <c r="IB9" s="33"/>
      <c r="IC9" s="33"/>
      <c r="ID9" s="33"/>
      <c r="IE9" s="33"/>
      <c r="IF9" s="33"/>
      <c r="IG9" s="33"/>
      <c r="IH9" s="33"/>
      <c r="II9" s="33"/>
      <c r="IJ9" s="33"/>
      <c r="IK9" s="33"/>
      <c r="IL9" s="33"/>
      <c r="IM9" s="33"/>
      <c r="IN9" s="33"/>
      <c r="IO9" s="33"/>
      <c r="IP9" s="33"/>
      <c r="IQ9" s="33"/>
      <c r="IR9" s="33"/>
      <c r="IS9" s="33"/>
      <c r="IT9" s="33"/>
      <c r="IU9" s="33"/>
      <c r="IV9" s="33"/>
      <c r="IW9" s="33"/>
      <c r="IX9" s="33"/>
      <c r="IY9" s="33"/>
      <c r="IZ9" s="33"/>
      <c r="JA9" s="33"/>
      <c r="JB9" s="33"/>
      <c r="JC9" s="33"/>
      <c r="JD9" s="33"/>
      <c r="JE9" s="33"/>
      <c r="JF9" s="33"/>
      <c r="JG9" s="33"/>
      <c r="JH9" s="33"/>
      <c r="JI9" s="33"/>
      <c r="JJ9" s="33"/>
      <c r="JK9" s="33"/>
      <c r="JL9" s="33"/>
      <c r="JM9" s="33"/>
      <c r="JN9" s="33"/>
      <c r="JO9" s="33"/>
      <c r="JP9" s="33"/>
      <c r="JQ9" s="33"/>
      <c r="JR9" s="33"/>
      <c r="JS9" s="33"/>
      <c r="JT9" s="33"/>
      <c r="JU9" s="33"/>
      <c r="JV9" s="33"/>
      <c r="JW9" s="33"/>
      <c r="JX9" s="33"/>
      <c r="JY9" s="33"/>
      <c r="JZ9" s="33"/>
      <c r="KA9" s="33"/>
      <c r="KB9" s="33"/>
      <c r="KC9" s="33"/>
      <c r="KD9" s="33"/>
      <c r="KE9" s="33"/>
      <c r="KF9" s="33"/>
      <c r="KG9" s="33"/>
      <c r="KH9" s="33"/>
      <c r="KI9" s="33"/>
      <c r="KJ9" s="33"/>
      <c r="KK9" s="33"/>
      <c r="KL9" s="33"/>
      <c r="KM9" s="33"/>
      <c r="KN9" s="33"/>
      <c r="KO9" s="33"/>
      <c r="KP9" s="33"/>
      <c r="KQ9" s="33"/>
      <c r="KR9" s="33"/>
      <c r="KS9" s="33"/>
      <c r="KT9" s="33"/>
      <c r="KU9" s="33"/>
      <c r="KV9" s="33"/>
      <c r="KW9" s="33"/>
      <c r="KX9" s="33"/>
      <c r="KY9" s="33"/>
      <c r="KZ9" s="33"/>
      <c r="LA9" s="33"/>
      <c r="LB9" s="33"/>
      <c r="LC9" s="33"/>
      <c r="LD9" s="33"/>
      <c r="LE9" s="33"/>
      <c r="LF9" s="33"/>
      <c r="LG9" s="33"/>
      <c r="LH9" s="33"/>
      <c r="LI9" s="33"/>
      <c r="LJ9" s="33"/>
      <c r="LK9" s="33"/>
      <c r="LL9" s="33"/>
      <c r="LM9" s="33"/>
      <c r="LN9" s="33"/>
      <c r="LO9" s="33"/>
      <c r="LP9" s="33"/>
      <c r="LQ9" s="33"/>
      <c r="LR9" s="33"/>
      <c r="LS9" s="33"/>
      <c r="LT9" s="33"/>
      <c r="LU9" s="33"/>
      <c r="LV9" s="33"/>
      <c r="LW9" s="33"/>
      <c r="LX9" s="33"/>
      <c r="LY9" s="33"/>
      <c r="LZ9" s="33"/>
      <c r="MA9" s="33"/>
      <c r="MB9" s="33"/>
      <c r="MC9" s="33"/>
      <c r="MD9" s="33"/>
      <c r="ME9" s="33"/>
      <c r="MF9" s="33"/>
      <c r="MG9" s="33"/>
      <c r="MH9" s="33"/>
      <c r="MI9" s="33"/>
      <c r="MJ9" s="33"/>
      <c r="MK9" s="33"/>
      <c r="ML9" s="33"/>
      <c r="MM9" s="33"/>
      <c r="MN9" s="33"/>
      <c r="MO9" s="33"/>
      <c r="MP9" s="33"/>
      <c r="MQ9" s="33"/>
      <c r="MR9" s="33"/>
      <c r="MS9" s="33"/>
      <c r="MT9" s="33"/>
      <c r="MU9" s="33"/>
      <c r="MV9" s="33"/>
    </row>
    <row r="10" spans="1:360" ht="0.75" customHeight="1" x14ac:dyDescent="0.25">
      <c r="A10" s="33"/>
      <c r="B10" s="33"/>
      <c r="C10" s="33"/>
      <c r="D10" s="33"/>
      <c r="E10" s="33"/>
      <c r="F10" s="33"/>
      <c r="G10" s="33"/>
      <c r="H10" s="33"/>
      <c r="I10" s="33"/>
      <c r="J10" s="33"/>
      <c r="K10" s="33"/>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c r="CV10" s="33"/>
      <c r="CW10" s="33"/>
      <c r="CX10" s="33"/>
      <c r="CY10" s="33"/>
      <c r="CZ10" s="33"/>
      <c r="DA10" s="33"/>
      <c r="DB10" s="33"/>
      <c r="DC10" s="33"/>
      <c r="DD10" s="33"/>
      <c r="DE10" s="33"/>
      <c r="DF10" s="33"/>
      <c r="DG10" s="33"/>
      <c r="DH10" s="33"/>
      <c r="DI10" s="33"/>
      <c r="DJ10" s="33"/>
      <c r="DK10" s="33"/>
      <c r="DL10" s="33"/>
      <c r="DM10" s="33"/>
      <c r="DN10" s="33"/>
      <c r="DO10" s="33"/>
      <c r="DP10" s="33"/>
      <c r="DQ10" s="33"/>
      <c r="DR10" s="33"/>
      <c r="DS10" s="33"/>
      <c r="DT10" s="33"/>
      <c r="DU10" s="33"/>
      <c r="DV10" s="33"/>
      <c r="DW10" s="33"/>
      <c r="DX10" s="33"/>
      <c r="DY10" s="33"/>
      <c r="DZ10" s="33"/>
      <c r="EA10" s="33"/>
      <c r="EB10" s="33"/>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c r="FD10" s="33"/>
      <c r="FE10" s="33"/>
      <c r="FF10" s="33"/>
      <c r="FG10" s="33"/>
      <c r="FH10" s="33"/>
      <c r="FI10" s="33"/>
      <c r="FJ10" s="33"/>
      <c r="FK10" s="33"/>
      <c r="FL10" s="33"/>
      <c r="FM10" s="33"/>
      <c r="FN10" s="33"/>
      <c r="FO10" s="33"/>
      <c r="FP10" s="33"/>
      <c r="FQ10" s="33"/>
      <c r="FR10" s="33"/>
      <c r="FS10" s="33"/>
      <c r="FT10" s="33"/>
      <c r="FU10" s="33"/>
      <c r="FV10" s="33"/>
      <c r="FW10" s="33"/>
      <c r="FX10" s="33"/>
      <c r="FY10" s="33"/>
      <c r="FZ10" s="33"/>
      <c r="GA10" s="33"/>
      <c r="GB10" s="33"/>
      <c r="GC10" s="33"/>
      <c r="GD10" s="33"/>
      <c r="GE10" s="33"/>
      <c r="GF10" s="33"/>
      <c r="GG10" s="33"/>
      <c r="GH10" s="33"/>
      <c r="GI10" s="33"/>
      <c r="GJ10" s="33"/>
      <c r="GK10" s="33"/>
      <c r="GL10" s="33"/>
      <c r="GM10" s="33"/>
      <c r="GN10" s="33"/>
      <c r="GO10" s="33"/>
      <c r="GP10" s="33"/>
      <c r="GQ10" s="33"/>
      <c r="GR10" s="33"/>
      <c r="GS10" s="33"/>
      <c r="GT10" s="33"/>
      <c r="GU10" s="33"/>
      <c r="GV10" s="33"/>
      <c r="GW10" s="33"/>
      <c r="GX10" s="33"/>
      <c r="GY10" s="33"/>
      <c r="GZ10" s="33"/>
      <c r="HA10" s="33"/>
      <c r="HB10" s="33"/>
      <c r="HC10" s="33"/>
      <c r="HD10" s="33"/>
      <c r="HE10" s="33"/>
      <c r="HF10" s="33"/>
      <c r="HG10" s="33"/>
      <c r="HH10" s="33"/>
      <c r="HI10" s="33"/>
      <c r="HJ10" s="33"/>
      <c r="HK10" s="33"/>
      <c r="HL10" s="33"/>
      <c r="HM10" s="33"/>
      <c r="HN10" s="33"/>
      <c r="HO10" s="33"/>
      <c r="HP10" s="33"/>
      <c r="HQ10" s="33"/>
      <c r="HR10" s="33"/>
      <c r="HS10" s="33"/>
      <c r="HT10" s="33"/>
      <c r="HU10" s="33"/>
      <c r="HV10" s="33"/>
      <c r="HW10" s="33"/>
      <c r="HX10" s="33"/>
      <c r="HY10" s="33"/>
      <c r="HZ10" s="33"/>
      <c r="IA10" s="33"/>
      <c r="IB10" s="33"/>
      <c r="IC10" s="33"/>
      <c r="ID10" s="33"/>
      <c r="IE10" s="33"/>
      <c r="IF10" s="33"/>
      <c r="IG10" s="33"/>
      <c r="IH10" s="33"/>
      <c r="II10" s="33"/>
      <c r="IJ10" s="33"/>
      <c r="IK10" s="33"/>
      <c r="IL10" s="33"/>
      <c r="IM10" s="33"/>
      <c r="IN10" s="33"/>
      <c r="IO10" s="33"/>
      <c r="IP10" s="33"/>
      <c r="IQ10" s="33"/>
      <c r="IR10" s="33"/>
      <c r="IS10" s="33"/>
      <c r="IT10" s="33"/>
      <c r="IU10" s="33"/>
      <c r="IV10" s="33"/>
      <c r="IW10" s="33"/>
      <c r="IX10" s="33"/>
      <c r="IY10" s="33"/>
      <c r="IZ10" s="33"/>
      <c r="JA10" s="33"/>
      <c r="JB10" s="33"/>
      <c r="JC10" s="33"/>
      <c r="JD10" s="33"/>
      <c r="JE10" s="33"/>
      <c r="JF10" s="33"/>
      <c r="JG10" s="33"/>
      <c r="JH10" s="33"/>
      <c r="JI10" s="33"/>
      <c r="JJ10" s="33"/>
      <c r="JK10" s="33"/>
      <c r="JL10" s="33"/>
      <c r="JM10" s="33"/>
      <c r="JN10" s="33"/>
      <c r="JO10" s="33"/>
      <c r="JP10" s="33"/>
      <c r="JQ10" s="33"/>
      <c r="JR10" s="33"/>
      <c r="JS10" s="33"/>
      <c r="JT10" s="33"/>
      <c r="JU10" s="33"/>
      <c r="JV10" s="33"/>
      <c r="JW10" s="33"/>
      <c r="JX10" s="33"/>
      <c r="JY10" s="33"/>
      <c r="JZ10" s="33"/>
      <c r="KA10" s="33"/>
      <c r="KB10" s="33"/>
      <c r="KC10" s="33"/>
      <c r="KD10" s="33"/>
      <c r="KE10" s="33"/>
      <c r="KF10" s="33"/>
      <c r="KG10" s="33"/>
      <c r="KH10" s="33"/>
      <c r="KI10" s="33"/>
      <c r="KJ10" s="33"/>
      <c r="KK10" s="33"/>
      <c r="KL10" s="33"/>
      <c r="KM10" s="33"/>
      <c r="KN10" s="33"/>
      <c r="KO10" s="33"/>
      <c r="KP10" s="33"/>
      <c r="KQ10" s="33"/>
      <c r="KR10" s="33"/>
      <c r="KS10" s="33"/>
      <c r="KT10" s="33"/>
      <c r="KU10" s="33"/>
      <c r="KV10" s="33"/>
      <c r="KW10" s="33"/>
      <c r="KX10" s="33"/>
      <c r="KY10" s="33"/>
      <c r="KZ10" s="33"/>
      <c r="LA10" s="33"/>
      <c r="LB10" s="33"/>
      <c r="LC10" s="33"/>
      <c r="LD10" s="33"/>
      <c r="LE10" s="33"/>
      <c r="LF10" s="33"/>
      <c r="LG10" s="33"/>
      <c r="LH10" s="33"/>
      <c r="LI10" s="33"/>
      <c r="LJ10" s="33"/>
      <c r="LK10" s="33"/>
      <c r="LL10" s="33"/>
      <c r="LM10" s="33"/>
      <c r="LN10" s="33"/>
      <c r="LO10" s="33"/>
      <c r="LP10" s="33"/>
      <c r="LQ10" s="33"/>
      <c r="LR10" s="33"/>
      <c r="LS10" s="33"/>
      <c r="LT10" s="33"/>
      <c r="LU10" s="33"/>
      <c r="LV10" s="33"/>
      <c r="LW10" s="33"/>
      <c r="LX10" s="33"/>
      <c r="LY10" s="33"/>
      <c r="LZ10" s="33"/>
      <c r="MA10" s="33"/>
      <c r="MB10" s="33"/>
      <c r="MC10" s="33"/>
      <c r="MD10" s="33"/>
      <c r="ME10" s="33"/>
      <c r="MF10" s="33"/>
      <c r="MG10" s="33"/>
      <c r="MH10" s="33"/>
      <c r="MI10" s="33"/>
      <c r="MJ10" s="33"/>
      <c r="MK10" s="33"/>
      <c r="ML10" s="33"/>
      <c r="MM10" s="33"/>
      <c r="MN10" s="33"/>
      <c r="MO10" s="33"/>
      <c r="MP10" s="33"/>
      <c r="MQ10" s="33"/>
      <c r="MR10" s="33"/>
      <c r="MS10" s="33"/>
      <c r="MT10" s="33"/>
      <c r="MU10" s="33"/>
      <c r="MV10" s="33"/>
    </row>
    <row r="11" spans="1:360" ht="0.75" customHeight="1" x14ac:dyDescent="0.25">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c r="GQ11" s="33"/>
      <c r="GR11" s="33"/>
      <c r="GS11" s="33"/>
      <c r="GT11" s="33"/>
      <c r="GU11" s="33"/>
      <c r="GV11" s="33"/>
      <c r="GW11" s="33"/>
      <c r="GX11" s="33"/>
      <c r="GY11" s="33"/>
      <c r="GZ11" s="33"/>
      <c r="HA11" s="33"/>
      <c r="HB11" s="33"/>
      <c r="HC11" s="33"/>
      <c r="HD11" s="33"/>
      <c r="HE11" s="33"/>
      <c r="HF11" s="33"/>
      <c r="HG11" s="33"/>
      <c r="HH11" s="33"/>
      <c r="HI11" s="33"/>
      <c r="HJ11" s="33"/>
      <c r="HK11" s="33"/>
      <c r="HL11" s="33"/>
      <c r="HM11" s="33"/>
      <c r="HN11" s="33"/>
      <c r="HO11" s="33"/>
      <c r="HP11" s="33"/>
      <c r="HQ11" s="33"/>
      <c r="HR11" s="33"/>
      <c r="HS11" s="33"/>
      <c r="HT11" s="33"/>
      <c r="HU11" s="33"/>
      <c r="HV11" s="33"/>
      <c r="HW11" s="33"/>
      <c r="HX11" s="33"/>
      <c r="HY11" s="33"/>
      <c r="HZ11" s="33"/>
      <c r="IA11" s="33"/>
      <c r="IB11" s="33"/>
      <c r="IC11" s="33"/>
      <c r="ID11" s="33"/>
      <c r="IE11" s="33"/>
      <c r="IF11" s="33"/>
      <c r="IG11" s="33"/>
      <c r="IH11" s="33"/>
      <c r="II11" s="33"/>
      <c r="IJ11" s="33"/>
      <c r="IK11" s="33"/>
      <c r="IL11" s="33"/>
      <c r="IM11" s="33"/>
      <c r="IN11" s="33"/>
      <c r="IO11" s="33"/>
      <c r="IP11" s="33"/>
      <c r="IQ11" s="33"/>
      <c r="IR11" s="33"/>
      <c r="IS11" s="33"/>
      <c r="IT11" s="33"/>
      <c r="IU11" s="33"/>
      <c r="IV11" s="33"/>
      <c r="IW11" s="33"/>
      <c r="IX11" s="33"/>
      <c r="IY11" s="33"/>
      <c r="IZ11" s="33"/>
      <c r="JA11" s="33"/>
      <c r="JB11" s="33"/>
      <c r="JC11" s="33"/>
      <c r="JD11" s="33"/>
      <c r="JE11" s="33"/>
      <c r="JF11" s="33"/>
      <c r="JG11" s="33"/>
      <c r="JH11" s="33"/>
      <c r="JI11" s="33"/>
      <c r="JJ11" s="33"/>
      <c r="JK11" s="33"/>
      <c r="JL11" s="33"/>
      <c r="JM11" s="33"/>
      <c r="JN11" s="33"/>
      <c r="JO11" s="33"/>
      <c r="JP11" s="33"/>
      <c r="JQ11" s="33"/>
      <c r="JR11" s="33"/>
      <c r="JS11" s="33"/>
      <c r="JT11" s="33"/>
      <c r="JU11" s="33"/>
      <c r="JV11" s="33"/>
      <c r="JW11" s="33"/>
      <c r="JX11" s="33"/>
      <c r="JY11" s="33"/>
      <c r="JZ11" s="33"/>
      <c r="KA11" s="33"/>
      <c r="KB11" s="33"/>
      <c r="KC11" s="33"/>
      <c r="KD11" s="33"/>
      <c r="KE11" s="33"/>
      <c r="KF11" s="33"/>
      <c r="KG11" s="33"/>
      <c r="KH11" s="33"/>
      <c r="KI11" s="33"/>
      <c r="KJ11" s="33"/>
      <c r="KK11" s="33"/>
      <c r="KL11" s="33"/>
      <c r="KM11" s="33"/>
      <c r="KN11" s="33"/>
      <c r="KO11" s="33"/>
      <c r="KP11" s="33"/>
      <c r="KQ11" s="33"/>
      <c r="KR11" s="33"/>
      <c r="KS11" s="33"/>
      <c r="KT11" s="33"/>
      <c r="KU11" s="33"/>
      <c r="KV11" s="33"/>
      <c r="KW11" s="33"/>
      <c r="KX11" s="33"/>
      <c r="KY11" s="33"/>
      <c r="KZ11" s="33"/>
      <c r="LA11" s="33"/>
      <c r="LB11" s="33"/>
      <c r="LC11" s="33"/>
      <c r="LD11" s="33"/>
      <c r="LE11" s="33"/>
      <c r="LF11" s="33"/>
      <c r="LG11" s="33"/>
      <c r="LH11" s="33"/>
      <c r="LI11" s="33"/>
      <c r="LJ11" s="33"/>
      <c r="LK11" s="33"/>
      <c r="LL11" s="33"/>
      <c r="LM11" s="33"/>
      <c r="LN11" s="33"/>
      <c r="LO11" s="33"/>
      <c r="LP11" s="33"/>
      <c r="LQ11" s="33"/>
      <c r="LR11" s="33"/>
      <c r="LS11" s="33"/>
      <c r="LT11" s="33"/>
      <c r="LU11" s="33"/>
      <c r="LV11" s="33"/>
      <c r="LW11" s="33"/>
      <c r="LX11" s="33"/>
      <c r="LY11" s="33"/>
      <c r="LZ11" s="33"/>
      <c r="MA11" s="33"/>
      <c r="MB11" s="33"/>
      <c r="MC11" s="33"/>
      <c r="MD11" s="33"/>
      <c r="ME11" s="33"/>
      <c r="MF11" s="33"/>
      <c r="MG11" s="33"/>
      <c r="MH11" s="33"/>
      <c r="MI11" s="33"/>
      <c r="MJ11" s="33"/>
      <c r="MK11" s="33"/>
      <c r="ML11" s="33"/>
      <c r="MM11" s="33"/>
      <c r="MN11" s="33"/>
      <c r="MO11" s="33"/>
      <c r="MP11" s="33"/>
      <c r="MQ11" s="33"/>
      <c r="MR11" s="33"/>
      <c r="MS11" s="33"/>
      <c r="MT11" s="33"/>
      <c r="MU11" s="33"/>
      <c r="MV11" s="33"/>
    </row>
    <row r="12" spans="1:360" ht="0.75" customHeight="1" x14ac:dyDescent="0.25">
      <c r="A12" s="33"/>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c r="BW12" s="33"/>
      <c r="BX12" s="33"/>
      <c r="BY12" s="33"/>
      <c r="BZ12" s="33"/>
      <c r="CA12" s="33"/>
      <c r="CB12" s="33"/>
      <c r="CC12" s="33"/>
      <c r="CD12" s="33"/>
      <c r="CE12" s="33"/>
      <c r="CF12" s="33"/>
      <c r="CG12" s="33"/>
      <c r="CH12" s="33"/>
      <c r="CI12" s="33"/>
      <c r="CJ12" s="33"/>
      <c r="CK12" s="33"/>
      <c r="CL12" s="33"/>
      <c r="CM12" s="33"/>
      <c r="CN12" s="33"/>
      <c r="CO12" s="33"/>
      <c r="CP12" s="33"/>
      <c r="CQ12" s="33"/>
      <c r="CR12" s="33"/>
      <c r="CS12" s="33"/>
      <c r="CT12" s="33"/>
      <c r="CU12" s="33"/>
      <c r="CV12" s="33"/>
      <c r="CW12" s="33"/>
      <c r="CX12" s="33"/>
      <c r="CY12" s="33"/>
      <c r="CZ12" s="33"/>
      <c r="DA12" s="33"/>
      <c r="DB12" s="33"/>
      <c r="DC12" s="33"/>
      <c r="DD12" s="33"/>
      <c r="DE12" s="33"/>
      <c r="DF12" s="33"/>
      <c r="DG12" s="33"/>
      <c r="DH12" s="33"/>
      <c r="DI12" s="33"/>
      <c r="DJ12" s="33"/>
      <c r="DK12" s="33"/>
      <c r="DL12" s="33"/>
      <c r="DM12" s="33"/>
      <c r="DN12" s="33"/>
      <c r="DO12" s="33"/>
      <c r="DP12" s="33"/>
      <c r="DQ12" s="33"/>
      <c r="DR12" s="33"/>
      <c r="DS12" s="33"/>
      <c r="DT12" s="33"/>
      <c r="DU12" s="33"/>
      <c r="DV12" s="33"/>
      <c r="DW12" s="33"/>
      <c r="DX12" s="33"/>
      <c r="DY12" s="33"/>
      <c r="DZ12" s="33"/>
      <c r="EA12" s="33"/>
      <c r="EB12" s="33"/>
      <c r="EC12" s="33"/>
      <c r="ED12" s="33"/>
      <c r="EE12" s="33"/>
      <c r="EF12" s="33"/>
      <c r="EG12" s="33"/>
      <c r="EH12" s="33"/>
      <c r="EI12" s="33"/>
      <c r="EJ12" s="33"/>
      <c r="EK12" s="33"/>
      <c r="EL12" s="33"/>
      <c r="EM12" s="33"/>
      <c r="EN12" s="33"/>
      <c r="EO12" s="33"/>
      <c r="EP12" s="33"/>
      <c r="EQ12" s="33"/>
      <c r="ER12" s="33"/>
      <c r="ES12" s="33"/>
      <c r="ET12" s="33"/>
      <c r="EU12" s="33"/>
      <c r="EV12" s="33"/>
      <c r="EW12" s="33"/>
      <c r="EX12" s="33"/>
      <c r="EY12" s="33"/>
      <c r="EZ12" s="33"/>
      <c r="FA12" s="33"/>
      <c r="FB12" s="33"/>
      <c r="FC12" s="33"/>
      <c r="FD12" s="33"/>
      <c r="FE12" s="33"/>
      <c r="FF12" s="33"/>
      <c r="FG12" s="33"/>
      <c r="FH12" s="33"/>
      <c r="FI12" s="33"/>
      <c r="FJ12" s="33"/>
      <c r="FK12" s="33"/>
      <c r="FL12" s="33"/>
      <c r="FM12" s="33"/>
      <c r="FN12" s="33"/>
      <c r="FO12" s="33"/>
      <c r="FP12" s="33"/>
      <c r="FQ12" s="33"/>
      <c r="FR12" s="33"/>
      <c r="FS12" s="33"/>
      <c r="FT12" s="33"/>
      <c r="FU12" s="33"/>
      <c r="FV12" s="33"/>
      <c r="FW12" s="33"/>
      <c r="FX12" s="33"/>
      <c r="FY12" s="33"/>
      <c r="FZ12" s="33"/>
      <c r="GA12" s="33"/>
      <c r="GB12" s="33"/>
      <c r="GC12" s="33"/>
      <c r="GD12" s="33"/>
      <c r="GE12" s="33"/>
      <c r="GF12" s="33"/>
      <c r="GG12" s="33"/>
      <c r="GH12" s="33"/>
      <c r="GI12" s="33"/>
      <c r="GJ12" s="33"/>
      <c r="GK12" s="33"/>
      <c r="GL12" s="33"/>
      <c r="GM12" s="33"/>
      <c r="GN12" s="33"/>
      <c r="GO12" s="33"/>
      <c r="GP12" s="33"/>
      <c r="GQ12" s="33"/>
      <c r="GR12" s="33"/>
      <c r="GS12" s="33"/>
      <c r="GT12" s="33"/>
      <c r="GU12" s="33"/>
      <c r="GV12" s="33"/>
      <c r="GW12" s="33"/>
      <c r="GX12" s="33"/>
      <c r="GY12" s="33"/>
      <c r="GZ12" s="33"/>
      <c r="HA12" s="33"/>
      <c r="HB12" s="33"/>
      <c r="HC12" s="33"/>
      <c r="HD12" s="33"/>
      <c r="HE12" s="33"/>
      <c r="HF12" s="33"/>
      <c r="HG12" s="33"/>
      <c r="HH12" s="33"/>
      <c r="HI12" s="33"/>
      <c r="HJ12" s="33"/>
      <c r="HK12" s="33"/>
      <c r="HL12" s="33"/>
      <c r="HM12" s="33"/>
      <c r="HN12" s="33"/>
      <c r="HO12" s="33"/>
      <c r="HP12" s="33"/>
      <c r="HQ12" s="33"/>
      <c r="HR12" s="33"/>
      <c r="HS12" s="33"/>
      <c r="HT12" s="33"/>
      <c r="HU12" s="33"/>
      <c r="HV12" s="33"/>
      <c r="HW12" s="33"/>
      <c r="HX12" s="33"/>
      <c r="HY12" s="33"/>
      <c r="HZ12" s="33"/>
      <c r="IA12" s="33"/>
      <c r="IB12" s="33"/>
      <c r="IC12" s="33"/>
      <c r="ID12" s="33"/>
      <c r="IE12" s="33"/>
      <c r="IF12" s="33"/>
      <c r="IG12" s="33"/>
      <c r="IH12" s="33"/>
      <c r="II12" s="33"/>
      <c r="IJ12" s="33"/>
      <c r="IK12" s="33"/>
      <c r="IL12" s="33"/>
      <c r="IM12" s="33"/>
      <c r="IN12" s="33"/>
      <c r="IO12" s="33"/>
      <c r="IP12" s="33"/>
      <c r="IQ12" s="33"/>
      <c r="IR12" s="33"/>
      <c r="IS12" s="33"/>
      <c r="IT12" s="33"/>
      <c r="IU12" s="33"/>
      <c r="IV12" s="33"/>
      <c r="IW12" s="33"/>
      <c r="IX12" s="33"/>
      <c r="IY12" s="33"/>
      <c r="IZ12" s="33"/>
      <c r="JA12" s="33"/>
      <c r="JB12" s="33"/>
      <c r="JC12" s="33"/>
      <c r="JD12" s="33"/>
      <c r="JE12" s="33"/>
      <c r="JF12" s="33"/>
      <c r="JG12" s="33"/>
      <c r="JH12" s="33"/>
      <c r="JI12" s="33"/>
      <c r="JJ12" s="33"/>
      <c r="JK12" s="33"/>
      <c r="JL12" s="33"/>
      <c r="JM12" s="33"/>
      <c r="JN12" s="33"/>
      <c r="JO12" s="33"/>
      <c r="JP12" s="33"/>
      <c r="JQ12" s="33"/>
      <c r="JR12" s="33"/>
      <c r="JS12" s="33"/>
      <c r="JT12" s="33"/>
      <c r="JU12" s="33"/>
      <c r="JV12" s="33"/>
      <c r="JW12" s="33"/>
      <c r="JX12" s="33"/>
      <c r="JY12" s="33"/>
      <c r="JZ12" s="33"/>
      <c r="KA12" s="33"/>
      <c r="KB12" s="33"/>
      <c r="KC12" s="33"/>
      <c r="KD12" s="33"/>
      <c r="KE12" s="33"/>
      <c r="KF12" s="33"/>
      <c r="KG12" s="33"/>
      <c r="KH12" s="33"/>
      <c r="KI12" s="33"/>
      <c r="KJ12" s="33"/>
      <c r="KK12" s="33"/>
      <c r="KL12" s="33"/>
      <c r="KM12" s="33"/>
      <c r="KN12" s="33"/>
      <c r="KO12" s="33"/>
      <c r="KP12" s="33"/>
      <c r="KQ12" s="33"/>
      <c r="KR12" s="33"/>
      <c r="KS12" s="33"/>
      <c r="KT12" s="33"/>
      <c r="KU12" s="33"/>
      <c r="KV12" s="33"/>
      <c r="KW12" s="33"/>
      <c r="KX12" s="33"/>
      <c r="KY12" s="33"/>
      <c r="KZ12" s="33"/>
      <c r="LA12" s="33"/>
      <c r="LB12" s="33"/>
      <c r="LC12" s="33"/>
      <c r="LD12" s="33"/>
      <c r="LE12" s="33"/>
      <c r="LF12" s="33"/>
      <c r="LG12" s="33"/>
      <c r="LH12" s="33"/>
      <c r="LI12" s="33"/>
      <c r="LJ12" s="33"/>
      <c r="LK12" s="33"/>
      <c r="LL12" s="33"/>
      <c r="LM12" s="33"/>
      <c r="LN12" s="33"/>
      <c r="LO12" s="33"/>
      <c r="LP12" s="33"/>
      <c r="LQ12" s="33"/>
      <c r="LR12" s="33"/>
      <c r="LS12" s="33"/>
      <c r="LT12" s="33"/>
      <c r="LU12" s="33"/>
      <c r="LV12" s="33"/>
      <c r="LW12" s="33"/>
      <c r="LX12" s="33"/>
      <c r="LY12" s="33"/>
      <c r="LZ12" s="33"/>
      <c r="MA12" s="33"/>
      <c r="MB12" s="33"/>
      <c r="MC12" s="33"/>
      <c r="MD12" s="33"/>
      <c r="ME12" s="33"/>
      <c r="MF12" s="33"/>
      <c r="MG12" s="33"/>
      <c r="MH12" s="33"/>
      <c r="MI12" s="33"/>
      <c r="MJ12" s="33"/>
      <c r="MK12" s="33"/>
      <c r="ML12" s="33"/>
      <c r="MM12" s="33"/>
      <c r="MN12" s="33"/>
      <c r="MO12" s="33"/>
      <c r="MP12" s="33"/>
      <c r="MQ12" s="33"/>
      <c r="MR12" s="33"/>
      <c r="MS12" s="33"/>
      <c r="MT12" s="33"/>
      <c r="MU12" s="33"/>
      <c r="MV12" s="33"/>
    </row>
    <row r="13" spans="1:360" ht="0.75" customHeight="1" x14ac:dyDescent="0.25">
      <c r="A13" s="33"/>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c r="AU13" s="33"/>
      <c r="AV13" s="33"/>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c r="CL13" s="33"/>
      <c r="CM13" s="33"/>
      <c r="CN13" s="33"/>
      <c r="CO13" s="33"/>
      <c r="CP13" s="33"/>
      <c r="CQ13" s="33"/>
      <c r="CR13" s="33"/>
      <c r="CS13" s="33"/>
      <c r="CT13" s="33"/>
      <c r="CU13" s="33"/>
      <c r="CV13" s="33"/>
      <c r="CW13" s="33"/>
      <c r="CX13" s="33"/>
      <c r="CY13" s="33"/>
      <c r="CZ13" s="33"/>
      <c r="DA13" s="33"/>
      <c r="DB13" s="33"/>
      <c r="DC13" s="33"/>
      <c r="DD13" s="33"/>
      <c r="DE13" s="33"/>
      <c r="DF13" s="33"/>
      <c r="DG13" s="33"/>
      <c r="DH13" s="33"/>
      <c r="DI13" s="33"/>
      <c r="DJ13" s="33"/>
      <c r="DK13" s="33"/>
      <c r="DL13" s="33"/>
      <c r="DM13" s="33"/>
      <c r="DN13" s="33"/>
      <c r="DO13" s="33"/>
      <c r="DP13" s="33"/>
      <c r="DQ13" s="33"/>
      <c r="DR13" s="33"/>
      <c r="DS13" s="33"/>
      <c r="DT13" s="33"/>
      <c r="DU13" s="33"/>
      <c r="DV13" s="33"/>
      <c r="DW13" s="33"/>
      <c r="DX13" s="33"/>
      <c r="DY13" s="33"/>
      <c r="DZ13" s="33"/>
      <c r="EA13" s="33"/>
      <c r="EB13" s="33"/>
      <c r="EC13" s="33"/>
      <c r="ED13" s="33"/>
      <c r="EE13" s="33"/>
      <c r="EF13" s="33"/>
      <c r="EG13" s="33"/>
      <c r="EH13" s="33"/>
      <c r="EI13" s="33"/>
      <c r="EJ13" s="33"/>
      <c r="EK13" s="33"/>
      <c r="EL13" s="33"/>
      <c r="EM13" s="33"/>
      <c r="EN13" s="33"/>
      <c r="EO13" s="33"/>
      <c r="EP13" s="33"/>
      <c r="EQ13" s="33"/>
      <c r="ER13" s="33"/>
      <c r="ES13" s="33"/>
      <c r="ET13" s="33"/>
      <c r="EU13" s="33"/>
      <c r="EV13" s="33"/>
      <c r="EW13" s="33"/>
      <c r="EX13" s="33"/>
      <c r="EY13" s="33"/>
      <c r="EZ13" s="33"/>
      <c r="FA13" s="33"/>
      <c r="FB13" s="33"/>
      <c r="FC13" s="33"/>
      <c r="FD13" s="33"/>
      <c r="FE13" s="33"/>
      <c r="FF13" s="33"/>
      <c r="FG13" s="33"/>
      <c r="FH13" s="33"/>
      <c r="FI13" s="33"/>
      <c r="FJ13" s="33"/>
      <c r="FK13" s="33"/>
      <c r="FL13" s="33"/>
      <c r="FM13" s="33"/>
      <c r="FN13" s="33"/>
      <c r="FO13" s="33"/>
      <c r="FP13" s="33"/>
      <c r="FQ13" s="33"/>
      <c r="FR13" s="33"/>
      <c r="FS13" s="33"/>
      <c r="FT13" s="33"/>
      <c r="FU13" s="33"/>
      <c r="FV13" s="33"/>
      <c r="FW13" s="33"/>
      <c r="FX13" s="33"/>
      <c r="FY13" s="33"/>
      <c r="FZ13" s="33"/>
      <c r="GA13" s="33"/>
      <c r="GB13" s="33"/>
      <c r="GC13" s="33"/>
      <c r="GD13" s="33"/>
      <c r="GE13" s="33"/>
      <c r="GF13" s="33"/>
      <c r="GG13" s="33"/>
      <c r="GH13" s="33"/>
      <c r="GI13" s="33"/>
      <c r="GJ13" s="33"/>
      <c r="GK13" s="33"/>
      <c r="GL13" s="33"/>
      <c r="GM13" s="33"/>
      <c r="GN13" s="33"/>
      <c r="GO13" s="33"/>
      <c r="GP13" s="33"/>
      <c r="GQ13" s="33"/>
      <c r="GR13" s="33"/>
      <c r="GS13" s="33"/>
      <c r="GT13" s="33"/>
      <c r="GU13" s="33"/>
      <c r="GV13" s="33"/>
      <c r="GW13" s="33"/>
      <c r="GX13" s="33"/>
      <c r="GY13" s="33"/>
      <c r="GZ13" s="33"/>
      <c r="HA13" s="33"/>
      <c r="HB13" s="33"/>
      <c r="HC13" s="33"/>
      <c r="HD13" s="33"/>
      <c r="HE13" s="33"/>
      <c r="HF13" s="33"/>
      <c r="HG13" s="33"/>
      <c r="HH13" s="33"/>
      <c r="HI13" s="33"/>
      <c r="HJ13" s="33"/>
      <c r="HK13" s="33"/>
      <c r="HL13" s="33"/>
      <c r="HM13" s="33"/>
      <c r="HN13" s="33"/>
      <c r="HO13" s="33"/>
      <c r="HP13" s="33"/>
      <c r="HQ13" s="33"/>
      <c r="HR13" s="33"/>
      <c r="HS13" s="33"/>
      <c r="HT13" s="33"/>
      <c r="HU13" s="33"/>
      <c r="HV13" s="33"/>
      <c r="HW13" s="33"/>
      <c r="HX13" s="33"/>
      <c r="HY13" s="33"/>
      <c r="HZ13" s="33"/>
      <c r="IA13" s="33"/>
      <c r="IB13" s="33"/>
      <c r="IC13" s="33"/>
      <c r="ID13" s="33"/>
      <c r="IE13" s="33"/>
      <c r="IF13" s="33"/>
      <c r="IG13" s="33"/>
      <c r="IH13" s="33"/>
      <c r="II13" s="33"/>
      <c r="IJ13" s="33"/>
      <c r="IK13" s="33"/>
      <c r="IL13" s="33"/>
      <c r="IM13" s="33"/>
      <c r="IN13" s="33"/>
      <c r="IO13" s="33"/>
      <c r="IP13" s="33"/>
      <c r="IQ13" s="33"/>
      <c r="IR13" s="33"/>
      <c r="IS13" s="33"/>
      <c r="IT13" s="33"/>
      <c r="IU13" s="33"/>
      <c r="IV13" s="33"/>
      <c r="IW13" s="33"/>
      <c r="IX13" s="33"/>
      <c r="IY13" s="33"/>
      <c r="IZ13" s="33"/>
      <c r="JA13" s="33"/>
      <c r="JB13" s="33"/>
      <c r="JC13" s="33"/>
      <c r="JD13" s="33"/>
      <c r="JE13" s="33"/>
      <c r="JF13" s="33"/>
      <c r="JG13" s="33"/>
      <c r="JH13" s="33"/>
      <c r="JI13" s="33"/>
      <c r="JJ13" s="33"/>
      <c r="JK13" s="33"/>
      <c r="JL13" s="33"/>
      <c r="JM13" s="33"/>
      <c r="JN13" s="33"/>
      <c r="JO13" s="33"/>
      <c r="JP13" s="33"/>
      <c r="JQ13" s="33"/>
      <c r="JR13" s="33"/>
      <c r="JS13" s="33"/>
      <c r="JT13" s="33"/>
      <c r="JU13" s="33"/>
      <c r="JV13" s="33"/>
      <c r="JW13" s="33"/>
      <c r="JX13" s="33"/>
      <c r="JY13" s="33"/>
      <c r="JZ13" s="33"/>
      <c r="KA13" s="33"/>
      <c r="KB13" s="33"/>
      <c r="KC13" s="33"/>
      <c r="KD13" s="33"/>
      <c r="KE13" s="33"/>
      <c r="KF13" s="33"/>
      <c r="KG13" s="33"/>
      <c r="KH13" s="33"/>
      <c r="KI13" s="33"/>
      <c r="KJ13" s="33"/>
      <c r="KK13" s="33"/>
      <c r="KL13" s="33"/>
      <c r="KM13" s="33"/>
      <c r="KN13" s="33"/>
      <c r="KO13" s="33"/>
      <c r="KP13" s="33"/>
      <c r="KQ13" s="33"/>
      <c r="KR13" s="33"/>
      <c r="KS13" s="33"/>
      <c r="KT13" s="33"/>
      <c r="KU13" s="33"/>
      <c r="KV13" s="33"/>
      <c r="KW13" s="33"/>
      <c r="KX13" s="33"/>
      <c r="KY13" s="33"/>
      <c r="KZ13" s="33"/>
      <c r="LA13" s="33"/>
      <c r="LB13" s="33"/>
      <c r="LC13" s="33"/>
      <c r="LD13" s="33"/>
      <c r="LE13" s="33"/>
      <c r="LF13" s="33"/>
      <c r="LG13" s="33"/>
      <c r="LH13" s="33"/>
      <c r="LI13" s="33"/>
      <c r="LJ13" s="33"/>
      <c r="LK13" s="33"/>
      <c r="LL13" s="33"/>
      <c r="LM13" s="33"/>
      <c r="LN13" s="33"/>
      <c r="LO13" s="33"/>
      <c r="LP13" s="33"/>
      <c r="LQ13" s="33"/>
      <c r="LR13" s="33"/>
      <c r="LS13" s="33"/>
      <c r="LT13" s="33"/>
      <c r="LU13" s="33"/>
      <c r="LV13" s="33"/>
      <c r="LW13" s="33"/>
      <c r="LX13" s="33"/>
      <c r="LY13" s="33"/>
      <c r="LZ13" s="33"/>
      <c r="MA13" s="33"/>
      <c r="MB13" s="33"/>
      <c r="MC13" s="33"/>
      <c r="MD13" s="33"/>
      <c r="ME13" s="33"/>
      <c r="MF13" s="33"/>
      <c r="MG13" s="33"/>
      <c r="MH13" s="33"/>
      <c r="MI13" s="33"/>
      <c r="MJ13" s="33"/>
      <c r="MK13" s="33"/>
      <c r="ML13" s="33"/>
      <c r="MM13" s="33"/>
      <c r="MN13" s="33"/>
      <c r="MO13" s="33"/>
      <c r="MP13" s="33"/>
      <c r="MQ13" s="33"/>
      <c r="MR13" s="33"/>
      <c r="MS13" s="33"/>
      <c r="MT13" s="33"/>
      <c r="MU13" s="33"/>
      <c r="MV13" s="33"/>
    </row>
    <row r="14" spans="1:360" ht="0.75" customHeight="1" x14ac:dyDescent="0.25">
      <c r="A14" s="33"/>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c r="CF14" s="33"/>
      <c r="CG14" s="33"/>
      <c r="CH14" s="33"/>
      <c r="CI14" s="33"/>
      <c r="CJ14" s="33"/>
      <c r="CK14" s="33"/>
      <c r="CL14" s="33"/>
      <c r="CM14" s="33"/>
      <c r="CN14" s="33"/>
      <c r="CO14" s="33"/>
      <c r="CP14" s="33"/>
      <c r="CQ14" s="33"/>
      <c r="CR14" s="33"/>
      <c r="CS14" s="33"/>
      <c r="CT14" s="33"/>
      <c r="CU14" s="33"/>
      <c r="CV14" s="33"/>
      <c r="CW14" s="33"/>
      <c r="CX14" s="33"/>
      <c r="CY14" s="33"/>
      <c r="CZ14" s="33"/>
      <c r="DA14" s="33"/>
      <c r="DB14" s="33"/>
      <c r="DC14" s="33"/>
      <c r="DD14" s="33"/>
      <c r="DE14" s="33"/>
      <c r="DF14" s="33"/>
      <c r="DG14" s="33"/>
      <c r="DH14" s="33"/>
      <c r="DI14" s="33"/>
      <c r="DJ14" s="33"/>
      <c r="DK14" s="33"/>
      <c r="DL14" s="33"/>
      <c r="DM14" s="33"/>
      <c r="DN14" s="33"/>
      <c r="DO14" s="33"/>
      <c r="DP14" s="33"/>
      <c r="DQ14" s="33"/>
      <c r="DR14" s="33"/>
      <c r="DS14" s="33"/>
      <c r="DT14" s="33"/>
      <c r="DU14" s="33"/>
      <c r="DV14" s="33"/>
      <c r="DW14" s="33"/>
      <c r="DX14" s="33"/>
      <c r="DY14" s="33"/>
      <c r="DZ14" s="33"/>
      <c r="EA14" s="33"/>
      <c r="EB14" s="33"/>
      <c r="EC14" s="33"/>
      <c r="ED14" s="33"/>
      <c r="EE14" s="33"/>
      <c r="EF14" s="33"/>
      <c r="EG14" s="33"/>
      <c r="EH14" s="33"/>
      <c r="EI14" s="33"/>
      <c r="EJ14" s="33"/>
      <c r="EK14" s="33"/>
      <c r="EL14" s="33"/>
      <c r="EM14" s="33"/>
      <c r="EN14" s="33"/>
      <c r="EO14" s="33"/>
      <c r="EP14" s="33"/>
      <c r="EQ14" s="33"/>
      <c r="ER14" s="33"/>
      <c r="ES14" s="33"/>
      <c r="ET14" s="33"/>
      <c r="EU14" s="33"/>
      <c r="EV14" s="33"/>
      <c r="EW14" s="33"/>
      <c r="EX14" s="33"/>
      <c r="EY14" s="33"/>
      <c r="EZ14" s="33"/>
      <c r="FA14" s="33"/>
      <c r="FB14" s="33"/>
      <c r="FC14" s="33"/>
      <c r="FD14" s="33"/>
      <c r="FE14" s="33"/>
      <c r="FF14" s="33"/>
      <c r="FG14" s="33"/>
      <c r="FH14" s="33"/>
      <c r="FI14" s="33"/>
      <c r="FJ14" s="33"/>
      <c r="FK14" s="33"/>
      <c r="FL14" s="33"/>
      <c r="FM14" s="33"/>
      <c r="FN14" s="33"/>
      <c r="FO14" s="33"/>
      <c r="FP14" s="33"/>
      <c r="FQ14" s="33"/>
      <c r="FR14" s="33"/>
      <c r="FS14" s="33"/>
      <c r="FT14" s="33"/>
      <c r="FU14" s="33"/>
      <c r="FV14" s="33"/>
      <c r="FW14" s="33"/>
      <c r="FX14" s="33"/>
      <c r="FY14" s="33"/>
      <c r="FZ14" s="33"/>
      <c r="GA14" s="33"/>
      <c r="GB14" s="33"/>
      <c r="GC14" s="33"/>
      <c r="GD14" s="33"/>
      <c r="GE14" s="33"/>
      <c r="GF14" s="33"/>
      <c r="GG14" s="33"/>
      <c r="GH14" s="33"/>
      <c r="GI14" s="33"/>
      <c r="GJ14" s="33"/>
      <c r="GK14" s="33"/>
      <c r="GL14" s="33"/>
      <c r="GM14" s="33"/>
      <c r="GN14" s="33"/>
      <c r="GO14" s="33"/>
      <c r="GP14" s="33"/>
      <c r="GQ14" s="33"/>
      <c r="GR14" s="33"/>
      <c r="GS14" s="33"/>
      <c r="GT14" s="33"/>
      <c r="GU14" s="33"/>
      <c r="GV14" s="33"/>
      <c r="GW14" s="33"/>
      <c r="GX14" s="33"/>
      <c r="GY14" s="33"/>
      <c r="GZ14" s="33"/>
      <c r="HA14" s="33"/>
      <c r="HB14" s="33"/>
      <c r="HC14" s="33"/>
      <c r="HD14" s="33"/>
      <c r="HE14" s="33"/>
      <c r="HF14" s="33"/>
      <c r="HG14" s="33"/>
      <c r="HH14" s="33"/>
      <c r="HI14" s="33"/>
      <c r="HJ14" s="33"/>
      <c r="HK14" s="33"/>
      <c r="HL14" s="33"/>
      <c r="HM14" s="33"/>
      <c r="HN14" s="33"/>
      <c r="HO14" s="33"/>
      <c r="HP14" s="33"/>
      <c r="HQ14" s="33"/>
      <c r="HR14" s="33"/>
      <c r="HS14" s="33"/>
      <c r="HT14" s="33"/>
      <c r="HU14" s="33"/>
      <c r="HV14" s="33"/>
      <c r="HW14" s="33"/>
      <c r="HX14" s="33"/>
      <c r="HY14" s="33"/>
      <c r="HZ14" s="33"/>
      <c r="IA14" s="33"/>
      <c r="IB14" s="33"/>
      <c r="IC14" s="33"/>
      <c r="ID14" s="33"/>
      <c r="IE14" s="33"/>
      <c r="IF14" s="33"/>
      <c r="IG14" s="33"/>
      <c r="IH14" s="33"/>
      <c r="II14" s="33"/>
      <c r="IJ14" s="33"/>
      <c r="IK14" s="33"/>
      <c r="IL14" s="33"/>
      <c r="IM14" s="33"/>
      <c r="IN14" s="33"/>
      <c r="IO14" s="33"/>
      <c r="IP14" s="33"/>
      <c r="IQ14" s="33"/>
      <c r="IR14" s="33"/>
      <c r="IS14" s="33"/>
      <c r="IT14" s="33"/>
      <c r="IU14" s="33"/>
      <c r="IV14" s="33"/>
      <c r="IW14" s="33"/>
      <c r="IX14" s="33"/>
      <c r="IY14" s="33"/>
      <c r="IZ14" s="33"/>
      <c r="JA14" s="33"/>
      <c r="JB14" s="33"/>
      <c r="JC14" s="33"/>
      <c r="JD14" s="33"/>
      <c r="JE14" s="33"/>
      <c r="JF14" s="33"/>
      <c r="JG14" s="33"/>
      <c r="JH14" s="33"/>
      <c r="JI14" s="33"/>
      <c r="JJ14" s="33"/>
      <c r="JK14" s="33"/>
      <c r="JL14" s="33"/>
      <c r="JM14" s="33"/>
      <c r="JN14" s="33"/>
      <c r="JO14" s="33"/>
      <c r="JP14" s="33"/>
      <c r="JQ14" s="33"/>
      <c r="JR14" s="33"/>
      <c r="JS14" s="33"/>
      <c r="JT14" s="33"/>
      <c r="JU14" s="33"/>
      <c r="JV14" s="33"/>
      <c r="JW14" s="33"/>
      <c r="JX14" s="33"/>
      <c r="JY14" s="33"/>
      <c r="JZ14" s="33"/>
      <c r="KA14" s="33"/>
      <c r="KB14" s="33"/>
      <c r="KC14" s="33"/>
      <c r="KD14" s="33"/>
      <c r="KE14" s="33"/>
      <c r="KF14" s="33"/>
      <c r="KG14" s="33"/>
      <c r="KH14" s="33"/>
      <c r="KI14" s="33"/>
      <c r="KJ14" s="33"/>
      <c r="KK14" s="33"/>
      <c r="KL14" s="33"/>
      <c r="KM14" s="33"/>
      <c r="KN14" s="33"/>
      <c r="KO14" s="33"/>
      <c r="KP14" s="33"/>
      <c r="KQ14" s="33"/>
      <c r="KR14" s="33"/>
      <c r="KS14" s="33"/>
      <c r="KT14" s="33"/>
      <c r="KU14" s="33"/>
      <c r="KV14" s="33"/>
      <c r="KW14" s="33"/>
      <c r="KX14" s="33"/>
      <c r="KY14" s="33"/>
      <c r="KZ14" s="33"/>
      <c r="LA14" s="33"/>
      <c r="LB14" s="33"/>
      <c r="LC14" s="33"/>
      <c r="LD14" s="33"/>
      <c r="LE14" s="33"/>
      <c r="LF14" s="33"/>
      <c r="LG14" s="33"/>
      <c r="LH14" s="33"/>
      <c r="LI14" s="33"/>
      <c r="LJ14" s="33"/>
      <c r="LK14" s="33"/>
      <c r="LL14" s="33"/>
      <c r="LM14" s="33"/>
      <c r="LN14" s="33"/>
      <c r="LO14" s="33"/>
      <c r="LP14" s="33"/>
      <c r="LQ14" s="33"/>
      <c r="LR14" s="33"/>
      <c r="LS14" s="33"/>
      <c r="LT14" s="33"/>
      <c r="LU14" s="33"/>
      <c r="LV14" s="33"/>
      <c r="LW14" s="33"/>
      <c r="LX14" s="33"/>
      <c r="LY14" s="33"/>
      <c r="LZ14" s="33"/>
      <c r="MA14" s="33"/>
      <c r="MB14" s="33"/>
      <c r="MC14" s="33"/>
      <c r="MD14" s="33"/>
      <c r="ME14" s="33"/>
      <c r="MF14" s="33"/>
      <c r="MG14" s="33"/>
      <c r="MH14" s="33"/>
      <c r="MI14" s="33"/>
      <c r="MJ14" s="33"/>
      <c r="MK14" s="33"/>
      <c r="ML14" s="33"/>
      <c r="MM14" s="33"/>
      <c r="MN14" s="33"/>
      <c r="MO14" s="33"/>
      <c r="MP14" s="33"/>
      <c r="MQ14" s="33"/>
      <c r="MR14" s="33"/>
      <c r="MS14" s="33"/>
      <c r="MT14" s="33"/>
      <c r="MU14" s="33"/>
      <c r="MV14" s="33"/>
    </row>
    <row r="15" spans="1:360" ht="0.75" customHeight="1" x14ac:dyDescent="0.25">
      <c r="A15" s="33"/>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3"/>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33"/>
      <c r="CG15" s="33"/>
      <c r="CH15" s="33"/>
      <c r="CI15" s="33"/>
      <c r="CJ15" s="33"/>
      <c r="CK15" s="33"/>
      <c r="CL15" s="33"/>
      <c r="CM15" s="33"/>
      <c r="CN15" s="33"/>
      <c r="CO15" s="33"/>
      <c r="CP15" s="33"/>
      <c r="CQ15" s="33"/>
      <c r="CR15" s="33"/>
      <c r="CS15" s="33"/>
      <c r="CT15" s="33"/>
      <c r="CU15" s="33"/>
      <c r="CV15" s="33"/>
      <c r="CW15" s="33"/>
      <c r="CX15" s="33"/>
      <c r="CY15" s="33"/>
      <c r="CZ15" s="33"/>
      <c r="DA15" s="33"/>
      <c r="DB15" s="33"/>
      <c r="DC15" s="33"/>
      <c r="DD15" s="33"/>
      <c r="DE15" s="33"/>
      <c r="DF15" s="33"/>
      <c r="DG15" s="33"/>
      <c r="DH15" s="33"/>
      <c r="DI15" s="33"/>
      <c r="DJ15" s="33"/>
      <c r="DK15" s="33"/>
      <c r="DL15" s="33"/>
      <c r="DM15" s="33"/>
      <c r="DN15" s="33"/>
      <c r="DO15" s="33"/>
      <c r="DP15" s="33"/>
      <c r="DQ15" s="33"/>
      <c r="DR15" s="33"/>
      <c r="DS15" s="33"/>
      <c r="DT15" s="33"/>
      <c r="DU15" s="33"/>
      <c r="DV15" s="33"/>
      <c r="DW15" s="33"/>
      <c r="DX15" s="33"/>
      <c r="DY15" s="33"/>
      <c r="DZ15" s="33"/>
      <c r="EA15" s="33"/>
      <c r="EB15" s="33"/>
      <c r="EC15" s="33"/>
      <c r="ED15" s="33"/>
      <c r="EE15" s="33"/>
      <c r="EF15" s="33"/>
      <c r="EG15" s="33"/>
      <c r="EH15" s="33"/>
      <c r="EI15" s="33"/>
      <c r="EJ15" s="33"/>
      <c r="EK15" s="33"/>
      <c r="EL15" s="33"/>
      <c r="EM15" s="33"/>
      <c r="EN15" s="33"/>
      <c r="EO15" s="33"/>
      <c r="EP15" s="33"/>
      <c r="EQ15" s="33"/>
      <c r="ER15" s="33"/>
      <c r="ES15" s="33"/>
      <c r="ET15" s="33"/>
      <c r="EU15" s="33"/>
      <c r="EV15" s="33"/>
      <c r="EW15" s="33"/>
      <c r="EX15" s="33"/>
      <c r="EY15" s="33"/>
      <c r="EZ15" s="33"/>
      <c r="FA15" s="33"/>
      <c r="FB15" s="33"/>
      <c r="FC15" s="33"/>
      <c r="FD15" s="33"/>
      <c r="FE15" s="33"/>
      <c r="FF15" s="33"/>
      <c r="FG15" s="33"/>
      <c r="FH15" s="33"/>
      <c r="FI15" s="33"/>
      <c r="FJ15" s="33"/>
      <c r="FK15" s="33"/>
      <c r="FL15" s="33"/>
      <c r="FM15" s="33"/>
      <c r="FN15" s="33"/>
      <c r="FO15" s="33"/>
      <c r="FP15" s="33"/>
      <c r="FQ15" s="33"/>
      <c r="FR15" s="33"/>
      <c r="FS15" s="33"/>
      <c r="FT15" s="33"/>
      <c r="FU15" s="33"/>
      <c r="FV15" s="33"/>
      <c r="FW15" s="33"/>
      <c r="FX15" s="33"/>
      <c r="FY15" s="33"/>
      <c r="FZ15" s="33"/>
      <c r="GA15" s="33"/>
      <c r="GB15" s="33"/>
      <c r="GC15" s="33"/>
      <c r="GD15" s="33"/>
      <c r="GE15" s="33"/>
      <c r="GF15" s="33"/>
      <c r="GG15" s="33"/>
      <c r="GH15" s="33"/>
      <c r="GI15" s="33"/>
      <c r="GJ15" s="33"/>
      <c r="GK15" s="33"/>
      <c r="GL15" s="33"/>
      <c r="GM15" s="33"/>
      <c r="GN15" s="33"/>
      <c r="GO15" s="33"/>
      <c r="GP15" s="33"/>
      <c r="GQ15" s="33"/>
      <c r="GR15" s="33"/>
      <c r="GS15" s="33"/>
      <c r="GT15" s="33"/>
      <c r="GU15" s="33"/>
      <c r="GV15" s="33"/>
      <c r="GW15" s="33"/>
      <c r="GX15" s="33"/>
      <c r="GY15" s="33"/>
      <c r="GZ15" s="33"/>
      <c r="HA15" s="33"/>
      <c r="HB15" s="33"/>
      <c r="HC15" s="33"/>
      <c r="HD15" s="33"/>
      <c r="HE15" s="33"/>
      <c r="HF15" s="33"/>
      <c r="HG15" s="33"/>
      <c r="HH15" s="33"/>
      <c r="HI15" s="33"/>
      <c r="HJ15" s="33"/>
      <c r="HK15" s="33"/>
      <c r="HL15" s="33"/>
      <c r="HM15" s="33"/>
      <c r="HN15" s="33"/>
      <c r="HO15" s="33"/>
      <c r="HP15" s="33"/>
      <c r="HQ15" s="33"/>
      <c r="HR15" s="33"/>
      <c r="HS15" s="33"/>
      <c r="HT15" s="33"/>
      <c r="HU15" s="33"/>
      <c r="HV15" s="33"/>
      <c r="HW15" s="33"/>
      <c r="HX15" s="33"/>
      <c r="HY15" s="33"/>
      <c r="HZ15" s="33"/>
      <c r="IA15" s="33"/>
      <c r="IB15" s="33"/>
      <c r="IC15" s="33"/>
      <c r="ID15" s="33"/>
      <c r="IE15" s="33"/>
      <c r="IF15" s="33"/>
      <c r="IG15" s="33"/>
      <c r="IH15" s="33"/>
      <c r="II15" s="33"/>
      <c r="IJ15" s="33"/>
      <c r="IK15" s="33"/>
      <c r="IL15" s="33"/>
      <c r="IM15" s="33"/>
      <c r="IN15" s="33"/>
      <c r="IO15" s="33"/>
      <c r="IP15" s="33"/>
      <c r="IQ15" s="33"/>
      <c r="IR15" s="33"/>
      <c r="IS15" s="33"/>
      <c r="IT15" s="33"/>
      <c r="IU15" s="33"/>
      <c r="IV15" s="33"/>
      <c r="IW15" s="33"/>
      <c r="IX15" s="33"/>
      <c r="IY15" s="33"/>
      <c r="IZ15" s="33"/>
      <c r="JA15" s="33"/>
      <c r="JB15" s="33"/>
      <c r="JC15" s="33"/>
      <c r="JD15" s="33"/>
      <c r="JE15" s="33"/>
      <c r="JF15" s="33"/>
      <c r="JG15" s="33"/>
      <c r="JH15" s="33"/>
      <c r="JI15" s="33"/>
      <c r="JJ15" s="33"/>
      <c r="JK15" s="33"/>
      <c r="JL15" s="33"/>
      <c r="JM15" s="33"/>
      <c r="JN15" s="33"/>
      <c r="JO15" s="33"/>
      <c r="JP15" s="33"/>
      <c r="JQ15" s="33"/>
      <c r="JR15" s="33"/>
      <c r="JS15" s="33"/>
      <c r="JT15" s="33"/>
      <c r="JU15" s="33"/>
      <c r="JV15" s="33"/>
      <c r="JW15" s="33"/>
      <c r="JX15" s="33"/>
      <c r="JY15" s="33"/>
      <c r="JZ15" s="33"/>
      <c r="KA15" s="33"/>
      <c r="KB15" s="33"/>
      <c r="KC15" s="33"/>
      <c r="KD15" s="33"/>
      <c r="KE15" s="33"/>
      <c r="KF15" s="33"/>
      <c r="KG15" s="33"/>
      <c r="KH15" s="33"/>
      <c r="KI15" s="33"/>
      <c r="KJ15" s="33"/>
      <c r="KK15" s="33"/>
      <c r="KL15" s="33"/>
      <c r="KM15" s="33"/>
      <c r="KN15" s="33"/>
      <c r="KO15" s="33"/>
      <c r="KP15" s="33"/>
      <c r="KQ15" s="33"/>
      <c r="KR15" s="33"/>
      <c r="KS15" s="33"/>
      <c r="KT15" s="33"/>
      <c r="KU15" s="33"/>
      <c r="KV15" s="33"/>
      <c r="KW15" s="33"/>
      <c r="KX15" s="33"/>
      <c r="KY15" s="33"/>
      <c r="KZ15" s="33"/>
      <c r="LA15" s="33"/>
      <c r="LB15" s="33"/>
      <c r="LC15" s="33"/>
      <c r="LD15" s="33"/>
      <c r="LE15" s="33"/>
      <c r="LF15" s="33"/>
      <c r="LG15" s="33"/>
      <c r="LH15" s="33"/>
      <c r="LI15" s="33"/>
      <c r="LJ15" s="33"/>
      <c r="LK15" s="33"/>
      <c r="LL15" s="33"/>
      <c r="LM15" s="33"/>
      <c r="LN15" s="33"/>
      <c r="LO15" s="33"/>
      <c r="LP15" s="33"/>
      <c r="LQ15" s="33"/>
      <c r="LR15" s="33"/>
      <c r="LS15" s="33"/>
      <c r="LT15" s="33"/>
      <c r="LU15" s="33"/>
      <c r="LV15" s="33"/>
      <c r="LW15" s="33"/>
      <c r="LX15" s="33"/>
      <c r="LY15" s="33"/>
      <c r="LZ15" s="33"/>
      <c r="MA15" s="33"/>
      <c r="MB15" s="33"/>
      <c r="MC15" s="33"/>
      <c r="MD15" s="33"/>
      <c r="ME15" s="33"/>
      <c r="MF15" s="33"/>
      <c r="MG15" s="33"/>
      <c r="MH15" s="33"/>
      <c r="MI15" s="33"/>
      <c r="MJ15" s="33"/>
      <c r="MK15" s="33"/>
      <c r="ML15" s="33"/>
      <c r="MM15" s="33"/>
      <c r="MN15" s="33"/>
      <c r="MO15" s="33"/>
      <c r="MP15" s="33"/>
      <c r="MQ15" s="33"/>
      <c r="MR15" s="33"/>
      <c r="MS15" s="33"/>
      <c r="MT15" s="33"/>
      <c r="MU15" s="33"/>
      <c r="MV15" s="33"/>
    </row>
    <row r="16" spans="1:360" ht="0.75" customHeight="1" x14ac:dyDescent="0.25">
      <c r="A16" s="33"/>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33"/>
      <c r="CG16" s="33"/>
      <c r="CH16" s="33"/>
      <c r="CI16" s="33"/>
      <c r="CJ16" s="33"/>
      <c r="CK16" s="33"/>
      <c r="CL16" s="33"/>
      <c r="CM16" s="33"/>
      <c r="CN16" s="33"/>
      <c r="CO16" s="33"/>
      <c r="CP16" s="33"/>
      <c r="CQ16" s="33"/>
      <c r="CR16" s="33"/>
      <c r="CS16" s="33"/>
      <c r="CT16" s="33"/>
      <c r="CU16" s="33"/>
      <c r="CV16" s="33"/>
      <c r="CW16" s="33"/>
      <c r="CX16" s="33"/>
      <c r="CY16" s="33"/>
      <c r="CZ16" s="33"/>
      <c r="DA16" s="33"/>
      <c r="DB16" s="33"/>
      <c r="DC16" s="33"/>
      <c r="DD16" s="33"/>
      <c r="DE16" s="33"/>
      <c r="DF16" s="33"/>
      <c r="DG16" s="33"/>
      <c r="DH16" s="33"/>
      <c r="DI16" s="33"/>
      <c r="DJ16" s="33"/>
      <c r="DK16" s="33"/>
      <c r="DL16" s="33"/>
      <c r="DM16" s="33"/>
      <c r="DN16" s="33"/>
      <c r="DO16" s="33"/>
      <c r="DP16" s="33"/>
      <c r="DQ16" s="33"/>
      <c r="DR16" s="33"/>
      <c r="DS16" s="33"/>
      <c r="DT16" s="33"/>
      <c r="DU16" s="33"/>
      <c r="DV16" s="33"/>
      <c r="DW16" s="33"/>
      <c r="DX16" s="33"/>
      <c r="DY16" s="33"/>
      <c r="DZ16" s="33"/>
      <c r="EA16" s="33"/>
      <c r="EB16" s="33"/>
      <c r="EC16" s="33"/>
      <c r="ED16" s="33"/>
      <c r="EE16" s="33"/>
      <c r="EF16" s="33"/>
      <c r="EG16" s="33"/>
      <c r="EH16" s="33"/>
      <c r="EI16" s="33"/>
      <c r="EJ16" s="33"/>
      <c r="EK16" s="33"/>
      <c r="EL16" s="33"/>
      <c r="EM16" s="33"/>
      <c r="EN16" s="33"/>
      <c r="EO16" s="33"/>
      <c r="EP16" s="33"/>
      <c r="EQ16" s="33"/>
      <c r="ER16" s="33"/>
      <c r="ES16" s="33"/>
      <c r="ET16" s="33"/>
      <c r="EU16" s="33"/>
      <c r="EV16" s="33"/>
      <c r="EW16" s="33"/>
      <c r="EX16" s="33"/>
      <c r="EY16" s="33"/>
      <c r="EZ16" s="33"/>
      <c r="FA16" s="33"/>
      <c r="FB16" s="33"/>
      <c r="FC16" s="33"/>
      <c r="FD16" s="33"/>
      <c r="FE16" s="33"/>
      <c r="FF16" s="33"/>
      <c r="FG16" s="33"/>
      <c r="FH16" s="33"/>
      <c r="FI16" s="33"/>
      <c r="FJ16" s="33"/>
      <c r="FK16" s="33"/>
      <c r="FL16" s="33"/>
      <c r="FM16" s="33"/>
      <c r="FN16" s="33"/>
      <c r="FO16" s="33"/>
      <c r="FP16" s="33"/>
      <c r="FQ16" s="33"/>
      <c r="FR16" s="33"/>
      <c r="FS16" s="33"/>
      <c r="FT16" s="33"/>
      <c r="FU16" s="33"/>
      <c r="FV16" s="33"/>
      <c r="FW16" s="33"/>
      <c r="FX16" s="33"/>
      <c r="FY16" s="33"/>
      <c r="FZ16" s="33"/>
      <c r="GA16" s="33"/>
      <c r="GB16" s="33"/>
      <c r="GC16" s="33"/>
      <c r="GD16" s="33"/>
      <c r="GE16" s="33"/>
      <c r="GF16" s="33"/>
      <c r="GG16" s="33"/>
      <c r="GH16" s="33"/>
      <c r="GI16" s="33"/>
      <c r="GJ16" s="33"/>
      <c r="GK16" s="33"/>
      <c r="GL16" s="33"/>
      <c r="GM16" s="33"/>
      <c r="GN16" s="33"/>
      <c r="GO16" s="33"/>
      <c r="GP16" s="33"/>
      <c r="GQ16" s="33"/>
      <c r="GR16" s="33"/>
      <c r="GS16" s="33"/>
      <c r="GT16" s="33"/>
      <c r="GU16" s="33"/>
      <c r="GV16" s="33"/>
      <c r="GW16" s="33"/>
      <c r="GX16" s="33"/>
      <c r="GY16" s="33"/>
      <c r="GZ16" s="33"/>
      <c r="HA16" s="33"/>
      <c r="HB16" s="33"/>
      <c r="HC16" s="33"/>
      <c r="HD16" s="33"/>
      <c r="HE16" s="33"/>
      <c r="HF16" s="33"/>
      <c r="HG16" s="33"/>
      <c r="HH16" s="33"/>
      <c r="HI16" s="33"/>
      <c r="HJ16" s="33"/>
      <c r="HK16" s="33"/>
      <c r="HL16" s="33"/>
      <c r="HM16" s="33"/>
      <c r="HN16" s="33"/>
      <c r="HO16" s="33"/>
      <c r="HP16" s="33"/>
      <c r="HQ16" s="33"/>
      <c r="HR16" s="33"/>
      <c r="HS16" s="33"/>
      <c r="HT16" s="33"/>
      <c r="HU16" s="33"/>
      <c r="HV16" s="33"/>
      <c r="HW16" s="33"/>
      <c r="HX16" s="33"/>
      <c r="HY16" s="33"/>
      <c r="HZ16" s="33"/>
      <c r="IA16" s="33"/>
      <c r="IB16" s="33"/>
      <c r="IC16" s="33"/>
      <c r="ID16" s="33"/>
      <c r="IE16" s="33"/>
      <c r="IF16" s="33"/>
      <c r="IG16" s="33"/>
      <c r="IH16" s="33"/>
      <c r="II16" s="33"/>
      <c r="IJ16" s="33"/>
      <c r="IK16" s="33"/>
      <c r="IL16" s="33"/>
      <c r="IM16" s="33"/>
      <c r="IN16" s="33"/>
      <c r="IO16" s="33"/>
      <c r="IP16" s="33"/>
      <c r="IQ16" s="33"/>
      <c r="IR16" s="33"/>
      <c r="IS16" s="33"/>
      <c r="IT16" s="33"/>
      <c r="IU16" s="33"/>
      <c r="IV16" s="33"/>
      <c r="IW16" s="33"/>
      <c r="IX16" s="33"/>
      <c r="IY16" s="33"/>
      <c r="IZ16" s="33"/>
      <c r="JA16" s="33"/>
      <c r="JB16" s="33"/>
      <c r="JC16" s="33"/>
      <c r="JD16" s="33"/>
      <c r="JE16" s="33"/>
      <c r="JF16" s="33"/>
      <c r="JG16" s="33"/>
      <c r="JH16" s="33"/>
      <c r="JI16" s="33"/>
      <c r="JJ16" s="33"/>
      <c r="JK16" s="33"/>
      <c r="JL16" s="33"/>
      <c r="JM16" s="33"/>
      <c r="JN16" s="33"/>
      <c r="JO16" s="33"/>
      <c r="JP16" s="33"/>
      <c r="JQ16" s="33"/>
      <c r="JR16" s="33"/>
      <c r="JS16" s="33"/>
      <c r="JT16" s="33"/>
      <c r="JU16" s="33"/>
      <c r="JV16" s="33"/>
      <c r="JW16" s="33"/>
      <c r="JX16" s="33"/>
      <c r="JY16" s="33"/>
      <c r="JZ16" s="33"/>
      <c r="KA16" s="33"/>
      <c r="KB16" s="33"/>
      <c r="KC16" s="33"/>
      <c r="KD16" s="33"/>
      <c r="KE16" s="33"/>
      <c r="KF16" s="33"/>
      <c r="KG16" s="33"/>
      <c r="KH16" s="33"/>
      <c r="KI16" s="33"/>
      <c r="KJ16" s="33"/>
      <c r="KK16" s="33"/>
      <c r="KL16" s="33"/>
      <c r="KM16" s="33"/>
      <c r="KN16" s="33"/>
      <c r="KO16" s="33"/>
      <c r="KP16" s="33"/>
      <c r="KQ16" s="33"/>
      <c r="KR16" s="33"/>
      <c r="KS16" s="33"/>
      <c r="KT16" s="33"/>
      <c r="KU16" s="33"/>
      <c r="KV16" s="33"/>
      <c r="KW16" s="33"/>
      <c r="KX16" s="33"/>
      <c r="KY16" s="33"/>
      <c r="KZ16" s="33"/>
      <c r="LA16" s="33"/>
      <c r="LB16" s="33"/>
      <c r="LC16" s="33"/>
      <c r="LD16" s="33"/>
      <c r="LE16" s="33"/>
      <c r="LF16" s="33"/>
      <c r="LG16" s="33"/>
      <c r="LH16" s="33"/>
      <c r="LI16" s="33"/>
      <c r="LJ16" s="33"/>
      <c r="LK16" s="33"/>
      <c r="LL16" s="33"/>
      <c r="LM16" s="33"/>
      <c r="LN16" s="33"/>
      <c r="LO16" s="33"/>
      <c r="LP16" s="33"/>
      <c r="LQ16" s="33"/>
      <c r="LR16" s="33"/>
      <c r="LS16" s="33"/>
      <c r="LT16" s="33"/>
      <c r="LU16" s="33"/>
      <c r="LV16" s="33"/>
      <c r="LW16" s="33"/>
      <c r="LX16" s="33"/>
      <c r="LY16" s="33"/>
      <c r="LZ16" s="33"/>
      <c r="MA16" s="33"/>
      <c r="MB16" s="33"/>
      <c r="MC16" s="33"/>
      <c r="MD16" s="33"/>
      <c r="ME16" s="33"/>
      <c r="MF16" s="33"/>
      <c r="MG16" s="33"/>
      <c r="MH16" s="33"/>
      <c r="MI16" s="33"/>
      <c r="MJ16" s="33"/>
      <c r="MK16" s="33"/>
      <c r="ML16" s="33"/>
      <c r="MM16" s="33"/>
      <c r="MN16" s="33"/>
      <c r="MO16" s="33"/>
      <c r="MP16" s="33"/>
      <c r="MQ16" s="33"/>
      <c r="MR16" s="33"/>
      <c r="MS16" s="33"/>
      <c r="MT16" s="33"/>
      <c r="MU16" s="33"/>
      <c r="MV16" s="33"/>
    </row>
    <row r="17" spans="1:360" ht="0.75" customHeight="1" x14ac:dyDescent="0.25">
      <c r="A17" s="33"/>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33"/>
      <c r="CG17" s="33"/>
      <c r="CH17" s="33"/>
      <c r="CI17" s="33"/>
      <c r="CJ17" s="33"/>
      <c r="CK17" s="33"/>
      <c r="CL17" s="33"/>
      <c r="CM17" s="33"/>
      <c r="CN17" s="33"/>
      <c r="CO17" s="33"/>
      <c r="CP17" s="33"/>
      <c r="CQ17" s="33"/>
      <c r="CR17" s="33"/>
      <c r="CS17" s="33"/>
      <c r="CT17" s="33"/>
      <c r="CU17" s="33"/>
      <c r="CV17" s="33"/>
      <c r="CW17" s="33"/>
      <c r="CX17" s="33"/>
      <c r="CY17" s="33"/>
      <c r="CZ17" s="33"/>
      <c r="DA17" s="33"/>
      <c r="DB17" s="33"/>
      <c r="DC17" s="33"/>
      <c r="DD17" s="33"/>
      <c r="DE17" s="33"/>
      <c r="DF17" s="33"/>
      <c r="DG17" s="33"/>
      <c r="DH17" s="33"/>
      <c r="DI17" s="33"/>
      <c r="DJ17" s="33"/>
      <c r="DK17" s="33"/>
      <c r="DL17" s="33"/>
      <c r="DM17" s="33"/>
      <c r="DN17" s="33"/>
      <c r="DO17" s="33"/>
      <c r="DP17" s="33"/>
      <c r="DQ17" s="33"/>
      <c r="DR17" s="33"/>
      <c r="DS17" s="33"/>
      <c r="DT17" s="33"/>
      <c r="DU17" s="33"/>
      <c r="DV17" s="33"/>
      <c r="DW17" s="33"/>
      <c r="DX17" s="33"/>
      <c r="DY17" s="33"/>
      <c r="DZ17" s="33"/>
      <c r="EA17" s="33"/>
      <c r="EB17" s="33"/>
      <c r="EC17" s="33"/>
      <c r="ED17" s="33"/>
      <c r="EE17" s="33"/>
      <c r="EF17" s="33"/>
      <c r="EG17" s="33"/>
      <c r="EH17" s="33"/>
      <c r="EI17" s="33"/>
      <c r="EJ17" s="33"/>
      <c r="EK17" s="33"/>
      <c r="EL17" s="33"/>
      <c r="EM17" s="33"/>
      <c r="EN17" s="33"/>
      <c r="EO17" s="33"/>
      <c r="EP17" s="33"/>
      <c r="EQ17" s="33"/>
      <c r="ER17" s="33"/>
      <c r="ES17" s="33"/>
      <c r="ET17" s="33"/>
      <c r="EU17" s="33"/>
      <c r="EV17" s="33"/>
      <c r="EW17" s="33"/>
      <c r="EX17" s="33"/>
      <c r="EY17" s="33"/>
      <c r="EZ17" s="33"/>
      <c r="FA17" s="33"/>
      <c r="FB17" s="33"/>
      <c r="FC17" s="33"/>
      <c r="FD17" s="33"/>
      <c r="FE17" s="33"/>
      <c r="FF17" s="33"/>
      <c r="FG17" s="33"/>
      <c r="FH17" s="33"/>
      <c r="FI17" s="33"/>
      <c r="FJ17" s="33"/>
      <c r="FK17" s="33"/>
      <c r="FL17" s="33"/>
      <c r="FM17" s="33"/>
      <c r="FN17" s="33"/>
      <c r="FO17" s="33"/>
      <c r="FP17" s="33"/>
      <c r="FQ17" s="33"/>
      <c r="FR17" s="33"/>
      <c r="FS17" s="33"/>
      <c r="FT17" s="33"/>
      <c r="FU17" s="33"/>
      <c r="FV17" s="33"/>
      <c r="FW17" s="33"/>
      <c r="FX17" s="33"/>
      <c r="FY17" s="33"/>
      <c r="FZ17" s="33"/>
      <c r="GA17" s="33"/>
      <c r="GB17" s="33"/>
      <c r="GC17" s="33"/>
      <c r="GD17" s="33"/>
      <c r="GE17" s="33"/>
      <c r="GF17" s="33"/>
      <c r="GG17" s="33"/>
      <c r="GH17" s="33"/>
      <c r="GI17" s="33"/>
      <c r="GJ17" s="33"/>
      <c r="GK17" s="33"/>
      <c r="GL17" s="33"/>
      <c r="GM17" s="33"/>
      <c r="GN17" s="33"/>
      <c r="GO17" s="33"/>
      <c r="GP17" s="33"/>
      <c r="GQ17" s="33"/>
      <c r="GR17" s="33"/>
      <c r="GS17" s="33"/>
      <c r="GT17" s="33"/>
      <c r="GU17" s="33"/>
      <c r="GV17" s="33"/>
      <c r="GW17" s="33"/>
      <c r="GX17" s="33"/>
      <c r="GY17" s="33"/>
      <c r="GZ17" s="33"/>
      <c r="HA17" s="33"/>
      <c r="HB17" s="33"/>
      <c r="HC17" s="33"/>
      <c r="HD17" s="33"/>
      <c r="HE17" s="33"/>
      <c r="HF17" s="33"/>
      <c r="HG17" s="33"/>
      <c r="HH17" s="33"/>
      <c r="HI17" s="33"/>
      <c r="HJ17" s="33"/>
      <c r="HK17" s="33"/>
      <c r="HL17" s="33"/>
      <c r="HM17" s="33"/>
      <c r="HN17" s="33"/>
      <c r="HO17" s="33"/>
      <c r="HP17" s="33"/>
      <c r="HQ17" s="33"/>
      <c r="HR17" s="33"/>
      <c r="HS17" s="33"/>
      <c r="HT17" s="33"/>
      <c r="HU17" s="33"/>
      <c r="HV17" s="33"/>
      <c r="HW17" s="33"/>
      <c r="HX17" s="33"/>
      <c r="HY17" s="33"/>
      <c r="HZ17" s="33"/>
      <c r="IA17" s="33"/>
      <c r="IB17" s="33"/>
      <c r="IC17" s="33"/>
      <c r="ID17" s="33"/>
      <c r="IE17" s="33"/>
      <c r="IF17" s="33"/>
      <c r="IG17" s="33"/>
      <c r="IH17" s="33"/>
      <c r="II17" s="33"/>
      <c r="IJ17" s="33"/>
      <c r="IK17" s="33"/>
      <c r="IL17" s="33"/>
      <c r="IM17" s="33"/>
      <c r="IN17" s="33"/>
      <c r="IO17" s="33"/>
      <c r="IP17" s="33"/>
      <c r="IQ17" s="33"/>
      <c r="IR17" s="33"/>
      <c r="IS17" s="33"/>
      <c r="IT17" s="33"/>
      <c r="IU17" s="33"/>
      <c r="IV17" s="33"/>
      <c r="IW17" s="33"/>
      <c r="IX17" s="33"/>
      <c r="IY17" s="33"/>
      <c r="IZ17" s="33"/>
      <c r="JA17" s="33"/>
      <c r="JB17" s="33"/>
      <c r="JC17" s="33"/>
      <c r="JD17" s="33"/>
      <c r="JE17" s="33"/>
      <c r="JF17" s="33"/>
      <c r="JG17" s="33"/>
      <c r="JH17" s="33"/>
      <c r="JI17" s="33"/>
      <c r="JJ17" s="33"/>
      <c r="JK17" s="33"/>
      <c r="JL17" s="33"/>
      <c r="JM17" s="33"/>
      <c r="JN17" s="33"/>
      <c r="JO17" s="33"/>
      <c r="JP17" s="33"/>
      <c r="JQ17" s="33"/>
      <c r="JR17" s="33"/>
      <c r="JS17" s="33"/>
      <c r="JT17" s="33"/>
      <c r="JU17" s="33"/>
      <c r="JV17" s="33"/>
      <c r="JW17" s="33"/>
      <c r="JX17" s="33"/>
      <c r="JY17" s="33"/>
      <c r="JZ17" s="33"/>
      <c r="KA17" s="33"/>
      <c r="KB17" s="33"/>
      <c r="KC17" s="33"/>
      <c r="KD17" s="33"/>
      <c r="KE17" s="33"/>
      <c r="KF17" s="33"/>
      <c r="KG17" s="33"/>
      <c r="KH17" s="33"/>
      <c r="KI17" s="33"/>
      <c r="KJ17" s="33"/>
      <c r="KK17" s="33"/>
      <c r="KL17" s="33"/>
      <c r="KM17" s="33"/>
      <c r="KN17" s="33"/>
      <c r="KO17" s="33"/>
      <c r="KP17" s="33"/>
      <c r="KQ17" s="33"/>
      <c r="KR17" s="33"/>
      <c r="KS17" s="33"/>
      <c r="KT17" s="33"/>
      <c r="KU17" s="33"/>
      <c r="KV17" s="33"/>
      <c r="KW17" s="33"/>
      <c r="KX17" s="33"/>
      <c r="KY17" s="33"/>
      <c r="KZ17" s="33"/>
      <c r="LA17" s="33"/>
      <c r="LB17" s="33"/>
      <c r="LC17" s="33"/>
      <c r="LD17" s="33"/>
      <c r="LE17" s="33"/>
      <c r="LF17" s="33"/>
      <c r="LG17" s="33"/>
      <c r="LH17" s="33"/>
      <c r="LI17" s="33"/>
      <c r="LJ17" s="33"/>
      <c r="LK17" s="33"/>
      <c r="LL17" s="33"/>
      <c r="LM17" s="33"/>
      <c r="LN17" s="33"/>
      <c r="LO17" s="33"/>
      <c r="LP17" s="33"/>
      <c r="LQ17" s="33"/>
      <c r="LR17" s="33"/>
      <c r="LS17" s="33"/>
      <c r="LT17" s="33"/>
      <c r="LU17" s="33"/>
      <c r="LV17" s="33"/>
      <c r="LW17" s="33"/>
      <c r="LX17" s="33"/>
      <c r="LY17" s="33"/>
      <c r="LZ17" s="33"/>
      <c r="MA17" s="33"/>
      <c r="MB17" s="33"/>
      <c r="MC17" s="33"/>
      <c r="MD17" s="33"/>
      <c r="ME17" s="33"/>
      <c r="MF17" s="33"/>
      <c r="MG17" s="33"/>
      <c r="MH17" s="33"/>
      <c r="MI17" s="33"/>
      <c r="MJ17" s="33"/>
      <c r="MK17" s="33"/>
      <c r="ML17" s="33"/>
      <c r="MM17" s="33"/>
      <c r="MN17" s="33"/>
      <c r="MO17" s="33"/>
      <c r="MP17" s="33"/>
      <c r="MQ17" s="33"/>
      <c r="MR17" s="33"/>
      <c r="MS17" s="33"/>
      <c r="MT17" s="33"/>
      <c r="MU17" s="33"/>
      <c r="MV17" s="33"/>
    </row>
    <row r="18" spans="1:360" ht="0.75" customHeight="1" x14ac:dyDescent="0.25">
      <c r="A18" s="33"/>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33"/>
      <c r="CG18" s="33"/>
      <c r="CH18" s="33"/>
      <c r="CI18" s="33"/>
      <c r="CJ18" s="33"/>
      <c r="CK18" s="33"/>
      <c r="CL18" s="33"/>
      <c r="CM18" s="33"/>
      <c r="CN18" s="33"/>
      <c r="CO18" s="33"/>
      <c r="CP18" s="33"/>
      <c r="CQ18" s="33"/>
      <c r="CR18" s="33"/>
      <c r="CS18" s="33"/>
      <c r="CT18" s="33"/>
      <c r="CU18" s="33"/>
      <c r="CV18" s="33"/>
      <c r="CW18" s="33"/>
      <c r="CX18" s="33"/>
      <c r="CY18" s="33"/>
      <c r="CZ18" s="33"/>
      <c r="DA18" s="33"/>
      <c r="DB18" s="33"/>
      <c r="DC18" s="33"/>
      <c r="DD18" s="33"/>
      <c r="DE18" s="33"/>
      <c r="DF18" s="33"/>
      <c r="DG18" s="33"/>
      <c r="DH18" s="33"/>
      <c r="DI18" s="33"/>
      <c r="DJ18" s="33"/>
      <c r="DK18" s="33"/>
      <c r="DL18" s="33"/>
      <c r="DM18" s="33"/>
      <c r="DN18" s="33"/>
      <c r="DO18" s="33"/>
      <c r="DP18" s="33"/>
      <c r="DQ18" s="33"/>
      <c r="DR18" s="33"/>
      <c r="DS18" s="33"/>
      <c r="DT18" s="33"/>
      <c r="DU18" s="33"/>
      <c r="DV18" s="33"/>
      <c r="DW18" s="33"/>
      <c r="DX18" s="33"/>
      <c r="DY18" s="33"/>
      <c r="DZ18" s="33"/>
      <c r="EA18" s="33"/>
      <c r="EB18" s="33"/>
      <c r="EC18" s="33"/>
      <c r="ED18" s="33"/>
      <c r="EE18" s="33"/>
      <c r="EF18" s="33"/>
      <c r="EG18" s="33"/>
      <c r="EH18" s="33"/>
      <c r="EI18" s="33"/>
      <c r="EJ18" s="33"/>
      <c r="EK18" s="33"/>
      <c r="EL18" s="33"/>
      <c r="EM18" s="33"/>
      <c r="EN18" s="33"/>
      <c r="EO18" s="33"/>
      <c r="EP18" s="33"/>
      <c r="EQ18" s="33"/>
      <c r="ER18" s="33"/>
      <c r="ES18" s="33"/>
      <c r="ET18" s="33"/>
      <c r="EU18" s="33"/>
      <c r="EV18" s="33"/>
      <c r="EW18" s="33"/>
      <c r="EX18" s="33"/>
      <c r="EY18" s="33"/>
      <c r="EZ18" s="33"/>
      <c r="FA18" s="33"/>
      <c r="FB18" s="33"/>
      <c r="FC18" s="33"/>
      <c r="FD18" s="33"/>
      <c r="FE18" s="33"/>
      <c r="FF18" s="33"/>
      <c r="FG18" s="33"/>
      <c r="FH18" s="33"/>
      <c r="FI18" s="33"/>
      <c r="FJ18" s="33"/>
      <c r="FK18" s="33"/>
      <c r="FL18" s="33"/>
      <c r="FM18" s="33"/>
      <c r="FN18" s="33"/>
      <c r="FO18" s="33"/>
      <c r="FP18" s="33"/>
      <c r="FQ18" s="33"/>
      <c r="FR18" s="33"/>
      <c r="FS18" s="33"/>
      <c r="FT18" s="33"/>
      <c r="FU18" s="33"/>
      <c r="FV18" s="33"/>
      <c r="FW18" s="33"/>
      <c r="FX18" s="33"/>
      <c r="FY18" s="33"/>
      <c r="FZ18" s="33"/>
      <c r="GA18" s="33"/>
      <c r="GB18" s="33"/>
      <c r="GC18" s="33"/>
      <c r="GD18" s="33"/>
      <c r="GE18" s="33"/>
      <c r="GF18" s="33"/>
      <c r="GG18" s="33"/>
      <c r="GH18" s="33"/>
      <c r="GI18" s="33"/>
      <c r="GJ18" s="33"/>
      <c r="GK18" s="33"/>
      <c r="GL18" s="33"/>
      <c r="GM18" s="33"/>
      <c r="GN18" s="33"/>
      <c r="GO18" s="33"/>
      <c r="GP18" s="33"/>
      <c r="GQ18" s="33"/>
      <c r="GR18" s="33"/>
      <c r="GS18" s="33"/>
      <c r="GT18" s="33"/>
      <c r="GU18" s="33"/>
      <c r="GV18" s="33"/>
      <c r="GW18" s="33"/>
      <c r="GX18" s="33"/>
      <c r="GY18" s="33"/>
      <c r="GZ18" s="33"/>
      <c r="HA18" s="33"/>
      <c r="HB18" s="33"/>
      <c r="HC18" s="33"/>
      <c r="HD18" s="33"/>
      <c r="HE18" s="33"/>
      <c r="HF18" s="33"/>
      <c r="HG18" s="33"/>
      <c r="HH18" s="33"/>
      <c r="HI18" s="33"/>
      <c r="HJ18" s="33"/>
      <c r="HK18" s="33"/>
      <c r="HL18" s="33"/>
      <c r="HM18" s="33"/>
      <c r="HN18" s="33"/>
      <c r="HO18" s="33"/>
      <c r="HP18" s="33"/>
      <c r="HQ18" s="33"/>
      <c r="HR18" s="33"/>
      <c r="HS18" s="33"/>
      <c r="HT18" s="33"/>
      <c r="HU18" s="33"/>
      <c r="HV18" s="33"/>
      <c r="HW18" s="33"/>
      <c r="HX18" s="33"/>
      <c r="HY18" s="33"/>
      <c r="HZ18" s="33"/>
      <c r="IA18" s="33"/>
      <c r="IB18" s="33"/>
      <c r="IC18" s="33"/>
      <c r="ID18" s="33"/>
      <c r="IE18" s="33"/>
      <c r="IF18" s="33"/>
      <c r="IG18" s="33"/>
      <c r="IH18" s="33"/>
      <c r="II18" s="33"/>
      <c r="IJ18" s="33"/>
      <c r="IK18" s="33"/>
      <c r="IL18" s="33"/>
      <c r="IM18" s="33"/>
      <c r="IN18" s="33"/>
      <c r="IO18" s="33"/>
      <c r="IP18" s="33"/>
      <c r="IQ18" s="33"/>
      <c r="IR18" s="33"/>
      <c r="IS18" s="33"/>
      <c r="IT18" s="33"/>
      <c r="IU18" s="33"/>
      <c r="IV18" s="33"/>
      <c r="IW18" s="33"/>
      <c r="IX18" s="33"/>
      <c r="IY18" s="33"/>
      <c r="IZ18" s="33"/>
      <c r="JA18" s="33"/>
      <c r="JB18" s="33"/>
      <c r="JC18" s="33"/>
      <c r="JD18" s="33"/>
      <c r="JE18" s="33"/>
      <c r="JF18" s="33"/>
      <c r="JG18" s="33"/>
      <c r="JH18" s="33"/>
      <c r="JI18" s="33"/>
      <c r="JJ18" s="33"/>
      <c r="JK18" s="33"/>
      <c r="JL18" s="33"/>
      <c r="JM18" s="33"/>
      <c r="JN18" s="33"/>
      <c r="JO18" s="33"/>
      <c r="JP18" s="33"/>
      <c r="JQ18" s="33"/>
      <c r="JR18" s="33"/>
      <c r="JS18" s="33"/>
      <c r="JT18" s="33"/>
      <c r="JU18" s="33"/>
      <c r="JV18" s="33"/>
      <c r="JW18" s="33"/>
      <c r="JX18" s="33"/>
      <c r="JY18" s="33"/>
      <c r="JZ18" s="33"/>
      <c r="KA18" s="33"/>
      <c r="KB18" s="33"/>
      <c r="KC18" s="33"/>
      <c r="KD18" s="33"/>
      <c r="KE18" s="33"/>
      <c r="KF18" s="33"/>
      <c r="KG18" s="33"/>
      <c r="KH18" s="33"/>
      <c r="KI18" s="33"/>
      <c r="KJ18" s="33"/>
      <c r="KK18" s="33"/>
      <c r="KL18" s="33"/>
      <c r="KM18" s="33"/>
      <c r="KN18" s="33"/>
      <c r="KO18" s="33"/>
      <c r="KP18" s="33"/>
      <c r="KQ18" s="33"/>
      <c r="KR18" s="33"/>
      <c r="KS18" s="33"/>
      <c r="KT18" s="33"/>
      <c r="KU18" s="33"/>
      <c r="KV18" s="33"/>
      <c r="KW18" s="33"/>
      <c r="KX18" s="33"/>
      <c r="KY18" s="33"/>
      <c r="KZ18" s="33"/>
      <c r="LA18" s="33"/>
      <c r="LB18" s="33"/>
      <c r="LC18" s="33"/>
      <c r="LD18" s="33"/>
      <c r="LE18" s="33"/>
      <c r="LF18" s="33"/>
      <c r="LG18" s="33"/>
      <c r="LH18" s="33"/>
      <c r="LI18" s="33"/>
      <c r="LJ18" s="33"/>
      <c r="LK18" s="33"/>
      <c r="LL18" s="33"/>
      <c r="LM18" s="33"/>
      <c r="LN18" s="33"/>
      <c r="LO18" s="33"/>
      <c r="LP18" s="33"/>
      <c r="LQ18" s="33"/>
      <c r="LR18" s="33"/>
      <c r="LS18" s="33"/>
      <c r="LT18" s="33"/>
      <c r="LU18" s="33"/>
      <c r="LV18" s="33"/>
      <c r="LW18" s="33"/>
      <c r="LX18" s="33"/>
      <c r="LY18" s="33"/>
      <c r="LZ18" s="33"/>
      <c r="MA18" s="33"/>
      <c r="MB18" s="33"/>
      <c r="MC18" s="33"/>
      <c r="MD18" s="33"/>
      <c r="ME18" s="33"/>
      <c r="MF18" s="33"/>
      <c r="MG18" s="33"/>
      <c r="MH18" s="33"/>
      <c r="MI18" s="33"/>
      <c r="MJ18" s="33"/>
      <c r="MK18" s="33"/>
      <c r="ML18" s="33"/>
      <c r="MM18" s="33"/>
      <c r="MN18" s="33"/>
      <c r="MO18" s="33"/>
      <c r="MP18" s="33"/>
      <c r="MQ18" s="33"/>
      <c r="MR18" s="33"/>
      <c r="MS18" s="33"/>
      <c r="MT18" s="33"/>
      <c r="MU18" s="33"/>
      <c r="MV18" s="33"/>
    </row>
    <row r="19" spans="1:360" ht="0.75" customHeight="1" x14ac:dyDescent="0.25">
      <c r="A19" s="33"/>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33"/>
      <c r="CG19" s="33"/>
      <c r="CH19" s="33"/>
      <c r="CI19" s="33"/>
      <c r="CJ19" s="33"/>
      <c r="CK19" s="33"/>
      <c r="CL19" s="33"/>
      <c r="CM19" s="33"/>
      <c r="CN19" s="33"/>
      <c r="CO19" s="33"/>
      <c r="CP19" s="33"/>
      <c r="CQ19" s="33"/>
      <c r="CR19" s="33"/>
      <c r="CS19" s="33"/>
      <c r="CT19" s="33"/>
      <c r="CU19" s="33"/>
      <c r="CV19" s="33"/>
      <c r="CW19" s="33"/>
      <c r="CX19" s="33"/>
      <c r="CY19" s="33"/>
      <c r="CZ19" s="33"/>
      <c r="DA19" s="33"/>
      <c r="DB19" s="33"/>
      <c r="DC19" s="33"/>
      <c r="DD19" s="33"/>
      <c r="DE19" s="33"/>
      <c r="DF19" s="33"/>
      <c r="DG19" s="33"/>
      <c r="DH19" s="33"/>
      <c r="DI19" s="33"/>
      <c r="DJ19" s="33"/>
      <c r="DK19" s="33"/>
      <c r="DL19" s="33"/>
      <c r="DM19" s="33"/>
      <c r="DN19" s="33"/>
      <c r="DO19" s="33"/>
      <c r="DP19" s="33"/>
      <c r="DQ19" s="33"/>
      <c r="DR19" s="33"/>
      <c r="DS19" s="33"/>
      <c r="DT19" s="33"/>
      <c r="DU19" s="33"/>
      <c r="DV19" s="33"/>
      <c r="DW19" s="33"/>
      <c r="DX19" s="33"/>
      <c r="DY19" s="33"/>
      <c r="DZ19" s="33"/>
      <c r="EA19" s="33"/>
      <c r="EB19" s="33"/>
      <c r="EC19" s="33"/>
      <c r="ED19" s="33"/>
      <c r="EE19" s="33"/>
      <c r="EF19" s="33"/>
      <c r="EG19" s="33"/>
      <c r="EH19" s="33"/>
      <c r="EI19" s="33"/>
      <c r="EJ19" s="33"/>
      <c r="EK19" s="33"/>
      <c r="EL19" s="33"/>
      <c r="EM19" s="33"/>
      <c r="EN19" s="33"/>
      <c r="EO19" s="33"/>
      <c r="EP19" s="33"/>
      <c r="EQ19" s="33"/>
      <c r="ER19" s="33"/>
      <c r="ES19" s="33"/>
      <c r="ET19" s="33"/>
      <c r="EU19" s="33"/>
      <c r="EV19" s="33"/>
      <c r="EW19" s="33"/>
      <c r="EX19" s="33"/>
      <c r="EY19" s="33"/>
      <c r="EZ19" s="33"/>
      <c r="FA19" s="33"/>
      <c r="FB19" s="33"/>
      <c r="FC19" s="33"/>
      <c r="FD19" s="33"/>
      <c r="FE19" s="33"/>
      <c r="FF19" s="33"/>
      <c r="FG19" s="33"/>
      <c r="FH19" s="33"/>
      <c r="FI19" s="33"/>
      <c r="FJ19" s="33"/>
      <c r="FK19" s="33"/>
      <c r="FL19" s="33"/>
      <c r="FM19" s="33"/>
      <c r="FN19" s="33"/>
      <c r="FO19" s="33"/>
      <c r="FP19" s="33"/>
      <c r="FQ19" s="33"/>
      <c r="FR19" s="33"/>
      <c r="FS19" s="33"/>
      <c r="FT19" s="33"/>
      <c r="FU19" s="33"/>
      <c r="FV19" s="33"/>
      <c r="FW19" s="33"/>
      <c r="FX19" s="33"/>
      <c r="FY19" s="33"/>
      <c r="FZ19" s="33"/>
      <c r="GA19" s="33"/>
      <c r="GB19" s="33"/>
      <c r="GC19" s="33"/>
      <c r="GD19" s="33"/>
      <c r="GE19" s="33"/>
      <c r="GF19" s="33"/>
      <c r="GG19" s="33"/>
      <c r="GH19" s="33"/>
      <c r="GI19" s="33"/>
      <c r="GJ19" s="33"/>
      <c r="GK19" s="33"/>
      <c r="GL19" s="33"/>
      <c r="GM19" s="33"/>
      <c r="GN19" s="33"/>
      <c r="GO19" s="33"/>
      <c r="GP19" s="33"/>
      <c r="GQ19" s="33"/>
      <c r="GR19" s="33"/>
      <c r="GS19" s="33"/>
      <c r="GT19" s="33"/>
      <c r="GU19" s="33"/>
      <c r="GV19" s="33"/>
      <c r="GW19" s="33"/>
      <c r="GX19" s="33"/>
      <c r="GY19" s="33"/>
      <c r="GZ19" s="33"/>
      <c r="HA19" s="33"/>
      <c r="HB19" s="33"/>
      <c r="HC19" s="33"/>
      <c r="HD19" s="33"/>
      <c r="HE19" s="33"/>
      <c r="HF19" s="33"/>
      <c r="HG19" s="33"/>
      <c r="HH19" s="33"/>
      <c r="HI19" s="33"/>
      <c r="HJ19" s="33"/>
      <c r="HK19" s="33"/>
      <c r="HL19" s="33"/>
      <c r="HM19" s="33"/>
      <c r="HN19" s="33"/>
      <c r="HO19" s="33"/>
      <c r="HP19" s="33"/>
      <c r="HQ19" s="33"/>
      <c r="HR19" s="33"/>
      <c r="HS19" s="33"/>
      <c r="HT19" s="33"/>
      <c r="HU19" s="33"/>
      <c r="HV19" s="33"/>
      <c r="HW19" s="33"/>
      <c r="HX19" s="33"/>
      <c r="HY19" s="33"/>
      <c r="HZ19" s="33"/>
      <c r="IA19" s="33"/>
      <c r="IB19" s="33"/>
      <c r="IC19" s="33"/>
      <c r="ID19" s="33"/>
      <c r="IE19" s="33"/>
      <c r="IF19" s="33"/>
      <c r="IG19" s="33"/>
      <c r="IH19" s="33"/>
      <c r="II19" s="33"/>
      <c r="IJ19" s="33"/>
      <c r="IK19" s="33"/>
      <c r="IL19" s="33"/>
      <c r="IM19" s="33"/>
      <c r="IN19" s="33"/>
      <c r="IO19" s="33"/>
      <c r="IP19" s="33"/>
      <c r="IQ19" s="33"/>
      <c r="IR19" s="33"/>
      <c r="IS19" s="33"/>
      <c r="IT19" s="33"/>
      <c r="IU19" s="33"/>
      <c r="IV19" s="33"/>
      <c r="IW19" s="33"/>
      <c r="IX19" s="33"/>
      <c r="IY19" s="33"/>
      <c r="IZ19" s="33"/>
      <c r="JA19" s="33"/>
      <c r="JB19" s="33"/>
      <c r="JC19" s="33"/>
      <c r="JD19" s="33"/>
      <c r="JE19" s="33"/>
      <c r="JF19" s="33"/>
      <c r="JG19" s="33"/>
      <c r="JH19" s="33"/>
      <c r="JI19" s="33"/>
      <c r="JJ19" s="33"/>
      <c r="JK19" s="33"/>
      <c r="JL19" s="33"/>
      <c r="JM19" s="33"/>
      <c r="JN19" s="33"/>
      <c r="JO19" s="33"/>
      <c r="JP19" s="33"/>
      <c r="JQ19" s="33"/>
      <c r="JR19" s="33"/>
      <c r="JS19" s="33"/>
      <c r="JT19" s="33"/>
      <c r="JU19" s="33"/>
      <c r="JV19" s="33"/>
      <c r="JW19" s="33"/>
      <c r="JX19" s="33"/>
      <c r="JY19" s="33"/>
      <c r="JZ19" s="33"/>
      <c r="KA19" s="33"/>
      <c r="KB19" s="33"/>
      <c r="KC19" s="33"/>
      <c r="KD19" s="33"/>
      <c r="KE19" s="33"/>
      <c r="KF19" s="33"/>
      <c r="KG19" s="33"/>
      <c r="KH19" s="33"/>
      <c r="KI19" s="33"/>
      <c r="KJ19" s="33"/>
      <c r="KK19" s="33"/>
      <c r="KL19" s="33"/>
      <c r="KM19" s="33"/>
      <c r="KN19" s="33"/>
      <c r="KO19" s="33"/>
      <c r="KP19" s="33"/>
      <c r="KQ19" s="33"/>
      <c r="KR19" s="33"/>
      <c r="KS19" s="33"/>
      <c r="KT19" s="33"/>
      <c r="KU19" s="33"/>
      <c r="KV19" s="33"/>
      <c r="KW19" s="33"/>
      <c r="KX19" s="33"/>
      <c r="KY19" s="33"/>
      <c r="KZ19" s="33"/>
      <c r="LA19" s="33"/>
      <c r="LB19" s="33"/>
      <c r="LC19" s="33"/>
      <c r="LD19" s="33"/>
      <c r="LE19" s="33"/>
      <c r="LF19" s="33"/>
      <c r="LG19" s="33"/>
      <c r="LH19" s="33"/>
      <c r="LI19" s="33"/>
      <c r="LJ19" s="33"/>
      <c r="LK19" s="33"/>
      <c r="LL19" s="33"/>
      <c r="LM19" s="33"/>
      <c r="LN19" s="33"/>
      <c r="LO19" s="33"/>
      <c r="LP19" s="33"/>
      <c r="LQ19" s="33"/>
      <c r="LR19" s="33"/>
      <c r="LS19" s="33"/>
      <c r="LT19" s="33"/>
      <c r="LU19" s="33"/>
      <c r="LV19" s="33"/>
      <c r="LW19" s="33"/>
      <c r="LX19" s="33"/>
      <c r="LY19" s="33"/>
      <c r="LZ19" s="33"/>
      <c r="MA19" s="33"/>
      <c r="MB19" s="33"/>
      <c r="MC19" s="33"/>
      <c r="MD19" s="33"/>
      <c r="ME19" s="33"/>
      <c r="MF19" s="33"/>
      <c r="MG19" s="33"/>
      <c r="MH19" s="33"/>
      <c r="MI19" s="33"/>
      <c r="MJ19" s="33"/>
      <c r="MK19" s="33"/>
      <c r="ML19" s="33"/>
      <c r="MM19" s="33"/>
      <c r="MN19" s="33"/>
      <c r="MO19" s="33"/>
      <c r="MP19" s="33"/>
      <c r="MQ19" s="33"/>
      <c r="MR19" s="33"/>
      <c r="MS19" s="33"/>
      <c r="MT19" s="33"/>
      <c r="MU19" s="33"/>
      <c r="MV19" s="33"/>
    </row>
    <row r="20" spans="1:360" ht="0.75" customHeight="1" x14ac:dyDescent="0.25">
      <c r="A20" s="33"/>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33"/>
      <c r="CG20" s="33"/>
      <c r="CH20" s="33"/>
      <c r="CI20" s="33"/>
      <c r="CJ20" s="33"/>
      <c r="CK20" s="33"/>
      <c r="CL20" s="33"/>
      <c r="CM20" s="33"/>
      <c r="CN20" s="33"/>
      <c r="CO20" s="33"/>
      <c r="CP20" s="33"/>
      <c r="CQ20" s="33"/>
      <c r="CR20" s="33"/>
      <c r="CS20" s="33"/>
      <c r="CT20" s="33"/>
      <c r="CU20" s="33"/>
      <c r="CV20" s="33"/>
      <c r="CW20" s="33"/>
      <c r="CX20" s="33"/>
      <c r="CY20" s="33"/>
      <c r="CZ20" s="33"/>
      <c r="DA20" s="33"/>
      <c r="DB20" s="33"/>
      <c r="DC20" s="33"/>
      <c r="DD20" s="33"/>
      <c r="DE20" s="33"/>
      <c r="DF20" s="33"/>
      <c r="DG20" s="33"/>
      <c r="DH20" s="33"/>
      <c r="DI20" s="33"/>
      <c r="DJ20" s="33"/>
      <c r="DK20" s="33"/>
      <c r="DL20" s="33"/>
      <c r="DM20" s="33"/>
      <c r="DN20" s="33"/>
      <c r="DO20" s="33"/>
      <c r="DP20" s="33"/>
      <c r="DQ20" s="33"/>
      <c r="DR20" s="33"/>
      <c r="DS20" s="33"/>
      <c r="DT20" s="33"/>
      <c r="DU20" s="33"/>
      <c r="DV20" s="33"/>
      <c r="DW20" s="33"/>
      <c r="DX20" s="33"/>
      <c r="DY20" s="33"/>
      <c r="DZ20" s="33"/>
      <c r="EA20" s="33"/>
      <c r="EB20" s="33"/>
      <c r="EC20" s="33"/>
      <c r="ED20" s="33"/>
      <c r="EE20" s="33"/>
      <c r="EF20" s="33"/>
      <c r="EG20" s="33"/>
      <c r="EH20" s="33"/>
      <c r="EI20" s="33"/>
      <c r="EJ20" s="33"/>
      <c r="EK20" s="33"/>
      <c r="EL20" s="33"/>
      <c r="EM20" s="33"/>
      <c r="EN20" s="33"/>
      <c r="EO20" s="33"/>
      <c r="EP20" s="33"/>
      <c r="EQ20" s="33"/>
      <c r="ER20" s="33"/>
      <c r="ES20" s="33"/>
      <c r="ET20" s="33"/>
      <c r="EU20" s="33"/>
      <c r="EV20" s="33"/>
      <c r="EW20" s="33"/>
      <c r="EX20" s="33"/>
      <c r="EY20" s="33"/>
      <c r="EZ20" s="33"/>
      <c r="FA20" s="33"/>
      <c r="FB20" s="33"/>
      <c r="FC20" s="33"/>
      <c r="FD20" s="33"/>
      <c r="FE20" s="33"/>
      <c r="FF20" s="33"/>
      <c r="FG20" s="33"/>
      <c r="FH20" s="33"/>
      <c r="FI20" s="33"/>
      <c r="FJ20" s="33"/>
      <c r="FK20" s="33"/>
      <c r="FL20" s="33"/>
      <c r="FM20" s="33"/>
      <c r="FN20" s="33"/>
      <c r="FO20" s="33"/>
      <c r="FP20" s="33"/>
      <c r="FQ20" s="33"/>
      <c r="FR20" s="33"/>
      <c r="FS20" s="33"/>
      <c r="FT20" s="33"/>
      <c r="FU20" s="33"/>
      <c r="FV20" s="33"/>
      <c r="FW20" s="33"/>
      <c r="FX20" s="33"/>
      <c r="FY20" s="33"/>
      <c r="FZ20" s="33"/>
      <c r="GA20" s="33"/>
      <c r="GB20" s="33"/>
      <c r="GC20" s="33"/>
      <c r="GD20" s="33"/>
      <c r="GE20" s="33"/>
      <c r="GF20" s="33"/>
      <c r="GG20" s="33"/>
      <c r="GH20" s="33"/>
      <c r="GI20" s="33"/>
      <c r="GJ20" s="33"/>
      <c r="GK20" s="33"/>
      <c r="GL20" s="33"/>
      <c r="GM20" s="33"/>
      <c r="GN20" s="33"/>
      <c r="GO20" s="33"/>
      <c r="GP20" s="33"/>
      <c r="GQ20" s="33"/>
      <c r="GR20" s="33"/>
      <c r="GS20" s="33"/>
      <c r="GT20" s="33"/>
      <c r="GU20" s="33"/>
      <c r="GV20" s="33"/>
      <c r="GW20" s="33"/>
      <c r="GX20" s="33"/>
      <c r="GY20" s="33"/>
      <c r="GZ20" s="33"/>
      <c r="HA20" s="33"/>
      <c r="HB20" s="33"/>
      <c r="HC20" s="33"/>
      <c r="HD20" s="33"/>
      <c r="HE20" s="33"/>
      <c r="HF20" s="33"/>
      <c r="HG20" s="33"/>
      <c r="HH20" s="33"/>
      <c r="HI20" s="33"/>
      <c r="HJ20" s="33"/>
      <c r="HK20" s="33"/>
      <c r="HL20" s="33"/>
      <c r="HM20" s="33"/>
      <c r="HN20" s="33"/>
      <c r="HO20" s="33"/>
      <c r="HP20" s="33"/>
      <c r="HQ20" s="33"/>
      <c r="HR20" s="33"/>
      <c r="HS20" s="33"/>
      <c r="HT20" s="33"/>
      <c r="HU20" s="33"/>
      <c r="HV20" s="33"/>
      <c r="HW20" s="33"/>
      <c r="HX20" s="33"/>
      <c r="HY20" s="33"/>
      <c r="HZ20" s="33"/>
      <c r="IA20" s="33"/>
      <c r="IB20" s="33"/>
      <c r="IC20" s="33"/>
      <c r="ID20" s="33"/>
      <c r="IE20" s="33"/>
      <c r="IF20" s="33"/>
      <c r="IG20" s="33"/>
      <c r="IH20" s="33"/>
      <c r="II20" s="33"/>
      <c r="IJ20" s="33"/>
      <c r="IK20" s="33"/>
      <c r="IL20" s="33"/>
      <c r="IM20" s="33"/>
      <c r="IN20" s="33"/>
      <c r="IO20" s="33"/>
      <c r="IP20" s="33"/>
      <c r="IQ20" s="33"/>
      <c r="IR20" s="33"/>
      <c r="IS20" s="33"/>
      <c r="IT20" s="33"/>
      <c r="IU20" s="33"/>
      <c r="IV20" s="33"/>
      <c r="IW20" s="33"/>
      <c r="IX20" s="33"/>
      <c r="IY20" s="33"/>
      <c r="IZ20" s="33"/>
      <c r="JA20" s="33"/>
      <c r="JB20" s="33"/>
      <c r="JC20" s="33"/>
      <c r="JD20" s="33"/>
      <c r="JE20" s="33"/>
      <c r="JF20" s="33"/>
      <c r="JG20" s="33"/>
      <c r="JH20" s="33"/>
      <c r="JI20" s="33"/>
      <c r="JJ20" s="33"/>
      <c r="JK20" s="33"/>
      <c r="JL20" s="33"/>
      <c r="JM20" s="33"/>
      <c r="JN20" s="33"/>
      <c r="JO20" s="33"/>
      <c r="JP20" s="33"/>
      <c r="JQ20" s="33"/>
      <c r="JR20" s="33"/>
      <c r="JS20" s="33"/>
      <c r="JT20" s="33"/>
      <c r="JU20" s="33"/>
      <c r="JV20" s="33"/>
      <c r="JW20" s="33"/>
      <c r="JX20" s="33"/>
      <c r="JY20" s="33"/>
      <c r="JZ20" s="33"/>
      <c r="KA20" s="33"/>
      <c r="KB20" s="33"/>
      <c r="KC20" s="33"/>
      <c r="KD20" s="33"/>
      <c r="KE20" s="33"/>
      <c r="KF20" s="33"/>
      <c r="KG20" s="33"/>
      <c r="KH20" s="33"/>
      <c r="KI20" s="33"/>
      <c r="KJ20" s="33"/>
      <c r="KK20" s="33"/>
      <c r="KL20" s="33"/>
      <c r="KM20" s="33"/>
      <c r="KN20" s="33"/>
      <c r="KO20" s="33"/>
      <c r="KP20" s="33"/>
      <c r="KQ20" s="33"/>
      <c r="KR20" s="33"/>
      <c r="KS20" s="33"/>
      <c r="KT20" s="33"/>
      <c r="KU20" s="33"/>
      <c r="KV20" s="33"/>
      <c r="KW20" s="33"/>
      <c r="KX20" s="33"/>
      <c r="KY20" s="33"/>
      <c r="KZ20" s="33"/>
      <c r="LA20" s="33"/>
      <c r="LB20" s="33"/>
      <c r="LC20" s="33"/>
      <c r="LD20" s="33"/>
      <c r="LE20" s="33"/>
      <c r="LF20" s="33"/>
      <c r="LG20" s="33"/>
      <c r="LH20" s="33"/>
      <c r="LI20" s="33"/>
      <c r="LJ20" s="33"/>
      <c r="LK20" s="33"/>
      <c r="LL20" s="33"/>
      <c r="LM20" s="33"/>
      <c r="LN20" s="33"/>
      <c r="LO20" s="33"/>
      <c r="LP20" s="33"/>
      <c r="LQ20" s="33"/>
      <c r="LR20" s="33"/>
      <c r="LS20" s="33"/>
      <c r="LT20" s="33"/>
      <c r="LU20" s="33"/>
      <c r="LV20" s="33"/>
      <c r="LW20" s="33"/>
      <c r="LX20" s="33"/>
      <c r="LY20" s="33"/>
      <c r="LZ20" s="33"/>
      <c r="MA20" s="33"/>
      <c r="MB20" s="33"/>
      <c r="MC20" s="33"/>
      <c r="MD20" s="33"/>
      <c r="ME20" s="33"/>
      <c r="MF20" s="33"/>
      <c r="MG20" s="33"/>
      <c r="MH20" s="33"/>
      <c r="MI20" s="33"/>
      <c r="MJ20" s="33"/>
      <c r="MK20" s="33"/>
      <c r="ML20" s="33"/>
      <c r="MM20" s="33"/>
      <c r="MN20" s="33"/>
      <c r="MO20" s="33"/>
      <c r="MP20" s="33"/>
      <c r="MQ20" s="33"/>
      <c r="MR20" s="33"/>
      <c r="MS20" s="33"/>
      <c r="MT20" s="33"/>
      <c r="MU20" s="33"/>
      <c r="MV20" s="33"/>
    </row>
    <row r="21" spans="1:360" ht="0.75" customHeight="1" x14ac:dyDescent="0.25">
      <c r="A21" s="33"/>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33"/>
      <c r="CG21" s="33"/>
      <c r="CH21" s="33"/>
      <c r="CI21" s="33"/>
      <c r="CJ21" s="33"/>
      <c r="CK21" s="33"/>
      <c r="CL21" s="33"/>
      <c r="CM21" s="33"/>
      <c r="CN21" s="33"/>
      <c r="CO21" s="33"/>
      <c r="CP21" s="33"/>
      <c r="CQ21" s="33"/>
      <c r="CR21" s="33"/>
      <c r="CS21" s="33"/>
      <c r="CT21" s="33"/>
      <c r="CU21" s="33"/>
      <c r="CV21" s="33"/>
      <c r="CW21" s="33"/>
      <c r="CX21" s="33"/>
      <c r="CY21" s="33"/>
      <c r="CZ21" s="33"/>
      <c r="DA21" s="33"/>
      <c r="DB21" s="33"/>
      <c r="DC21" s="33"/>
      <c r="DD21" s="33"/>
      <c r="DE21" s="33"/>
      <c r="DF21" s="33"/>
      <c r="DG21" s="33"/>
      <c r="DH21" s="33"/>
      <c r="DI21" s="33"/>
      <c r="DJ21" s="33"/>
      <c r="DK21" s="33"/>
      <c r="DL21" s="33"/>
      <c r="DM21" s="33"/>
      <c r="DN21" s="33"/>
      <c r="DO21" s="33"/>
      <c r="DP21" s="33"/>
      <c r="DQ21" s="33"/>
      <c r="DR21" s="33"/>
      <c r="DS21" s="33"/>
      <c r="DT21" s="33"/>
      <c r="DU21" s="33"/>
      <c r="DV21" s="33"/>
      <c r="DW21" s="33"/>
      <c r="DX21" s="33"/>
      <c r="DY21" s="33"/>
      <c r="DZ21" s="33"/>
      <c r="EA21" s="33"/>
      <c r="EB21" s="33"/>
      <c r="EC21" s="33"/>
      <c r="ED21" s="33"/>
      <c r="EE21" s="33"/>
      <c r="EF21" s="33"/>
      <c r="EG21" s="33"/>
      <c r="EH21" s="33"/>
      <c r="EI21" s="33"/>
      <c r="EJ21" s="33"/>
      <c r="EK21" s="33"/>
      <c r="EL21" s="33"/>
      <c r="EM21" s="33"/>
      <c r="EN21" s="33"/>
      <c r="EO21" s="33"/>
      <c r="EP21" s="33"/>
      <c r="EQ21" s="33"/>
      <c r="ER21" s="33"/>
      <c r="ES21" s="33"/>
      <c r="ET21" s="33"/>
      <c r="EU21" s="33"/>
      <c r="EV21" s="33"/>
      <c r="EW21" s="33"/>
      <c r="EX21" s="33"/>
      <c r="EY21" s="33"/>
      <c r="EZ21" s="33"/>
      <c r="FA21" s="33"/>
      <c r="FB21" s="33"/>
      <c r="FC21" s="33"/>
      <c r="FD21" s="33"/>
      <c r="FE21" s="33"/>
      <c r="FF21" s="33"/>
      <c r="FG21" s="33"/>
      <c r="FH21" s="33"/>
      <c r="FI21" s="33"/>
      <c r="FJ21" s="33"/>
      <c r="FK21" s="33"/>
      <c r="FL21" s="33"/>
      <c r="FM21" s="33"/>
      <c r="FN21" s="33"/>
      <c r="FO21" s="33"/>
      <c r="FP21" s="33"/>
      <c r="FQ21" s="33"/>
      <c r="FR21" s="33"/>
      <c r="FS21" s="33"/>
      <c r="FT21" s="33"/>
      <c r="FU21" s="33"/>
      <c r="FV21" s="33"/>
      <c r="FW21" s="33"/>
      <c r="FX21" s="33"/>
      <c r="FY21" s="33"/>
      <c r="FZ21" s="33"/>
      <c r="GA21" s="33"/>
      <c r="GB21" s="33"/>
      <c r="GC21" s="33"/>
      <c r="GD21" s="33"/>
      <c r="GE21" s="33"/>
      <c r="GF21" s="33"/>
      <c r="GG21" s="33"/>
      <c r="GH21" s="33"/>
      <c r="GI21" s="33"/>
      <c r="GJ21" s="33"/>
      <c r="GK21" s="33"/>
      <c r="GL21" s="33"/>
      <c r="GM21" s="33"/>
      <c r="GN21" s="33"/>
      <c r="GO21" s="33"/>
      <c r="GP21" s="33"/>
      <c r="GQ21" s="33"/>
      <c r="GR21" s="33"/>
      <c r="GS21" s="33"/>
      <c r="GT21" s="33"/>
      <c r="GU21" s="33"/>
      <c r="GV21" s="33"/>
      <c r="GW21" s="33"/>
      <c r="GX21" s="33"/>
      <c r="GY21" s="33"/>
      <c r="GZ21" s="33"/>
      <c r="HA21" s="33"/>
      <c r="HB21" s="33"/>
      <c r="HC21" s="33"/>
      <c r="HD21" s="33"/>
      <c r="HE21" s="33"/>
      <c r="HF21" s="33"/>
      <c r="HG21" s="33"/>
      <c r="HH21" s="33"/>
      <c r="HI21" s="33"/>
      <c r="HJ21" s="33"/>
      <c r="HK21" s="33"/>
      <c r="HL21" s="33"/>
      <c r="HM21" s="33"/>
      <c r="HN21" s="33"/>
      <c r="HO21" s="33"/>
      <c r="HP21" s="33"/>
      <c r="HQ21" s="33"/>
      <c r="HR21" s="33"/>
      <c r="HS21" s="33"/>
      <c r="HT21" s="33"/>
      <c r="HU21" s="33"/>
      <c r="HV21" s="33"/>
      <c r="HW21" s="33"/>
      <c r="HX21" s="33"/>
      <c r="HY21" s="33"/>
      <c r="HZ21" s="33"/>
      <c r="IA21" s="33"/>
      <c r="IB21" s="33"/>
      <c r="IC21" s="33"/>
      <c r="ID21" s="33"/>
      <c r="IE21" s="33"/>
      <c r="IF21" s="33"/>
      <c r="IG21" s="33"/>
      <c r="IH21" s="33"/>
      <c r="II21" s="33"/>
      <c r="IJ21" s="33"/>
      <c r="IK21" s="33"/>
      <c r="IL21" s="33"/>
      <c r="IM21" s="33"/>
      <c r="IN21" s="33"/>
      <c r="IO21" s="33"/>
      <c r="IP21" s="33"/>
      <c r="IQ21" s="33"/>
      <c r="IR21" s="33"/>
      <c r="IS21" s="33"/>
      <c r="IT21" s="33"/>
      <c r="IU21" s="33"/>
      <c r="IV21" s="33"/>
      <c r="IW21" s="33"/>
      <c r="IX21" s="33"/>
      <c r="IY21" s="33"/>
      <c r="IZ21" s="33"/>
      <c r="JA21" s="33"/>
      <c r="JB21" s="33"/>
      <c r="JC21" s="33"/>
      <c r="JD21" s="33"/>
      <c r="JE21" s="33"/>
      <c r="JF21" s="33"/>
      <c r="JG21" s="33"/>
      <c r="JH21" s="33"/>
      <c r="JI21" s="33"/>
      <c r="JJ21" s="33"/>
      <c r="JK21" s="33"/>
      <c r="JL21" s="33"/>
      <c r="JM21" s="33"/>
      <c r="JN21" s="33"/>
      <c r="JO21" s="33"/>
      <c r="JP21" s="33"/>
      <c r="JQ21" s="33"/>
      <c r="JR21" s="33"/>
      <c r="JS21" s="33"/>
      <c r="JT21" s="33"/>
      <c r="JU21" s="33"/>
      <c r="JV21" s="33"/>
      <c r="JW21" s="33"/>
      <c r="JX21" s="33"/>
      <c r="JY21" s="33"/>
      <c r="JZ21" s="33"/>
      <c r="KA21" s="33"/>
      <c r="KB21" s="33"/>
      <c r="KC21" s="33"/>
      <c r="KD21" s="33"/>
      <c r="KE21" s="33"/>
      <c r="KF21" s="33"/>
      <c r="KG21" s="33"/>
      <c r="KH21" s="33"/>
      <c r="KI21" s="33"/>
      <c r="KJ21" s="33"/>
      <c r="KK21" s="33"/>
      <c r="KL21" s="33"/>
      <c r="KM21" s="33"/>
      <c r="KN21" s="33"/>
      <c r="KO21" s="33"/>
      <c r="KP21" s="33"/>
      <c r="KQ21" s="33"/>
      <c r="KR21" s="33"/>
      <c r="KS21" s="33"/>
      <c r="KT21" s="33"/>
      <c r="KU21" s="33"/>
      <c r="KV21" s="33"/>
      <c r="KW21" s="33"/>
      <c r="KX21" s="33"/>
      <c r="KY21" s="33"/>
      <c r="KZ21" s="33"/>
      <c r="LA21" s="33"/>
      <c r="LB21" s="33"/>
      <c r="LC21" s="33"/>
      <c r="LD21" s="33"/>
      <c r="LE21" s="33"/>
      <c r="LF21" s="33"/>
      <c r="LG21" s="33"/>
      <c r="LH21" s="33"/>
      <c r="LI21" s="33"/>
      <c r="LJ21" s="33"/>
      <c r="LK21" s="33"/>
      <c r="LL21" s="33"/>
      <c r="LM21" s="33"/>
      <c r="LN21" s="33"/>
      <c r="LO21" s="33"/>
      <c r="LP21" s="33"/>
      <c r="LQ21" s="33"/>
      <c r="LR21" s="33"/>
      <c r="LS21" s="33"/>
      <c r="LT21" s="33"/>
      <c r="LU21" s="33"/>
      <c r="LV21" s="33"/>
      <c r="LW21" s="33"/>
      <c r="LX21" s="33"/>
      <c r="LY21" s="33"/>
      <c r="LZ21" s="33"/>
      <c r="MA21" s="33"/>
      <c r="MB21" s="33"/>
      <c r="MC21" s="33"/>
      <c r="MD21" s="33"/>
      <c r="ME21" s="33"/>
      <c r="MF21" s="33"/>
      <c r="MG21" s="33"/>
      <c r="MH21" s="33"/>
      <c r="MI21" s="33"/>
      <c r="MJ21" s="33"/>
      <c r="MK21" s="33"/>
      <c r="ML21" s="33"/>
      <c r="MM21" s="33"/>
      <c r="MN21" s="33"/>
      <c r="MO21" s="33"/>
      <c r="MP21" s="33"/>
      <c r="MQ21" s="33"/>
      <c r="MR21" s="33"/>
      <c r="MS21" s="33"/>
      <c r="MT21" s="33"/>
      <c r="MU21" s="33"/>
      <c r="MV21" s="33"/>
    </row>
    <row r="22" spans="1:360" ht="0.75" customHeight="1" x14ac:dyDescent="0.25">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c r="FY22" s="33"/>
      <c r="FZ22" s="33"/>
      <c r="GA22" s="33"/>
      <c r="GB22" s="33"/>
      <c r="GC22" s="33"/>
      <c r="GD22" s="33"/>
      <c r="GE22" s="33"/>
      <c r="GF22" s="33"/>
      <c r="GG22" s="33"/>
      <c r="GH22" s="33"/>
      <c r="GI22" s="33"/>
      <c r="GJ22" s="33"/>
      <c r="GK22" s="33"/>
      <c r="GL22" s="33"/>
      <c r="GM22" s="33"/>
      <c r="GN22" s="33"/>
      <c r="GO22" s="33"/>
      <c r="GP22" s="33"/>
      <c r="GQ22" s="33"/>
      <c r="GR22" s="33"/>
      <c r="GS22" s="33"/>
      <c r="GT22" s="33"/>
      <c r="GU22" s="33"/>
      <c r="GV22" s="33"/>
      <c r="GW22" s="33"/>
      <c r="GX22" s="33"/>
      <c r="GY22" s="33"/>
      <c r="GZ22" s="33"/>
      <c r="HA22" s="33"/>
      <c r="HB22" s="33"/>
      <c r="HC22" s="33"/>
      <c r="HD22" s="33"/>
      <c r="HE22" s="33"/>
      <c r="HF22" s="33"/>
      <c r="HG22" s="33"/>
      <c r="HH22" s="33"/>
      <c r="HI22" s="33"/>
      <c r="HJ22" s="33"/>
      <c r="HK22" s="33"/>
      <c r="HL22" s="33"/>
      <c r="HM22" s="33"/>
      <c r="HN22" s="33"/>
      <c r="HO22" s="33"/>
      <c r="HP22" s="33"/>
      <c r="HQ22" s="33"/>
      <c r="HR22" s="33"/>
      <c r="HS22" s="33"/>
      <c r="HT22" s="33"/>
      <c r="HU22" s="33"/>
      <c r="HV22" s="33"/>
      <c r="HW22" s="33"/>
      <c r="HX22" s="33"/>
      <c r="HY22" s="33"/>
      <c r="HZ22" s="33"/>
      <c r="IA22" s="33"/>
      <c r="IB22" s="33"/>
      <c r="IC22" s="33"/>
      <c r="ID22" s="33"/>
      <c r="IE22" s="33"/>
      <c r="IF22" s="33"/>
      <c r="IG22" s="33"/>
      <c r="IH22" s="33"/>
      <c r="II22" s="33"/>
      <c r="IJ22" s="33"/>
      <c r="IK22" s="33"/>
      <c r="IL22" s="33"/>
      <c r="IM22" s="33"/>
      <c r="IN22" s="33"/>
      <c r="IO22" s="33"/>
      <c r="IP22" s="33"/>
      <c r="IQ22" s="33"/>
      <c r="IR22" s="33"/>
      <c r="IS22" s="33"/>
      <c r="IT22" s="33"/>
      <c r="IU22" s="33"/>
      <c r="IV22" s="33"/>
      <c r="IW22" s="33"/>
      <c r="IX22" s="33"/>
      <c r="IY22" s="33"/>
      <c r="IZ22" s="33"/>
      <c r="JA22" s="33"/>
      <c r="JB22" s="33"/>
      <c r="JC22" s="33"/>
      <c r="JD22" s="33"/>
      <c r="JE22" s="33"/>
      <c r="JF22" s="33"/>
      <c r="JG22" s="33"/>
      <c r="JH22" s="33"/>
      <c r="JI22" s="33"/>
      <c r="JJ22" s="33"/>
      <c r="JK22" s="33"/>
      <c r="JL22" s="33"/>
      <c r="JM22" s="33"/>
      <c r="JN22" s="33"/>
      <c r="JO22" s="33"/>
      <c r="JP22" s="33"/>
      <c r="JQ22" s="33"/>
      <c r="JR22" s="33"/>
      <c r="JS22" s="33"/>
      <c r="JT22" s="33"/>
      <c r="JU22" s="33"/>
      <c r="JV22" s="33"/>
      <c r="JW22" s="33"/>
      <c r="JX22" s="33"/>
      <c r="JY22" s="33"/>
      <c r="JZ22" s="33"/>
      <c r="KA22" s="33"/>
      <c r="KB22" s="33"/>
      <c r="KC22" s="33"/>
      <c r="KD22" s="33"/>
      <c r="KE22" s="33"/>
      <c r="KF22" s="33"/>
      <c r="KG22" s="33"/>
      <c r="KH22" s="33"/>
      <c r="KI22" s="33"/>
      <c r="KJ22" s="33"/>
      <c r="KK22" s="33"/>
      <c r="KL22" s="33"/>
      <c r="KM22" s="33"/>
      <c r="KN22" s="33"/>
      <c r="KO22" s="33"/>
      <c r="KP22" s="33"/>
      <c r="KQ22" s="33"/>
      <c r="KR22" s="33"/>
      <c r="KS22" s="33"/>
      <c r="KT22" s="33"/>
      <c r="KU22" s="33"/>
      <c r="KV22" s="33"/>
      <c r="KW22" s="33"/>
      <c r="KX22" s="33"/>
      <c r="KY22" s="33"/>
      <c r="KZ22" s="33"/>
      <c r="LA22" s="33"/>
      <c r="LB22" s="33"/>
      <c r="LC22" s="33"/>
      <c r="LD22" s="33"/>
      <c r="LE22" s="33"/>
      <c r="LF22" s="33"/>
      <c r="LG22" s="33"/>
      <c r="LH22" s="33"/>
      <c r="LI22" s="33"/>
      <c r="LJ22" s="33"/>
      <c r="LK22" s="33"/>
      <c r="LL22" s="33"/>
      <c r="LM22" s="33"/>
      <c r="LN22" s="33"/>
      <c r="LO22" s="33"/>
      <c r="LP22" s="33"/>
      <c r="LQ22" s="33"/>
      <c r="LR22" s="33"/>
      <c r="LS22" s="33"/>
      <c r="LT22" s="33"/>
      <c r="LU22" s="33"/>
      <c r="LV22" s="33"/>
      <c r="LW22" s="33"/>
      <c r="LX22" s="33"/>
      <c r="LY22" s="33"/>
      <c r="LZ22" s="33"/>
      <c r="MA22" s="33"/>
      <c r="MB22" s="33"/>
      <c r="MC22" s="33"/>
      <c r="MD22" s="33"/>
      <c r="ME22" s="33"/>
      <c r="MF22" s="33"/>
      <c r="MG22" s="33"/>
      <c r="MH22" s="33"/>
      <c r="MI22" s="33"/>
      <c r="MJ22" s="33"/>
      <c r="MK22" s="33"/>
      <c r="ML22" s="33"/>
      <c r="MM22" s="33"/>
      <c r="MN22" s="33"/>
      <c r="MO22" s="33"/>
      <c r="MP22" s="33"/>
      <c r="MQ22" s="33"/>
      <c r="MR22" s="33"/>
      <c r="MS22" s="33"/>
      <c r="MT22" s="33"/>
      <c r="MU22" s="33"/>
      <c r="MV22" s="33"/>
    </row>
    <row r="23" spans="1:360" ht="0.75" customHeight="1" x14ac:dyDescent="0.25">
      <c r="A23" s="33"/>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33"/>
      <c r="CG23" s="33"/>
      <c r="CH23" s="33"/>
      <c r="CI23" s="33"/>
      <c r="CJ23" s="33"/>
      <c r="CK23" s="33"/>
      <c r="CL23" s="33"/>
      <c r="CM23" s="33"/>
      <c r="CN23" s="33"/>
      <c r="CO23" s="33"/>
      <c r="CP23" s="33"/>
      <c r="CQ23" s="33"/>
      <c r="CR23" s="33"/>
      <c r="CS23" s="33"/>
      <c r="CT23" s="33"/>
      <c r="CU23" s="33"/>
      <c r="CV23" s="33"/>
      <c r="CW23" s="33"/>
      <c r="CX23" s="33"/>
      <c r="CY23" s="33"/>
      <c r="CZ23" s="33"/>
      <c r="DA23" s="33"/>
      <c r="DB23" s="33"/>
      <c r="DC23" s="33"/>
      <c r="DD23" s="33"/>
      <c r="DE23" s="33"/>
      <c r="DF23" s="33"/>
      <c r="DG23" s="33"/>
      <c r="DH23" s="33"/>
      <c r="DI23" s="33"/>
      <c r="DJ23" s="33"/>
      <c r="DK23" s="33"/>
      <c r="DL23" s="33"/>
      <c r="DM23" s="33"/>
      <c r="DN23" s="33"/>
      <c r="DO23" s="33"/>
      <c r="DP23" s="33"/>
      <c r="DQ23" s="33"/>
      <c r="DR23" s="33"/>
      <c r="DS23" s="33"/>
      <c r="DT23" s="33"/>
      <c r="DU23" s="33"/>
      <c r="DV23" s="33"/>
      <c r="DW23" s="33"/>
      <c r="DX23" s="33"/>
      <c r="DY23" s="33"/>
      <c r="DZ23" s="33"/>
      <c r="EA23" s="33"/>
      <c r="EB23" s="33"/>
      <c r="EC23" s="33"/>
      <c r="ED23" s="33"/>
      <c r="EE23" s="33"/>
      <c r="EF23" s="33"/>
      <c r="EG23" s="33"/>
      <c r="EH23" s="33"/>
      <c r="EI23" s="33"/>
      <c r="EJ23" s="33"/>
      <c r="EK23" s="33"/>
      <c r="EL23" s="33"/>
      <c r="EM23" s="33"/>
      <c r="EN23" s="33"/>
      <c r="EO23" s="33"/>
      <c r="EP23" s="33"/>
      <c r="EQ23" s="33"/>
      <c r="ER23" s="33"/>
      <c r="ES23" s="33"/>
      <c r="ET23" s="33"/>
      <c r="EU23" s="33"/>
      <c r="EV23" s="33"/>
      <c r="EW23" s="33"/>
      <c r="EX23" s="33"/>
      <c r="EY23" s="33"/>
      <c r="EZ23" s="33"/>
      <c r="FA23" s="33"/>
      <c r="FB23" s="33"/>
      <c r="FC23" s="33"/>
      <c r="FD23" s="33"/>
      <c r="FE23" s="33"/>
      <c r="FF23" s="33"/>
      <c r="FG23" s="33"/>
      <c r="FH23" s="33"/>
      <c r="FI23" s="33"/>
      <c r="FJ23" s="33"/>
      <c r="FK23" s="33"/>
      <c r="FL23" s="33"/>
      <c r="FM23" s="33"/>
      <c r="FN23" s="33"/>
      <c r="FO23" s="33"/>
      <c r="FP23" s="33"/>
      <c r="FQ23" s="33"/>
      <c r="FR23" s="33"/>
      <c r="FS23" s="33"/>
      <c r="FT23" s="33"/>
      <c r="FU23" s="33"/>
      <c r="FV23" s="33"/>
      <c r="FW23" s="33"/>
      <c r="FX23" s="33"/>
      <c r="FY23" s="33"/>
      <c r="FZ23" s="33"/>
      <c r="GA23" s="33"/>
      <c r="GB23" s="33"/>
      <c r="GC23" s="33"/>
      <c r="GD23" s="33"/>
      <c r="GE23" s="33"/>
      <c r="GF23" s="33"/>
      <c r="GG23" s="33"/>
      <c r="GH23" s="33"/>
      <c r="GI23" s="33"/>
      <c r="GJ23" s="33"/>
      <c r="GK23" s="33"/>
      <c r="GL23" s="33"/>
      <c r="GM23" s="33"/>
      <c r="GN23" s="33"/>
      <c r="GO23" s="33"/>
      <c r="GP23" s="33"/>
      <c r="GQ23" s="33"/>
      <c r="GR23" s="33"/>
      <c r="GS23" s="33"/>
      <c r="GT23" s="33"/>
      <c r="GU23" s="33"/>
      <c r="GV23" s="33"/>
      <c r="GW23" s="33"/>
      <c r="GX23" s="33"/>
      <c r="GY23" s="33"/>
      <c r="GZ23" s="33"/>
      <c r="HA23" s="33"/>
      <c r="HB23" s="33"/>
      <c r="HC23" s="33"/>
      <c r="HD23" s="33"/>
      <c r="HE23" s="33"/>
      <c r="HF23" s="33"/>
      <c r="HG23" s="33"/>
      <c r="HH23" s="33"/>
      <c r="HI23" s="33"/>
      <c r="HJ23" s="33"/>
      <c r="HK23" s="33"/>
      <c r="HL23" s="33"/>
      <c r="HM23" s="33"/>
      <c r="HN23" s="33"/>
      <c r="HO23" s="33"/>
      <c r="HP23" s="33"/>
      <c r="HQ23" s="33"/>
      <c r="HR23" s="33"/>
      <c r="HS23" s="33"/>
      <c r="HT23" s="33"/>
      <c r="HU23" s="33"/>
      <c r="HV23" s="33"/>
      <c r="HW23" s="33"/>
      <c r="HX23" s="33"/>
      <c r="HY23" s="33"/>
      <c r="HZ23" s="33"/>
      <c r="IA23" s="33"/>
      <c r="IB23" s="33"/>
      <c r="IC23" s="33"/>
      <c r="ID23" s="33"/>
      <c r="IE23" s="33"/>
      <c r="IF23" s="33"/>
      <c r="IG23" s="33"/>
      <c r="IH23" s="33"/>
      <c r="II23" s="33"/>
      <c r="IJ23" s="33"/>
      <c r="IK23" s="33"/>
      <c r="IL23" s="33"/>
      <c r="IM23" s="33"/>
      <c r="IN23" s="33"/>
      <c r="IO23" s="33"/>
      <c r="IP23" s="33"/>
      <c r="IQ23" s="33"/>
      <c r="IR23" s="33"/>
      <c r="IS23" s="33"/>
      <c r="IT23" s="33"/>
      <c r="IU23" s="33"/>
      <c r="IV23" s="33"/>
      <c r="IW23" s="33"/>
      <c r="IX23" s="33"/>
      <c r="IY23" s="33"/>
      <c r="IZ23" s="33"/>
      <c r="JA23" s="33"/>
      <c r="JB23" s="33"/>
      <c r="JC23" s="33"/>
      <c r="JD23" s="33"/>
      <c r="JE23" s="33"/>
      <c r="JF23" s="33"/>
      <c r="JG23" s="33"/>
      <c r="JH23" s="33"/>
      <c r="JI23" s="33"/>
      <c r="JJ23" s="33"/>
      <c r="JK23" s="33"/>
      <c r="JL23" s="33"/>
      <c r="JM23" s="33"/>
      <c r="JN23" s="33"/>
      <c r="JO23" s="33"/>
      <c r="JP23" s="33"/>
      <c r="JQ23" s="33"/>
      <c r="JR23" s="33"/>
      <c r="JS23" s="33"/>
      <c r="JT23" s="33"/>
      <c r="JU23" s="33"/>
      <c r="JV23" s="33"/>
      <c r="JW23" s="33"/>
      <c r="JX23" s="33"/>
      <c r="JY23" s="33"/>
      <c r="JZ23" s="33"/>
      <c r="KA23" s="33"/>
      <c r="KB23" s="33"/>
      <c r="KC23" s="33"/>
      <c r="KD23" s="33"/>
      <c r="KE23" s="33"/>
      <c r="KF23" s="33"/>
      <c r="KG23" s="33"/>
      <c r="KH23" s="33"/>
      <c r="KI23" s="33"/>
      <c r="KJ23" s="33"/>
      <c r="KK23" s="33"/>
      <c r="KL23" s="33"/>
      <c r="KM23" s="33"/>
      <c r="KN23" s="33"/>
      <c r="KO23" s="33"/>
      <c r="KP23" s="33"/>
      <c r="KQ23" s="33"/>
      <c r="KR23" s="33"/>
      <c r="KS23" s="33"/>
      <c r="KT23" s="33"/>
      <c r="KU23" s="33"/>
      <c r="KV23" s="33"/>
      <c r="KW23" s="33"/>
      <c r="KX23" s="33"/>
      <c r="KY23" s="33"/>
      <c r="KZ23" s="33"/>
      <c r="LA23" s="33"/>
      <c r="LB23" s="33"/>
      <c r="LC23" s="33"/>
      <c r="LD23" s="33"/>
      <c r="LE23" s="33"/>
      <c r="LF23" s="33"/>
      <c r="LG23" s="33"/>
      <c r="LH23" s="33"/>
      <c r="LI23" s="33"/>
      <c r="LJ23" s="33"/>
      <c r="LK23" s="33"/>
      <c r="LL23" s="33"/>
      <c r="LM23" s="33"/>
      <c r="LN23" s="33"/>
      <c r="LO23" s="33"/>
      <c r="LP23" s="33"/>
      <c r="LQ23" s="33"/>
      <c r="LR23" s="33"/>
      <c r="LS23" s="33"/>
      <c r="LT23" s="33"/>
      <c r="LU23" s="33"/>
      <c r="LV23" s="33"/>
      <c r="LW23" s="33"/>
      <c r="LX23" s="33"/>
      <c r="LY23" s="33"/>
      <c r="LZ23" s="33"/>
      <c r="MA23" s="33"/>
      <c r="MB23" s="33"/>
      <c r="MC23" s="33"/>
      <c r="MD23" s="33"/>
      <c r="ME23" s="33"/>
      <c r="MF23" s="33"/>
      <c r="MG23" s="33"/>
      <c r="MH23" s="33"/>
      <c r="MI23" s="33"/>
      <c r="MJ23" s="33"/>
      <c r="MK23" s="33"/>
      <c r="ML23" s="33"/>
      <c r="MM23" s="33"/>
      <c r="MN23" s="33"/>
      <c r="MO23" s="33"/>
      <c r="MP23" s="33"/>
      <c r="MQ23" s="33"/>
      <c r="MR23" s="33"/>
      <c r="MS23" s="33"/>
      <c r="MT23" s="33"/>
      <c r="MU23" s="33"/>
      <c r="MV23" s="33"/>
    </row>
    <row r="24" spans="1:360" ht="0.75" customHeight="1" x14ac:dyDescent="0.25">
      <c r="A24" s="33"/>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33"/>
      <c r="CG24" s="33"/>
      <c r="CH24" s="33"/>
      <c r="CI24" s="33"/>
      <c r="CJ24" s="33"/>
      <c r="CK24" s="33"/>
      <c r="CL24" s="33"/>
      <c r="CM24" s="33"/>
      <c r="CN24" s="33"/>
      <c r="CO24" s="33"/>
      <c r="CP24" s="33"/>
      <c r="CQ24" s="33"/>
      <c r="CR24" s="33"/>
      <c r="CS24" s="33"/>
      <c r="CT24" s="33"/>
      <c r="CU24" s="33"/>
      <c r="CV24" s="33"/>
      <c r="CW24" s="33"/>
      <c r="CX24" s="33"/>
      <c r="CY24" s="33"/>
      <c r="CZ24" s="33"/>
      <c r="DA24" s="33"/>
      <c r="DB24" s="33"/>
      <c r="DC24" s="33"/>
      <c r="DD24" s="33"/>
      <c r="DE24" s="33"/>
      <c r="DF24" s="33"/>
      <c r="DG24" s="33"/>
      <c r="DH24" s="33"/>
      <c r="DI24" s="33"/>
      <c r="DJ24" s="33"/>
      <c r="DK24" s="33"/>
      <c r="DL24" s="33"/>
      <c r="DM24" s="33"/>
      <c r="DN24" s="33"/>
      <c r="DO24" s="33"/>
      <c r="DP24" s="33"/>
      <c r="DQ24" s="33"/>
      <c r="DR24" s="33"/>
      <c r="DS24" s="33"/>
      <c r="DT24" s="33"/>
      <c r="DU24" s="33"/>
      <c r="DV24" s="33"/>
      <c r="DW24" s="33"/>
      <c r="DX24" s="33"/>
      <c r="DY24" s="33"/>
      <c r="DZ24" s="33"/>
      <c r="EA24" s="33"/>
      <c r="EB24" s="33"/>
      <c r="EC24" s="33"/>
      <c r="ED24" s="33"/>
      <c r="EE24" s="33"/>
      <c r="EF24" s="33"/>
      <c r="EG24" s="33"/>
      <c r="EH24" s="33"/>
      <c r="EI24" s="33"/>
      <c r="EJ24" s="33"/>
      <c r="EK24" s="33"/>
      <c r="EL24" s="33"/>
      <c r="EM24" s="33"/>
      <c r="EN24" s="33"/>
      <c r="EO24" s="33"/>
      <c r="EP24" s="33"/>
      <c r="EQ24" s="33"/>
      <c r="ER24" s="33"/>
      <c r="ES24" s="33"/>
      <c r="ET24" s="33"/>
      <c r="EU24" s="33"/>
      <c r="EV24" s="33"/>
      <c r="EW24" s="33"/>
      <c r="EX24" s="33"/>
      <c r="EY24" s="33"/>
      <c r="EZ24" s="33"/>
      <c r="FA24" s="33"/>
      <c r="FB24" s="33"/>
      <c r="FC24" s="33"/>
      <c r="FD24" s="33"/>
      <c r="FE24" s="33"/>
      <c r="FF24" s="33"/>
      <c r="FG24" s="33"/>
      <c r="FH24" s="33"/>
      <c r="FI24" s="33"/>
      <c r="FJ24" s="33"/>
      <c r="FK24" s="33"/>
      <c r="FL24" s="33"/>
      <c r="FM24" s="33"/>
      <c r="FN24" s="33"/>
      <c r="FO24" s="33"/>
      <c r="FP24" s="33"/>
      <c r="FQ24" s="33"/>
      <c r="FR24" s="33"/>
      <c r="FS24" s="33"/>
      <c r="FT24" s="33"/>
      <c r="FU24" s="33"/>
      <c r="FV24" s="33"/>
      <c r="FW24" s="33"/>
      <c r="FX24" s="33"/>
      <c r="FY24" s="33"/>
      <c r="FZ24" s="33"/>
      <c r="GA24" s="33"/>
      <c r="GB24" s="33"/>
      <c r="GC24" s="33"/>
      <c r="GD24" s="33"/>
      <c r="GE24" s="33"/>
      <c r="GF24" s="33"/>
      <c r="GG24" s="33"/>
      <c r="GH24" s="33"/>
      <c r="GI24" s="33"/>
      <c r="GJ24" s="33"/>
      <c r="GK24" s="33"/>
      <c r="GL24" s="33"/>
      <c r="GM24" s="33"/>
      <c r="GN24" s="33"/>
      <c r="GO24" s="33"/>
      <c r="GP24" s="33"/>
      <c r="GQ24" s="33"/>
      <c r="GR24" s="33"/>
      <c r="GS24" s="33"/>
      <c r="GT24" s="33"/>
      <c r="GU24" s="33"/>
      <c r="GV24" s="33"/>
      <c r="GW24" s="33"/>
      <c r="GX24" s="33"/>
      <c r="GY24" s="33"/>
      <c r="GZ24" s="33"/>
      <c r="HA24" s="33"/>
      <c r="HB24" s="33"/>
      <c r="HC24" s="33"/>
      <c r="HD24" s="33"/>
      <c r="HE24" s="33"/>
      <c r="HF24" s="33"/>
      <c r="HG24" s="33"/>
      <c r="HH24" s="33"/>
      <c r="HI24" s="33"/>
      <c r="HJ24" s="33"/>
      <c r="HK24" s="33"/>
      <c r="HL24" s="33"/>
      <c r="HM24" s="33"/>
      <c r="HN24" s="33"/>
      <c r="HO24" s="33"/>
      <c r="HP24" s="33"/>
      <c r="HQ24" s="33"/>
      <c r="HR24" s="33"/>
      <c r="HS24" s="33"/>
      <c r="HT24" s="33"/>
      <c r="HU24" s="33"/>
      <c r="HV24" s="33"/>
      <c r="HW24" s="33"/>
      <c r="HX24" s="33"/>
      <c r="HY24" s="33"/>
      <c r="HZ24" s="33"/>
      <c r="IA24" s="33"/>
      <c r="IB24" s="33"/>
      <c r="IC24" s="33"/>
      <c r="ID24" s="33"/>
      <c r="IE24" s="33"/>
      <c r="IF24" s="33"/>
      <c r="IG24" s="33"/>
      <c r="IH24" s="33"/>
      <c r="II24" s="33"/>
      <c r="IJ24" s="33"/>
      <c r="IK24" s="33"/>
      <c r="IL24" s="33"/>
      <c r="IM24" s="33"/>
      <c r="IN24" s="33"/>
      <c r="IO24" s="33"/>
      <c r="IP24" s="33"/>
      <c r="IQ24" s="33"/>
      <c r="IR24" s="33"/>
      <c r="IS24" s="33"/>
      <c r="IT24" s="33"/>
      <c r="IU24" s="33"/>
      <c r="IV24" s="33"/>
      <c r="IW24" s="33"/>
      <c r="IX24" s="33"/>
      <c r="IY24" s="33"/>
      <c r="IZ24" s="33"/>
      <c r="JA24" s="33"/>
      <c r="JB24" s="33"/>
      <c r="JC24" s="33"/>
      <c r="JD24" s="33"/>
      <c r="JE24" s="33"/>
      <c r="JF24" s="33"/>
      <c r="JG24" s="33"/>
      <c r="JH24" s="33"/>
      <c r="JI24" s="33"/>
      <c r="JJ24" s="33"/>
      <c r="JK24" s="33"/>
      <c r="JL24" s="33"/>
      <c r="JM24" s="33"/>
      <c r="JN24" s="33"/>
      <c r="JO24" s="33"/>
      <c r="JP24" s="33"/>
      <c r="JQ24" s="33"/>
      <c r="JR24" s="33"/>
      <c r="JS24" s="33"/>
      <c r="JT24" s="33"/>
      <c r="JU24" s="33"/>
      <c r="JV24" s="33"/>
      <c r="JW24" s="33"/>
      <c r="JX24" s="33"/>
      <c r="JY24" s="33"/>
      <c r="JZ24" s="33"/>
      <c r="KA24" s="33"/>
      <c r="KB24" s="33"/>
      <c r="KC24" s="33"/>
      <c r="KD24" s="33"/>
      <c r="KE24" s="33"/>
      <c r="KF24" s="33"/>
      <c r="KG24" s="33"/>
      <c r="KH24" s="33"/>
      <c r="KI24" s="33"/>
      <c r="KJ24" s="33"/>
      <c r="KK24" s="33"/>
      <c r="KL24" s="33"/>
      <c r="KM24" s="33"/>
      <c r="KN24" s="33"/>
      <c r="KO24" s="33"/>
      <c r="KP24" s="33"/>
      <c r="KQ24" s="33"/>
      <c r="KR24" s="33"/>
      <c r="KS24" s="33"/>
      <c r="KT24" s="33"/>
      <c r="KU24" s="33"/>
      <c r="KV24" s="33"/>
      <c r="KW24" s="33"/>
      <c r="KX24" s="33"/>
      <c r="KY24" s="33"/>
      <c r="KZ24" s="33"/>
      <c r="LA24" s="33"/>
      <c r="LB24" s="33"/>
      <c r="LC24" s="33"/>
      <c r="LD24" s="33"/>
      <c r="LE24" s="33"/>
      <c r="LF24" s="33"/>
      <c r="LG24" s="33"/>
      <c r="LH24" s="33"/>
      <c r="LI24" s="33"/>
      <c r="LJ24" s="33"/>
      <c r="LK24" s="33"/>
      <c r="LL24" s="33"/>
      <c r="LM24" s="33"/>
      <c r="LN24" s="33"/>
      <c r="LO24" s="33"/>
      <c r="LP24" s="33"/>
      <c r="LQ24" s="33"/>
      <c r="LR24" s="33"/>
      <c r="LS24" s="33"/>
      <c r="LT24" s="33"/>
      <c r="LU24" s="33"/>
      <c r="LV24" s="33"/>
      <c r="LW24" s="33"/>
      <c r="LX24" s="33"/>
      <c r="LY24" s="33"/>
      <c r="LZ24" s="33"/>
      <c r="MA24" s="33"/>
      <c r="MB24" s="33"/>
      <c r="MC24" s="33"/>
      <c r="MD24" s="33"/>
      <c r="ME24" s="33"/>
      <c r="MF24" s="33"/>
      <c r="MG24" s="33"/>
      <c r="MH24" s="33"/>
      <c r="MI24" s="33"/>
      <c r="MJ24" s="33"/>
      <c r="MK24" s="33"/>
      <c r="ML24" s="33"/>
      <c r="MM24" s="33"/>
      <c r="MN24" s="33"/>
      <c r="MO24" s="33"/>
      <c r="MP24" s="33"/>
      <c r="MQ24" s="33"/>
      <c r="MR24" s="33"/>
      <c r="MS24" s="33"/>
      <c r="MT24" s="33"/>
      <c r="MU24" s="33"/>
      <c r="MV24" s="33"/>
    </row>
    <row r="25" spans="1:360" ht="0.75" customHeight="1" x14ac:dyDescent="0.25">
      <c r="A25" s="33"/>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c r="CF25" s="33"/>
      <c r="CG25" s="33"/>
      <c r="CH25" s="33"/>
      <c r="CI25" s="33"/>
      <c r="CJ25" s="33"/>
      <c r="CK25" s="33"/>
      <c r="CL25" s="33"/>
      <c r="CM25" s="33"/>
      <c r="CN25" s="33"/>
      <c r="CO25" s="33"/>
      <c r="CP25" s="33"/>
      <c r="CQ25" s="33"/>
      <c r="CR25" s="33"/>
      <c r="CS25" s="33"/>
      <c r="CT25" s="33"/>
      <c r="CU25" s="33"/>
      <c r="CV25" s="33"/>
      <c r="CW25" s="33"/>
      <c r="CX25" s="33"/>
      <c r="CY25" s="33"/>
      <c r="CZ25" s="33"/>
      <c r="DA25" s="33"/>
      <c r="DB25" s="33"/>
      <c r="DC25" s="33"/>
      <c r="DD25" s="33"/>
      <c r="DE25" s="33"/>
      <c r="DF25" s="33"/>
      <c r="DG25" s="33"/>
      <c r="DH25" s="33"/>
      <c r="DI25" s="33"/>
      <c r="DJ25" s="33"/>
      <c r="DK25" s="33"/>
      <c r="DL25" s="33"/>
      <c r="DM25" s="33"/>
      <c r="DN25" s="33"/>
      <c r="DO25" s="33"/>
      <c r="DP25" s="33"/>
      <c r="DQ25" s="33"/>
      <c r="DR25" s="33"/>
      <c r="DS25" s="33"/>
      <c r="DT25" s="33"/>
      <c r="DU25" s="33"/>
      <c r="DV25" s="33"/>
      <c r="DW25" s="33"/>
      <c r="DX25" s="33"/>
      <c r="DY25" s="33"/>
      <c r="DZ25" s="33"/>
      <c r="EA25" s="33"/>
      <c r="EB25" s="33"/>
      <c r="EC25" s="33"/>
      <c r="ED25" s="33"/>
      <c r="EE25" s="33"/>
      <c r="EF25" s="33"/>
      <c r="EG25" s="33"/>
      <c r="EH25" s="33"/>
      <c r="EI25" s="33"/>
      <c r="EJ25" s="33"/>
      <c r="EK25" s="33"/>
      <c r="EL25" s="33"/>
      <c r="EM25" s="33"/>
      <c r="EN25" s="33"/>
      <c r="EO25" s="33"/>
      <c r="EP25" s="33"/>
      <c r="EQ25" s="33"/>
      <c r="ER25" s="33"/>
      <c r="ES25" s="33"/>
      <c r="ET25" s="33"/>
      <c r="EU25" s="33"/>
      <c r="EV25" s="33"/>
      <c r="EW25" s="33"/>
      <c r="EX25" s="33"/>
      <c r="EY25" s="33"/>
      <c r="EZ25" s="33"/>
      <c r="FA25" s="33"/>
      <c r="FB25" s="33"/>
      <c r="FC25" s="33"/>
      <c r="FD25" s="33"/>
      <c r="FE25" s="33"/>
      <c r="FF25" s="33"/>
      <c r="FG25" s="33"/>
      <c r="FH25" s="33"/>
      <c r="FI25" s="33"/>
      <c r="FJ25" s="33"/>
      <c r="FK25" s="33"/>
      <c r="FL25" s="33"/>
      <c r="FM25" s="33"/>
      <c r="FN25" s="33"/>
      <c r="FO25" s="33"/>
      <c r="FP25" s="33"/>
      <c r="FQ25" s="33"/>
      <c r="FR25" s="33"/>
      <c r="FS25" s="33"/>
      <c r="FT25" s="33"/>
      <c r="FU25" s="33"/>
      <c r="FV25" s="33"/>
      <c r="FW25" s="33"/>
      <c r="FX25" s="33"/>
      <c r="FY25" s="33"/>
      <c r="FZ25" s="33"/>
      <c r="GA25" s="33"/>
      <c r="GB25" s="33"/>
      <c r="GC25" s="33"/>
      <c r="GD25" s="33"/>
      <c r="GE25" s="33"/>
      <c r="GF25" s="33"/>
      <c r="GG25" s="33"/>
      <c r="GH25" s="33"/>
      <c r="GI25" s="33"/>
      <c r="GJ25" s="33"/>
      <c r="GK25" s="33"/>
      <c r="GL25" s="33"/>
      <c r="GM25" s="33"/>
      <c r="GN25" s="33"/>
      <c r="GO25" s="33"/>
      <c r="GP25" s="33"/>
      <c r="GQ25" s="33"/>
      <c r="GR25" s="33"/>
      <c r="GS25" s="33"/>
      <c r="GT25" s="33"/>
      <c r="GU25" s="33"/>
      <c r="GV25" s="33"/>
      <c r="GW25" s="33"/>
      <c r="GX25" s="33"/>
      <c r="GY25" s="33"/>
      <c r="GZ25" s="33"/>
      <c r="HA25" s="33"/>
      <c r="HB25" s="33"/>
      <c r="HC25" s="33"/>
      <c r="HD25" s="33"/>
      <c r="HE25" s="33"/>
      <c r="HF25" s="33"/>
      <c r="HG25" s="33"/>
      <c r="HH25" s="33"/>
      <c r="HI25" s="33"/>
      <c r="HJ25" s="33"/>
      <c r="HK25" s="33"/>
      <c r="HL25" s="33"/>
      <c r="HM25" s="33"/>
      <c r="HN25" s="33"/>
      <c r="HO25" s="33"/>
      <c r="HP25" s="33"/>
      <c r="HQ25" s="33"/>
      <c r="HR25" s="33"/>
      <c r="HS25" s="33"/>
      <c r="HT25" s="33"/>
      <c r="HU25" s="33"/>
      <c r="HV25" s="33"/>
      <c r="HW25" s="33"/>
      <c r="HX25" s="33"/>
      <c r="HY25" s="33"/>
      <c r="HZ25" s="33"/>
      <c r="IA25" s="33"/>
      <c r="IB25" s="33"/>
      <c r="IC25" s="33"/>
      <c r="ID25" s="33"/>
      <c r="IE25" s="33"/>
      <c r="IF25" s="33"/>
      <c r="IG25" s="33"/>
      <c r="IH25" s="33"/>
      <c r="II25" s="33"/>
      <c r="IJ25" s="33"/>
      <c r="IK25" s="33"/>
      <c r="IL25" s="33"/>
      <c r="IM25" s="33"/>
      <c r="IN25" s="33"/>
      <c r="IO25" s="33"/>
      <c r="IP25" s="33"/>
      <c r="IQ25" s="33"/>
      <c r="IR25" s="33"/>
      <c r="IS25" s="33"/>
      <c r="IT25" s="33"/>
      <c r="IU25" s="33"/>
      <c r="IV25" s="33"/>
      <c r="IW25" s="33"/>
      <c r="IX25" s="33"/>
      <c r="IY25" s="33"/>
      <c r="IZ25" s="33"/>
      <c r="JA25" s="33"/>
      <c r="JB25" s="33"/>
      <c r="JC25" s="33"/>
      <c r="JD25" s="33"/>
      <c r="JE25" s="33"/>
      <c r="JF25" s="33"/>
      <c r="JG25" s="33"/>
      <c r="JH25" s="33"/>
      <c r="JI25" s="33"/>
      <c r="JJ25" s="33"/>
      <c r="JK25" s="33"/>
      <c r="JL25" s="33"/>
      <c r="JM25" s="33"/>
      <c r="JN25" s="33"/>
      <c r="JO25" s="33"/>
      <c r="JP25" s="33"/>
      <c r="JQ25" s="33"/>
      <c r="JR25" s="33"/>
      <c r="JS25" s="33"/>
      <c r="JT25" s="33"/>
      <c r="JU25" s="33"/>
      <c r="JV25" s="33"/>
      <c r="JW25" s="33"/>
      <c r="JX25" s="33"/>
      <c r="JY25" s="33"/>
      <c r="JZ25" s="33"/>
      <c r="KA25" s="33"/>
      <c r="KB25" s="33"/>
      <c r="KC25" s="33"/>
      <c r="KD25" s="33"/>
      <c r="KE25" s="33"/>
      <c r="KF25" s="33"/>
      <c r="KG25" s="33"/>
      <c r="KH25" s="33"/>
      <c r="KI25" s="33"/>
      <c r="KJ25" s="33"/>
      <c r="KK25" s="33"/>
      <c r="KL25" s="33"/>
      <c r="KM25" s="33"/>
      <c r="KN25" s="33"/>
      <c r="KO25" s="33"/>
      <c r="KP25" s="33"/>
      <c r="KQ25" s="33"/>
      <c r="KR25" s="33"/>
      <c r="KS25" s="33"/>
      <c r="KT25" s="33"/>
      <c r="KU25" s="33"/>
      <c r="KV25" s="33"/>
      <c r="KW25" s="33"/>
      <c r="KX25" s="33"/>
      <c r="KY25" s="33"/>
      <c r="KZ25" s="33"/>
      <c r="LA25" s="33"/>
      <c r="LB25" s="33"/>
      <c r="LC25" s="33"/>
      <c r="LD25" s="33"/>
      <c r="LE25" s="33"/>
      <c r="LF25" s="33"/>
      <c r="LG25" s="33"/>
      <c r="LH25" s="33"/>
      <c r="LI25" s="33"/>
      <c r="LJ25" s="33"/>
      <c r="LK25" s="33"/>
      <c r="LL25" s="33"/>
      <c r="LM25" s="33"/>
      <c r="LN25" s="33"/>
      <c r="LO25" s="33"/>
      <c r="LP25" s="33"/>
      <c r="LQ25" s="33"/>
      <c r="LR25" s="33"/>
      <c r="LS25" s="33"/>
      <c r="LT25" s="33"/>
      <c r="LU25" s="33"/>
      <c r="LV25" s="33"/>
      <c r="LW25" s="33"/>
      <c r="LX25" s="33"/>
      <c r="LY25" s="33"/>
      <c r="LZ25" s="33"/>
      <c r="MA25" s="33"/>
      <c r="MB25" s="33"/>
      <c r="MC25" s="33"/>
      <c r="MD25" s="33"/>
      <c r="ME25" s="33"/>
      <c r="MF25" s="33"/>
      <c r="MG25" s="33"/>
      <c r="MH25" s="33"/>
      <c r="MI25" s="33"/>
      <c r="MJ25" s="33"/>
      <c r="MK25" s="33"/>
      <c r="ML25" s="33"/>
      <c r="MM25" s="33"/>
      <c r="MN25" s="33"/>
      <c r="MO25" s="33"/>
      <c r="MP25" s="33"/>
      <c r="MQ25" s="33"/>
      <c r="MR25" s="33"/>
      <c r="MS25" s="33"/>
      <c r="MT25" s="33"/>
      <c r="MU25" s="33"/>
      <c r="MV25" s="33"/>
    </row>
    <row r="26" spans="1:360" ht="0.75" customHeight="1" x14ac:dyDescent="0.25">
      <c r="A26" s="33"/>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33"/>
      <c r="CG26" s="33"/>
      <c r="CH26" s="33"/>
      <c r="CI26" s="33"/>
      <c r="CJ26" s="33"/>
      <c r="CK26" s="33"/>
      <c r="CL26" s="33"/>
      <c r="CM26" s="33"/>
      <c r="CN26" s="33"/>
      <c r="CO26" s="33"/>
      <c r="CP26" s="33"/>
      <c r="CQ26" s="33"/>
      <c r="CR26" s="33"/>
      <c r="CS26" s="33"/>
      <c r="CT26" s="33"/>
      <c r="CU26" s="33"/>
      <c r="CV26" s="33"/>
      <c r="CW26" s="33"/>
      <c r="CX26" s="33"/>
      <c r="CY26" s="33"/>
      <c r="CZ26" s="33"/>
      <c r="DA26" s="33"/>
      <c r="DB26" s="33"/>
      <c r="DC26" s="33"/>
      <c r="DD26" s="33"/>
      <c r="DE26" s="33"/>
      <c r="DF26" s="33"/>
      <c r="DG26" s="33"/>
      <c r="DH26" s="33"/>
      <c r="DI26" s="33"/>
      <c r="DJ26" s="33"/>
      <c r="DK26" s="33"/>
      <c r="DL26" s="33"/>
      <c r="DM26" s="33"/>
      <c r="DN26" s="33"/>
      <c r="DO26" s="33"/>
      <c r="DP26" s="33"/>
      <c r="DQ26" s="33"/>
      <c r="DR26" s="33"/>
      <c r="DS26" s="33"/>
      <c r="DT26" s="33"/>
      <c r="DU26" s="33"/>
      <c r="DV26" s="33"/>
      <c r="DW26" s="33"/>
      <c r="DX26" s="33"/>
      <c r="DY26" s="33"/>
      <c r="DZ26" s="33"/>
      <c r="EA26" s="33"/>
      <c r="EB26" s="33"/>
      <c r="EC26" s="33"/>
      <c r="ED26" s="33"/>
      <c r="EE26" s="33"/>
      <c r="EF26" s="33"/>
      <c r="EG26" s="33"/>
      <c r="EH26" s="33"/>
      <c r="EI26" s="33"/>
      <c r="EJ26" s="33"/>
      <c r="EK26" s="33"/>
      <c r="EL26" s="33"/>
      <c r="EM26" s="33"/>
      <c r="EN26" s="33"/>
      <c r="EO26" s="33"/>
      <c r="EP26" s="33"/>
      <c r="EQ26" s="33"/>
      <c r="ER26" s="33"/>
      <c r="ES26" s="33"/>
      <c r="ET26" s="33"/>
      <c r="EU26" s="33"/>
      <c r="EV26" s="33"/>
      <c r="EW26" s="33"/>
      <c r="EX26" s="33"/>
      <c r="EY26" s="33"/>
      <c r="EZ26" s="33"/>
      <c r="FA26" s="33"/>
      <c r="FB26" s="33"/>
      <c r="FC26" s="33"/>
      <c r="FD26" s="33"/>
      <c r="FE26" s="33"/>
      <c r="FF26" s="33"/>
      <c r="FG26" s="33"/>
      <c r="FH26" s="33"/>
      <c r="FI26" s="33"/>
      <c r="FJ26" s="33"/>
      <c r="FK26" s="33"/>
      <c r="FL26" s="33"/>
      <c r="FM26" s="33"/>
      <c r="FN26" s="33"/>
      <c r="FO26" s="33"/>
      <c r="FP26" s="33"/>
      <c r="FQ26" s="33"/>
      <c r="FR26" s="33"/>
      <c r="FS26" s="33"/>
      <c r="FT26" s="33"/>
      <c r="FU26" s="33"/>
      <c r="FV26" s="33"/>
      <c r="FW26" s="33"/>
      <c r="FX26" s="33"/>
      <c r="FY26" s="33"/>
      <c r="FZ26" s="33"/>
      <c r="GA26" s="33"/>
      <c r="GB26" s="33"/>
      <c r="GC26" s="33"/>
      <c r="GD26" s="33"/>
      <c r="GE26" s="33"/>
      <c r="GF26" s="33"/>
      <c r="GG26" s="33"/>
      <c r="GH26" s="33"/>
      <c r="GI26" s="33"/>
      <c r="GJ26" s="33"/>
      <c r="GK26" s="33"/>
      <c r="GL26" s="33"/>
      <c r="GM26" s="33"/>
      <c r="GN26" s="33"/>
      <c r="GO26" s="33"/>
      <c r="GP26" s="33"/>
      <c r="GQ26" s="33"/>
      <c r="GR26" s="33"/>
      <c r="GS26" s="33"/>
      <c r="GT26" s="33"/>
      <c r="GU26" s="33"/>
      <c r="GV26" s="33"/>
      <c r="GW26" s="33"/>
      <c r="GX26" s="33"/>
      <c r="GY26" s="33"/>
      <c r="GZ26" s="33"/>
      <c r="HA26" s="33"/>
      <c r="HB26" s="33"/>
      <c r="HC26" s="33"/>
      <c r="HD26" s="33"/>
      <c r="HE26" s="33"/>
      <c r="HF26" s="33"/>
      <c r="HG26" s="33"/>
      <c r="HH26" s="33"/>
      <c r="HI26" s="33"/>
      <c r="HJ26" s="33"/>
      <c r="HK26" s="33"/>
      <c r="HL26" s="33"/>
      <c r="HM26" s="33"/>
      <c r="HN26" s="33"/>
      <c r="HO26" s="33"/>
      <c r="HP26" s="33"/>
      <c r="HQ26" s="33"/>
      <c r="HR26" s="33"/>
      <c r="HS26" s="33"/>
      <c r="HT26" s="33"/>
      <c r="HU26" s="33"/>
      <c r="HV26" s="33"/>
      <c r="HW26" s="33"/>
      <c r="HX26" s="33"/>
      <c r="HY26" s="33"/>
      <c r="HZ26" s="33"/>
      <c r="IA26" s="33"/>
      <c r="IB26" s="33"/>
      <c r="IC26" s="33"/>
      <c r="ID26" s="33"/>
      <c r="IE26" s="33"/>
      <c r="IF26" s="33"/>
      <c r="IG26" s="33"/>
      <c r="IH26" s="33"/>
      <c r="II26" s="33"/>
      <c r="IJ26" s="33"/>
      <c r="IK26" s="33"/>
      <c r="IL26" s="33"/>
      <c r="IM26" s="33"/>
      <c r="IN26" s="33"/>
      <c r="IO26" s="33"/>
      <c r="IP26" s="33"/>
      <c r="IQ26" s="33"/>
      <c r="IR26" s="33"/>
      <c r="IS26" s="33"/>
      <c r="IT26" s="33"/>
      <c r="IU26" s="33"/>
      <c r="IV26" s="33"/>
      <c r="IW26" s="33"/>
      <c r="IX26" s="33"/>
      <c r="IY26" s="33"/>
      <c r="IZ26" s="33"/>
      <c r="JA26" s="33"/>
      <c r="JB26" s="33"/>
      <c r="JC26" s="33"/>
      <c r="JD26" s="33"/>
      <c r="JE26" s="33"/>
      <c r="JF26" s="33"/>
      <c r="JG26" s="33"/>
      <c r="JH26" s="33"/>
      <c r="JI26" s="33"/>
      <c r="JJ26" s="33"/>
      <c r="JK26" s="33"/>
      <c r="JL26" s="33"/>
      <c r="JM26" s="33"/>
      <c r="JN26" s="33"/>
      <c r="JO26" s="33"/>
      <c r="JP26" s="33"/>
      <c r="JQ26" s="33"/>
      <c r="JR26" s="33"/>
      <c r="JS26" s="33"/>
      <c r="JT26" s="33"/>
      <c r="JU26" s="33"/>
      <c r="JV26" s="33"/>
      <c r="JW26" s="33"/>
      <c r="JX26" s="33"/>
      <c r="JY26" s="33"/>
      <c r="JZ26" s="33"/>
      <c r="KA26" s="33"/>
      <c r="KB26" s="33"/>
      <c r="KC26" s="33"/>
      <c r="KD26" s="33"/>
      <c r="KE26" s="33"/>
      <c r="KF26" s="33"/>
      <c r="KG26" s="33"/>
      <c r="KH26" s="33"/>
      <c r="KI26" s="33"/>
      <c r="KJ26" s="33"/>
      <c r="KK26" s="33"/>
      <c r="KL26" s="33"/>
      <c r="KM26" s="33"/>
      <c r="KN26" s="33"/>
      <c r="KO26" s="33"/>
      <c r="KP26" s="33"/>
      <c r="KQ26" s="33"/>
      <c r="KR26" s="33"/>
      <c r="KS26" s="33"/>
      <c r="KT26" s="33"/>
      <c r="KU26" s="33"/>
      <c r="KV26" s="33"/>
      <c r="KW26" s="33"/>
      <c r="KX26" s="33"/>
      <c r="KY26" s="33"/>
      <c r="KZ26" s="33"/>
      <c r="LA26" s="33"/>
      <c r="LB26" s="33"/>
      <c r="LC26" s="33"/>
      <c r="LD26" s="33"/>
      <c r="LE26" s="33"/>
      <c r="LF26" s="33"/>
      <c r="LG26" s="33"/>
      <c r="LH26" s="33"/>
      <c r="LI26" s="33"/>
      <c r="LJ26" s="33"/>
      <c r="LK26" s="33"/>
      <c r="LL26" s="33"/>
      <c r="LM26" s="33"/>
      <c r="LN26" s="33"/>
      <c r="LO26" s="33"/>
      <c r="LP26" s="33"/>
      <c r="LQ26" s="33"/>
      <c r="LR26" s="33"/>
      <c r="LS26" s="33"/>
      <c r="LT26" s="33"/>
      <c r="LU26" s="33"/>
      <c r="LV26" s="33"/>
      <c r="LW26" s="33"/>
      <c r="LX26" s="33"/>
      <c r="LY26" s="33"/>
      <c r="LZ26" s="33"/>
      <c r="MA26" s="33"/>
      <c r="MB26" s="33"/>
      <c r="MC26" s="33"/>
      <c r="MD26" s="33"/>
      <c r="ME26" s="33"/>
      <c r="MF26" s="33"/>
      <c r="MG26" s="33"/>
      <c r="MH26" s="33"/>
      <c r="MI26" s="33"/>
      <c r="MJ26" s="33"/>
      <c r="MK26" s="33"/>
      <c r="ML26" s="33"/>
      <c r="MM26" s="33"/>
      <c r="MN26" s="33"/>
      <c r="MO26" s="33"/>
      <c r="MP26" s="33"/>
      <c r="MQ26" s="33"/>
      <c r="MR26" s="33"/>
      <c r="MS26" s="33"/>
      <c r="MT26" s="33"/>
      <c r="MU26" s="33"/>
      <c r="MV26" s="33"/>
    </row>
    <row r="27" spans="1:360" ht="0.75" customHeight="1" x14ac:dyDescent="0.25">
      <c r="A27" s="33"/>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c r="AO27" s="33"/>
      <c r="AP27" s="33"/>
      <c r="AQ27" s="33"/>
      <c r="AR27" s="33"/>
      <c r="AS27" s="33"/>
      <c r="AT27" s="33"/>
      <c r="AU27" s="33"/>
      <c r="AV27" s="33"/>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33"/>
      <c r="CG27" s="33"/>
      <c r="CH27" s="33"/>
      <c r="CI27" s="33"/>
      <c r="CJ27" s="33"/>
      <c r="CK27" s="33"/>
      <c r="CL27" s="33"/>
      <c r="CM27" s="33"/>
      <c r="CN27" s="33"/>
      <c r="CO27" s="33"/>
      <c r="CP27" s="33"/>
      <c r="CQ27" s="33"/>
      <c r="CR27" s="33"/>
      <c r="CS27" s="33"/>
      <c r="CT27" s="33"/>
      <c r="CU27" s="33"/>
      <c r="CV27" s="33"/>
      <c r="CW27" s="33"/>
      <c r="CX27" s="33"/>
      <c r="CY27" s="33"/>
      <c r="CZ27" s="33"/>
      <c r="DA27" s="33"/>
      <c r="DB27" s="33"/>
      <c r="DC27" s="33"/>
      <c r="DD27" s="33"/>
      <c r="DE27" s="33"/>
      <c r="DF27" s="33"/>
      <c r="DG27" s="33"/>
      <c r="DH27" s="33"/>
      <c r="DI27" s="33"/>
      <c r="DJ27" s="33"/>
      <c r="DK27" s="33"/>
      <c r="DL27" s="33"/>
      <c r="DM27" s="33"/>
      <c r="DN27" s="33"/>
      <c r="DO27" s="33"/>
      <c r="DP27" s="33"/>
      <c r="DQ27" s="33"/>
      <c r="DR27" s="33"/>
      <c r="DS27" s="33"/>
      <c r="DT27" s="33"/>
      <c r="DU27" s="33"/>
      <c r="DV27" s="33"/>
      <c r="DW27" s="33"/>
      <c r="DX27" s="33"/>
      <c r="DY27" s="33"/>
      <c r="DZ27" s="33"/>
      <c r="EA27" s="33"/>
      <c r="EB27" s="33"/>
      <c r="EC27" s="33"/>
      <c r="ED27" s="33"/>
      <c r="EE27" s="33"/>
      <c r="EF27" s="33"/>
      <c r="EG27" s="33"/>
      <c r="EH27" s="33"/>
      <c r="EI27" s="33"/>
      <c r="EJ27" s="33"/>
      <c r="EK27" s="33"/>
      <c r="EL27" s="33"/>
      <c r="EM27" s="33"/>
      <c r="EN27" s="33"/>
      <c r="EO27" s="33"/>
      <c r="EP27" s="33"/>
      <c r="EQ27" s="33"/>
      <c r="ER27" s="33"/>
      <c r="ES27" s="33"/>
      <c r="ET27" s="33"/>
      <c r="EU27" s="33"/>
      <c r="EV27" s="33"/>
      <c r="EW27" s="33"/>
      <c r="EX27" s="33"/>
      <c r="EY27" s="33"/>
      <c r="EZ27" s="33"/>
      <c r="FA27" s="33"/>
      <c r="FB27" s="33"/>
      <c r="FC27" s="33"/>
      <c r="FD27" s="33"/>
      <c r="FE27" s="33"/>
      <c r="FF27" s="33"/>
      <c r="FG27" s="33"/>
      <c r="FH27" s="33"/>
      <c r="FI27" s="33"/>
      <c r="FJ27" s="33"/>
      <c r="FK27" s="33"/>
      <c r="FL27" s="33"/>
      <c r="FM27" s="33"/>
      <c r="FN27" s="33"/>
      <c r="FO27" s="33"/>
      <c r="FP27" s="33"/>
      <c r="FQ27" s="33"/>
      <c r="FR27" s="33"/>
      <c r="FS27" s="33"/>
      <c r="FT27" s="33"/>
      <c r="FU27" s="33"/>
      <c r="FV27" s="33"/>
      <c r="FW27" s="33"/>
      <c r="FX27" s="33"/>
      <c r="FY27" s="33"/>
      <c r="FZ27" s="33"/>
      <c r="GA27" s="33"/>
      <c r="GB27" s="33"/>
      <c r="GC27" s="33"/>
      <c r="GD27" s="33"/>
      <c r="GE27" s="33"/>
      <c r="GF27" s="33"/>
      <c r="GG27" s="33"/>
      <c r="GH27" s="33"/>
      <c r="GI27" s="33"/>
      <c r="GJ27" s="33"/>
      <c r="GK27" s="33"/>
      <c r="GL27" s="33"/>
      <c r="GM27" s="33"/>
      <c r="GN27" s="33"/>
      <c r="GO27" s="33"/>
      <c r="GP27" s="33"/>
      <c r="GQ27" s="33"/>
      <c r="GR27" s="33"/>
      <c r="GS27" s="33"/>
      <c r="GT27" s="33"/>
      <c r="GU27" s="33"/>
      <c r="GV27" s="33"/>
      <c r="GW27" s="33"/>
      <c r="GX27" s="33"/>
      <c r="GY27" s="33"/>
      <c r="GZ27" s="33"/>
      <c r="HA27" s="33"/>
      <c r="HB27" s="33"/>
      <c r="HC27" s="33"/>
      <c r="HD27" s="33"/>
      <c r="HE27" s="33"/>
      <c r="HF27" s="33"/>
      <c r="HG27" s="33"/>
      <c r="HH27" s="33"/>
      <c r="HI27" s="33"/>
      <c r="HJ27" s="33"/>
      <c r="HK27" s="33"/>
      <c r="HL27" s="33"/>
      <c r="HM27" s="33"/>
      <c r="HN27" s="33"/>
      <c r="HO27" s="33"/>
      <c r="HP27" s="33"/>
      <c r="HQ27" s="33"/>
      <c r="HR27" s="33"/>
      <c r="HS27" s="33"/>
      <c r="HT27" s="33"/>
      <c r="HU27" s="33"/>
      <c r="HV27" s="33"/>
      <c r="HW27" s="33"/>
      <c r="HX27" s="33"/>
      <c r="HY27" s="33"/>
      <c r="HZ27" s="33"/>
      <c r="IA27" s="33"/>
      <c r="IB27" s="33"/>
      <c r="IC27" s="33"/>
      <c r="ID27" s="33"/>
      <c r="IE27" s="33"/>
      <c r="IF27" s="33"/>
      <c r="IG27" s="33"/>
      <c r="IH27" s="33"/>
      <c r="II27" s="33"/>
      <c r="IJ27" s="33"/>
      <c r="IK27" s="33"/>
      <c r="IL27" s="33"/>
      <c r="IM27" s="33"/>
      <c r="IN27" s="33"/>
      <c r="IO27" s="33"/>
      <c r="IP27" s="33"/>
      <c r="IQ27" s="33"/>
      <c r="IR27" s="33"/>
      <c r="IS27" s="33"/>
      <c r="IT27" s="33"/>
      <c r="IU27" s="33"/>
      <c r="IV27" s="33"/>
      <c r="IW27" s="33"/>
      <c r="IX27" s="33"/>
      <c r="IY27" s="33"/>
      <c r="IZ27" s="33"/>
      <c r="JA27" s="33"/>
      <c r="JB27" s="33"/>
      <c r="JC27" s="33"/>
      <c r="JD27" s="33"/>
      <c r="JE27" s="33"/>
      <c r="JF27" s="33"/>
      <c r="JG27" s="33"/>
      <c r="JH27" s="33"/>
      <c r="JI27" s="33"/>
      <c r="JJ27" s="33"/>
      <c r="JK27" s="33"/>
      <c r="JL27" s="33"/>
      <c r="JM27" s="33"/>
      <c r="JN27" s="33"/>
      <c r="JO27" s="33"/>
      <c r="JP27" s="33"/>
      <c r="JQ27" s="33"/>
      <c r="JR27" s="33"/>
      <c r="JS27" s="33"/>
      <c r="JT27" s="33"/>
      <c r="JU27" s="33"/>
      <c r="JV27" s="33"/>
      <c r="JW27" s="33"/>
      <c r="JX27" s="33"/>
      <c r="JY27" s="33"/>
      <c r="JZ27" s="33"/>
      <c r="KA27" s="33"/>
      <c r="KB27" s="33"/>
      <c r="KC27" s="33"/>
      <c r="KD27" s="33"/>
      <c r="KE27" s="33"/>
      <c r="KF27" s="33"/>
      <c r="KG27" s="33"/>
      <c r="KH27" s="33"/>
      <c r="KI27" s="33"/>
      <c r="KJ27" s="33"/>
      <c r="KK27" s="33"/>
      <c r="KL27" s="33"/>
      <c r="KM27" s="33"/>
      <c r="KN27" s="33"/>
      <c r="KO27" s="33"/>
      <c r="KP27" s="33"/>
      <c r="KQ27" s="33"/>
      <c r="KR27" s="33"/>
      <c r="KS27" s="33"/>
      <c r="KT27" s="33"/>
      <c r="KU27" s="33"/>
      <c r="KV27" s="33"/>
      <c r="KW27" s="33"/>
      <c r="KX27" s="33"/>
      <c r="KY27" s="33"/>
      <c r="KZ27" s="33"/>
      <c r="LA27" s="33"/>
      <c r="LB27" s="33"/>
      <c r="LC27" s="33"/>
      <c r="LD27" s="33"/>
      <c r="LE27" s="33"/>
      <c r="LF27" s="33"/>
      <c r="LG27" s="33"/>
      <c r="LH27" s="33"/>
      <c r="LI27" s="33"/>
      <c r="LJ27" s="33"/>
      <c r="LK27" s="33"/>
      <c r="LL27" s="33"/>
      <c r="LM27" s="33"/>
      <c r="LN27" s="33"/>
      <c r="LO27" s="33"/>
      <c r="LP27" s="33"/>
      <c r="LQ27" s="33"/>
      <c r="LR27" s="33"/>
      <c r="LS27" s="33"/>
      <c r="LT27" s="33"/>
      <c r="LU27" s="33"/>
      <c r="LV27" s="33"/>
      <c r="LW27" s="33"/>
      <c r="LX27" s="33"/>
      <c r="LY27" s="33"/>
      <c r="LZ27" s="33"/>
      <c r="MA27" s="33"/>
      <c r="MB27" s="33"/>
      <c r="MC27" s="33"/>
      <c r="MD27" s="33"/>
      <c r="ME27" s="33"/>
      <c r="MF27" s="33"/>
      <c r="MG27" s="33"/>
      <c r="MH27" s="33"/>
      <c r="MI27" s="33"/>
      <c r="MJ27" s="33"/>
      <c r="MK27" s="33"/>
      <c r="ML27" s="33"/>
      <c r="MM27" s="33"/>
      <c r="MN27" s="33"/>
      <c r="MO27" s="33"/>
      <c r="MP27" s="33"/>
      <c r="MQ27" s="33"/>
      <c r="MR27" s="33"/>
      <c r="MS27" s="33"/>
      <c r="MT27" s="33"/>
      <c r="MU27" s="33"/>
      <c r="MV27" s="33"/>
    </row>
    <row r="28" spans="1:360" ht="0.75" customHeight="1" x14ac:dyDescent="0.25">
      <c r="A28" s="33"/>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33"/>
      <c r="CG28" s="33"/>
      <c r="CH28" s="33"/>
      <c r="CI28" s="33"/>
      <c r="CJ28" s="33"/>
      <c r="CK28" s="33"/>
      <c r="CL28" s="33"/>
      <c r="CM28" s="33"/>
      <c r="CN28" s="33"/>
      <c r="CO28" s="33"/>
      <c r="CP28" s="33"/>
      <c r="CQ28" s="33"/>
      <c r="CR28" s="33"/>
      <c r="CS28" s="33"/>
      <c r="CT28" s="33"/>
      <c r="CU28" s="33"/>
      <c r="CV28" s="33"/>
      <c r="CW28" s="33"/>
      <c r="CX28" s="33"/>
      <c r="CY28" s="33"/>
      <c r="CZ28" s="33"/>
      <c r="DA28" s="33"/>
      <c r="DB28" s="33"/>
      <c r="DC28" s="33"/>
      <c r="DD28" s="33"/>
      <c r="DE28" s="33"/>
      <c r="DF28" s="33"/>
      <c r="DG28" s="33"/>
      <c r="DH28" s="33"/>
      <c r="DI28" s="33"/>
      <c r="DJ28" s="33"/>
      <c r="DK28" s="33"/>
      <c r="DL28" s="33"/>
      <c r="DM28" s="33"/>
      <c r="DN28" s="33"/>
      <c r="DO28" s="33"/>
      <c r="DP28" s="33"/>
      <c r="DQ28" s="33"/>
      <c r="DR28" s="33"/>
      <c r="DS28" s="33"/>
      <c r="DT28" s="33"/>
      <c r="DU28" s="33"/>
      <c r="DV28" s="33"/>
      <c r="DW28" s="33"/>
      <c r="DX28" s="33"/>
      <c r="DY28" s="33"/>
      <c r="DZ28" s="33"/>
      <c r="EA28" s="33"/>
      <c r="EB28" s="33"/>
      <c r="EC28" s="33"/>
      <c r="ED28" s="33"/>
      <c r="EE28" s="33"/>
      <c r="EF28" s="33"/>
      <c r="EG28" s="33"/>
      <c r="EH28" s="33"/>
      <c r="EI28" s="33"/>
      <c r="EJ28" s="33"/>
      <c r="EK28" s="33"/>
      <c r="EL28" s="33"/>
      <c r="EM28" s="33"/>
      <c r="EN28" s="33"/>
      <c r="EO28" s="33"/>
      <c r="EP28" s="33"/>
      <c r="EQ28" s="33"/>
      <c r="ER28" s="33"/>
      <c r="ES28" s="33"/>
      <c r="ET28" s="33"/>
      <c r="EU28" s="33"/>
      <c r="EV28" s="33"/>
      <c r="EW28" s="33"/>
      <c r="EX28" s="33"/>
      <c r="EY28" s="33"/>
      <c r="EZ28" s="33"/>
      <c r="FA28" s="33"/>
      <c r="FB28" s="33"/>
      <c r="FC28" s="33"/>
      <c r="FD28" s="33"/>
      <c r="FE28" s="33"/>
      <c r="FF28" s="33"/>
      <c r="FG28" s="33"/>
      <c r="FH28" s="33"/>
      <c r="FI28" s="33"/>
      <c r="FJ28" s="33"/>
      <c r="FK28" s="33"/>
      <c r="FL28" s="33"/>
      <c r="FM28" s="33"/>
      <c r="FN28" s="33"/>
      <c r="FO28" s="33"/>
      <c r="FP28" s="33"/>
      <c r="FQ28" s="33"/>
      <c r="FR28" s="33"/>
      <c r="FS28" s="33"/>
      <c r="FT28" s="33"/>
      <c r="FU28" s="33"/>
      <c r="FV28" s="33"/>
      <c r="FW28" s="33"/>
      <c r="FX28" s="33"/>
      <c r="FY28" s="33"/>
      <c r="FZ28" s="33"/>
      <c r="GA28" s="33"/>
      <c r="GB28" s="33"/>
      <c r="GC28" s="33"/>
      <c r="GD28" s="33"/>
      <c r="GE28" s="33"/>
      <c r="GF28" s="33"/>
      <c r="GG28" s="33"/>
      <c r="GH28" s="33"/>
      <c r="GI28" s="33"/>
      <c r="GJ28" s="33"/>
      <c r="GK28" s="33"/>
      <c r="GL28" s="33"/>
      <c r="GM28" s="33"/>
      <c r="GN28" s="33"/>
      <c r="GO28" s="33"/>
      <c r="GP28" s="33"/>
      <c r="GQ28" s="33"/>
      <c r="GR28" s="33"/>
      <c r="GS28" s="33"/>
      <c r="GT28" s="33"/>
      <c r="GU28" s="33"/>
      <c r="GV28" s="33"/>
      <c r="GW28" s="33"/>
      <c r="GX28" s="33"/>
      <c r="GY28" s="33"/>
      <c r="GZ28" s="33"/>
      <c r="HA28" s="33"/>
      <c r="HB28" s="33"/>
      <c r="HC28" s="33"/>
      <c r="HD28" s="33"/>
      <c r="HE28" s="33"/>
      <c r="HF28" s="33"/>
      <c r="HG28" s="33"/>
      <c r="HH28" s="33"/>
      <c r="HI28" s="33"/>
      <c r="HJ28" s="33"/>
      <c r="HK28" s="33"/>
      <c r="HL28" s="33"/>
      <c r="HM28" s="33"/>
      <c r="HN28" s="33"/>
      <c r="HO28" s="33"/>
      <c r="HP28" s="33"/>
      <c r="HQ28" s="33"/>
      <c r="HR28" s="33"/>
      <c r="HS28" s="33"/>
      <c r="HT28" s="33"/>
      <c r="HU28" s="33"/>
      <c r="HV28" s="33"/>
      <c r="HW28" s="33"/>
      <c r="HX28" s="33"/>
      <c r="HY28" s="33"/>
      <c r="HZ28" s="33"/>
      <c r="IA28" s="33"/>
      <c r="IB28" s="33"/>
      <c r="IC28" s="33"/>
      <c r="ID28" s="33"/>
      <c r="IE28" s="33"/>
      <c r="IF28" s="33"/>
      <c r="IG28" s="33"/>
      <c r="IH28" s="33"/>
      <c r="II28" s="33"/>
      <c r="IJ28" s="33"/>
      <c r="IK28" s="33"/>
      <c r="IL28" s="33"/>
      <c r="IM28" s="33"/>
      <c r="IN28" s="33"/>
      <c r="IO28" s="33"/>
      <c r="IP28" s="33"/>
      <c r="IQ28" s="33"/>
      <c r="IR28" s="33"/>
      <c r="IS28" s="33"/>
      <c r="IT28" s="33"/>
      <c r="IU28" s="33"/>
      <c r="IV28" s="33"/>
      <c r="IW28" s="33"/>
      <c r="IX28" s="33"/>
      <c r="IY28" s="33"/>
      <c r="IZ28" s="33"/>
      <c r="JA28" s="33"/>
      <c r="JB28" s="33"/>
      <c r="JC28" s="33"/>
      <c r="JD28" s="33"/>
      <c r="JE28" s="33"/>
      <c r="JF28" s="33"/>
      <c r="JG28" s="33"/>
      <c r="JH28" s="33"/>
      <c r="JI28" s="33"/>
      <c r="JJ28" s="33"/>
      <c r="JK28" s="33"/>
      <c r="JL28" s="33"/>
      <c r="JM28" s="33"/>
      <c r="JN28" s="33"/>
      <c r="JO28" s="33"/>
      <c r="JP28" s="33"/>
      <c r="JQ28" s="33"/>
      <c r="JR28" s="33"/>
      <c r="JS28" s="33"/>
      <c r="JT28" s="33"/>
      <c r="JU28" s="33"/>
      <c r="JV28" s="33"/>
      <c r="JW28" s="33"/>
      <c r="JX28" s="33"/>
      <c r="JY28" s="33"/>
      <c r="JZ28" s="33"/>
      <c r="KA28" s="33"/>
      <c r="KB28" s="33"/>
      <c r="KC28" s="33"/>
      <c r="KD28" s="33"/>
      <c r="KE28" s="33"/>
      <c r="KF28" s="33"/>
      <c r="KG28" s="33"/>
      <c r="KH28" s="33"/>
      <c r="KI28" s="33"/>
      <c r="KJ28" s="33"/>
      <c r="KK28" s="33"/>
      <c r="KL28" s="33"/>
      <c r="KM28" s="33"/>
      <c r="KN28" s="33"/>
      <c r="KO28" s="33"/>
      <c r="KP28" s="33"/>
      <c r="KQ28" s="33"/>
      <c r="KR28" s="33"/>
      <c r="KS28" s="33"/>
      <c r="KT28" s="33"/>
      <c r="KU28" s="33"/>
      <c r="KV28" s="33"/>
      <c r="KW28" s="33"/>
      <c r="KX28" s="33"/>
      <c r="KY28" s="33"/>
      <c r="KZ28" s="33"/>
      <c r="LA28" s="33"/>
      <c r="LB28" s="33"/>
      <c r="LC28" s="33"/>
      <c r="LD28" s="33"/>
      <c r="LE28" s="33"/>
      <c r="LF28" s="33"/>
      <c r="LG28" s="33"/>
      <c r="LH28" s="33"/>
      <c r="LI28" s="33"/>
      <c r="LJ28" s="33"/>
      <c r="LK28" s="33"/>
      <c r="LL28" s="33"/>
      <c r="LM28" s="33"/>
      <c r="LN28" s="33"/>
      <c r="LO28" s="33"/>
      <c r="LP28" s="33"/>
      <c r="LQ28" s="33"/>
      <c r="LR28" s="33"/>
      <c r="LS28" s="33"/>
      <c r="LT28" s="33"/>
      <c r="LU28" s="33"/>
      <c r="LV28" s="33"/>
      <c r="LW28" s="33"/>
      <c r="LX28" s="33"/>
      <c r="LY28" s="33"/>
      <c r="LZ28" s="33"/>
      <c r="MA28" s="33"/>
      <c r="MB28" s="33"/>
      <c r="MC28" s="33"/>
      <c r="MD28" s="33"/>
      <c r="ME28" s="33"/>
      <c r="MF28" s="33"/>
      <c r="MG28" s="33"/>
      <c r="MH28" s="33"/>
      <c r="MI28" s="33"/>
      <c r="MJ28" s="33"/>
      <c r="MK28" s="33"/>
      <c r="ML28" s="33"/>
      <c r="MM28" s="33"/>
      <c r="MN28" s="33"/>
      <c r="MO28" s="33"/>
      <c r="MP28" s="33"/>
      <c r="MQ28" s="33"/>
      <c r="MR28" s="33"/>
      <c r="MS28" s="33"/>
      <c r="MT28" s="33"/>
      <c r="MU28" s="33"/>
      <c r="MV28" s="33"/>
    </row>
    <row r="29" spans="1:360" ht="0.75" customHeight="1" x14ac:dyDescent="0.25">
      <c r="A29" s="33"/>
      <c r="B29" s="33"/>
      <c r="C29" s="33"/>
      <c r="D29" s="33"/>
      <c r="E29" s="33"/>
      <c r="F29" s="33"/>
      <c r="G29" s="33"/>
      <c r="H29" s="33"/>
      <c r="I29" s="33"/>
      <c r="J29" s="33"/>
      <c r="K29" s="33"/>
      <c r="L29" s="33"/>
      <c r="M29" s="33"/>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c r="CF29" s="33"/>
      <c r="CG29" s="33"/>
      <c r="CH29" s="33"/>
      <c r="CI29" s="33"/>
      <c r="CJ29" s="33"/>
      <c r="CK29" s="33"/>
      <c r="CL29" s="33"/>
      <c r="CM29" s="33"/>
      <c r="CN29" s="33"/>
      <c r="CO29" s="33"/>
      <c r="CP29" s="33"/>
      <c r="CQ29" s="33"/>
      <c r="CR29" s="33"/>
      <c r="CS29" s="33"/>
      <c r="CT29" s="33"/>
      <c r="CU29" s="33"/>
      <c r="CV29" s="33"/>
      <c r="CW29" s="33"/>
      <c r="CX29" s="33"/>
      <c r="CY29" s="33"/>
      <c r="CZ29" s="33"/>
      <c r="DA29" s="33"/>
      <c r="DB29" s="33"/>
      <c r="DC29" s="33"/>
      <c r="DD29" s="33"/>
      <c r="DE29" s="33"/>
      <c r="DF29" s="33"/>
      <c r="DG29" s="33"/>
      <c r="DH29" s="33"/>
      <c r="DI29" s="33"/>
      <c r="DJ29" s="33"/>
      <c r="DK29" s="33"/>
      <c r="DL29" s="33"/>
      <c r="DM29" s="33"/>
      <c r="DN29" s="33"/>
      <c r="DO29" s="33"/>
      <c r="DP29" s="33"/>
      <c r="DQ29" s="33"/>
      <c r="DR29" s="33"/>
      <c r="DS29" s="33"/>
      <c r="DT29" s="33"/>
      <c r="DU29" s="33"/>
      <c r="DV29" s="33"/>
      <c r="DW29" s="33"/>
      <c r="DX29" s="33"/>
      <c r="DY29" s="33"/>
      <c r="DZ29" s="33"/>
      <c r="EA29" s="33"/>
      <c r="EB29" s="33"/>
      <c r="EC29" s="33"/>
      <c r="ED29" s="33"/>
      <c r="EE29" s="33"/>
      <c r="EF29" s="33"/>
      <c r="EG29" s="33"/>
      <c r="EH29" s="33"/>
      <c r="EI29" s="33"/>
      <c r="EJ29" s="33"/>
      <c r="EK29" s="33"/>
      <c r="EL29" s="33"/>
      <c r="EM29" s="33"/>
      <c r="EN29" s="33"/>
      <c r="EO29" s="33"/>
      <c r="EP29" s="33"/>
      <c r="EQ29" s="33"/>
      <c r="ER29" s="33"/>
      <c r="ES29" s="33"/>
      <c r="ET29" s="33"/>
      <c r="EU29" s="33"/>
      <c r="EV29" s="33"/>
      <c r="EW29" s="33"/>
      <c r="EX29" s="33"/>
      <c r="EY29" s="33"/>
      <c r="EZ29" s="33"/>
      <c r="FA29" s="33"/>
      <c r="FB29" s="33"/>
      <c r="FC29" s="33"/>
      <c r="FD29" s="33"/>
      <c r="FE29" s="33"/>
      <c r="FF29" s="33"/>
      <c r="FG29" s="33"/>
      <c r="FH29" s="33"/>
      <c r="FI29" s="33"/>
      <c r="FJ29" s="33"/>
      <c r="FK29" s="33"/>
      <c r="FL29" s="33"/>
      <c r="FM29" s="33"/>
      <c r="FN29" s="33"/>
      <c r="FO29" s="33"/>
      <c r="FP29" s="33"/>
      <c r="FQ29" s="33"/>
      <c r="FR29" s="33"/>
      <c r="FS29" s="33"/>
      <c r="FT29" s="33"/>
      <c r="FU29" s="33"/>
      <c r="FV29" s="33"/>
      <c r="FW29" s="33"/>
      <c r="FX29" s="33"/>
      <c r="FY29" s="33"/>
      <c r="FZ29" s="33"/>
      <c r="GA29" s="33"/>
      <c r="GB29" s="33"/>
      <c r="GC29" s="33"/>
      <c r="GD29" s="33"/>
      <c r="GE29" s="33"/>
      <c r="GF29" s="33"/>
      <c r="GG29" s="33"/>
      <c r="GH29" s="33"/>
      <c r="GI29" s="33"/>
      <c r="GJ29" s="33"/>
      <c r="GK29" s="33"/>
      <c r="GL29" s="33"/>
      <c r="GM29" s="33"/>
      <c r="GN29" s="33"/>
      <c r="GO29" s="33"/>
      <c r="GP29" s="33"/>
      <c r="GQ29" s="33"/>
      <c r="GR29" s="33"/>
      <c r="GS29" s="33"/>
      <c r="GT29" s="33"/>
      <c r="GU29" s="33"/>
      <c r="GV29" s="33"/>
      <c r="GW29" s="33"/>
      <c r="GX29" s="33"/>
      <c r="GY29" s="33"/>
      <c r="GZ29" s="33"/>
      <c r="HA29" s="33"/>
      <c r="HB29" s="33"/>
      <c r="HC29" s="33"/>
      <c r="HD29" s="33"/>
      <c r="HE29" s="33"/>
      <c r="HF29" s="33"/>
      <c r="HG29" s="33"/>
      <c r="HH29" s="33"/>
      <c r="HI29" s="33"/>
      <c r="HJ29" s="33"/>
      <c r="HK29" s="33"/>
      <c r="HL29" s="33"/>
      <c r="HM29" s="33"/>
      <c r="HN29" s="33"/>
      <c r="HO29" s="33"/>
      <c r="HP29" s="33"/>
      <c r="HQ29" s="33"/>
      <c r="HR29" s="33"/>
      <c r="HS29" s="33"/>
      <c r="HT29" s="33"/>
      <c r="HU29" s="33"/>
      <c r="HV29" s="33"/>
      <c r="HW29" s="33"/>
      <c r="HX29" s="33"/>
      <c r="HY29" s="33"/>
      <c r="HZ29" s="33"/>
      <c r="IA29" s="33"/>
      <c r="IB29" s="33"/>
      <c r="IC29" s="33"/>
      <c r="ID29" s="33"/>
      <c r="IE29" s="33"/>
      <c r="IF29" s="33"/>
      <c r="IG29" s="33"/>
      <c r="IH29" s="33"/>
      <c r="II29" s="33"/>
      <c r="IJ29" s="33"/>
      <c r="IK29" s="33"/>
      <c r="IL29" s="33"/>
      <c r="IM29" s="33"/>
      <c r="IN29" s="33"/>
      <c r="IO29" s="33"/>
      <c r="IP29" s="33"/>
      <c r="IQ29" s="33"/>
      <c r="IR29" s="33"/>
      <c r="IS29" s="33"/>
      <c r="IT29" s="33"/>
      <c r="IU29" s="33"/>
      <c r="IV29" s="33"/>
      <c r="IW29" s="33"/>
      <c r="IX29" s="33"/>
      <c r="IY29" s="33"/>
      <c r="IZ29" s="33"/>
      <c r="JA29" s="33"/>
      <c r="JB29" s="33"/>
      <c r="JC29" s="33"/>
      <c r="JD29" s="33"/>
      <c r="JE29" s="33"/>
      <c r="JF29" s="33"/>
      <c r="JG29" s="33"/>
      <c r="JH29" s="33"/>
      <c r="JI29" s="33"/>
      <c r="JJ29" s="33"/>
      <c r="JK29" s="33"/>
      <c r="JL29" s="33"/>
      <c r="JM29" s="33"/>
      <c r="JN29" s="33"/>
      <c r="JO29" s="33"/>
      <c r="JP29" s="33"/>
      <c r="JQ29" s="33"/>
      <c r="JR29" s="33"/>
      <c r="JS29" s="33"/>
      <c r="JT29" s="33"/>
      <c r="JU29" s="33"/>
      <c r="JV29" s="33"/>
      <c r="JW29" s="33"/>
      <c r="JX29" s="33"/>
      <c r="JY29" s="33"/>
      <c r="JZ29" s="33"/>
      <c r="KA29" s="33"/>
      <c r="KB29" s="33"/>
      <c r="KC29" s="33"/>
      <c r="KD29" s="33"/>
      <c r="KE29" s="33"/>
      <c r="KF29" s="33"/>
      <c r="KG29" s="33"/>
      <c r="KH29" s="33"/>
      <c r="KI29" s="33"/>
      <c r="KJ29" s="33"/>
      <c r="KK29" s="33"/>
      <c r="KL29" s="33"/>
      <c r="KM29" s="33"/>
      <c r="KN29" s="33"/>
      <c r="KO29" s="33"/>
      <c r="KP29" s="33"/>
      <c r="KQ29" s="33"/>
      <c r="KR29" s="33"/>
      <c r="KS29" s="33"/>
      <c r="KT29" s="33"/>
      <c r="KU29" s="33"/>
      <c r="KV29" s="33"/>
      <c r="KW29" s="33"/>
      <c r="KX29" s="33"/>
      <c r="KY29" s="33"/>
      <c r="KZ29" s="33"/>
      <c r="LA29" s="33"/>
      <c r="LB29" s="33"/>
      <c r="LC29" s="33"/>
      <c r="LD29" s="33"/>
      <c r="LE29" s="33"/>
      <c r="LF29" s="33"/>
      <c r="LG29" s="33"/>
      <c r="LH29" s="33"/>
      <c r="LI29" s="33"/>
      <c r="LJ29" s="33"/>
      <c r="LK29" s="33"/>
      <c r="LL29" s="33"/>
      <c r="LM29" s="33"/>
      <c r="LN29" s="33"/>
      <c r="LO29" s="33"/>
      <c r="LP29" s="33"/>
      <c r="LQ29" s="33"/>
      <c r="LR29" s="33"/>
      <c r="LS29" s="33"/>
      <c r="LT29" s="33"/>
      <c r="LU29" s="33"/>
      <c r="LV29" s="33"/>
      <c r="LW29" s="33"/>
      <c r="LX29" s="33"/>
      <c r="LY29" s="33"/>
      <c r="LZ29" s="33"/>
      <c r="MA29" s="33"/>
      <c r="MB29" s="33"/>
      <c r="MC29" s="33"/>
      <c r="MD29" s="33"/>
      <c r="ME29" s="33"/>
      <c r="MF29" s="33"/>
      <c r="MG29" s="33"/>
      <c r="MH29" s="33"/>
      <c r="MI29" s="33"/>
      <c r="MJ29" s="33"/>
      <c r="MK29" s="33"/>
      <c r="ML29" s="33"/>
      <c r="MM29" s="33"/>
      <c r="MN29" s="33"/>
      <c r="MO29" s="33"/>
      <c r="MP29" s="33"/>
      <c r="MQ29" s="33"/>
      <c r="MR29" s="33"/>
      <c r="MS29" s="33"/>
      <c r="MT29" s="33"/>
      <c r="MU29" s="33"/>
      <c r="MV29" s="33"/>
    </row>
    <row r="30" spans="1:360" ht="0.75" customHeight="1" x14ac:dyDescent="0.25">
      <c r="A30" s="33"/>
      <c r="B30" s="33"/>
      <c r="C30" s="33"/>
      <c r="D30" s="33"/>
      <c r="E30" s="33"/>
      <c r="F30" s="33"/>
      <c r="G30" s="33"/>
      <c r="H30" s="33"/>
      <c r="I30" s="33"/>
      <c r="J30" s="33"/>
      <c r="K30" s="33"/>
      <c r="L30" s="33"/>
      <c r="M30" s="33"/>
      <c r="N30" s="33"/>
      <c r="O30" s="33"/>
      <c r="P30" s="33"/>
      <c r="Q30" s="33"/>
      <c r="R30" s="33"/>
      <c r="S30" s="33"/>
      <c r="T30" s="33"/>
      <c r="U30" s="33"/>
      <c r="V30" s="33"/>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33"/>
      <c r="CG30" s="33"/>
      <c r="CH30" s="33"/>
      <c r="CI30" s="33"/>
      <c r="CJ30" s="33"/>
      <c r="CK30" s="33"/>
      <c r="CL30" s="33"/>
      <c r="CM30" s="33"/>
      <c r="CN30" s="33"/>
      <c r="CO30" s="33"/>
      <c r="CP30" s="33"/>
      <c r="CQ30" s="33"/>
      <c r="CR30" s="33"/>
      <c r="CS30" s="33"/>
      <c r="CT30" s="33"/>
      <c r="CU30" s="33"/>
      <c r="CV30" s="33"/>
      <c r="CW30" s="33"/>
      <c r="CX30" s="33"/>
      <c r="CY30" s="33"/>
      <c r="CZ30" s="33"/>
      <c r="DA30" s="33"/>
      <c r="DB30" s="33"/>
      <c r="DC30" s="33"/>
      <c r="DD30" s="33"/>
      <c r="DE30" s="33"/>
      <c r="DF30" s="33"/>
      <c r="DG30" s="33"/>
      <c r="DH30" s="33"/>
      <c r="DI30" s="33"/>
      <c r="DJ30" s="33"/>
      <c r="DK30" s="33"/>
      <c r="DL30" s="33"/>
      <c r="DM30" s="33"/>
      <c r="DN30" s="33"/>
      <c r="DO30" s="33"/>
      <c r="DP30" s="33"/>
      <c r="DQ30" s="33"/>
      <c r="DR30" s="33"/>
      <c r="DS30" s="33"/>
      <c r="DT30" s="33"/>
      <c r="DU30" s="33"/>
      <c r="DV30" s="33"/>
      <c r="DW30" s="33"/>
      <c r="DX30" s="33"/>
      <c r="DY30" s="33"/>
      <c r="DZ30" s="33"/>
      <c r="EA30" s="33"/>
      <c r="EB30" s="33"/>
      <c r="EC30" s="33"/>
      <c r="ED30" s="33"/>
      <c r="EE30" s="33"/>
      <c r="EF30" s="33"/>
      <c r="EG30" s="33"/>
      <c r="EH30" s="33"/>
      <c r="EI30" s="33"/>
      <c r="EJ30" s="33"/>
      <c r="EK30" s="33"/>
      <c r="EL30" s="33"/>
      <c r="EM30" s="33"/>
      <c r="EN30" s="33"/>
      <c r="EO30" s="33"/>
      <c r="EP30" s="33"/>
      <c r="EQ30" s="33"/>
      <c r="ER30" s="33"/>
      <c r="ES30" s="33"/>
      <c r="ET30" s="33"/>
      <c r="EU30" s="33"/>
      <c r="EV30" s="33"/>
      <c r="EW30" s="33"/>
      <c r="EX30" s="33"/>
      <c r="EY30" s="33"/>
      <c r="EZ30" s="33"/>
      <c r="FA30" s="33"/>
      <c r="FB30" s="33"/>
      <c r="FC30" s="33"/>
      <c r="FD30" s="33"/>
      <c r="FE30" s="33"/>
      <c r="FF30" s="33"/>
      <c r="FG30" s="33"/>
      <c r="FH30" s="33"/>
      <c r="FI30" s="33"/>
      <c r="FJ30" s="33"/>
      <c r="FK30" s="33"/>
      <c r="FL30" s="33"/>
      <c r="FM30" s="33"/>
      <c r="FN30" s="33"/>
      <c r="FO30" s="33"/>
      <c r="FP30" s="33"/>
      <c r="FQ30" s="33"/>
      <c r="FR30" s="33"/>
      <c r="FS30" s="33"/>
      <c r="FT30" s="33"/>
      <c r="FU30" s="33"/>
      <c r="FV30" s="33"/>
      <c r="FW30" s="33"/>
      <c r="FX30" s="33"/>
      <c r="FY30" s="33"/>
      <c r="FZ30" s="33"/>
      <c r="GA30" s="33"/>
      <c r="GB30" s="33"/>
      <c r="GC30" s="33"/>
      <c r="GD30" s="33"/>
      <c r="GE30" s="33"/>
      <c r="GF30" s="33"/>
      <c r="GG30" s="33"/>
      <c r="GH30" s="33"/>
      <c r="GI30" s="33"/>
      <c r="GJ30" s="33"/>
      <c r="GK30" s="33"/>
      <c r="GL30" s="33"/>
      <c r="GM30" s="33"/>
      <c r="GN30" s="33"/>
      <c r="GO30" s="33"/>
      <c r="GP30" s="33"/>
      <c r="GQ30" s="33"/>
      <c r="GR30" s="33"/>
      <c r="GS30" s="33"/>
      <c r="GT30" s="33"/>
      <c r="GU30" s="33"/>
      <c r="GV30" s="33"/>
      <c r="GW30" s="33"/>
      <c r="GX30" s="33"/>
      <c r="GY30" s="33"/>
      <c r="GZ30" s="33"/>
      <c r="HA30" s="33"/>
      <c r="HB30" s="33"/>
      <c r="HC30" s="33"/>
      <c r="HD30" s="33"/>
      <c r="HE30" s="33"/>
      <c r="HF30" s="33"/>
      <c r="HG30" s="33"/>
      <c r="HH30" s="33"/>
      <c r="HI30" s="33"/>
      <c r="HJ30" s="33"/>
      <c r="HK30" s="33"/>
      <c r="HL30" s="33"/>
      <c r="HM30" s="33"/>
      <c r="HN30" s="33"/>
      <c r="HO30" s="33"/>
      <c r="HP30" s="33"/>
      <c r="HQ30" s="33"/>
      <c r="HR30" s="33"/>
      <c r="HS30" s="33"/>
      <c r="HT30" s="33"/>
      <c r="HU30" s="33"/>
      <c r="HV30" s="33"/>
      <c r="HW30" s="33"/>
      <c r="HX30" s="33"/>
      <c r="HY30" s="33"/>
      <c r="HZ30" s="33"/>
      <c r="IA30" s="33"/>
      <c r="IB30" s="33"/>
      <c r="IC30" s="33"/>
      <c r="ID30" s="33"/>
      <c r="IE30" s="33"/>
      <c r="IF30" s="33"/>
      <c r="IG30" s="33"/>
      <c r="IH30" s="33"/>
      <c r="II30" s="33"/>
      <c r="IJ30" s="33"/>
      <c r="IK30" s="33"/>
      <c r="IL30" s="33"/>
      <c r="IM30" s="33"/>
      <c r="IN30" s="33"/>
      <c r="IO30" s="33"/>
      <c r="IP30" s="33"/>
      <c r="IQ30" s="33"/>
      <c r="IR30" s="33"/>
      <c r="IS30" s="33"/>
      <c r="IT30" s="33"/>
      <c r="IU30" s="33"/>
      <c r="IV30" s="33"/>
      <c r="IW30" s="33"/>
      <c r="IX30" s="33"/>
      <c r="IY30" s="33"/>
      <c r="IZ30" s="33"/>
      <c r="JA30" s="33"/>
      <c r="JB30" s="33"/>
      <c r="JC30" s="33"/>
      <c r="JD30" s="33"/>
      <c r="JE30" s="33"/>
      <c r="JF30" s="33"/>
      <c r="JG30" s="33"/>
      <c r="JH30" s="33"/>
      <c r="JI30" s="33"/>
      <c r="JJ30" s="33"/>
      <c r="JK30" s="33"/>
      <c r="JL30" s="33"/>
      <c r="JM30" s="33"/>
      <c r="JN30" s="33"/>
      <c r="JO30" s="33"/>
      <c r="JP30" s="33"/>
      <c r="JQ30" s="33"/>
      <c r="JR30" s="33"/>
      <c r="JS30" s="33"/>
      <c r="JT30" s="33"/>
      <c r="JU30" s="33"/>
      <c r="JV30" s="33"/>
      <c r="JW30" s="33"/>
      <c r="JX30" s="33"/>
      <c r="JY30" s="33"/>
      <c r="JZ30" s="33"/>
      <c r="KA30" s="33"/>
      <c r="KB30" s="33"/>
      <c r="KC30" s="33"/>
      <c r="KD30" s="33"/>
      <c r="KE30" s="33"/>
      <c r="KF30" s="33"/>
      <c r="KG30" s="33"/>
      <c r="KH30" s="33"/>
      <c r="KI30" s="33"/>
      <c r="KJ30" s="33"/>
      <c r="KK30" s="33"/>
      <c r="KL30" s="33"/>
      <c r="KM30" s="33"/>
      <c r="KN30" s="33"/>
      <c r="KO30" s="33"/>
      <c r="KP30" s="33"/>
      <c r="KQ30" s="33"/>
      <c r="KR30" s="33"/>
      <c r="KS30" s="33"/>
      <c r="KT30" s="33"/>
      <c r="KU30" s="33"/>
      <c r="KV30" s="33"/>
      <c r="KW30" s="33"/>
      <c r="KX30" s="33"/>
      <c r="KY30" s="33"/>
      <c r="KZ30" s="33"/>
      <c r="LA30" s="33"/>
      <c r="LB30" s="33"/>
      <c r="LC30" s="33"/>
      <c r="LD30" s="33"/>
      <c r="LE30" s="33"/>
      <c r="LF30" s="33"/>
      <c r="LG30" s="33"/>
      <c r="LH30" s="33"/>
      <c r="LI30" s="33"/>
      <c r="LJ30" s="33"/>
      <c r="LK30" s="33"/>
      <c r="LL30" s="33"/>
      <c r="LM30" s="33"/>
      <c r="LN30" s="33"/>
      <c r="LO30" s="33"/>
      <c r="LP30" s="33"/>
      <c r="LQ30" s="33"/>
      <c r="LR30" s="33"/>
      <c r="LS30" s="33"/>
      <c r="LT30" s="33"/>
      <c r="LU30" s="33"/>
      <c r="LV30" s="33"/>
      <c r="LW30" s="33"/>
      <c r="LX30" s="33"/>
      <c r="LY30" s="33"/>
      <c r="LZ30" s="33"/>
      <c r="MA30" s="33"/>
      <c r="MB30" s="33"/>
      <c r="MC30" s="33"/>
      <c r="MD30" s="33"/>
      <c r="ME30" s="33"/>
      <c r="MF30" s="33"/>
      <c r="MG30" s="33"/>
      <c r="MH30" s="33"/>
      <c r="MI30" s="33"/>
      <c r="MJ30" s="33"/>
      <c r="MK30" s="33"/>
      <c r="ML30" s="33"/>
      <c r="MM30" s="33"/>
      <c r="MN30" s="33"/>
      <c r="MO30" s="33"/>
      <c r="MP30" s="33"/>
      <c r="MQ30" s="33"/>
      <c r="MR30" s="33"/>
      <c r="MS30" s="33"/>
      <c r="MT30" s="33"/>
      <c r="MU30" s="33"/>
      <c r="MV30" s="33"/>
    </row>
    <row r="31" spans="1:360" ht="0.75" customHeight="1" x14ac:dyDescent="0.25">
      <c r="A31" s="33"/>
      <c r="B31" s="33"/>
      <c r="C31" s="33"/>
      <c r="D31" s="33"/>
      <c r="E31" s="33"/>
      <c r="F31" s="33"/>
      <c r="G31" s="33"/>
      <c r="H31" s="33"/>
      <c r="I31" s="33"/>
      <c r="J31" s="33"/>
      <c r="K31" s="33"/>
      <c r="L31" s="33"/>
      <c r="M31" s="33"/>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33"/>
      <c r="CG31" s="33"/>
      <c r="CH31" s="33"/>
      <c r="CI31" s="33"/>
      <c r="CJ31" s="33"/>
      <c r="CK31" s="33"/>
      <c r="CL31" s="33"/>
      <c r="CM31" s="33"/>
      <c r="CN31" s="33"/>
      <c r="CO31" s="33"/>
      <c r="CP31" s="33"/>
      <c r="CQ31" s="33"/>
      <c r="CR31" s="33"/>
      <c r="CS31" s="33"/>
      <c r="CT31" s="33"/>
      <c r="CU31" s="33"/>
      <c r="CV31" s="33"/>
      <c r="CW31" s="33"/>
      <c r="CX31" s="33"/>
      <c r="CY31" s="33"/>
      <c r="CZ31" s="33"/>
      <c r="DA31" s="33"/>
      <c r="DB31" s="33"/>
      <c r="DC31" s="33"/>
      <c r="DD31" s="33"/>
      <c r="DE31" s="33"/>
      <c r="DF31" s="33"/>
      <c r="DG31" s="33"/>
      <c r="DH31" s="33"/>
      <c r="DI31" s="33"/>
      <c r="DJ31" s="33"/>
      <c r="DK31" s="33"/>
      <c r="DL31" s="33"/>
      <c r="DM31" s="33"/>
      <c r="DN31" s="33"/>
      <c r="DO31" s="33"/>
      <c r="DP31" s="33"/>
      <c r="DQ31" s="33"/>
      <c r="DR31" s="33"/>
      <c r="DS31" s="33"/>
      <c r="DT31" s="33"/>
      <c r="DU31" s="33"/>
      <c r="DV31" s="33"/>
      <c r="DW31" s="33"/>
      <c r="DX31" s="33"/>
      <c r="DY31" s="33"/>
      <c r="DZ31" s="33"/>
      <c r="EA31" s="33"/>
      <c r="EB31" s="33"/>
      <c r="EC31" s="33"/>
      <c r="ED31" s="33"/>
      <c r="EE31" s="33"/>
      <c r="EF31" s="33"/>
      <c r="EG31" s="33"/>
      <c r="EH31" s="33"/>
      <c r="EI31" s="33"/>
      <c r="EJ31" s="33"/>
      <c r="EK31" s="33"/>
      <c r="EL31" s="33"/>
      <c r="EM31" s="33"/>
      <c r="EN31" s="33"/>
      <c r="EO31" s="33"/>
      <c r="EP31" s="33"/>
      <c r="EQ31" s="33"/>
      <c r="ER31" s="33"/>
      <c r="ES31" s="33"/>
      <c r="ET31" s="33"/>
      <c r="EU31" s="33"/>
      <c r="EV31" s="33"/>
      <c r="EW31" s="33"/>
      <c r="EX31" s="33"/>
      <c r="EY31" s="33"/>
      <c r="EZ31" s="33"/>
      <c r="FA31" s="33"/>
      <c r="FB31" s="33"/>
      <c r="FC31" s="33"/>
      <c r="FD31" s="33"/>
      <c r="FE31" s="33"/>
      <c r="FF31" s="33"/>
      <c r="FG31" s="33"/>
      <c r="FH31" s="33"/>
      <c r="FI31" s="33"/>
      <c r="FJ31" s="33"/>
      <c r="FK31" s="33"/>
      <c r="FL31" s="33"/>
      <c r="FM31" s="33"/>
      <c r="FN31" s="33"/>
      <c r="FO31" s="33"/>
      <c r="FP31" s="33"/>
      <c r="FQ31" s="33"/>
      <c r="FR31" s="33"/>
      <c r="FS31" s="33"/>
      <c r="FT31" s="33"/>
      <c r="FU31" s="33"/>
      <c r="FV31" s="33"/>
      <c r="FW31" s="33"/>
      <c r="FX31" s="33"/>
      <c r="FY31" s="33"/>
      <c r="FZ31" s="33"/>
      <c r="GA31" s="33"/>
      <c r="GB31" s="33"/>
      <c r="GC31" s="33"/>
      <c r="GD31" s="33"/>
      <c r="GE31" s="33"/>
      <c r="GF31" s="33"/>
      <c r="GG31" s="33"/>
      <c r="GH31" s="33"/>
      <c r="GI31" s="33"/>
      <c r="GJ31" s="33"/>
      <c r="GK31" s="33"/>
      <c r="GL31" s="33"/>
      <c r="GM31" s="33"/>
      <c r="GN31" s="33"/>
      <c r="GO31" s="33"/>
      <c r="GP31" s="33"/>
      <c r="GQ31" s="33"/>
      <c r="GR31" s="33"/>
      <c r="GS31" s="33"/>
      <c r="GT31" s="33"/>
      <c r="GU31" s="33"/>
      <c r="GV31" s="33"/>
      <c r="GW31" s="33"/>
      <c r="GX31" s="33"/>
      <c r="GY31" s="33"/>
      <c r="GZ31" s="33"/>
      <c r="HA31" s="33"/>
      <c r="HB31" s="33"/>
      <c r="HC31" s="33"/>
      <c r="HD31" s="33"/>
      <c r="HE31" s="33"/>
      <c r="HF31" s="33"/>
      <c r="HG31" s="33"/>
      <c r="HH31" s="33"/>
      <c r="HI31" s="33"/>
      <c r="HJ31" s="33"/>
      <c r="HK31" s="33"/>
      <c r="HL31" s="33"/>
      <c r="HM31" s="33"/>
      <c r="HN31" s="33"/>
      <c r="HO31" s="33"/>
      <c r="HP31" s="33"/>
      <c r="HQ31" s="33"/>
      <c r="HR31" s="33"/>
      <c r="HS31" s="33"/>
      <c r="HT31" s="33"/>
      <c r="HU31" s="33"/>
      <c r="HV31" s="33"/>
      <c r="HW31" s="33"/>
      <c r="HX31" s="33"/>
      <c r="HY31" s="33"/>
      <c r="HZ31" s="33"/>
      <c r="IA31" s="33"/>
      <c r="IB31" s="33"/>
      <c r="IC31" s="33"/>
      <c r="ID31" s="33"/>
      <c r="IE31" s="33"/>
      <c r="IF31" s="33"/>
      <c r="IG31" s="33"/>
      <c r="IH31" s="33"/>
      <c r="II31" s="33"/>
      <c r="IJ31" s="33"/>
      <c r="IK31" s="33"/>
      <c r="IL31" s="33"/>
      <c r="IM31" s="33"/>
      <c r="IN31" s="33"/>
      <c r="IO31" s="33"/>
      <c r="IP31" s="33"/>
      <c r="IQ31" s="33"/>
      <c r="IR31" s="33"/>
      <c r="IS31" s="33"/>
      <c r="IT31" s="33"/>
      <c r="IU31" s="33"/>
      <c r="IV31" s="33"/>
      <c r="IW31" s="33"/>
      <c r="IX31" s="33"/>
      <c r="IY31" s="33"/>
      <c r="IZ31" s="33"/>
      <c r="JA31" s="33"/>
      <c r="JB31" s="33"/>
      <c r="JC31" s="33"/>
      <c r="JD31" s="33"/>
      <c r="JE31" s="33"/>
      <c r="JF31" s="33"/>
      <c r="JG31" s="33"/>
      <c r="JH31" s="33"/>
      <c r="JI31" s="33"/>
      <c r="JJ31" s="33"/>
      <c r="JK31" s="33"/>
      <c r="JL31" s="33"/>
      <c r="JM31" s="33"/>
      <c r="JN31" s="33"/>
      <c r="JO31" s="33"/>
      <c r="JP31" s="33"/>
      <c r="JQ31" s="33"/>
      <c r="JR31" s="33"/>
      <c r="JS31" s="33"/>
      <c r="JT31" s="33"/>
      <c r="JU31" s="33"/>
      <c r="JV31" s="33"/>
      <c r="JW31" s="33"/>
      <c r="JX31" s="33"/>
      <c r="JY31" s="33"/>
      <c r="JZ31" s="33"/>
      <c r="KA31" s="33"/>
      <c r="KB31" s="33"/>
      <c r="KC31" s="33"/>
      <c r="KD31" s="33"/>
      <c r="KE31" s="33"/>
      <c r="KF31" s="33"/>
      <c r="KG31" s="33"/>
      <c r="KH31" s="33"/>
      <c r="KI31" s="33"/>
      <c r="KJ31" s="33"/>
      <c r="KK31" s="33"/>
      <c r="KL31" s="33"/>
      <c r="KM31" s="33"/>
      <c r="KN31" s="33"/>
      <c r="KO31" s="33"/>
      <c r="KP31" s="33"/>
      <c r="KQ31" s="33"/>
      <c r="KR31" s="33"/>
      <c r="KS31" s="33"/>
      <c r="KT31" s="33"/>
      <c r="KU31" s="33"/>
      <c r="KV31" s="33"/>
      <c r="KW31" s="33"/>
      <c r="KX31" s="33"/>
      <c r="KY31" s="33"/>
      <c r="KZ31" s="33"/>
      <c r="LA31" s="33"/>
      <c r="LB31" s="33"/>
      <c r="LC31" s="33"/>
      <c r="LD31" s="33"/>
      <c r="LE31" s="33"/>
      <c r="LF31" s="33"/>
      <c r="LG31" s="33"/>
      <c r="LH31" s="33"/>
      <c r="LI31" s="33"/>
      <c r="LJ31" s="33"/>
      <c r="LK31" s="33"/>
      <c r="LL31" s="33"/>
      <c r="LM31" s="33"/>
      <c r="LN31" s="33"/>
      <c r="LO31" s="33"/>
      <c r="LP31" s="33"/>
      <c r="LQ31" s="33"/>
      <c r="LR31" s="33"/>
      <c r="LS31" s="33"/>
      <c r="LT31" s="33"/>
      <c r="LU31" s="33"/>
      <c r="LV31" s="33"/>
      <c r="LW31" s="33"/>
      <c r="LX31" s="33"/>
      <c r="LY31" s="33"/>
      <c r="LZ31" s="33"/>
      <c r="MA31" s="33"/>
      <c r="MB31" s="33"/>
      <c r="MC31" s="33"/>
      <c r="MD31" s="33"/>
      <c r="ME31" s="33"/>
      <c r="MF31" s="33"/>
      <c r="MG31" s="33"/>
      <c r="MH31" s="33"/>
      <c r="MI31" s="33"/>
      <c r="MJ31" s="33"/>
      <c r="MK31" s="33"/>
      <c r="ML31" s="33"/>
      <c r="MM31" s="33"/>
      <c r="MN31" s="33"/>
      <c r="MO31" s="33"/>
      <c r="MP31" s="33"/>
      <c r="MQ31" s="33"/>
      <c r="MR31" s="33"/>
      <c r="MS31" s="33"/>
      <c r="MT31" s="33"/>
      <c r="MU31" s="33"/>
      <c r="MV31" s="33"/>
    </row>
    <row r="32" spans="1:360" ht="0.75" customHeight="1" x14ac:dyDescent="0.25">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c r="EO32" s="33"/>
      <c r="EP32" s="33"/>
      <c r="EQ32" s="33"/>
      <c r="ER32" s="33"/>
      <c r="ES32" s="33"/>
      <c r="ET32" s="33"/>
      <c r="EU32" s="33"/>
      <c r="EV32" s="33"/>
      <c r="EW32" s="33"/>
      <c r="EX32" s="33"/>
      <c r="EY32" s="33"/>
      <c r="EZ32" s="33"/>
      <c r="FA32" s="33"/>
      <c r="FB32" s="33"/>
      <c r="FC32" s="33"/>
      <c r="FD32" s="33"/>
      <c r="FE32" s="33"/>
      <c r="FF32" s="33"/>
      <c r="FG32" s="33"/>
      <c r="FH32" s="33"/>
      <c r="FI32" s="33"/>
      <c r="FJ32" s="33"/>
      <c r="FK32" s="33"/>
      <c r="FL32" s="33"/>
      <c r="FM32" s="33"/>
      <c r="FN32" s="33"/>
      <c r="FO32" s="33"/>
      <c r="FP32" s="33"/>
      <c r="FQ32" s="33"/>
      <c r="FR32" s="33"/>
      <c r="FS32" s="33"/>
      <c r="FT32" s="33"/>
      <c r="FU32" s="33"/>
      <c r="FV32" s="33"/>
      <c r="FW32" s="33"/>
      <c r="FX32" s="33"/>
      <c r="FY32" s="33"/>
      <c r="FZ32" s="33"/>
      <c r="GA32" s="33"/>
      <c r="GB32" s="33"/>
      <c r="GC32" s="33"/>
      <c r="GD32" s="33"/>
      <c r="GE32" s="33"/>
      <c r="GF32" s="33"/>
      <c r="GG32" s="33"/>
      <c r="GH32" s="33"/>
      <c r="GI32" s="33"/>
      <c r="GJ32" s="33"/>
      <c r="GK32" s="33"/>
      <c r="GL32" s="33"/>
      <c r="GM32" s="33"/>
      <c r="GN32" s="33"/>
      <c r="GO32" s="33"/>
      <c r="GP32" s="33"/>
      <c r="GQ32" s="33"/>
      <c r="GR32" s="33"/>
      <c r="GS32" s="33"/>
      <c r="GT32" s="33"/>
      <c r="GU32" s="33"/>
      <c r="GV32" s="33"/>
      <c r="GW32" s="33"/>
      <c r="GX32" s="33"/>
      <c r="GY32" s="33"/>
      <c r="GZ32" s="33"/>
      <c r="HA32" s="33"/>
      <c r="HB32" s="33"/>
      <c r="HC32" s="33"/>
      <c r="HD32" s="33"/>
      <c r="HE32" s="33"/>
      <c r="HF32" s="33"/>
      <c r="HG32" s="33"/>
      <c r="HH32" s="33"/>
      <c r="HI32" s="33"/>
      <c r="HJ32" s="33"/>
      <c r="HK32" s="33"/>
      <c r="HL32" s="33"/>
      <c r="HM32" s="33"/>
      <c r="HN32" s="33"/>
      <c r="HO32" s="33"/>
      <c r="HP32" s="33"/>
      <c r="HQ32" s="33"/>
      <c r="HR32" s="33"/>
      <c r="HS32" s="33"/>
      <c r="HT32" s="33"/>
      <c r="HU32" s="33"/>
      <c r="HV32" s="33"/>
      <c r="HW32" s="33"/>
      <c r="HX32" s="33"/>
      <c r="HY32" s="33"/>
      <c r="HZ32" s="33"/>
      <c r="IA32" s="33"/>
      <c r="IB32" s="33"/>
      <c r="IC32" s="33"/>
      <c r="ID32" s="33"/>
      <c r="IE32" s="33"/>
      <c r="IF32" s="33"/>
      <c r="IG32" s="33"/>
      <c r="IH32" s="33"/>
      <c r="II32" s="33"/>
      <c r="IJ32" s="33"/>
      <c r="IK32" s="33"/>
      <c r="IL32" s="33"/>
      <c r="IM32" s="33"/>
      <c r="IN32" s="33"/>
      <c r="IO32" s="33"/>
      <c r="IP32" s="33"/>
      <c r="IQ32" s="33"/>
      <c r="IR32" s="33"/>
      <c r="IS32" s="33"/>
      <c r="IT32" s="33"/>
      <c r="IU32" s="33"/>
      <c r="IV32" s="33"/>
      <c r="IW32" s="33"/>
      <c r="IX32" s="33"/>
      <c r="IY32" s="33"/>
      <c r="IZ32" s="33"/>
      <c r="JA32" s="33"/>
      <c r="JB32" s="33"/>
      <c r="JC32" s="33"/>
      <c r="JD32" s="33"/>
      <c r="JE32" s="33"/>
      <c r="JF32" s="33"/>
      <c r="JG32" s="33"/>
      <c r="JH32" s="33"/>
      <c r="JI32" s="33"/>
      <c r="JJ32" s="33"/>
      <c r="JK32" s="33"/>
      <c r="JL32" s="33"/>
      <c r="JM32" s="33"/>
      <c r="JN32" s="33"/>
      <c r="JO32" s="33"/>
      <c r="JP32" s="33"/>
      <c r="JQ32" s="33"/>
      <c r="JR32" s="33"/>
      <c r="JS32" s="33"/>
      <c r="JT32" s="33"/>
      <c r="JU32" s="33"/>
      <c r="JV32" s="33"/>
      <c r="JW32" s="33"/>
      <c r="JX32" s="33"/>
      <c r="JY32" s="33"/>
      <c r="JZ32" s="33"/>
      <c r="KA32" s="33"/>
      <c r="KB32" s="33"/>
      <c r="KC32" s="33"/>
      <c r="KD32" s="33"/>
      <c r="KE32" s="33"/>
      <c r="KF32" s="33"/>
      <c r="KG32" s="33"/>
      <c r="KH32" s="33"/>
      <c r="KI32" s="33"/>
      <c r="KJ32" s="33"/>
      <c r="KK32" s="33"/>
      <c r="KL32" s="33"/>
      <c r="KM32" s="33"/>
      <c r="KN32" s="33"/>
      <c r="KO32" s="33"/>
      <c r="KP32" s="33"/>
      <c r="KQ32" s="33"/>
      <c r="KR32" s="33"/>
      <c r="KS32" s="33"/>
      <c r="KT32" s="33"/>
      <c r="KU32" s="33"/>
      <c r="KV32" s="33"/>
      <c r="KW32" s="33"/>
      <c r="KX32" s="33"/>
      <c r="KY32" s="33"/>
      <c r="KZ32" s="33"/>
      <c r="LA32" s="33"/>
      <c r="LB32" s="33"/>
      <c r="LC32" s="33"/>
      <c r="LD32" s="33"/>
      <c r="LE32" s="33"/>
      <c r="LF32" s="33"/>
      <c r="LG32" s="33"/>
      <c r="LH32" s="33"/>
      <c r="LI32" s="33"/>
      <c r="LJ32" s="33"/>
      <c r="LK32" s="33"/>
      <c r="LL32" s="33"/>
      <c r="LM32" s="33"/>
      <c r="LN32" s="33"/>
      <c r="LO32" s="33"/>
      <c r="LP32" s="33"/>
      <c r="LQ32" s="33"/>
      <c r="LR32" s="33"/>
      <c r="LS32" s="33"/>
      <c r="LT32" s="33"/>
      <c r="LU32" s="33"/>
      <c r="LV32" s="33"/>
      <c r="LW32" s="33"/>
      <c r="LX32" s="33"/>
      <c r="LY32" s="33"/>
      <c r="LZ32" s="33"/>
      <c r="MA32" s="33"/>
      <c r="MB32" s="33"/>
      <c r="MC32" s="33"/>
      <c r="MD32" s="33"/>
      <c r="ME32" s="33"/>
      <c r="MF32" s="33"/>
      <c r="MG32" s="33"/>
      <c r="MH32" s="33"/>
      <c r="MI32" s="33"/>
      <c r="MJ32" s="33"/>
      <c r="MK32" s="33"/>
      <c r="ML32" s="33"/>
      <c r="MM32" s="33"/>
      <c r="MN32" s="33"/>
      <c r="MO32" s="33"/>
      <c r="MP32" s="33"/>
      <c r="MQ32" s="33"/>
      <c r="MR32" s="33"/>
      <c r="MS32" s="33"/>
      <c r="MT32" s="33"/>
      <c r="MU32" s="33"/>
      <c r="MV32" s="33"/>
    </row>
    <row r="33" spans="1:360" ht="0.75" customHeight="1" x14ac:dyDescent="0.25">
      <c r="A33" s="33"/>
      <c r="B33" s="33"/>
      <c r="C33" s="33"/>
      <c r="D33" s="33"/>
      <c r="E33" s="33"/>
      <c r="F33" s="33"/>
      <c r="G33" s="33"/>
      <c r="H33" s="33"/>
      <c r="I33" s="33"/>
      <c r="J33" s="33"/>
      <c r="K33" s="33"/>
      <c r="L33" s="33"/>
      <c r="M33" s="33"/>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c r="AN33" s="33"/>
      <c r="AO33" s="33"/>
      <c r="AP33" s="33"/>
      <c r="AQ33" s="33"/>
      <c r="AR33" s="33"/>
      <c r="AS33" s="33"/>
      <c r="AT33" s="33"/>
      <c r="AU33" s="33"/>
      <c r="AV33" s="33"/>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33"/>
      <c r="CG33" s="33"/>
      <c r="CH33" s="33"/>
      <c r="CI33" s="33"/>
      <c r="CJ33" s="33"/>
      <c r="CK33" s="33"/>
      <c r="CL33" s="33"/>
      <c r="CM33" s="33"/>
      <c r="CN33" s="33"/>
      <c r="CO33" s="33"/>
      <c r="CP33" s="33"/>
      <c r="CQ33" s="33"/>
      <c r="CR33" s="33"/>
      <c r="CS33" s="33"/>
      <c r="CT33" s="33"/>
      <c r="CU33" s="33"/>
      <c r="CV33" s="33"/>
      <c r="CW33" s="33"/>
      <c r="CX33" s="33"/>
      <c r="CY33" s="33"/>
      <c r="CZ33" s="33"/>
      <c r="DA33" s="33"/>
      <c r="DB33" s="33"/>
      <c r="DC33" s="33"/>
      <c r="DD33" s="33"/>
      <c r="DE33" s="33"/>
      <c r="DF33" s="33"/>
      <c r="DG33" s="33"/>
      <c r="DH33" s="33"/>
      <c r="DI33" s="33"/>
      <c r="DJ33" s="33"/>
      <c r="DK33" s="33"/>
      <c r="DL33" s="33"/>
      <c r="DM33" s="33"/>
      <c r="DN33" s="33"/>
      <c r="DO33" s="33"/>
      <c r="DP33" s="33"/>
      <c r="DQ33" s="33"/>
      <c r="DR33" s="33"/>
      <c r="DS33" s="33"/>
      <c r="DT33" s="33"/>
      <c r="DU33" s="33"/>
      <c r="DV33" s="33"/>
      <c r="DW33" s="33"/>
      <c r="DX33" s="33"/>
      <c r="DY33" s="33"/>
      <c r="DZ33" s="33"/>
      <c r="EA33" s="33"/>
      <c r="EB33" s="33"/>
      <c r="EC33" s="33"/>
      <c r="ED33" s="33"/>
      <c r="EE33" s="33"/>
      <c r="EF33" s="33"/>
      <c r="EG33" s="33"/>
      <c r="EH33" s="33"/>
      <c r="EI33" s="33"/>
      <c r="EJ33" s="33"/>
      <c r="EK33" s="33"/>
      <c r="EL33" s="34"/>
      <c r="EM33" s="35"/>
      <c r="EN33" s="36"/>
      <c r="EO33" s="36"/>
      <c r="EP33" s="36"/>
      <c r="EQ33" s="36"/>
      <c r="ER33" s="36"/>
      <c r="ES33" s="36"/>
      <c r="ET33" s="36"/>
      <c r="EU33" s="36"/>
      <c r="EV33" s="36"/>
      <c r="EW33" s="36"/>
      <c r="EX33" s="36"/>
      <c r="EY33" s="36"/>
      <c r="EZ33" s="36"/>
      <c r="FA33" s="36"/>
      <c r="FB33" s="36"/>
      <c r="FC33" s="37"/>
      <c r="FD33" s="38"/>
      <c r="FE33" s="39"/>
      <c r="FF33" s="33"/>
      <c r="FG33" s="33"/>
      <c r="FH33" s="33"/>
      <c r="FI33" s="33"/>
      <c r="FJ33" s="33"/>
      <c r="FK33" s="33"/>
      <c r="FL33" s="33"/>
      <c r="FM33" s="33"/>
      <c r="FN33" s="33"/>
      <c r="FO33" s="33"/>
      <c r="FP33" s="33"/>
      <c r="FQ33" s="33"/>
      <c r="FR33" s="33"/>
      <c r="FS33" s="33"/>
      <c r="FT33" s="33"/>
      <c r="FU33" s="33"/>
      <c r="FV33" s="33"/>
      <c r="FW33" s="33"/>
      <c r="FX33" s="33"/>
      <c r="FY33" s="33"/>
      <c r="FZ33" s="33"/>
      <c r="GA33" s="33"/>
      <c r="GB33" s="33"/>
      <c r="GC33" s="33"/>
      <c r="GD33" s="33"/>
      <c r="GE33" s="33"/>
      <c r="GF33" s="33"/>
      <c r="GG33" s="34"/>
      <c r="GH33" s="35"/>
      <c r="GI33" s="36"/>
      <c r="GJ33" s="37"/>
      <c r="GK33" s="38"/>
      <c r="GL33" s="39"/>
      <c r="GM33" s="33"/>
      <c r="GN33" s="33"/>
      <c r="GO33" s="33"/>
      <c r="GP33" s="33"/>
      <c r="GQ33" s="33"/>
      <c r="GR33" s="33"/>
      <c r="GS33" s="33"/>
      <c r="GT33" s="33"/>
      <c r="GU33" s="33"/>
      <c r="GV33" s="33"/>
      <c r="GW33" s="33"/>
      <c r="GX33" s="33"/>
      <c r="GY33" s="39"/>
      <c r="GZ33" s="38"/>
      <c r="HA33" s="37"/>
      <c r="HB33" s="36"/>
      <c r="HC33" s="35"/>
      <c r="HD33" s="34"/>
      <c r="HE33" s="33"/>
      <c r="HF33" s="33"/>
      <c r="HG33" s="33"/>
      <c r="HH33" s="33"/>
      <c r="HI33" s="33"/>
      <c r="HJ33" s="33"/>
      <c r="HK33" s="33"/>
      <c r="HL33" s="33"/>
      <c r="HM33" s="33"/>
      <c r="HN33" s="33"/>
      <c r="HO33" s="33"/>
      <c r="HP33" s="33"/>
      <c r="HQ33" s="33"/>
      <c r="HR33" s="33"/>
      <c r="HS33" s="33"/>
      <c r="HT33" s="33"/>
      <c r="HU33" s="33"/>
      <c r="HV33" s="33"/>
      <c r="HW33" s="33"/>
      <c r="HX33" s="33"/>
      <c r="HY33" s="33"/>
      <c r="HZ33" s="33"/>
      <c r="IA33" s="33"/>
      <c r="IB33" s="33"/>
      <c r="IC33" s="33"/>
      <c r="ID33" s="33"/>
      <c r="IE33" s="33"/>
      <c r="IF33" s="33"/>
      <c r="IG33" s="33"/>
      <c r="IH33" s="33"/>
      <c r="II33" s="33"/>
      <c r="IJ33" s="33"/>
      <c r="IK33" s="33"/>
      <c r="IL33" s="33"/>
      <c r="IM33" s="33"/>
      <c r="IN33" s="33"/>
      <c r="IO33" s="33"/>
      <c r="IP33" s="33"/>
      <c r="IQ33" s="33"/>
      <c r="IR33" s="33"/>
      <c r="IS33" s="33"/>
      <c r="IT33" s="33"/>
      <c r="IU33" s="33"/>
      <c r="IV33" s="33"/>
      <c r="IW33" s="33"/>
      <c r="IX33" s="33"/>
      <c r="IY33" s="33"/>
      <c r="IZ33" s="33"/>
      <c r="JA33" s="33"/>
      <c r="JB33" s="33"/>
      <c r="JC33" s="33"/>
      <c r="JD33" s="33"/>
      <c r="JE33" s="33"/>
      <c r="JF33" s="33"/>
      <c r="JG33" s="33"/>
      <c r="JH33" s="33"/>
      <c r="JI33" s="33"/>
      <c r="JJ33" s="33"/>
      <c r="JK33" s="33"/>
      <c r="JL33" s="33"/>
      <c r="JM33" s="33"/>
      <c r="JN33" s="33"/>
      <c r="JO33" s="33"/>
      <c r="JP33" s="33"/>
      <c r="JQ33" s="33"/>
      <c r="JR33" s="33"/>
      <c r="JS33" s="33"/>
      <c r="JT33" s="33"/>
      <c r="JU33" s="33"/>
      <c r="JV33" s="33"/>
      <c r="JW33" s="33"/>
      <c r="JX33" s="33"/>
      <c r="JY33" s="33"/>
      <c r="JZ33" s="33"/>
      <c r="KA33" s="33"/>
      <c r="KB33" s="33"/>
      <c r="KC33" s="33"/>
      <c r="KD33" s="33"/>
      <c r="KE33" s="33"/>
      <c r="KF33" s="33"/>
      <c r="KG33" s="33"/>
      <c r="KH33" s="33"/>
      <c r="KI33" s="33"/>
      <c r="KJ33" s="33"/>
      <c r="KK33" s="33"/>
      <c r="KL33" s="33"/>
      <c r="KM33" s="33"/>
      <c r="KN33" s="33"/>
      <c r="KO33" s="33"/>
      <c r="KP33" s="33"/>
      <c r="KQ33" s="33"/>
      <c r="KR33" s="33"/>
      <c r="KS33" s="33"/>
      <c r="KT33" s="33"/>
      <c r="KU33" s="33"/>
      <c r="KV33" s="33"/>
      <c r="KW33" s="33"/>
      <c r="KX33" s="33"/>
      <c r="KY33" s="33"/>
      <c r="KZ33" s="33"/>
      <c r="LA33" s="33"/>
      <c r="LB33" s="33"/>
      <c r="LC33" s="33"/>
      <c r="LD33" s="33"/>
      <c r="LE33" s="33"/>
      <c r="LF33" s="33"/>
      <c r="LG33" s="33"/>
      <c r="LH33" s="33"/>
      <c r="LI33" s="33"/>
      <c r="LJ33" s="33"/>
      <c r="LK33" s="33"/>
      <c r="LL33" s="33"/>
      <c r="LM33" s="33"/>
      <c r="LN33" s="33"/>
      <c r="LO33" s="33"/>
      <c r="LP33" s="33"/>
      <c r="LQ33" s="33"/>
      <c r="LR33" s="33"/>
      <c r="LS33" s="33"/>
      <c r="LT33" s="33"/>
      <c r="LU33" s="33"/>
      <c r="LV33" s="33"/>
      <c r="LW33" s="33"/>
      <c r="LX33" s="33"/>
      <c r="LY33" s="33"/>
      <c r="LZ33" s="33"/>
      <c r="MA33" s="33"/>
      <c r="MB33" s="33"/>
      <c r="MC33" s="33"/>
      <c r="MD33" s="33"/>
      <c r="ME33" s="33"/>
      <c r="MF33" s="33"/>
      <c r="MG33" s="33"/>
      <c r="MH33" s="33"/>
      <c r="MI33" s="33"/>
      <c r="MJ33" s="33"/>
      <c r="MK33" s="33"/>
      <c r="ML33" s="33"/>
      <c r="MM33" s="33"/>
      <c r="MN33" s="33"/>
      <c r="MO33" s="33"/>
      <c r="MP33" s="33"/>
      <c r="MQ33" s="33"/>
      <c r="MR33" s="33"/>
      <c r="MS33" s="33"/>
      <c r="MT33" s="33"/>
      <c r="MU33" s="33"/>
      <c r="MV33" s="33"/>
    </row>
    <row r="34" spans="1:360" ht="0.75" customHeight="1" x14ac:dyDescent="0.25">
      <c r="A34" s="33"/>
      <c r="B34" s="33"/>
      <c r="C34" s="33"/>
      <c r="D34" s="33"/>
      <c r="E34" s="33"/>
      <c r="F34" s="33"/>
      <c r="G34" s="33"/>
      <c r="H34" s="33"/>
      <c r="I34" s="33"/>
      <c r="J34" s="33"/>
      <c r="K34" s="33"/>
      <c r="L34" s="33"/>
      <c r="M34" s="33"/>
      <c r="N34" s="33"/>
      <c r="O34" s="33"/>
      <c r="P34" s="33"/>
      <c r="Q34" s="33"/>
      <c r="R34" s="33"/>
      <c r="S34" s="33"/>
      <c r="T34" s="33"/>
      <c r="U34" s="33"/>
      <c r="V34" s="33"/>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33"/>
      <c r="CG34" s="33"/>
      <c r="CH34" s="33"/>
      <c r="CI34" s="33"/>
      <c r="CJ34" s="33"/>
      <c r="CK34" s="33"/>
      <c r="CL34" s="33"/>
      <c r="CM34" s="33"/>
      <c r="CN34" s="33"/>
      <c r="CO34" s="33"/>
      <c r="CP34" s="33"/>
      <c r="CQ34" s="33"/>
      <c r="CR34" s="33"/>
      <c r="CS34" s="33"/>
      <c r="CT34" s="33"/>
      <c r="CU34" s="33"/>
      <c r="CV34" s="33"/>
      <c r="CW34" s="33"/>
      <c r="CX34" s="33"/>
      <c r="CY34" s="33"/>
      <c r="CZ34" s="33"/>
      <c r="DA34" s="33"/>
      <c r="DB34" s="33"/>
      <c r="DC34" s="33"/>
      <c r="DD34" s="33"/>
      <c r="DE34" s="33"/>
      <c r="DF34" s="33"/>
      <c r="DG34" s="33"/>
      <c r="DH34" s="33"/>
      <c r="DI34" s="33"/>
      <c r="DJ34" s="33"/>
      <c r="DK34" s="33"/>
      <c r="DL34" s="33"/>
      <c r="DM34" s="33"/>
      <c r="DN34" s="33"/>
      <c r="DO34" s="33"/>
      <c r="DP34" s="33"/>
      <c r="DQ34" s="33"/>
      <c r="DR34" s="33"/>
      <c r="DS34" s="33"/>
      <c r="DT34" s="33"/>
      <c r="DU34" s="33"/>
      <c r="DV34" s="33"/>
      <c r="DW34" s="33"/>
      <c r="DX34" s="33"/>
      <c r="DY34" s="33"/>
      <c r="DZ34" s="33"/>
      <c r="EA34" s="33"/>
      <c r="EB34" s="33"/>
      <c r="EC34" s="33"/>
      <c r="ED34" s="33"/>
      <c r="EE34" s="33"/>
      <c r="EF34" s="33"/>
      <c r="EG34" s="33"/>
      <c r="EH34" s="33"/>
      <c r="EI34" s="33"/>
      <c r="EJ34" s="33"/>
      <c r="EK34" s="33"/>
      <c r="EL34" s="40"/>
      <c r="EM34" s="41"/>
      <c r="EN34" s="42"/>
      <c r="EO34" s="42"/>
      <c r="EP34" s="42"/>
      <c r="EQ34" s="42"/>
      <c r="ER34" s="42"/>
      <c r="ES34" s="42"/>
      <c r="ET34" s="42"/>
      <c r="EU34" s="42"/>
      <c r="EV34" s="42"/>
      <c r="EW34" s="42"/>
      <c r="EX34" s="42"/>
      <c r="EY34" s="42"/>
      <c r="EZ34" s="42"/>
      <c r="FA34" s="42"/>
      <c r="FB34" s="42"/>
      <c r="FC34" s="41"/>
      <c r="FD34" s="43"/>
      <c r="FE34" s="36"/>
      <c r="FF34" s="33"/>
      <c r="FG34" s="33"/>
      <c r="FH34" s="33"/>
      <c r="FI34" s="33"/>
      <c r="FJ34" s="33"/>
      <c r="FK34" s="33"/>
      <c r="FL34" s="33"/>
      <c r="FM34" s="33"/>
      <c r="FN34" s="33"/>
      <c r="FO34" s="33"/>
      <c r="FP34" s="33"/>
      <c r="FQ34" s="33"/>
      <c r="FR34" s="33"/>
      <c r="FS34" s="33"/>
      <c r="FT34" s="33"/>
      <c r="FU34" s="33"/>
      <c r="FV34" s="33"/>
      <c r="FW34" s="33"/>
      <c r="FX34" s="33"/>
      <c r="FY34" s="33"/>
      <c r="FZ34" s="33"/>
      <c r="GA34" s="33"/>
      <c r="GB34" s="33"/>
      <c r="GC34" s="33"/>
      <c r="GD34" s="33"/>
      <c r="GE34" s="33"/>
      <c r="GF34" s="33"/>
      <c r="GG34" s="40"/>
      <c r="GH34" s="41"/>
      <c r="GI34" s="42"/>
      <c r="GJ34" s="41"/>
      <c r="GK34" s="43"/>
      <c r="GL34" s="36"/>
      <c r="GM34" s="33"/>
      <c r="GN34" s="33"/>
      <c r="GO34" s="33"/>
      <c r="GP34" s="33"/>
      <c r="GQ34" s="33"/>
      <c r="GR34" s="33"/>
      <c r="GS34" s="33"/>
      <c r="GT34" s="33"/>
      <c r="GU34" s="33"/>
      <c r="GV34" s="33"/>
      <c r="GW34" s="33"/>
      <c r="GX34" s="33"/>
      <c r="GY34" s="36"/>
      <c r="GZ34" s="43"/>
      <c r="HA34" s="41"/>
      <c r="HB34" s="42"/>
      <c r="HC34" s="41"/>
      <c r="HD34" s="40"/>
      <c r="HE34" s="33"/>
      <c r="HF34" s="33"/>
      <c r="HG34" s="33"/>
      <c r="HH34" s="33"/>
      <c r="HI34" s="33"/>
      <c r="HJ34" s="33"/>
      <c r="HK34" s="33"/>
      <c r="HL34" s="33"/>
      <c r="HM34" s="33"/>
      <c r="HN34" s="33"/>
      <c r="HO34" s="33"/>
      <c r="HP34" s="33"/>
      <c r="HQ34" s="33"/>
      <c r="HR34" s="33"/>
      <c r="HS34" s="33"/>
      <c r="HT34" s="33"/>
      <c r="HU34" s="33"/>
      <c r="HV34" s="33"/>
      <c r="HW34" s="33"/>
      <c r="HX34" s="33"/>
      <c r="HY34" s="33"/>
      <c r="HZ34" s="33"/>
      <c r="IA34" s="33"/>
      <c r="IB34" s="33"/>
      <c r="IC34" s="33"/>
      <c r="ID34" s="33"/>
      <c r="IE34" s="33"/>
      <c r="IF34" s="33"/>
      <c r="IG34" s="33"/>
      <c r="IH34" s="33"/>
      <c r="II34" s="33"/>
      <c r="IJ34" s="33"/>
      <c r="IK34" s="33"/>
      <c r="IL34" s="33"/>
      <c r="IM34" s="33"/>
      <c r="IN34" s="33"/>
      <c r="IO34" s="33"/>
      <c r="IP34" s="33"/>
      <c r="IQ34" s="33"/>
      <c r="IR34" s="33"/>
      <c r="IS34" s="33"/>
      <c r="IT34" s="33"/>
      <c r="IU34" s="33"/>
      <c r="IV34" s="33"/>
      <c r="IW34" s="33"/>
      <c r="IX34" s="33"/>
      <c r="IY34" s="33"/>
      <c r="IZ34" s="33"/>
      <c r="JA34" s="33"/>
      <c r="JB34" s="33"/>
      <c r="JC34" s="33"/>
      <c r="JD34" s="33"/>
      <c r="JE34" s="33"/>
      <c r="JF34" s="33"/>
      <c r="JG34" s="33"/>
      <c r="JH34" s="33"/>
      <c r="JI34" s="33"/>
      <c r="JJ34" s="33"/>
      <c r="JK34" s="33"/>
      <c r="JL34" s="33"/>
      <c r="JM34" s="33"/>
      <c r="JN34" s="33"/>
      <c r="JO34" s="33"/>
      <c r="JP34" s="33"/>
      <c r="JQ34" s="33"/>
      <c r="JR34" s="33"/>
      <c r="JS34" s="33"/>
      <c r="JT34" s="33"/>
      <c r="JU34" s="33"/>
      <c r="JV34" s="33"/>
      <c r="JW34" s="33"/>
      <c r="JX34" s="33"/>
      <c r="JY34" s="33"/>
      <c r="JZ34" s="33"/>
      <c r="KA34" s="33"/>
      <c r="KB34" s="33"/>
      <c r="KC34" s="33"/>
      <c r="KD34" s="33"/>
      <c r="KE34" s="33"/>
      <c r="KF34" s="33"/>
      <c r="KG34" s="33"/>
      <c r="KH34" s="33"/>
      <c r="KI34" s="33"/>
      <c r="KJ34" s="33"/>
      <c r="KK34" s="33"/>
      <c r="KL34" s="33"/>
      <c r="KM34" s="33"/>
      <c r="KN34" s="33"/>
      <c r="KO34" s="33"/>
      <c r="KP34" s="33"/>
      <c r="KQ34" s="33"/>
      <c r="KR34" s="33"/>
      <c r="KS34" s="33"/>
      <c r="KT34" s="33"/>
      <c r="KU34" s="33"/>
      <c r="KV34" s="33"/>
      <c r="KW34" s="33"/>
      <c r="KX34" s="33"/>
      <c r="KY34" s="33"/>
      <c r="KZ34" s="33"/>
      <c r="LA34" s="33"/>
      <c r="LB34" s="33"/>
      <c r="LC34" s="33"/>
      <c r="LD34" s="33"/>
      <c r="LE34" s="33"/>
      <c r="LF34" s="33"/>
      <c r="LG34" s="33"/>
      <c r="LH34" s="33"/>
      <c r="LI34" s="33"/>
      <c r="LJ34" s="33"/>
      <c r="LK34" s="33"/>
      <c r="LL34" s="33"/>
      <c r="LM34" s="33"/>
      <c r="LN34" s="33"/>
      <c r="LO34" s="33"/>
      <c r="LP34" s="33"/>
      <c r="LQ34" s="33"/>
      <c r="LR34" s="33"/>
      <c r="LS34" s="33"/>
      <c r="LT34" s="33"/>
      <c r="LU34" s="33"/>
      <c r="LV34" s="33"/>
      <c r="LW34" s="33"/>
      <c r="LX34" s="33"/>
      <c r="LY34" s="33"/>
      <c r="LZ34" s="33"/>
      <c r="MA34" s="33"/>
      <c r="MB34" s="33"/>
      <c r="MC34" s="33"/>
      <c r="MD34" s="33"/>
      <c r="ME34" s="33"/>
      <c r="MF34" s="33"/>
      <c r="MG34" s="33"/>
      <c r="MH34" s="33"/>
      <c r="MI34" s="33"/>
      <c r="MJ34" s="33"/>
      <c r="MK34" s="33"/>
      <c r="ML34" s="33"/>
      <c r="MM34" s="33"/>
      <c r="MN34" s="33"/>
      <c r="MO34" s="33"/>
      <c r="MP34" s="33"/>
      <c r="MQ34" s="33"/>
      <c r="MR34" s="33"/>
      <c r="MS34" s="33"/>
      <c r="MT34" s="33"/>
      <c r="MU34" s="33"/>
      <c r="MV34" s="33"/>
    </row>
    <row r="35" spans="1:360" ht="0.75" customHeight="1" x14ac:dyDescent="0.25">
      <c r="A35" s="33"/>
      <c r="B35" s="33"/>
      <c r="C35" s="33"/>
      <c r="D35" s="33"/>
      <c r="E35" s="33"/>
      <c r="F35" s="33"/>
      <c r="G35" s="33"/>
      <c r="H35" s="33"/>
      <c r="I35" s="33"/>
      <c r="J35" s="33"/>
      <c r="K35" s="33"/>
      <c r="L35" s="33"/>
      <c r="M35" s="33"/>
      <c r="N35" s="33"/>
      <c r="O35" s="33"/>
      <c r="P35" s="33"/>
      <c r="Q35" s="33"/>
      <c r="R35" s="33"/>
      <c r="S35" s="33"/>
      <c r="T35" s="33"/>
      <c r="U35" s="33"/>
      <c r="V35" s="33"/>
      <c r="W35" s="33"/>
      <c r="X35" s="33"/>
      <c r="Y35" s="33"/>
      <c r="Z35" s="33"/>
      <c r="AA35" s="33"/>
      <c r="AB35" s="33"/>
      <c r="AC35" s="33"/>
      <c r="AD35" s="33"/>
      <c r="AE35" s="33"/>
      <c r="AF35" s="33"/>
      <c r="AG35" s="33"/>
      <c r="AH35" s="33"/>
      <c r="AI35" s="33"/>
      <c r="AJ35" s="33"/>
      <c r="AK35" s="33"/>
      <c r="AL35" s="33"/>
      <c r="AM35" s="33"/>
      <c r="AN35" s="33"/>
      <c r="AO35" s="33"/>
      <c r="AP35" s="33"/>
      <c r="AQ35" s="33"/>
      <c r="AR35" s="33"/>
      <c r="AS35" s="33"/>
      <c r="AT35" s="33"/>
      <c r="AU35" s="33"/>
      <c r="AV35" s="33"/>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33"/>
      <c r="CG35" s="33"/>
      <c r="CH35" s="33"/>
      <c r="CI35" s="33"/>
      <c r="CJ35" s="33"/>
      <c r="CK35" s="33"/>
      <c r="CL35" s="33"/>
      <c r="CM35" s="33"/>
      <c r="CN35" s="33"/>
      <c r="CO35" s="33"/>
      <c r="CP35" s="33"/>
      <c r="CQ35" s="33"/>
      <c r="CR35" s="33"/>
      <c r="CS35" s="33"/>
      <c r="CT35" s="33"/>
      <c r="CU35" s="33"/>
      <c r="CV35" s="33"/>
      <c r="CW35" s="33"/>
      <c r="CX35" s="33"/>
      <c r="CY35" s="33"/>
      <c r="CZ35" s="33"/>
      <c r="DA35" s="33"/>
      <c r="DB35" s="33"/>
      <c r="DC35" s="33"/>
      <c r="DD35" s="33"/>
      <c r="DE35" s="33"/>
      <c r="DF35" s="33"/>
      <c r="DG35" s="33"/>
      <c r="DH35" s="33"/>
      <c r="DI35" s="33"/>
      <c r="DJ35" s="33"/>
      <c r="DK35" s="33"/>
      <c r="DL35" s="33"/>
      <c r="DM35" s="33"/>
      <c r="DN35" s="33"/>
      <c r="DO35" s="33"/>
      <c r="DP35" s="33"/>
      <c r="DQ35" s="33"/>
      <c r="DR35" s="33"/>
      <c r="DS35" s="33"/>
      <c r="DT35" s="33"/>
      <c r="DU35" s="33"/>
      <c r="DV35" s="33"/>
      <c r="DW35" s="33"/>
      <c r="DX35" s="33"/>
      <c r="DY35" s="33"/>
      <c r="DZ35" s="33"/>
      <c r="EA35" s="33"/>
      <c r="EB35" s="33"/>
      <c r="EC35" s="33"/>
      <c r="ED35" s="33"/>
      <c r="EE35" s="33"/>
      <c r="EF35" s="33"/>
      <c r="EG35" s="33"/>
      <c r="EH35" s="33"/>
      <c r="EI35" s="33"/>
      <c r="EJ35" s="33"/>
      <c r="EK35" s="33"/>
      <c r="EL35" s="44"/>
      <c r="EM35" s="41"/>
      <c r="EN35" s="41"/>
      <c r="EO35" s="41"/>
      <c r="EP35" s="41"/>
      <c r="EQ35" s="41"/>
      <c r="ER35" s="41"/>
      <c r="ES35" s="41"/>
      <c r="ET35" s="41"/>
      <c r="EU35" s="41"/>
      <c r="EV35" s="41"/>
      <c r="EW35" s="41"/>
      <c r="EX35" s="41"/>
      <c r="EY35" s="41"/>
      <c r="EZ35" s="41"/>
      <c r="FA35" s="41"/>
      <c r="FB35" s="41"/>
      <c r="FC35" s="41"/>
      <c r="FD35" s="42"/>
      <c r="FE35" s="36"/>
      <c r="FF35" s="33"/>
      <c r="FG35" s="33"/>
      <c r="FH35" s="33"/>
      <c r="FI35" s="33"/>
      <c r="FJ35" s="33"/>
      <c r="FK35" s="33"/>
      <c r="FL35" s="33"/>
      <c r="FM35" s="33"/>
      <c r="FN35" s="33"/>
      <c r="FO35" s="33"/>
      <c r="FP35" s="33"/>
      <c r="FQ35" s="33"/>
      <c r="FR35" s="33"/>
      <c r="FS35" s="33"/>
      <c r="FT35" s="33"/>
      <c r="FU35" s="33"/>
      <c r="FV35" s="33"/>
      <c r="FW35" s="33"/>
      <c r="FX35" s="33"/>
      <c r="FY35" s="33"/>
      <c r="FZ35" s="33"/>
      <c r="GA35" s="33"/>
      <c r="GB35" s="33"/>
      <c r="GC35" s="33"/>
      <c r="GD35" s="33"/>
      <c r="GE35" s="33"/>
      <c r="GF35" s="33"/>
      <c r="GG35" s="44"/>
      <c r="GH35" s="41"/>
      <c r="GI35" s="41"/>
      <c r="GJ35" s="41"/>
      <c r="GK35" s="42"/>
      <c r="GL35" s="36"/>
      <c r="GM35" s="33"/>
      <c r="GN35" s="33"/>
      <c r="GO35" s="33"/>
      <c r="GP35" s="33"/>
      <c r="GQ35" s="33"/>
      <c r="GR35" s="33"/>
      <c r="GS35" s="33"/>
      <c r="GT35" s="33"/>
      <c r="GU35" s="33"/>
      <c r="GV35" s="33"/>
      <c r="GW35" s="33"/>
      <c r="GX35" s="33"/>
      <c r="GY35" s="36"/>
      <c r="GZ35" s="42"/>
      <c r="HA35" s="41"/>
      <c r="HB35" s="41"/>
      <c r="HC35" s="41"/>
      <c r="HD35" s="44"/>
      <c r="HE35" s="33"/>
      <c r="HF35" s="33"/>
      <c r="HG35" s="33"/>
      <c r="HH35" s="33"/>
      <c r="HI35" s="33"/>
      <c r="HJ35" s="33"/>
      <c r="HK35" s="33"/>
      <c r="HL35" s="33"/>
      <c r="HM35" s="33"/>
      <c r="HN35" s="33"/>
      <c r="HO35" s="33"/>
      <c r="HP35" s="33"/>
      <c r="HQ35" s="33"/>
      <c r="HR35" s="33"/>
      <c r="HS35" s="33"/>
      <c r="HT35" s="33"/>
      <c r="HU35" s="33"/>
      <c r="HV35" s="33"/>
      <c r="HW35" s="33"/>
      <c r="HX35" s="33"/>
      <c r="HY35" s="33"/>
      <c r="HZ35" s="33"/>
      <c r="IA35" s="33"/>
      <c r="IB35" s="33"/>
      <c r="IC35" s="33"/>
      <c r="ID35" s="33"/>
      <c r="IE35" s="33"/>
      <c r="IF35" s="33"/>
      <c r="IG35" s="33"/>
      <c r="IH35" s="33"/>
      <c r="II35" s="33"/>
      <c r="IJ35" s="33"/>
      <c r="IK35" s="33"/>
      <c r="IL35" s="33"/>
      <c r="IM35" s="33"/>
      <c r="IN35" s="33"/>
      <c r="IO35" s="33"/>
      <c r="IP35" s="33"/>
      <c r="IQ35" s="33"/>
      <c r="IR35" s="33"/>
      <c r="IS35" s="33"/>
      <c r="IT35" s="33"/>
      <c r="IU35" s="33"/>
      <c r="IV35" s="33"/>
      <c r="IW35" s="33"/>
      <c r="IX35" s="33"/>
      <c r="IY35" s="33"/>
      <c r="IZ35" s="33"/>
      <c r="JA35" s="33"/>
      <c r="JB35" s="33"/>
      <c r="JC35" s="33"/>
      <c r="JD35" s="33"/>
      <c r="JE35" s="33"/>
      <c r="JF35" s="33"/>
      <c r="JG35" s="33"/>
      <c r="JH35" s="33"/>
      <c r="JI35" s="33"/>
      <c r="JJ35" s="33"/>
      <c r="JK35" s="33"/>
      <c r="JL35" s="33"/>
      <c r="JM35" s="33"/>
      <c r="JN35" s="33"/>
      <c r="JO35" s="33"/>
      <c r="JP35" s="33"/>
      <c r="JQ35" s="33"/>
      <c r="JR35" s="33"/>
      <c r="JS35" s="33"/>
      <c r="JT35" s="33"/>
      <c r="JU35" s="33"/>
      <c r="JV35" s="33"/>
      <c r="JW35" s="33"/>
      <c r="JX35" s="33"/>
      <c r="JY35" s="33"/>
      <c r="JZ35" s="33"/>
      <c r="KA35" s="33"/>
      <c r="KB35" s="33"/>
      <c r="KC35" s="33"/>
      <c r="KD35" s="33"/>
      <c r="KE35" s="33"/>
      <c r="KF35" s="33"/>
      <c r="KG35" s="33"/>
      <c r="KH35" s="33"/>
      <c r="KI35" s="33"/>
      <c r="KJ35" s="33"/>
      <c r="KK35" s="33"/>
      <c r="KL35" s="33"/>
      <c r="KM35" s="33"/>
      <c r="KN35" s="33"/>
      <c r="KO35" s="33"/>
      <c r="KP35" s="33"/>
      <c r="KQ35" s="33"/>
      <c r="KR35" s="33"/>
      <c r="KS35" s="33"/>
      <c r="KT35" s="33"/>
      <c r="KU35" s="33"/>
      <c r="KV35" s="33"/>
      <c r="KW35" s="33"/>
      <c r="KX35" s="33"/>
      <c r="KY35" s="33"/>
      <c r="KZ35" s="33"/>
      <c r="LA35" s="33"/>
      <c r="LB35" s="33"/>
      <c r="LC35" s="33"/>
      <c r="LD35" s="33"/>
      <c r="LE35" s="33"/>
      <c r="LF35" s="33"/>
      <c r="LG35" s="33"/>
      <c r="LH35" s="33"/>
      <c r="LI35" s="33"/>
      <c r="LJ35" s="33"/>
      <c r="LK35" s="33"/>
      <c r="LL35" s="33"/>
      <c r="LM35" s="33"/>
      <c r="LN35" s="33"/>
      <c r="LO35" s="33"/>
      <c r="LP35" s="33"/>
      <c r="LQ35" s="33"/>
      <c r="LR35" s="33"/>
      <c r="LS35" s="33"/>
      <c r="LT35" s="33"/>
      <c r="LU35" s="33"/>
      <c r="LV35" s="33"/>
      <c r="LW35" s="33"/>
      <c r="LX35" s="33"/>
      <c r="LY35" s="33"/>
      <c r="LZ35" s="33"/>
      <c r="MA35" s="33"/>
      <c r="MB35" s="33"/>
      <c r="MC35" s="33"/>
      <c r="MD35" s="33"/>
      <c r="ME35" s="33"/>
      <c r="MF35" s="33"/>
      <c r="MG35" s="33"/>
      <c r="MH35" s="33"/>
      <c r="MI35" s="33"/>
      <c r="MJ35" s="33"/>
      <c r="MK35" s="33"/>
      <c r="ML35" s="33"/>
      <c r="MM35" s="33"/>
      <c r="MN35" s="33"/>
      <c r="MO35" s="33"/>
      <c r="MP35" s="33"/>
      <c r="MQ35" s="33"/>
      <c r="MR35" s="33"/>
      <c r="MS35" s="33"/>
      <c r="MT35" s="33"/>
      <c r="MU35" s="33"/>
      <c r="MV35" s="33"/>
    </row>
    <row r="36" spans="1:360" ht="0.75" customHeight="1" x14ac:dyDescent="0.25">
      <c r="A36" s="33"/>
      <c r="B36" s="33"/>
      <c r="C36" s="33"/>
      <c r="D36" s="33"/>
      <c r="E36" s="33"/>
      <c r="F36" s="33"/>
      <c r="G36" s="33"/>
      <c r="H36" s="33"/>
      <c r="I36" s="33"/>
      <c r="J36" s="33"/>
      <c r="K36" s="33"/>
      <c r="L36" s="33"/>
      <c r="M36" s="33"/>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c r="CF36" s="33"/>
      <c r="CG36" s="33"/>
      <c r="CH36" s="33"/>
      <c r="CI36" s="33"/>
      <c r="CJ36" s="33"/>
      <c r="CK36" s="33"/>
      <c r="CL36" s="33"/>
      <c r="CM36" s="33"/>
      <c r="CN36" s="33"/>
      <c r="CO36" s="33"/>
      <c r="CP36" s="33"/>
      <c r="CQ36" s="33"/>
      <c r="CR36" s="33"/>
      <c r="CS36" s="33"/>
      <c r="CT36" s="33"/>
      <c r="CU36" s="33"/>
      <c r="CV36" s="33"/>
      <c r="CW36" s="33"/>
      <c r="CX36" s="33"/>
      <c r="CY36" s="33"/>
      <c r="CZ36" s="33"/>
      <c r="DA36" s="33"/>
      <c r="DB36" s="33"/>
      <c r="DC36" s="33"/>
      <c r="DD36" s="33"/>
      <c r="DE36" s="33"/>
      <c r="DF36" s="33"/>
      <c r="DG36" s="33"/>
      <c r="DH36" s="33"/>
      <c r="DI36" s="33"/>
      <c r="DJ36" s="33"/>
      <c r="DK36" s="33"/>
      <c r="DL36" s="33"/>
      <c r="DM36" s="33"/>
      <c r="DN36" s="33"/>
      <c r="DO36" s="33"/>
      <c r="DP36" s="33"/>
      <c r="DQ36" s="33"/>
      <c r="DR36" s="33"/>
      <c r="DS36" s="33"/>
      <c r="DT36" s="33"/>
      <c r="DU36" s="33"/>
      <c r="DV36" s="33"/>
      <c r="DW36" s="33"/>
      <c r="DX36" s="33"/>
      <c r="DY36" s="33"/>
      <c r="DZ36" s="33"/>
      <c r="EA36" s="33"/>
      <c r="EB36" s="33"/>
      <c r="EC36" s="33"/>
      <c r="ED36" s="33"/>
      <c r="EE36" s="33"/>
      <c r="EF36" s="33"/>
      <c r="EG36" s="33"/>
      <c r="EH36" s="33"/>
      <c r="EI36" s="33"/>
      <c r="EJ36" s="33"/>
      <c r="EK36" s="33"/>
      <c r="EL36" s="44"/>
      <c r="EM36" s="41"/>
      <c r="EN36" s="41"/>
      <c r="EO36" s="41"/>
      <c r="EP36" s="41"/>
      <c r="EQ36" s="41"/>
      <c r="ER36" s="41"/>
      <c r="ES36" s="41"/>
      <c r="ET36" s="41"/>
      <c r="EU36" s="41"/>
      <c r="EV36" s="41"/>
      <c r="EW36" s="41"/>
      <c r="EX36" s="41"/>
      <c r="EY36" s="41"/>
      <c r="EZ36" s="41"/>
      <c r="FA36" s="41"/>
      <c r="FB36" s="41"/>
      <c r="FC36" s="41"/>
      <c r="FD36" s="42"/>
      <c r="FE36" s="36"/>
      <c r="FF36" s="33"/>
      <c r="FG36" s="33"/>
      <c r="FH36" s="33"/>
      <c r="FI36" s="33"/>
      <c r="FJ36" s="33"/>
      <c r="FK36" s="33"/>
      <c r="FL36" s="33"/>
      <c r="FM36" s="33"/>
      <c r="FN36" s="33"/>
      <c r="FO36" s="33"/>
      <c r="FP36" s="33"/>
      <c r="FQ36" s="33"/>
      <c r="FR36" s="33"/>
      <c r="FS36" s="33"/>
      <c r="FT36" s="33"/>
      <c r="FU36" s="33"/>
      <c r="FV36" s="33"/>
      <c r="FW36" s="33"/>
      <c r="FX36" s="33"/>
      <c r="FY36" s="33"/>
      <c r="FZ36" s="33"/>
      <c r="GA36" s="33"/>
      <c r="GB36" s="33"/>
      <c r="GC36" s="33"/>
      <c r="GD36" s="33"/>
      <c r="GE36" s="33"/>
      <c r="GF36" s="33"/>
      <c r="GG36" s="44"/>
      <c r="GH36" s="41"/>
      <c r="GI36" s="41"/>
      <c r="GJ36" s="41"/>
      <c r="GK36" s="42"/>
      <c r="GL36" s="36"/>
      <c r="GM36" s="33"/>
      <c r="GN36" s="33"/>
      <c r="GO36" s="33"/>
      <c r="GP36" s="33"/>
      <c r="GQ36" s="33"/>
      <c r="GR36" s="33"/>
      <c r="GS36" s="33"/>
      <c r="GT36" s="33"/>
      <c r="GU36" s="33"/>
      <c r="GV36" s="33"/>
      <c r="GW36" s="33"/>
      <c r="GX36" s="33"/>
      <c r="GY36" s="36"/>
      <c r="GZ36" s="42"/>
      <c r="HA36" s="41"/>
      <c r="HB36" s="41"/>
      <c r="HC36" s="41"/>
      <c r="HD36" s="44"/>
      <c r="HE36" s="33"/>
      <c r="HF36" s="33"/>
      <c r="HG36" s="33"/>
      <c r="HH36" s="33"/>
      <c r="HI36" s="33"/>
      <c r="HJ36" s="33"/>
      <c r="HK36" s="33"/>
      <c r="HL36" s="33"/>
      <c r="HM36" s="33"/>
      <c r="HN36" s="33"/>
      <c r="HO36" s="33"/>
      <c r="HP36" s="33"/>
      <c r="HQ36" s="33"/>
      <c r="HR36" s="33"/>
      <c r="HS36" s="33"/>
      <c r="HT36" s="33"/>
      <c r="HU36" s="33"/>
      <c r="HV36" s="33"/>
      <c r="HW36" s="33"/>
      <c r="HX36" s="33"/>
      <c r="HY36" s="33"/>
      <c r="HZ36" s="33"/>
      <c r="IA36" s="33"/>
      <c r="IB36" s="33"/>
      <c r="IC36" s="33"/>
      <c r="ID36" s="33"/>
      <c r="IE36" s="33"/>
      <c r="IF36" s="33"/>
      <c r="IG36" s="33"/>
      <c r="IH36" s="33"/>
      <c r="II36" s="33"/>
      <c r="IJ36" s="33"/>
      <c r="IK36" s="33"/>
      <c r="IL36" s="33"/>
      <c r="IM36" s="33"/>
      <c r="IN36" s="33"/>
      <c r="IO36" s="33"/>
      <c r="IP36" s="33"/>
      <c r="IQ36" s="33"/>
      <c r="IR36" s="33"/>
      <c r="IS36" s="33"/>
      <c r="IT36" s="33"/>
      <c r="IU36" s="33"/>
      <c r="IV36" s="33"/>
      <c r="IW36" s="33"/>
      <c r="IX36" s="33"/>
      <c r="IY36" s="33"/>
      <c r="IZ36" s="33"/>
      <c r="JA36" s="33"/>
      <c r="JB36" s="33"/>
      <c r="JC36" s="33"/>
      <c r="JD36" s="33"/>
      <c r="JE36" s="33"/>
      <c r="JF36" s="33"/>
      <c r="JG36" s="33"/>
      <c r="JH36" s="33"/>
      <c r="JI36" s="33"/>
      <c r="JJ36" s="33"/>
      <c r="JK36" s="33"/>
      <c r="JL36" s="33"/>
      <c r="JM36" s="33"/>
      <c r="JN36" s="33"/>
      <c r="JO36" s="33"/>
      <c r="JP36" s="33"/>
      <c r="JQ36" s="33"/>
      <c r="JR36" s="33"/>
      <c r="JS36" s="33"/>
      <c r="JT36" s="33"/>
      <c r="JU36" s="33"/>
      <c r="JV36" s="33"/>
      <c r="JW36" s="33"/>
      <c r="JX36" s="33"/>
      <c r="JY36" s="33"/>
      <c r="JZ36" s="33"/>
      <c r="KA36" s="33"/>
      <c r="KB36" s="33"/>
      <c r="KC36" s="33"/>
      <c r="KD36" s="33"/>
      <c r="KE36" s="33"/>
      <c r="KF36" s="33"/>
      <c r="KG36" s="33"/>
      <c r="KH36" s="33"/>
      <c r="KI36" s="33"/>
      <c r="KJ36" s="33"/>
      <c r="KK36" s="33"/>
      <c r="KL36" s="33"/>
      <c r="KM36" s="33"/>
      <c r="KN36" s="33"/>
      <c r="KO36" s="33"/>
      <c r="KP36" s="33"/>
      <c r="KQ36" s="33"/>
      <c r="KR36" s="33"/>
      <c r="KS36" s="33"/>
      <c r="KT36" s="33"/>
      <c r="KU36" s="33"/>
      <c r="KV36" s="33"/>
      <c r="KW36" s="33"/>
      <c r="KX36" s="33"/>
      <c r="KY36" s="33"/>
      <c r="KZ36" s="33"/>
      <c r="LA36" s="33"/>
      <c r="LB36" s="33"/>
      <c r="LC36" s="33"/>
      <c r="LD36" s="33"/>
      <c r="LE36" s="33"/>
      <c r="LF36" s="33"/>
      <c r="LG36" s="33"/>
      <c r="LH36" s="33"/>
      <c r="LI36" s="33"/>
      <c r="LJ36" s="33"/>
      <c r="LK36" s="33"/>
      <c r="LL36" s="33"/>
      <c r="LM36" s="33"/>
      <c r="LN36" s="33"/>
      <c r="LO36" s="33"/>
      <c r="LP36" s="33"/>
      <c r="LQ36" s="33"/>
      <c r="LR36" s="33"/>
      <c r="LS36" s="33"/>
      <c r="LT36" s="33"/>
      <c r="LU36" s="33"/>
      <c r="LV36" s="33"/>
      <c r="LW36" s="33"/>
      <c r="LX36" s="33"/>
      <c r="LY36" s="33"/>
      <c r="LZ36" s="33"/>
      <c r="MA36" s="33"/>
      <c r="MB36" s="33"/>
      <c r="MC36" s="33"/>
      <c r="MD36" s="33"/>
      <c r="ME36" s="33"/>
      <c r="MF36" s="33"/>
      <c r="MG36" s="33"/>
      <c r="MH36" s="33"/>
      <c r="MI36" s="33"/>
      <c r="MJ36" s="33"/>
      <c r="MK36" s="33"/>
      <c r="ML36" s="33"/>
      <c r="MM36" s="33"/>
      <c r="MN36" s="33"/>
      <c r="MO36" s="33"/>
      <c r="MP36" s="33"/>
      <c r="MQ36" s="33"/>
      <c r="MR36" s="33"/>
      <c r="MS36" s="33"/>
      <c r="MT36" s="33"/>
      <c r="MU36" s="33"/>
      <c r="MV36" s="33"/>
    </row>
    <row r="37" spans="1:360" ht="0.75" customHeight="1" x14ac:dyDescent="0.25">
      <c r="A37" s="33"/>
      <c r="B37" s="33"/>
      <c r="C37" s="33"/>
      <c r="D37" s="33"/>
      <c r="E37" s="33"/>
      <c r="F37" s="33"/>
      <c r="G37" s="33"/>
      <c r="H37" s="33"/>
      <c r="I37" s="33"/>
      <c r="J37" s="33"/>
      <c r="K37" s="33"/>
      <c r="L37" s="33"/>
      <c r="M37" s="33"/>
      <c r="N37" s="33"/>
      <c r="O37" s="33"/>
      <c r="P37" s="33"/>
      <c r="Q37" s="33"/>
      <c r="R37" s="33"/>
      <c r="S37" s="33"/>
      <c r="T37" s="33"/>
      <c r="U37" s="33"/>
      <c r="V37" s="33"/>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33"/>
      <c r="CG37" s="33"/>
      <c r="CH37" s="33"/>
      <c r="CI37" s="33"/>
      <c r="CJ37" s="33"/>
      <c r="CK37" s="33"/>
      <c r="CL37" s="33"/>
      <c r="CM37" s="33"/>
      <c r="CN37" s="33"/>
      <c r="CO37" s="33"/>
      <c r="CP37" s="33"/>
      <c r="CQ37" s="33"/>
      <c r="CR37" s="33"/>
      <c r="CS37" s="33"/>
      <c r="CT37" s="33"/>
      <c r="CU37" s="33"/>
      <c r="CV37" s="33"/>
      <c r="CW37" s="33"/>
      <c r="CX37" s="33"/>
      <c r="CY37" s="33"/>
      <c r="CZ37" s="33"/>
      <c r="DA37" s="33"/>
      <c r="DB37" s="33"/>
      <c r="DC37" s="33"/>
      <c r="DD37" s="33"/>
      <c r="DE37" s="33"/>
      <c r="DF37" s="33"/>
      <c r="DG37" s="33"/>
      <c r="DH37" s="33"/>
      <c r="DI37" s="33"/>
      <c r="DJ37" s="33"/>
      <c r="DK37" s="33"/>
      <c r="DL37" s="33"/>
      <c r="DM37" s="33"/>
      <c r="DN37" s="33"/>
      <c r="DO37" s="33"/>
      <c r="DP37" s="33"/>
      <c r="DQ37" s="33"/>
      <c r="DR37" s="33"/>
      <c r="DS37" s="33"/>
      <c r="DT37" s="33"/>
      <c r="DU37" s="33"/>
      <c r="DV37" s="33"/>
      <c r="DW37" s="33"/>
      <c r="DX37" s="33"/>
      <c r="DY37" s="33"/>
      <c r="DZ37" s="33"/>
      <c r="EA37" s="33"/>
      <c r="EB37" s="33"/>
      <c r="EC37" s="33"/>
      <c r="ED37" s="33"/>
      <c r="EE37" s="33"/>
      <c r="EF37" s="33"/>
      <c r="EG37" s="33"/>
      <c r="EH37" s="33"/>
      <c r="EI37" s="33"/>
      <c r="EJ37" s="33"/>
      <c r="EK37" s="33"/>
      <c r="EL37" s="44"/>
      <c r="EM37" s="41"/>
      <c r="EN37" s="41"/>
      <c r="EO37" s="41"/>
      <c r="EP37" s="41"/>
      <c r="EQ37" s="41"/>
      <c r="ER37" s="41"/>
      <c r="ES37" s="41"/>
      <c r="ET37" s="41"/>
      <c r="EU37" s="41"/>
      <c r="EV37" s="41"/>
      <c r="EW37" s="41"/>
      <c r="EX37" s="41"/>
      <c r="EY37" s="41"/>
      <c r="EZ37" s="41"/>
      <c r="FA37" s="41"/>
      <c r="FB37" s="41"/>
      <c r="FC37" s="41"/>
      <c r="FD37" s="42"/>
      <c r="FE37" s="36"/>
      <c r="FF37" s="33"/>
      <c r="FG37" s="33"/>
      <c r="FH37" s="33"/>
      <c r="FI37" s="33"/>
      <c r="FJ37" s="33"/>
      <c r="FK37" s="33"/>
      <c r="FL37" s="33"/>
      <c r="FM37" s="33"/>
      <c r="FN37" s="33"/>
      <c r="FO37" s="33"/>
      <c r="FP37" s="33"/>
      <c r="FQ37" s="33"/>
      <c r="FR37" s="33"/>
      <c r="FS37" s="33"/>
      <c r="FT37" s="33"/>
      <c r="FU37" s="33"/>
      <c r="FV37" s="33"/>
      <c r="FW37" s="33"/>
      <c r="FX37" s="33"/>
      <c r="FY37" s="33"/>
      <c r="FZ37" s="33"/>
      <c r="GA37" s="33"/>
      <c r="GB37" s="33"/>
      <c r="GC37" s="33"/>
      <c r="GD37" s="33"/>
      <c r="GE37" s="33"/>
      <c r="GF37" s="33"/>
      <c r="GG37" s="44"/>
      <c r="GH37" s="41"/>
      <c r="GI37" s="41"/>
      <c r="GJ37" s="41"/>
      <c r="GK37" s="42"/>
      <c r="GL37" s="36"/>
      <c r="GM37" s="33"/>
      <c r="GN37" s="33"/>
      <c r="GO37" s="33"/>
      <c r="GP37" s="33"/>
      <c r="GQ37" s="33"/>
      <c r="GR37" s="33"/>
      <c r="GS37" s="33"/>
      <c r="GT37" s="33"/>
      <c r="GU37" s="33"/>
      <c r="GV37" s="33"/>
      <c r="GW37" s="33"/>
      <c r="GX37" s="33"/>
      <c r="GY37" s="36"/>
      <c r="GZ37" s="42"/>
      <c r="HA37" s="41"/>
      <c r="HB37" s="41"/>
      <c r="HC37" s="41"/>
      <c r="HD37" s="44"/>
      <c r="HE37" s="33"/>
      <c r="HF37" s="33"/>
      <c r="HG37" s="33"/>
      <c r="HH37" s="33"/>
      <c r="HI37" s="33"/>
      <c r="HJ37" s="33"/>
      <c r="HK37" s="33"/>
      <c r="HL37" s="33"/>
      <c r="HM37" s="33"/>
      <c r="HN37" s="33"/>
      <c r="HO37" s="33"/>
      <c r="HP37" s="33"/>
      <c r="HQ37" s="33"/>
      <c r="HR37" s="33"/>
      <c r="HS37" s="33"/>
      <c r="HT37" s="33"/>
      <c r="HU37" s="33"/>
      <c r="HV37" s="33"/>
      <c r="HW37" s="33"/>
      <c r="HX37" s="33"/>
      <c r="HY37" s="33"/>
      <c r="HZ37" s="33"/>
      <c r="IA37" s="33"/>
      <c r="IB37" s="33"/>
      <c r="IC37" s="33"/>
      <c r="ID37" s="33"/>
      <c r="IE37" s="33"/>
      <c r="IF37" s="33"/>
      <c r="IG37" s="33"/>
      <c r="IH37" s="33"/>
      <c r="II37" s="33"/>
      <c r="IJ37" s="33"/>
      <c r="IK37" s="33"/>
      <c r="IL37" s="33"/>
      <c r="IM37" s="33"/>
      <c r="IN37" s="33"/>
      <c r="IO37" s="33"/>
      <c r="IP37" s="33"/>
      <c r="IQ37" s="33"/>
      <c r="IR37" s="33"/>
      <c r="IS37" s="33"/>
      <c r="IT37" s="33"/>
      <c r="IU37" s="33"/>
      <c r="IV37" s="33"/>
      <c r="IW37" s="33"/>
      <c r="IX37" s="33"/>
      <c r="IY37" s="33"/>
      <c r="IZ37" s="33"/>
      <c r="JA37" s="33"/>
      <c r="JB37" s="33"/>
      <c r="JC37" s="33"/>
      <c r="JD37" s="33"/>
      <c r="JE37" s="33"/>
      <c r="JF37" s="33"/>
      <c r="JG37" s="33"/>
      <c r="JH37" s="33"/>
      <c r="JI37" s="33"/>
      <c r="JJ37" s="33"/>
      <c r="JK37" s="33"/>
      <c r="JL37" s="33"/>
      <c r="JM37" s="33"/>
      <c r="JN37" s="33"/>
      <c r="JO37" s="33"/>
      <c r="JP37" s="33"/>
      <c r="JQ37" s="33"/>
      <c r="JR37" s="33"/>
      <c r="JS37" s="33"/>
      <c r="JT37" s="33"/>
      <c r="JU37" s="33"/>
      <c r="JV37" s="33"/>
      <c r="JW37" s="33"/>
      <c r="JX37" s="33"/>
      <c r="JY37" s="33"/>
      <c r="JZ37" s="33"/>
      <c r="KA37" s="33"/>
      <c r="KB37" s="33"/>
      <c r="KC37" s="33"/>
      <c r="KD37" s="33"/>
      <c r="KE37" s="33"/>
      <c r="KF37" s="33"/>
      <c r="KG37" s="33"/>
      <c r="KH37" s="33"/>
      <c r="KI37" s="33"/>
      <c r="KJ37" s="33"/>
      <c r="KK37" s="33"/>
      <c r="KL37" s="33"/>
      <c r="KM37" s="33"/>
      <c r="KN37" s="33"/>
      <c r="KO37" s="33"/>
      <c r="KP37" s="33"/>
      <c r="KQ37" s="33"/>
      <c r="KR37" s="33"/>
      <c r="KS37" s="33"/>
      <c r="KT37" s="33"/>
      <c r="KU37" s="33"/>
      <c r="KV37" s="33"/>
      <c r="KW37" s="33"/>
      <c r="KX37" s="33"/>
      <c r="KY37" s="33"/>
      <c r="KZ37" s="33"/>
      <c r="LA37" s="33"/>
      <c r="LB37" s="33"/>
      <c r="LC37" s="33"/>
      <c r="LD37" s="33"/>
      <c r="LE37" s="33"/>
      <c r="LF37" s="33"/>
      <c r="LG37" s="33"/>
      <c r="LH37" s="33"/>
      <c r="LI37" s="33"/>
      <c r="LJ37" s="33"/>
      <c r="LK37" s="33"/>
      <c r="LL37" s="33"/>
      <c r="LM37" s="33"/>
      <c r="LN37" s="33"/>
      <c r="LO37" s="33"/>
      <c r="LP37" s="33"/>
      <c r="LQ37" s="33"/>
      <c r="LR37" s="33"/>
      <c r="LS37" s="33"/>
      <c r="LT37" s="33"/>
      <c r="LU37" s="33"/>
      <c r="LV37" s="33"/>
      <c r="LW37" s="33"/>
      <c r="LX37" s="33"/>
      <c r="LY37" s="33"/>
      <c r="LZ37" s="33"/>
      <c r="MA37" s="33"/>
      <c r="MB37" s="33"/>
      <c r="MC37" s="33"/>
      <c r="MD37" s="33"/>
      <c r="ME37" s="33"/>
      <c r="MF37" s="33"/>
      <c r="MG37" s="33"/>
      <c r="MH37" s="33"/>
      <c r="MI37" s="33"/>
      <c r="MJ37" s="33"/>
      <c r="MK37" s="33"/>
      <c r="ML37" s="33"/>
      <c r="MM37" s="33"/>
      <c r="MN37" s="33"/>
      <c r="MO37" s="33"/>
      <c r="MP37" s="33"/>
      <c r="MQ37" s="33"/>
      <c r="MR37" s="33"/>
      <c r="MS37" s="33"/>
      <c r="MT37" s="33"/>
      <c r="MU37" s="33"/>
      <c r="MV37" s="33"/>
    </row>
    <row r="38" spans="1:360" ht="0.75" customHeight="1" x14ac:dyDescent="0.25">
      <c r="A38" s="33"/>
      <c r="B38" s="33"/>
      <c r="C38" s="33"/>
      <c r="D38" s="33"/>
      <c r="E38" s="33"/>
      <c r="F38" s="33"/>
      <c r="G38" s="33"/>
      <c r="H38" s="33"/>
      <c r="I38" s="33"/>
      <c r="J38" s="33"/>
      <c r="K38" s="33"/>
      <c r="L38" s="33"/>
      <c r="M38" s="33"/>
      <c r="N38" s="33"/>
      <c r="O38" s="33"/>
      <c r="P38" s="33"/>
      <c r="Q38" s="33"/>
      <c r="R38" s="33"/>
      <c r="S38" s="33"/>
      <c r="T38" s="33"/>
      <c r="U38" s="33"/>
      <c r="V38" s="33"/>
      <c r="W38" s="33"/>
      <c r="X38" s="33"/>
      <c r="Y38" s="33"/>
      <c r="Z38" s="33"/>
      <c r="AA38" s="33"/>
      <c r="AB38" s="33"/>
      <c r="AC38" s="33"/>
      <c r="AD38" s="33"/>
      <c r="AE38" s="33"/>
      <c r="AF38" s="33"/>
      <c r="AG38" s="33"/>
      <c r="AH38" s="33"/>
      <c r="AI38" s="33"/>
      <c r="AJ38" s="33"/>
      <c r="AK38" s="33"/>
      <c r="AL38" s="33"/>
      <c r="AM38" s="33"/>
      <c r="AN38" s="33"/>
      <c r="AO38" s="33"/>
      <c r="AP38" s="33"/>
      <c r="AQ38" s="33"/>
      <c r="AR38" s="33"/>
      <c r="AS38" s="33"/>
      <c r="AT38" s="33"/>
      <c r="AU38" s="33"/>
      <c r="AV38" s="33"/>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c r="CF38" s="33"/>
      <c r="CG38" s="33"/>
      <c r="CH38" s="33"/>
      <c r="CI38" s="33"/>
      <c r="CJ38" s="33"/>
      <c r="CK38" s="33"/>
      <c r="CL38" s="33"/>
      <c r="CM38" s="33"/>
      <c r="CN38" s="33"/>
      <c r="CO38" s="33"/>
      <c r="CP38" s="33"/>
      <c r="CQ38" s="33"/>
      <c r="CR38" s="33"/>
      <c r="CS38" s="33"/>
      <c r="CT38" s="33"/>
      <c r="CU38" s="33"/>
      <c r="CV38" s="33"/>
      <c r="CW38" s="33"/>
      <c r="CX38" s="33"/>
      <c r="CY38" s="33"/>
      <c r="CZ38" s="33"/>
      <c r="DA38" s="33"/>
      <c r="DB38" s="33"/>
      <c r="DC38" s="33"/>
      <c r="DD38" s="33"/>
      <c r="DE38" s="33"/>
      <c r="DF38" s="33"/>
      <c r="DG38" s="33"/>
      <c r="DH38" s="33"/>
      <c r="DI38" s="33"/>
      <c r="DJ38" s="33"/>
      <c r="DK38" s="33"/>
      <c r="DL38" s="33"/>
      <c r="DM38" s="33"/>
      <c r="DN38" s="33"/>
      <c r="DO38" s="33"/>
      <c r="DP38" s="33"/>
      <c r="DQ38" s="33"/>
      <c r="DR38" s="33"/>
      <c r="DS38" s="33"/>
      <c r="DT38" s="33"/>
      <c r="DU38" s="33"/>
      <c r="DV38" s="33"/>
      <c r="DW38" s="33"/>
      <c r="DX38" s="33"/>
      <c r="DY38" s="33"/>
      <c r="DZ38" s="33"/>
      <c r="EA38" s="33"/>
      <c r="EB38" s="33"/>
      <c r="EC38" s="33"/>
      <c r="ED38" s="33"/>
      <c r="EE38" s="33"/>
      <c r="EF38" s="33"/>
      <c r="EG38" s="33"/>
      <c r="EH38" s="33"/>
      <c r="EI38" s="33"/>
      <c r="EJ38" s="33"/>
      <c r="EK38" s="33"/>
      <c r="EL38" s="44"/>
      <c r="EM38" s="41"/>
      <c r="EN38" s="41"/>
      <c r="EO38" s="41"/>
      <c r="EP38" s="45"/>
      <c r="EQ38" s="46"/>
      <c r="ER38" s="47"/>
      <c r="ES38" s="44"/>
      <c r="ET38" s="44"/>
      <c r="EU38" s="44"/>
      <c r="EV38" s="44"/>
      <c r="EW38" s="44"/>
      <c r="EX38" s="44"/>
      <c r="EY38" s="44"/>
      <c r="EZ38" s="44"/>
      <c r="FA38" s="44"/>
      <c r="FB38" s="44"/>
      <c r="FC38" s="48"/>
      <c r="FD38" s="49"/>
      <c r="FE38" s="50"/>
      <c r="FF38" s="51"/>
      <c r="FG38" s="52"/>
      <c r="FH38" s="53"/>
      <c r="FI38" s="54"/>
      <c r="FJ38" s="33"/>
      <c r="FK38" s="33"/>
      <c r="FL38" s="33"/>
      <c r="FM38" s="33"/>
      <c r="FN38" s="33"/>
      <c r="FO38" s="33"/>
      <c r="FP38" s="33"/>
      <c r="FQ38" s="33"/>
      <c r="FR38" s="33"/>
      <c r="FS38" s="33"/>
      <c r="FT38" s="33"/>
      <c r="FU38" s="33"/>
      <c r="FV38" s="33"/>
      <c r="FW38" s="33"/>
      <c r="FX38" s="33"/>
      <c r="FY38" s="33"/>
      <c r="FZ38" s="33"/>
      <c r="GA38" s="33"/>
      <c r="GB38" s="33"/>
      <c r="GC38" s="33"/>
      <c r="GD38" s="33"/>
      <c r="GE38" s="33"/>
      <c r="GF38" s="33"/>
      <c r="GG38" s="55"/>
      <c r="GH38" s="56"/>
      <c r="GI38" s="44"/>
      <c r="GJ38" s="48"/>
      <c r="GK38" s="49"/>
      <c r="GL38" s="50"/>
      <c r="GM38" s="51"/>
      <c r="GN38" s="52"/>
      <c r="GO38" s="53"/>
      <c r="GP38" s="54"/>
      <c r="GQ38" s="33"/>
      <c r="GR38" s="33"/>
      <c r="GS38" s="33"/>
      <c r="GT38" s="33"/>
      <c r="GU38" s="57"/>
      <c r="GV38" s="58"/>
      <c r="GW38" s="52"/>
      <c r="GX38" s="51"/>
      <c r="GY38" s="50"/>
      <c r="GZ38" s="49"/>
      <c r="HA38" s="48"/>
      <c r="HB38" s="44"/>
      <c r="HC38" s="56"/>
      <c r="HD38" s="55"/>
      <c r="HE38" s="33"/>
      <c r="HF38" s="33"/>
      <c r="HG38" s="33"/>
      <c r="HH38" s="33"/>
      <c r="HI38" s="33"/>
      <c r="HJ38" s="33"/>
      <c r="HK38" s="33"/>
      <c r="HL38" s="33"/>
      <c r="HM38" s="33"/>
      <c r="HN38" s="33"/>
      <c r="HO38" s="33"/>
      <c r="HP38" s="33"/>
      <c r="HQ38" s="33"/>
      <c r="HR38" s="33"/>
      <c r="HS38" s="33"/>
      <c r="HT38" s="33"/>
      <c r="HU38" s="33"/>
      <c r="HV38" s="33"/>
      <c r="HW38" s="33"/>
      <c r="HX38" s="33"/>
      <c r="HY38" s="33"/>
      <c r="HZ38" s="33"/>
      <c r="IA38" s="33"/>
      <c r="IB38" s="33"/>
      <c r="IC38" s="33"/>
      <c r="ID38" s="33"/>
      <c r="IE38" s="33"/>
      <c r="IF38" s="33"/>
      <c r="IG38" s="33"/>
      <c r="IH38" s="33"/>
      <c r="II38" s="33"/>
      <c r="IJ38" s="33"/>
      <c r="IK38" s="33"/>
      <c r="IL38" s="33"/>
      <c r="IM38" s="33"/>
      <c r="IN38" s="33"/>
      <c r="IO38" s="33"/>
      <c r="IP38" s="33"/>
      <c r="IQ38" s="33"/>
      <c r="IR38" s="33"/>
      <c r="IS38" s="33"/>
      <c r="IT38" s="33"/>
      <c r="IU38" s="33"/>
      <c r="IV38" s="33"/>
      <c r="IW38" s="33"/>
      <c r="IX38" s="33"/>
      <c r="IY38" s="33"/>
      <c r="IZ38" s="33"/>
      <c r="JA38" s="33"/>
      <c r="JB38" s="33"/>
      <c r="JC38" s="33"/>
      <c r="JD38" s="33"/>
      <c r="JE38" s="33"/>
      <c r="JF38" s="33"/>
      <c r="JG38" s="33"/>
      <c r="JH38" s="33"/>
      <c r="JI38" s="33"/>
      <c r="JJ38" s="33"/>
      <c r="JK38" s="33"/>
      <c r="JL38" s="33"/>
      <c r="JM38" s="33"/>
      <c r="JN38" s="33"/>
      <c r="JO38" s="33"/>
      <c r="JP38" s="33"/>
      <c r="JQ38" s="33"/>
      <c r="JR38" s="33"/>
      <c r="JS38" s="33"/>
      <c r="JT38" s="33"/>
      <c r="JU38" s="33"/>
      <c r="JV38" s="33"/>
      <c r="JW38" s="33"/>
      <c r="JX38" s="33"/>
      <c r="JY38" s="33"/>
      <c r="JZ38" s="33"/>
      <c r="KA38" s="33"/>
      <c r="KB38" s="33"/>
      <c r="KC38" s="33"/>
      <c r="KD38" s="33"/>
      <c r="KE38" s="33"/>
      <c r="KF38" s="33"/>
      <c r="KG38" s="33"/>
      <c r="KH38" s="33"/>
      <c r="KI38" s="33"/>
      <c r="KJ38" s="33"/>
      <c r="KK38" s="33"/>
      <c r="KL38" s="33"/>
      <c r="KM38" s="33"/>
      <c r="KN38" s="33"/>
      <c r="KO38" s="33"/>
      <c r="KP38" s="33"/>
      <c r="KQ38" s="33"/>
      <c r="KR38" s="33"/>
      <c r="KS38" s="33"/>
      <c r="KT38" s="33"/>
      <c r="KU38" s="33"/>
      <c r="KV38" s="33"/>
      <c r="KW38" s="33"/>
      <c r="KX38" s="33"/>
      <c r="KY38" s="33"/>
      <c r="KZ38" s="33"/>
      <c r="LA38" s="33"/>
      <c r="LB38" s="33"/>
      <c r="LC38" s="33"/>
      <c r="LD38" s="33"/>
      <c r="LE38" s="33"/>
      <c r="LF38" s="33"/>
      <c r="LG38" s="33"/>
      <c r="LH38" s="33"/>
      <c r="LI38" s="33"/>
      <c r="LJ38" s="33"/>
      <c r="LK38" s="33"/>
      <c r="LL38" s="33"/>
      <c r="LM38" s="33"/>
      <c r="LN38" s="33"/>
      <c r="LO38" s="33"/>
      <c r="LP38" s="33"/>
      <c r="LQ38" s="33"/>
      <c r="LR38" s="33"/>
      <c r="LS38" s="33"/>
      <c r="LT38" s="33"/>
      <c r="LU38" s="33"/>
      <c r="LV38" s="33"/>
      <c r="LW38" s="33"/>
      <c r="LX38" s="33"/>
      <c r="LY38" s="33"/>
      <c r="LZ38" s="33"/>
      <c r="MA38" s="33"/>
      <c r="MB38" s="33"/>
      <c r="MC38" s="33"/>
      <c r="MD38" s="33"/>
      <c r="ME38" s="33"/>
      <c r="MF38" s="33"/>
      <c r="MG38" s="33"/>
      <c r="MH38" s="33"/>
      <c r="MI38" s="33"/>
      <c r="MJ38" s="33"/>
      <c r="MK38" s="33"/>
      <c r="ML38" s="33"/>
      <c r="MM38" s="33"/>
      <c r="MN38" s="33"/>
      <c r="MO38" s="33"/>
      <c r="MP38" s="33"/>
      <c r="MQ38" s="33"/>
      <c r="MR38" s="33"/>
      <c r="MS38" s="33"/>
      <c r="MT38" s="33"/>
      <c r="MU38" s="33"/>
      <c r="MV38" s="33"/>
    </row>
    <row r="39" spans="1:360" ht="0.75" customHeight="1" x14ac:dyDescent="0.25">
      <c r="A39" s="33"/>
      <c r="B39" s="33"/>
      <c r="C39" s="33"/>
      <c r="D39" s="33"/>
      <c r="E39" s="33"/>
      <c r="F39" s="33"/>
      <c r="G39" s="33"/>
      <c r="H39" s="33"/>
      <c r="I39" s="33"/>
      <c r="J39" s="33"/>
      <c r="K39" s="33"/>
      <c r="L39" s="33"/>
      <c r="M39" s="33"/>
      <c r="N39" s="33"/>
      <c r="O39" s="33"/>
      <c r="P39" s="33"/>
      <c r="Q39" s="33"/>
      <c r="R39" s="33"/>
      <c r="S39" s="33"/>
      <c r="T39" s="33"/>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33"/>
      <c r="CG39" s="33"/>
      <c r="CH39" s="33"/>
      <c r="CI39" s="33"/>
      <c r="CJ39" s="33"/>
      <c r="CK39" s="33"/>
      <c r="CL39" s="33"/>
      <c r="CM39" s="33"/>
      <c r="CN39" s="33"/>
      <c r="CO39" s="33"/>
      <c r="CP39" s="33"/>
      <c r="CQ39" s="33"/>
      <c r="CR39" s="33"/>
      <c r="CS39" s="33"/>
      <c r="CT39" s="33"/>
      <c r="CU39" s="33"/>
      <c r="CV39" s="33"/>
      <c r="CW39" s="33"/>
      <c r="CX39" s="33"/>
      <c r="CY39" s="33"/>
      <c r="CZ39" s="33"/>
      <c r="DA39" s="33"/>
      <c r="DB39" s="33"/>
      <c r="DC39" s="33"/>
      <c r="DD39" s="33"/>
      <c r="DE39" s="33"/>
      <c r="DF39" s="33"/>
      <c r="DG39" s="33"/>
      <c r="DH39" s="33"/>
      <c r="DI39" s="33"/>
      <c r="DJ39" s="33"/>
      <c r="DK39" s="33"/>
      <c r="DL39" s="33"/>
      <c r="DM39" s="33"/>
      <c r="DN39" s="33"/>
      <c r="DO39" s="33"/>
      <c r="DP39" s="33"/>
      <c r="DQ39" s="33"/>
      <c r="DR39" s="33"/>
      <c r="DS39" s="33"/>
      <c r="DT39" s="33"/>
      <c r="DU39" s="33"/>
      <c r="DV39" s="33"/>
      <c r="DW39" s="33"/>
      <c r="DX39" s="33"/>
      <c r="DY39" s="33"/>
      <c r="DZ39" s="33"/>
      <c r="EA39" s="33"/>
      <c r="EB39" s="33"/>
      <c r="EC39" s="33"/>
      <c r="ED39" s="33"/>
      <c r="EE39" s="33"/>
      <c r="EF39" s="33"/>
      <c r="EG39" s="33"/>
      <c r="EH39" s="33"/>
      <c r="EI39" s="33"/>
      <c r="EJ39" s="33"/>
      <c r="EK39" s="33"/>
      <c r="EL39" s="44"/>
      <c r="EM39" s="41"/>
      <c r="EN39" s="41"/>
      <c r="EO39" s="41"/>
      <c r="EP39" s="42"/>
      <c r="EQ39" s="36"/>
      <c r="ER39" s="33"/>
      <c r="ES39" s="33"/>
      <c r="ET39" s="33"/>
      <c r="EU39" s="33"/>
      <c r="EV39" s="33"/>
      <c r="EW39" s="33"/>
      <c r="EX39" s="33"/>
      <c r="EY39" s="33"/>
      <c r="EZ39" s="33"/>
      <c r="FA39" s="33"/>
      <c r="FB39" s="33"/>
      <c r="FC39" s="33"/>
      <c r="FD39" s="36"/>
      <c r="FE39" s="42"/>
      <c r="FF39" s="41"/>
      <c r="FG39" s="41"/>
      <c r="FH39" s="41"/>
      <c r="FI39" s="44"/>
      <c r="FJ39" s="33"/>
      <c r="FK39" s="33"/>
      <c r="FL39" s="33"/>
      <c r="FM39" s="33"/>
      <c r="FN39" s="33"/>
      <c r="FO39" s="33"/>
      <c r="FP39" s="33"/>
      <c r="FQ39" s="33"/>
      <c r="FR39" s="33"/>
      <c r="FS39" s="33"/>
      <c r="FT39" s="33"/>
      <c r="FU39" s="33"/>
      <c r="FV39" s="33"/>
      <c r="FW39" s="33"/>
      <c r="FX39" s="33"/>
      <c r="FY39" s="33"/>
      <c r="FZ39" s="33"/>
      <c r="GA39" s="33"/>
      <c r="GB39" s="33"/>
      <c r="GC39" s="33"/>
      <c r="GD39" s="33"/>
      <c r="GE39" s="33"/>
      <c r="GF39" s="33"/>
      <c r="GG39" s="33"/>
      <c r="GH39" s="33"/>
      <c r="GI39" s="33"/>
      <c r="GJ39" s="33"/>
      <c r="GK39" s="36"/>
      <c r="GL39" s="42"/>
      <c r="GM39" s="41"/>
      <c r="GN39" s="41"/>
      <c r="GO39" s="41"/>
      <c r="GP39" s="44"/>
      <c r="GQ39" s="33"/>
      <c r="GR39" s="33"/>
      <c r="GS39" s="33"/>
      <c r="GT39" s="33"/>
      <c r="GU39" s="59"/>
      <c r="GV39" s="41"/>
      <c r="GW39" s="41"/>
      <c r="GX39" s="41"/>
      <c r="GY39" s="42"/>
      <c r="GZ39" s="36"/>
      <c r="HA39" s="33"/>
      <c r="HB39" s="33"/>
      <c r="HC39" s="33"/>
      <c r="HD39" s="33"/>
      <c r="HE39" s="33"/>
      <c r="HF39" s="33"/>
      <c r="HG39" s="33"/>
      <c r="HH39" s="33"/>
      <c r="HI39" s="33"/>
      <c r="HJ39" s="33"/>
      <c r="HK39" s="33"/>
      <c r="HL39" s="33"/>
      <c r="HM39" s="33"/>
      <c r="HN39" s="33"/>
      <c r="HO39" s="33"/>
      <c r="HP39" s="33"/>
      <c r="HQ39" s="33"/>
      <c r="HR39" s="33"/>
      <c r="HS39" s="33"/>
      <c r="HT39" s="33"/>
      <c r="HU39" s="33"/>
      <c r="HV39" s="33"/>
      <c r="HW39" s="33"/>
      <c r="HX39" s="33"/>
      <c r="HY39" s="33"/>
      <c r="HZ39" s="33"/>
      <c r="IA39" s="33"/>
      <c r="IB39" s="33"/>
      <c r="IC39" s="33"/>
      <c r="ID39" s="33"/>
      <c r="IE39" s="33"/>
      <c r="IF39" s="33"/>
      <c r="IG39" s="33"/>
      <c r="IH39" s="33"/>
      <c r="II39" s="33"/>
      <c r="IJ39" s="33"/>
      <c r="IK39" s="33"/>
      <c r="IL39" s="33"/>
      <c r="IM39" s="33"/>
      <c r="IN39" s="33"/>
      <c r="IO39" s="33"/>
      <c r="IP39" s="33"/>
      <c r="IQ39" s="33"/>
      <c r="IR39" s="33"/>
      <c r="IS39" s="33"/>
      <c r="IT39" s="33"/>
      <c r="IU39" s="33"/>
      <c r="IV39" s="33"/>
      <c r="IW39" s="33"/>
      <c r="IX39" s="33"/>
      <c r="IY39" s="33"/>
      <c r="IZ39" s="33"/>
      <c r="JA39" s="33"/>
      <c r="JB39" s="33"/>
      <c r="JC39" s="33"/>
      <c r="JD39" s="33"/>
      <c r="JE39" s="33"/>
      <c r="JF39" s="33"/>
      <c r="JG39" s="33"/>
      <c r="JH39" s="33"/>
      <c r="JI39" s="33"/>
      <c r="JJ39" s="33"/>
      <c r="JK39" s="33"/>
      <c r="JL39" s="33"/>
      <c r="JM39" s="33"/>
      <c r="JN39" s="33"/>
      <c r="JO39" s="33"/>
      <c r="JP39" s="33"/>
      <c r="JQ39" s="33"/>
      <c r="JR39" s="33"/>
      <c r="JS39" s="33"/>
      <c r="JT39" s="33"/>
      <c r="JU39" s="33"/>
      <c r="JV39" s="33"/>
      <c r="JW39" s="33"/>
      <c r="JX39" s="33"/>
      <c r="JY39" s="33"/>
      <c r="JZ39" s="33"/>
      <c r="KA39" s="33"/>
      <c r="KB39" s="33"/>
      <c r="KC39" s="33"/>
      <c r="KD39" s="33"/>
      <c r="KE39" s="33"/>
      <c r="KF39" s="33"/>
      <c r="KG39" s="33"/>
      <c r="KH39" s="33"/>
      <c r="KI39" s="33"/>
      <c r="KJ39" s="33"/>
      <c r="KK39" s="33"/>
      <c r="KL39" s="33"/>
      <c r="KM39" s="33"/>
      <c r="KN39" s="33"/>
      <c r="KO39" s="33"/>
      <c r="KP39" s="33"/>
      <c r="KQ39" s="33"/>
      <c r="KR39" s="33"/>
      <c r="KS39" s="33"/>
      <c r="KT39" s="33"/>
      <c r="KU39" s="33"/>
      <c r="KV39" s="33"/>
      <c r="KW39" s="33"/>
      <c r="KX39" s="33"/>
      <c r="KY39" s="33"/>
      <c r="KZ39" s="33"/>
      <c r="LA39" s="33"/>
      <c r="LB39" s="33"/>
      <c r="LC39" s="33"/>
      <c r="LD39" s="33"/>
      <c r="LE39" s="33"/>
      <c r="LF39" s="33"/>
      <c r="LG39" s="33"/>
      <c r="LH39" s="33"/>
      <c r="LI39" s="33"/>
      <c r="LJ39" s="33"/>
      <c r="LK39" s="33"/>
      <c r="LL39" s="33"/>
      <c r="LM39" s="33"/>
      <c r="LN39" s="33"/>
      <c r="LO39" s="33"/>
      <c r="LP39" s="33"/>
      <c r="LQ39" s="33"/>
      <c r="LR39" s="33"/>
      <c r="LS39" s="33"/>
      <c r="LT39" s="33"/>
      <c r="LU39" s="33"/>
      <c r="LV39" s="33"/>
      <c r="LW39" s="33"/>
      <c r="LX39" s="33"/>
      <c r="LY39" s="33"/>
      <c r="LZ39" s="33"/>
      <c r="MA39" s="33"/>
      <c r="MB39" s="33"/>
      <c r="MC39" s="33"/>
      <c r="MD39" s="33"/>
      <c r="ME39" s="33"/>
      <c r="MF39" s="33"/>
      <c r="MG39" s="33"/>
      <c r="MH39" s="33"/>
      <c r="MI39" s="33"/>
      <c r="MJ39" s="33"/>
      <c r="MK39" s="33"/>
      <c r="ML39" s="33"/>
      <c r="MM39" s="33"/>
      <c r="MN39" s="33"/>
      <c r="MO39" s="33"/>
      <c r="MP39" s="33"/>
      <c r="MQ39" s="33"/>
      <c r="MR39" s="33"/>
      <c r="MS39" s="33"/>
      <c r="MT39" s="33"/>
      <c r="MU39" s="33"/>
      <c r="MV39" s="33"/>
    </row>
    <row r="40" spans="1:360" ht="0.75" customHeight="1" x14ac:dyDescent="0.25">
      <c r="A40" s="33"/>
      <c r="B40" s="33"/>
      <c r="C40" s="33"/>
      <c r="D40" s="33"/>
      <c r="E40" s="33"/>
      <c r="F40" s="33"/>
      <c r="G40" s="33"/>
      <c r="H40" s="33"/>
      <c r="I40" s="33"/>
      <c r="J40" s="33"/>
      <c r="K40" s="33"/>
      <c r="L40" s="33"/>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3"/>
      <c r="AV40" s="33"/>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33"/>
      <c r="CG40" s="33"/>
      <c r="CH40" s="33"/>
      <c r="CI40" s="33"/>
      <c r="CJ40" s="33"/>
      <c r="CK40" s="33"/>
      <c r="CL40" s="33"/>
      <c r="CM40" s="33"/>
      <c r="CN40" s="33"/>
      <c r="CO40" s="33"/>
      <c r="CP40" s="33"/>
      <c r="CQ40" s="33"/>
      <c r="CR40" s="33"/>
      <c r="CS40" s="33"/>
      <c r="CT40" s="33"/>
      <c r="CU40" s="33"/>
      <c r="CV40" s="33"/>
      <c r="CW40" s="33"/>
      <c r="CX40" s="33"/>
      <c r="CY40" s="33"/>
      <c r="CZ40" s="33"/>
      <c r="DA40" s="33"/>
      <c r="DB40" s="33"/>
      <c r="DC40" s="33"/>
      <c r="DD40" s="33"/>
      <c r="DE40" s="33"/>
      <c r="DF40" s="33"/>
      <c r="DG40" s="33"/>
      <c r="DH40" s="33"/>
      <c r="DI40" s="33"/>
      <c r="DJ40" s="33"/>
      <c r="DK40" s="33"/>
      <c r="DL40" s="33"/>
      <c r="DM40" s="33"/>
      <c r="DN40" s="33"/>
      <c r="DO40" s="33"/>
      <c r="DP40" s="33"/>
      <c r="DQ40" s="33"/>
      <c r="DR40" s="33"/>
      <c r="DS40" s="33"/>
      <c r="DT40" s="33"/>
      <c r="DU40" s="33"/>
      <c r="DV40" s="33"/>
      <c r="DW40" s="33"/>
      <c r="DX40" s="33"/>
      <c r="DY40" s="33"/>
      <c r="DZ40" s="33"/>
      <c r="EA40" s="33"/>
      <c r="EB40" s="33"/>
      <c r="EC40" s="33"/>
      <c r="ED40" s="33"/>
      <c r="EE40" s="33"/>
      <c r="EF40" s="33"/>
      <c r="EG40" s="33"/>
      <c r="EH40" s="33"/>
      <c r="EI40" s="33"/>
      <c r="EJ40" s="33"/>
      <c r="EK40" s="33"/>
      <c r="EL40" s="44"/>
      <c r="EM40" s="41"/>
      <c r="EN40" s="41"/>
      <c r="EO40" s="41"/>
      <c r="EP40" s="42"/>
      <c r="EQ40" s="36"/>
      <c r="ER40" s="33"/>
      <c r="ES40" s="33"/>
      <c r="ET40" s="33"/>
      <c r="EU40" s="33"/>
      <c r="EV40" s="33"/>
      <c r="EW40" s="33"/>
      <c r="EX40" s="33"/>
      <c r="EY40" s="33"/>
      <c r="EZ40" s="33"/>
      <c r="FA40" s="33"/>
      <c r="FB40" s="33"/>
      <c r="FC40" s="33"/>
      <c r="FD40" s="36"/>
      <c r="FE40" s="42"/>
      <c r="FF40" s="41"/>
      <c r="FG40" s="41"/>
      <c r="FH40" s="41"/>
      <c r="FI40" s="44"/>
      <c r="FJ40" s="33"/>
      <c r="FK40" s="33"/>
      <c r="FL40" s="33"/>
      <c r="FM40" s="33"/>
      <c r="FN40" s="33"/>
      <c r="FO40" s="33"/>
      <c r="FP40" s="33"/>
      <c r="FQ40" s="33"/>
      <c r="FR40" s="33"/>
      <c r="FS40" s="33"/>
      <c r="FT40" s="33"/>
      <c r="FU40" s="33"/>
      <c r="FV40" s="33"/>
      <c r="FW40" s="33"/>
      <c r="FX40" s="33"/>
      <c r="FY40" s="33"/>
      <c r="FZ40" s="33"/>
      <c r="GA40" s="33"/>
      <c r="GB40" s="33"/>
      <c r="GC40" s="33"/>
      <c r="GD40" s="33"/>
      <c r="GE40" s="33"/>
      <c r="GF40" s="33"/>
      <c r="GG40" s="33"/>
      <c r="GH40" s="33"/>
      <c r="GI40" s="33"/>
      <c r="GJ40" s="33"/>
      <c r="GK40" s="36"/>
      <c r="GL40" s="42"/>
      <c r="GM40" s="41"/>
      <c r="GN40" s="41"/>
      <c r="GO40" s="41"/>
      <c r="GP40" s="44"/>
      <c r="GQ40" s="33"/>
      <c r="GR40" s="33"/>
      <c r="GS40" s="33"/>
      <c r="GT40" s="33"/>
      <c r="GU40" s="59"/>
      <c r="GV40" s="41"/>
      <c r="GW40" s="41"/>
      <c r="GX40" s="41"/>
      <c r="GY40" s="42"/>
      <c r="GZ40" s="36"/>
      <c r="HA40" s="33"/>
      <c r="HB40" s="33"/>
      <c r="HC40" s="33"/>
      <c r="HD40" s="33"/>
      <c r="HE40" s="33"/>
      <c r="HF40" s="33"/>
      <c r="HG40" s="33"/>
      <c r="HH40" s="33"/>
      <c r="HI40" s="33"/>
      <c r="HJ40" s="33"/>
      <c r="HK40" s="33"/>
      <c r="HL40" s="33"/>
      <c r="HM40" s="33"/>
      <c r="HN40" s="33"/>
      <c r="HO40" s="33"/>
      <c r="HP40" s="33"/>
      <c r="HQ40" s="33"/>
      <c r="HR40" s="33"/>
      <c r="HS40" s="33"/>
      <c r="HT40" s="33"/>
      <c r="HU40" s="33"/>
      <c r="HV40" s="33"/>
      <c r="HW40" s="33"/>
      <c r="HX40" s="33"/>
      <c r="HY40" s="33"/>
      <c r="HZ40" s="33"/>
      <c r="IA40" s="33"/>
      <c r="IB40" s="33"/>
      <c r="IC40" s="33"/>
      <c r="ID40" s="33"/>
      <c r="IE40" s="33"/>
      <c r="IF40" s="33"/>
      <c r="IG40" s="33"/>
      <c r="IH40" s="33"/>
      <c r="II40" s="33"/>
      <c r="IJ40" s="33"/>
      <c r="IK40" s="33"/>
      <c r="IL40" s="33"/>
      <c r="IM40" s="33"/>
      <c r="IN40" s="33"/>
      <c r="IO40" s="33"/>
      <c r="IP40" s="33"/>
      <c r="IQ40" s="33"/>
      <c r="IR40" s="33"/>
      <c r="IS40" s="33"/>
      <c r="IT40" s="33"/>
      <c r="IU40" s="33"/>
      <c r="IV40" s="33"/>
      <c r="IW40" s="33"/>
      <c r="IX40" s="33"/>
      <c r="IY40" s="33"/>
      <c r="IZ40" s="33"/>
      <c r="JA40" s="33"/>
      <c r="JB40" s="33"/>
      <c r="JC40" s="33"/>
      <c r="JD40" s="33"/>
      <c r="JE40" s="33"/>
      <c r="JF40" s="33"/>
      <c r="JG40" s="33"/>
      <c r="JH40" s="33"/>
      <c r="JI40" s="33"/>
      <c r="JJ40" s="33"/>
      <c r="JK40" s="33"/>
      <c r="JL40" s="33"/>
      <c r="JM40" s="33"/>
      <c r="JN40" s="33"/>
      <c r="JO40" s="33"/>
      <c r="JP40" s="33"/>
      <c r="JQ40" s="33"/>
      <c r="JR40" s="33"/>
      <c r="JS40" s="33"/>
      <c r="JT40" s="33"/>
      <c r="JU40" s="33"/>
      <c r="JV40" s="33"/>
      <c r="JW40" s="33"/>
      <c r="JX40" s="33"/>
      <c r="JY40" s="33"/>
      <c r="JZ40" s="33"/>
      <c r="KA40" s="33"/>
      <c r="KB40" s="33"/>
      <c r="KC40" s="33"/>
      <c r="KD40" s="33"/>
      <c r="KE40" s="33"/>
      <c r="KF40" s="33"/>
      <c r="KG40" s="33"/>
      <c r="KH40" s="33"/>
      <c r="KI40" s="33"/>
      <c r="KJ40" s="33"/>
      <c r="KK40" s="33"/>
      <c r="KL40" s="33"/>
      <c r="KM40" s="33"/>
      <c r="KN40" s="33"/>
      <c r="KO40" s="33"/>
      <c r="KP40" s="33"/>
      <c r="KQ40" s="33"/>
      <c r="KR40" s="33"/>
      <c r="KS40" s="33"/>
      <c r="KT40" s="33"/>
      <c r="KU40" s="33"/>
      <c r="KV40" s="33"/>
      <c r="KW40" s="33"/>
      <c r="KX40" s="33"/>
      <c r="KY40" s="33"/>
      <c r="KZ40" s="33"/>
      <c r="LA40" s="33"/>
      <c r="LB40" s="33"/>
      <c r="LC40" s="33"/>
      <c r="LD40" s="33"/>
      <c r="LE40" s="33"/>
      <c r="LF40" s="33"/>
      <c r="LG40" s="33"/>
      <c r="LH40" s="33"/>
      <c r="LI40" s="33"/>
      <c r="LJ40" s="33"/>
      <c r="LK40" s="33"/>
      <c r="LL40" s="33"/>
      <c r="LM40" s="33"/>
      <c r="LN40" s="33"/>
      <c r="LO40" s="33"/>
      <c r="LP40" s="33"/>
      <c r="LQ40" s="33"/>
      <c r="LR40" s="33"/>
      <c r="LS40" s="33"/>
      <c r="LT40" s="33"/>
      <c r="LU40" s="33"/>
      <c r="LV40" s="33"/>
      <c r="LW40" s="33"/>
      <c r="LX40" s="33"/>
      <c r="LY40" s="33"/>
      <c r="LZ40" s="33"/>
      <c r="MA40" s="33"/>
      <c r="MB40" s="33"/>
      <c r="MC40" s="33"/>
      <c r="MD40" s="33"/>
      <c r="ME40" s="33"/>
      <c r="MF40" s="33"/>
      <c r="MG40" s="33"/>
      <c r="MH40" s="33"/>
      <c r="MI40" s="33"/>
      <c r="MJ40" s="33"/>
      <c r="MK40" s="33"/>
      <c r="ML40" s="33"/>
      <c r="MM40" s="33"/>
      <c r="MN40" s="33"/>
      <c r="MO40" s="33"/>
      <c r="MP40" s="33"/>
      <c r="MQ40" s="33"/>
      <c r="MR40" s="33"/>
      <c r="MS40" s="33"/>
      <c r="MT40" s="33"/>
      <c r="MU40" s="33"/>
      <c r="MV40" s="33"/>
    </row>
    <row r="41" spans="1:360" ht="0.75" customHeight="1" x14ac:dyDescent="0.25">
      <c r="A41" s="33"/>
      <c r="B41" s="33"/>
      <c r="C41" s="33"/>
      <c r="D41" s="33"/>
      <c r="E41" s="33"/>
      <c r="F41" s="33"/>
      <c r="G41" s="33"/>
      <c r="H41" s="33"/>
      <c r="I41" s="33"/>
      <c r="J41" s="33"/>
      <c r="K41" s="33"/>
      <c r="L41" s="33"/>
      <c r="M41" s="33"/>
      <c r="N41" s="33"/>
      <c r="O41" s="33"/>
      <c r="P41" s="33"/>
      <c r="Q41" s="33"/>
      <c r="R41" s="33"/>
      <c r="S41" s="33"/>
      <c r="T41" s="33"/>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3"/>
      <c r="AV41" s="33"/>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33"/>
      <c r="CG41" s="33"/>
      <c r="CH41" s="33"/>
      <c r="CI41" s="33"/>
      <c r="CJ41" s="33"/>
      <c r="CK41" s="33"/>
      <c r="CL41" s="33"/>
      <c r="CM41" s="33"/>
      <c r="CN41" s="33"/>
      <c r="CO41" s="33"/>
      <c r="CP41" s="33"/>
      <c r="CQ41" s="33"/>
      <c r="CR41" s="33"/>
      <c r="CS41" s="33"/>
      <c r="CT41" s="33"/>
      <c r="CU41" s="33"/>
      <c r="CV41" s="33"/>
      <c r="CW41" s="33"/>
      <c r="CX41" s="33"/>
      <c r="CY41" s="33"/>
      <c r="CZ41" s="33"/>
      <c r="DA41" s="33"/>
      <c r="DB41" s="33"/>
      <c r="DC41" s="33"/>
      <c r="DD41" s="33"/>
      <c r="DE41" s="33"/>
      <c r="DF41" s="33"/>
      <c r="DG41" s="33"/>
      <c r="DH41" s="33"/>
      <c r="DI41" s="33"/>
      <c r="DJ41" s="33"/>
      <c r="DK41" s="33"/>
      <c r="DL41" s="33"/>
      <c r="DM41" s="33"/>
      <c r="DN41" s="33"/>
      <c r="DO41" s="33"/>
      <c r="DP41" s="33"/>
      <c r="DQ41" s="33"/>
      <c r="DR41" s="33"/>
      <c r="DS41" s="33"/>
      <c r="DT41" s="33"/>
      <c r="DU41" s="33"/>
      <c r="DV41" s="33"/>
      <c r="DW41" s="33"/>
      <c r="DX41" s="33"/>
      <c r="DY41" s="33"/>
      <c r="DZ41" s="33"/>
      <c r="EA41" s="33"/>
      <c r="EB41" s="33"/>
      <c r="EC41" s="33"/>
      <c r="ED41" s="33"/>
      <c r="EE41" s="33"/>
      <c r="EF41" s="33"/>
      <c r="EG41" s="33"/>
      <c r="EH41" s="33"/>
      <c r="EI41" s="33"/>
      <c r="EJ41" s="33"/>
      <c r="EK41" s="33"/>
      <c r="EL41" s="44"/>
      <c r="EM41" s="41"/>
      <c r="EN41" s="41"/>
      <c r="EO41" s="41"/>
      <c r="EP41" s="42"/>
      <c r="EQ41" s="36"/>
      <c r="ER41" s="33"/>
      <c r="ES41" s="33"/>
      <c r="ET41" s="33"/>
      <c r="EU41" s="33"/>
      <c r="EV41" s="33"/>
      <c r="EW41" s="33"/>
      <c r="EX41" s="33"/>
      <c r="EY41" s="33"/>
      <c r="EZ41" s="33"/>
      <c r="FA41" s="33"/>
      <c r="FB41" s="33"/>
      <c r="FC41" s="33"/>
      <c r="FD41" s="36"/>
      <c r="FE41" s="42"/>
      <c r="FF41" s="41"/>
      <c r="FG41" s="41"/>
      <c r="FH41" s="41"/>
      <c r="FI41" s="44"/>
      <c r="FJ41" s="33"/>
      <c r="FK41" s="33"/>
      <c r="FL41" s="33"/>
      <c r="FM41" s="33"/>
      <c r="FN41" s="33"/>
      <c r="FO41" s="33"/>
      <c r="FP41" s="33"/>
      <c r="FQ41" s="33"/>
      <c r="FR41" s="33"/>
      <c r="FS41" s="33"/>
      <c r="FT41" s="33"/>
      <c r="FU41" s="33"/>
      <c r="FV41" s="33"/>
      <c r="FW41" s="33"/>
      <c r="FX41" s="33"/>
      <c r="FY41" s="33"/>
      <c r="FZ41" s="33"/>
      <c r="GA41" s="33"/>
      <c r="GB41" s="33"/>
      <c r="GC41" s="33"/>
      <c r="GD41" s="33"/>
      <c r="GE41" s="33"/>
      <c r="GF41" s="33"/>
      <c r="GG41" s="33"/>
      <c r="GH41" s="33"/>
      <c r="GI41" s="33"/>
      <c r="GJ41" s="33"/>
      <c r="GK41" s="36"/>
      <c r="GL41" s="42"/>
      <c r="GM41" s="41"/>
      <c r="GN41" s="41"/>
      <c r="GO41" s="41"/>
      <c r="GP41" s="44"/>
      <c r="GQ41" s="33"/>
      <c r="GR41" s="33"/>
      <c r="GS41" s="33"/>
      <c r="GT41" s="33"/>
      <c r="GU41" s="59"/>
      <c r="GV41" s="41"/>
      <c r="GW41" s="41"/>
      <c r="GX41" s="41"/>
      <c r="GY41" s="42"/>
      <c r="GZ41" s="36"/>
      <c r="HA41" s="33"/>
      <c r="HB41" s="33"/>
      <c r="HC41" s="33"/>
      <c r="HD41" s="33"/>
      <c r="HE41" s="33"/>
      <c r="HF41" s="33"/>
      <c r="HG41" s="33"/>
      <c r="HH41" s="33"/>
      <c r="HI41" s="33"/>
      <c r="HJ41" s="33"/>
      <c r="HK41" s="33"/>
      <c r="HL41" s="33"/>
      <c r="HM41" s="33"/>
      <c r="HN41" s="33"/>
      <c r="HO41" s="33"/>
      <c r="HP41" s="33"/>
      <c r="HQ41" s="33"/>
      <c r="HR41" s="33"/>
      <c r="HS41" s="33"/>
      <c r="HT41" s="33"/>
      <c r="HU41" s="33"/>
      <c r="HV41" s="33"/>
      <c r="HW41" s="33"/>
      <c r="HX41" s="33"/>
      <c r="HY41" s="33"/>
      <c r="HZ41" s="33"/>
      <c r="IA41" s="33"/>
      <c r="IB41" s="33"/>
      <c r="IC41" s="33"/>
      <c r="ID41" s="33"/>
      <c r="IE41" s="33"/>
      <c r="IF41" s="33"/>
      <c r="IG41" s="33"/>
      <c r="IH41" s="33"/>
      <c r="II41" s="33"/>
      <c r="IJ41" s="33"/>
      <c r="IK41" s="33"/>
      <c r="IL41" s="33"/>
      <c r="IM41" s="33"/>
      <c r="IN41" s="33"/>
      <c r="IO41" s="33"/>
      <c r="IP41" s="33"/>
      <c r="IQ41" s="33"/>
      <c r="IR41" s="33"/>
      <c r="IS41" s="33"/>
      <c r="IT41" s="33"/>
      <c r="IU41" s="33"/>
      <c r="IV41" s="33"/>
      <c r="IW41" s="33"/>
      <c r="IX41" s="33"/>
      <c r="IY41" s="33"/>
      <c r="IZ41" s="33"/>
      <c r="JA41" s="33"/>
      <c r="JB41" s="33"/>
      <c r="JC41" s="33"/>
      <c r="JD41" s="33"/>
      <c r="JE41" s="33"/>
      <c r="JF41" s="33"/>
      <c r="JG41" s="33"/>
      <c r="JH41" s="33"/>
      <c r="JI41" s="33"/>
      <c r="JJ41" s="33"/>
      <c r="JK41" s="33"/>
      <c r="JL41" s="33"/>
      <c r="JM41" s="33"/>
      <c r="JN41" s="33"/>
      <c r="JO41" s="33"/>
      <c r="JP41" s="33"/>
      <c r="JQ41" s="33"/>
      <c r="JR41" s="33"/>
      <c r="JS41" s="33"/>
      <c r="JT41" s="33"/>
      <c r="JU41" s="33"/>
      <c r="JV41" s="33"/>
      <c r="JW41" s="33"/>
      <c r="JX41" s="33"/>
      <c r="JY41" s="33"/>
      <c r="JZ41" s="33"/>
      <c r="KA41" s="33"/>
      <c r="KB41" s="33"/>
      <c r="KC41" s="33"/>
      <c r="KD41" s="33"/>
      <c r="KE41" s="33"/>
      <c r="KF41" s="33"/>
      <c r="KG41" s="33"/>
      <c r="KH41" s="33"/>
      <c r="KI41" s="33"/>
      <c r="KJ41" s="33"/>
      <c r="KK41" s="33"/>
      <c r="KL41" s="33"/>
      <c r="KM41" s="33"/>
      <c r="KN41" s="33"/>
      <c r="KO41" s="33"/>
      <c r="KP41" s="33"/>
      <c r="KQ41" s="33"/>
      <c r="KR41" s="33"/>
      <c r="KS41" s="33"/>
      <c r="KT41" s="33"/>
      <c r="KU41" s="33"/>
      <c r="KV41" s="33"/>
      <c r="KW41" s="33"/>
      <c r="KX41" s="33"/>
      <c r="KY41" s="33"/>
      <c r="KZ41" s="33"/>
      <c r="LA41" s="33"/>
      <c r="LB41" s="33"/>
      <c r="LC41" s="33"/>
      <c r="LD41" s="33"/>
      <c r="LE41" s="33"/>
      <c r="LF41" s="33"/>
      <c r="LG41" s="33"/>
      <c r="LH41" s="33"/>
      <c r="LI41" s="33"/>
      <c r="LJ41" s="33"/>
      <c r="LK41" s="33"/>
      <c r="LL41" s="33"/>
      <c r="LM41" s="33"/>
      <c r="LN41" s="33"/>
      <c r="LO41" s="33"/>
      <c r="LP41" s="33"/>
      <c r="LQ41" s="33"/>
      <c r="LR41" s="33"/>
      <c r="LS41" s="33"/>
      <c r="LT41" s="33"/>
      <c r="LU41" s="33"/>
      <c r="LV41" s="33"/>
      <c r="LW41" s="33"/>
      <c r="LX41" s="33"/>
      <c r="LY41" s="33"/>
      <c r="LZ41" s="33"/>
      <c r="MA41" s="33"/>
      <c r="MB41" s="33"/>
      <c r="MC41" s="33"/>
      <c r="MD41" s="33"/>
      <c r="ME41" s="33"/>
      <c r="MF41" s="33"/>
      <c r="MG41" s="33"/>
      <c r="MH41" s="33"/>
      <c r="MI41" s="33"/>
      <c r="MJ41" s="33"/>
      <c r="MK41" s="33"/>
      <c r="ML41" s="33"/>
      <c r="MM41" s="33"/>
      <c r="MN41" s="33"/>
      <c r="MO41" s="33"/>
      <c r="MP41" s="33"/>
      <c r="MQ41" s="33"/>
      <c r="MR41" s="33"/>
      <c r="MS41" s="33"/>
      <c r="MT41" s="33"/>
      <c r="MU41" s="33"/>
      <c r="MV41" s="33"/>
    </row>
    <row r="42" spans="1:360" ht="0.75" customHeight="1" x14ac:dyDescent="0.25">
      <c r="A42" s="33"/>
      <c r="B42" s="33"/>
      <c r="C42" s="33"/>
      <c r="D42" s="33"/>
      <c r="E42" s="33"/>
      <c r="F42" s="33"/>
      <c r="G42" s="33"/>
      <c r="H42" s="33"/>
      <c r="I42" s="33"/>
      <c r="J42" s="33"/>
      <c r="K42" s="33"/>
      <c r="L42" s="33"/>
      <c r="M42" s="33"/>
      <c r="N42" s="33"/>
      <c r="O42" s="33"/>
      <c r="P42" s="33"/>
      <c r="Q42" s="33"/>
      <c r="R42" s="33"/>
      <c r="S42" s="33"/>
      <c r="T42" s="33"/>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3"/>
      <c r="AV42" s="33"/>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33"/>
      <c r="CG42" s="33"/>
      <c r="CH42" s="33"/>
      <c r="CI42" s="33"/>
      <c r="CJ42" s="33"/>
      <c r="CK42" s="33"/>
      <c r="CL42" s="33"/>
      <c r="CM42" s="33"/>
      <c r="CN42" s="33"/>
      <c r="CO42" s="33"/>
      <c r="CP42" s="33"/>
      <c r="CQ42" s="33"/>
      <c r="CR42" s="33"/>
      <c r="CS42" s="33"/>
      <c r="CT42" s="33"/>
      <c r="CU42" s="33"/>
      <c r="CV42" s="33"/>
      <c r="CW42" s="33"/>
      <c r="CX42" s="33"/>
      <c r="CY42" s="33"/>
      <c r="CZ42" s="33"/>
      <c r="DA42" s="33"/>
      <c r="DB42" s="33"/>
      <c r="DC42" s="33"/>
      <c r="DD42" s="33"/>
      <c r="DE42" s="33"/>
      <c r="DF42" s="33"/>
      <c r="DG42" s="33"/>
      <c r="DH42" s="33"/>
      <c r="DI42" s="33"/>
      <c r="DJ42" s="33"/>
      <c r="DK42" s="33"/>
      <c r="DL42" s="33"/>
      <c r="DM42" s="33"/>
      <c r="DN42" s="33"/>
      <c r="DO42" s="33"/>
      <c r="DP42" s="33"/>
      <c r="DQ42" s="33"/>
      <c r="DR42" s="33"/>
      <c r="DS42" s="33"/>
      <c r="DT42" s="33"/>
      <c r="DU42" s="33"/>
      <c r="DV42" s="33"/>
      <c r="DW42" s="33"/>
      <c r="DX42" s="33"/>
      <c r="DY42" s="33"/>
      <c r="DZ42" s="33"/>
      <c r="EA42" s="33"/>
      <c r="EB42" s="33"/>
      <c r="EC42" s="33"/>
      <c r="ED42" s="33"/>
      <c r="EE42" s="33"/>
      <c r="EF42" s="33"/>
      <c r="EG42" s="33"/>
      <c r="EH42" s="33"/>
      <c r="EI42" s="33"/>
      <c r="EJ42" s="33"/>
      <c r="EK42" s="33"/>
      <c r="EL42" s="44"/>
      <c r="EM42" s="41"/>
      <c r="EN42" s="41"/>
      <c r="EO42" s="41"/>
      <c r="EP42" s="42"/>
      <c r="EQ42" s="36"/>
      <c r="ER42" s="33"/>
      <c r="ES42" s="33"/>
      <c r="ET42" s="33"/>
      <c r="EU42" s="33"/>
      <c r="EV42" s="33"/>
      <c r="EW42" s="33"/>
      <c r="EX42" s="33"/>
      <c r="EY42" s="33"/>
      <c r="EZ42" s="33"/>
      <c r="FA42" s="33"/>
      <c r="FB42" s="33"/>
      <c r="FC42" s="33"/>
      <c r="FD42" s="36"/>
      <c r="FE42" s="42"/>
      <c r="FF42" s="41"/>
      <c r="FG42" s="41"/>
      <c r="FH42" s="41"/>
      <c r="FI42" s="44"/>
      <c r="FJ42" s="33"/>
      <c r="FK42" s="33"/>
      <c r="FL42" s="33"/>
      <c r="FM42" s="33"/>
      <c r="FN42" s="33"/>
      <c r="FO42" s="33"/>
      <c r="FP42" s="33"/>
      <c r="FQ42" s="33"/>
      <c r="FR42" s="33"/>
      <c r="FS42" s="33"/>
      <c r="FT42" s="33"/>
      <c r="FU42" s="33"/>
      <c r="FV42" s="33"/>
      <c r="FW42" s="33"/>
      <c r="FX42" s="33"/>
      <c r="FY42" s="33"/>
      <c r="FZ42" s="33"/>
      <c r="GA42" s="33"/>
      <c r="GB42" s="33"/>
      <c r="GC42" s="33"/>
      <c r="GD42" s="33"/>
      <c r="GE42" s="33"/>
      <c r="GF42" s="33"/>
      <c r="GG42" s="33"/>
      <c r="GH42" s="33"/>
      <c r="GI42" s="33"/>
      <c r="GJ42" s="33"/>
      <c r="GK42" s="36"/>
      <c r="GL42" s="42"/>
      <c r="GM42" s="41"/>
      <c r="GN42" s="41"/>
      <c r="GO42" s="41"/>
      <c r="GP42" s="44"/>
      <c r="GQ42" s="33"/>
      <c r="GR42" s="33"/>
      <c r="GS42" s="33"/>
      <c r="GT42" s="33"/>
      <c r="GU42" s="59"/>
      <c r="GV42" s="41"/>
      <c r="GW42" s="41"/>
      <c r="GX42" s="41"/>
      <c r="GY42" s="42"/>
      <c r="GZ42" s="36"/>
      <c r="HA42" s="33"/>
      <c r="HB42" s="33"/>
      <c r="HC42" s="33"/>
      <c r="HD42" s="33"/>
      <c r="HE42" s="33"/>
      <c r="HF42" s="33"/>
      <c r="HG42" s="33"/>
      <c r="HH42" s="33"/>
      <c r="HI42" s="33"/>
      <c r="HJ42" s="33"/>
      <c r="HK42" s="33"/>
      <c r="HL42" s="33"/>
      <c r="HM42" s="33"/>
      <c r="HN42" s="33"/>
      <c r="HO42" s="33"/>
      <c r="HP42" s="33"/>
      <c r="HQ42" s="33"/>
      <c r="HR42" s="33"/>
      <c r="HS42" s="33"/>
      <c r="HT42" s="33"/>
      <c r="HU42" s="33"/>
      <c r="HV42" s="33"/>
      <c r="HW42" s="33"/>
      <c r="HX42" s="33"/>
      <c r="HY42" s="33"/>
      <c r="HZ42" s="33"/>
      <c r="IA42" s="33"/>
      <c r="IB42" s="33"/>
      <c r="IC42" s="33"/>
      <c r="ID42" s="33"/>
      <c r="IE42" s="33"/>
      <c r="IF42" s="33"/>
      <c r="IG42" s="33"/>
      <c r="IH42" s="33"/>
      <c r="II42" s="33"/>
      <c r="IJ42" s="33"/>
      <c r="IK42" s="33"/>
      <c r="IL42" s="33"/>
      <c r="IM42" s="33"/>
      <c r="IN42" s="33"/>
      <c r="IO42" s="33"/>
      <c r="IP42" s="33"/>
      <c r="IQ42" s="33"/>
      <c r="IR42" s="33"/>
      <c r="IS42" s="33"/>
      <c r="IT42" s="33"/>
      <c r="IU42" s="33"/>
      <c r="IV42" s="33"/>
      <c r="IW42" s="33"/>
      <c r="IX42" s="33"/>
      <c r="IY42" s="33"/>
      <c r="IZ42" s="33"/>
      <c r="JA42" s="33"/>
      <c r="JB42" s="33"/>
      <c r="JC42" s="33"/>
      <c r="JD42" s="33"/>
      <c r="JE42" s="33"/>
      <c r="JF42" s="33"/>
      <c r="JG42" s="33"/>
      <c r="JH42" s="33"/>
      <c r="JI42" s="33"/>
      <c r="JJ42" s="33"/>
      <c r="JK42" s="33"/>
      <c r="JL42" s="33"/>
      <c r="JM42" s="33"/>
      <c r="JN42" s="33"/>
      <c r="JO42" s="33"/>
      <c r="JP42" s="33"/>
      <c r="JQ42" s="33"/>
      <c r="JR42" s="33"/>
      <c r="JS42" s="33"/>
      <c r="JT42" s="33"/>
      <c r="JU42" s="33"/>
      <c r="JV42" s="33"/>
      <c r="JW42" s="33"/>
      <c r="JX42" s="33"/>
      <c r="JY42" s="33"/>
      <c r="JZ42" s="33"/>
      <c r="KA42" s="33"/>
      <c r="KB42" s="33"/>
      <c r="KC42" s="33"/>
      <c r="KD42" s="33"/>
      <c r="KE42" s="33"/>
      <c r="KF42" s="33"/>
      <c r="KG42" s="33"/>
      <c r="KH42" s="33"/>
      <c r="KI42" s="33"/>
      <c r="KJ42" s="33"/>
      <c r="KK42" s="33"/>
      <c r="KL42" s="33"/>
      <c r="KM42" s="33"/>
      <c r="KN42" s="33"/>
      <c r="KO42" s="33"/>
      <c r="KP42" s="33"/>
      <c r="KQ42" s="33"/>
      <c r="KR42" s="33"/>
      <c r="KS42" s="33"/>
      <c r="KT42" s="33"/>
      <c r="KU42" s="33"/>
      <c r="KV42" s="33"/>
      <c r="KW42" s="33"/>
      <c r="KX42" s="33"/>
      <c r="KY42" s="33"/>
      <c r="KZ42" s="33"/>
      <c r="LA42" s="33"/>
      <c r="LB42" s="33"/>
      <c r="LC42" s="33"/>
      <c r="LD42" s="33"/>
      <c r="LE42" s="33"/>
      <c r="LF42" s="33"/>
      <c r="LG42" s="33"/>
      <c r="LH42" s="33"/>
      <c r="LI42" s="33"/>
      <c r="LJ42" s="33"/>
      <c r="LK42" s="33"/>
      <c r="LL42" s="33"/>
      <c r="LM42" s="33"/>
      <c r="LN42" s="33"/>
      <c r="LO42" s="33"/>
      <c r="LP42" s="33"/>
      <c r="LQ42" s="33"/>
      <c r="LR42" s="33"/>
      <c r="LS42" s="33"/>
      <c r="LT42" s="33"/>
      <c r="LU42" s="33"/>
      <c r="LV42" s="33"/>
      <c r="LW42" s="33"/>
      <c r="LX42" s="33"/>
      <c r="LY42" s="33"/>
      <c r="LZ42" s="33"/>
      <c r="MA42" s="33"/>
      <c r="MB42" s="33"/>
      <c r="MC42" s="33"/>
      <c r="MD42" s="33"/>
      <c r="ME42" s="33"/>
      <c r="MF42" s="33"/>
      <c r="MG42" s="33"/>
      <c r="MH42" s="33"/>
      <c r="MI42" s="33"/>
      <c r="MJ42" s="33"/>
      <c r="MK42" s="33"/>
      <c r="ML42" s="33"/>
      <c r="MM42" s="33"/>
      <c r="MN42" s="33"/>
      <c r="MO42" s="33"/>
      <c r="MP42" s="33"/>
      <c r="MQ42" s="33"/>
      <c r="MR42" s="33"/>
      <c r="MS42" s="33"/>
      <c r="MT42" s="33"/>
      <c r="MU42" s="33"/>
      <c r="MV42" s="33"/>
    </row>
    <row r="43" spans="1:360" ht="0.75" customHeight="1" x14ac:dyDescent="0.25">
      <c r="A43" s="33"/>
      <c r="B43" s="33"/>
      <c r="C43" s="33"/>
      <c r="D43" s="33"/>
      <c r="E43" s="33"/>
      <c r="F43" s="33"/>
      <c r="G43" s="33"/>
      <c r="H43" s="33"/>
      <c r="I43" s="33"/>
      <c r="J43" s="33"/>
      <c r="K43" s="33"/>
      <c r="L43" s="33"/>
      <c r="M43" s="33"/>
      <c r="N43" s="33"/>
      <c r="O43" s="33"/>
      <c r="P43" s="33"/>
      <c r="Q43" s="33"/>
      <c r="R43" s="33"/>
      <c r="S43" s="33"/>
      <c r="T43" s="33"/>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3"/>
      <c r="AV43" s="33"/>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33"/>
      <c r="CG43" s="33"/>
      <c r="CH43" s="33"/>
      <c r="CI43" s="33"/>
      <c r="CJ43" s="33"/>
      <c r="CK43" s="33"/>
      <c r="CL43" s="33"/>
      <c r="CM43" s="33"/>
      <c r="CN43" s="33"/>
      <c r="CO43" s="33"/>
      <c r="CP43" s="33"/>
      <c r="CQ43" s="33"/>
      <c r="CR43" s="33"/>
      <c r="CS43" s="33"/>
      <c r="CT43" s="33"/>
      <c r="CU43" s="33"/>
      <c r="CV43" s="33"/>
      <c r="CW43" s="33"/>
      <c r="CX43" s="33"/>
      <c r="CY43" s="33"/>
      <c r="CZ43" s="33"/>
      <c r="DA43" s="33"/>
      <c r="DB43" s="33"/>
      <c r="DC43" s="33"/>
      <c r="DD43" s="33"/>
      <c r="DE43" s="33"/>
      <c r="DF43" s="33"/>
      <c r="DG43" s="33"/>
      <c r="DH43" s="33"/>
      <c r="DI43" s="33"/>
      <c r="DJ43" s="33"/>
      <c r="DK43" s="33"/>
      <c r="DL43" s="33"/>
      <c r="DM43" s="33"/>
      <c r="DN43" s="33"/>
      <c r="DO43" s="33"/>
      <c r="DP43" s="33"/>
      <c r="DQ43" s="33"/>
      <c r="DR43" s="33"/>
      <c r="DS43" s="33"/>
      <c r="DT43" s="33"/>
      <c r="DU43" s="33"/>
      <c r="DV43" s="33"/>
      <c r="DW43" s="33"/>
      <c r="DX43" s="33"/>
      <c r="DY43" s="33"/>
      <c r="DZ43" s="33"/>
      <c r="EA43" s="33"/>
      <c r="EB43" s="33"/>
      <c r="EC43" s="33"/>
      <c r="ED43" s="33"/>
      <c r="EE43" s="33"/>
      <c r="EF43" s="33"/>
      <c r="EG43" s="33"/>
      <c r="EH43" s="33"/>
      <c r="EI43" s="33"/>
      <c r="EJ43" s="33"/>
      <c r="EK43" s="33"/>
      <c r="EL43" s="44"/>
      <c r="EM43" s="41"/>
      <c r="EN43" s="41"/>
      <c r="EO43" s="41"/>
      <c r="EP43" s="42"/>
      <c r="EQ43" s="36"/>
      <c r="ER43" s="33"/>
      <c r="ES43" s="33"/>
      <c r="ET43" s="33"/>
      <c r="EU43" s="33"/>
      <c r="EV43" s="33"/>
      <c r="EW43" s="33"/>
      <c r="EX43" s="33"/>
      <c r="EY43" s="33"/>
      <c r="EZ43" s="33"/>
      <c r="FA43" s="33"/>
      <c r="FB43" s="33"/>
      <c r="FC43" s="33"/>
      <c r="FD43" s="36"/>
      <c r="FE43" s="42"/>
      <c r="FF43" s="41"/>
      <c r="FG43" s="41"/>
      <c r="FH43" s="41"/>
      <c r="FI43" s="44"/>
      <c r="FJ43" s="33"/>
      <c r="FK43" s="33"/>
      <c r="FL43" s="33"/>
      <c r="FM43" s="33"/>
      <c r="FN43" s="33"/>
      <c r="FO43" s="33"/>
      <c r="FP43" s="33"/>
      <c r="FQ43" s="33"/>
      <c r="FR43" s="33"/>
      <c r="FS43" s="33"/>
      <c r="FT43" s="33"/>
      <c r="FU43" s="33"/>
      <c r="FV43" s="33"/>
      <c r="FW43" s="33"/>
      <c r="FX43" s="33"/>
      <c r="FY43" s="33"/>
      <c r="FZ43" s="33"/>
      <c r="GA43" s="33"/>
      <c r="GB43" s="33"/>
      <c r="GC43" s="33"/>
      <c r="GD43" s="33"/>
      <c r="GE43" s="33"/>
      <c r="GF43" s="33"/>
      <c r="GG43" s="33"/>
      <c r="GH43" s="33"/>
      <c r="GI43" s="33"/>
      <c r="GJ43" s="33"/>
      <c r="GK43" s="60"/>
      <c r="GL43" s="61"/>
      <c r="GM43" s="62"/>
      <c r="GN43" s="63"/>
      <c r="GO43" s="64"/>
      <c r="GP43" s="65"/>
      <c r="GQ43" s="66"/>
      <c r="GR43" s="67"/>
      <c r="GS43" s="67"/>
      <c r="GT43" s="68"/>
      <c r="GU43" s="69"/>
      <c r="GV43" s="70"/>
      <c r="GW43" s="63"/>
      <c r="GX43" s="62"/>
      <c r="GY43" s="61"/>
      <c r="GZ43" s="60"/>
      <c r="HA43" s="33"/>
      <c r="HB43" s="33"/>
      <c r="HC43" s="33"/>
      <c r="HD43" s="33"/>
      <c r="HE43" s="33"/>
      <c r="HF43" s="33"/>
      <c r="HG43" s="33"/>
      <c r="HH43" s="33"/>
      <c r="HI43" s="33"/>
      <c r="HJ43" s="33"/>
      <c r="HK43" s="33"/>
      <c r="HL43" s="33"/>
      <c r="HM43" s="33"/>
      <c r="HN43" s="33"/>
      <c r="HO43" s="33"/>
      <c r="HP43" s="33"/>
      <c r="HQ43" s="33"/>
      <c r="HR43" s="33"/>
      <c r="HS43" s="33"/>
      <c r="HT43" s="33"/>
      <c r="HU43" s="33"/>
      <c r="HV43" s="33"/>
      <c r="HW43" s="33"/>
      <c r="HX43" s="33"/>
      <c r="HY43" s="33"/>
      <c r="HZ43" s="33"/>
      <c r="IA43" s="33"/>
      <c r="IB43" s="33"/>
      <c r="IC43" s="33"/>
      <c r="ID43" s="33"/>
      <c r="IE43" s="33"/>
      <c r="IF43" s="33"/>
      <c r="IG43" s="33"/>
      <c r="IH43" s="33"/>
      <c r="II43" s="33"/>
      <c r="IJ43" s="33"/>
      <c r="IK43" s="33"/>
      <c r="IL43" s="33"/>
      <c r="IM43" s="33"/>
      <c r="IN43" s="33"/>
      <c r="IO43" s="33"/>
      <c r="IP43" s="33"/>
      <c r="IQ43" s="33"/>
      <c r="IR43" s="33"/>
      <c r="IS43" s="33"/>
      <c r="IT43" s="33"/>
      <c r="IU43" s="33"/>
      <c r="IV43" s="33"/>
      <c r="IW43" s="33"/>
      <c r="IX43" s="33"/>
      <c r="IY43" s="33"/>
      <c r="IZ43" s="33"/>
      <c r="JA43" s="33"/>
      <c r="JB43" s="33"/>
      <c r="JC43" s="33"/>
      <c r="JD43" s="33"/>
      <c r="JE43" s="33"/>
      <c r="JF43" s="33"/>
      <c r="JG43" s="33"/>
      <c r="JH43" s="33"/>
      <c r="JI43" s="33"/>
      <c r="JJ43" s="33"/>
      <c r="JK43" s="33"/>
      <c r="JL43" s="33"/>
      <c r="JM43" s="33"/>
      <c r="JN43" s="33"/>
      <c r="JO43" s="33"/>
      <c r="JP43" s="33"/>
      <c r="JQ43" s="33"/>
      <c r="JR43" s="33"/>
      <c r="JS43" s="33"/>
      <c r="JT43" s="33"/>
      <c r="JU43" s="33"/>
      <c r="JV43" s="33"/>
      <c r="JW43" s="33"/>
      <c r="JX43" s="33"/>
      <c r="JY43" s="33"/>
      <c r="JZ43" s="33"/>
      <c r="KA43" s="33"/>
      <c r="KB43" s="33"/>
      <c r="KC43" s="33"/>
      <c r="KD43" s="33"/>
      <c r="KE43" s="33"/>
      <c r="KF43" s="33"/>
      <c r="KG43" s="33"/>
      <c r="KH43" s="33"/>
      <c r="KI43" s="33"/>
      <c r="KJ43" s="33"/>
      <c r="KK43" s="33"/>
      <c r="KL43" s="33"/>
      <c r="KM43" s="33"/>
      <c r="KN43" s="33"/>
      <c r="KO43" s="33"/>
      <c r="KP43" s="33"/>
      <c r="KQ43" s="33"/>
      <c r="KR43" s="33"/>
      <c r="KS43" s="33"/>
      <c r="KT43" s="33"/>
      <c r="KU43" s="33"/>
      <c r="KV43" s="33"/>
      <c r="KW43" s="33"/>
      <c r="KX43" s="33"/>
      <c r="KY43" s="33"/>
      <c r="KZ43" s="33"/>
      <c r="LA43" s="33"/>
      <c r="LB43" s="33"/>
      <c r="LC43" s="33"/>
      <c r="LD43" s="33"/>
      <c r="LE43" s="33"/>
      <c r="LF43" s="33"/>
      <c r="LG43" s="33"/>
      <c r="LH43" s="33"/>
      <c r="LI43" s="33"/>
      <c r="LJ43" s="33"/>
      <c r="LK43" s="33"/>
      <c r="LL43" s="33"/>
      <c r="LM43" s="33"/>
      <c r="LN43" s="33"/>
      <c r="LO43" s="33"/>
      <c r="LP43" s="33"/>
      <c r="LQ43" s="33"/>
      <c r="LR43" s="33"/>
      <c r="LS43" s="33"/>
      <c r="LT43" s="33"/>
      <c r="LU43" s="33"/>
      <c r="LV43" s="33"/>
      <c r="LW43" s="33"/>
      <c r="LX43" s="33"/>
      <c r="LY43" s="33"/>
      <c r="LZ43" s="33"/>
      <c r="MA43" s="33"/>
      <c r="MB43" s="33"/>
      <c r="MC43" s="33"/>
      <c r="MD43" s="33"/>
      <c r="ME43" s="33"/>
      <c r="MF43" s="33"/>
      <c r="MG43" s="33"/>
      <c r="MH43" s="33"/>
      <c r="MI43" s="33"/>
      <c r="MJ43" s="33"/>
      <c r="MK43" s="33"/>
      <c r="ML43" s="33"/>
      <c r="MM43" s="33"/>
      <c r="MN43" s="33"/>
      <c r="MO43" s="33"/>
      <c r="MP43" s="33"/>
      <c r="MQ43" s="33"/>
      <c r="MR43" s="33"/>
      <c r="MS43" s="33"/>
      <c r="MT43" s="33"/>
      <c r="MU43" s="33"/>
      <c r="MV43" s="33"/>
    </row>
    <row r="44" spans="1:360" ht="0.75" customHeight="1" x14ac:dyDescent="0.25">
      <c r="A44" s="33"/>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3"/>
      <c r="AV44" s="33"/>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33"/>
      <c r="CG44" s="33"/>
      <c r="CH44" s="33"/>
      <c r="CI44" s="33"/>
      <c r="CJ44" s="33"/>
      <c r="CK44" s="33"/>
      <c r="CL44" s="33"/>
      <c r="CM44" s="33"/>
      <c r="CN44" s="33"/>
      <c r="CO44" s="33"/>
      <c r="CP44" s="33"/>
      <c r="CQ44" s="33"/>
      <c r="CR44" s="33"/>
      <c r="CS44" s="33"/>
      <c r="CT44" s="33"/>
      <c r="CU44" s="33"/>
      <c r="CV44" s="33"/>
      <c r="CW44" s="33"/>
      <c r="CX44" s="33"/>
      <c r="CY44" s="33"/>
      <c r="CZ44" s="33"/>
      <c r="DA44" s="33"/>
      <c r="DB44" s="33"/>
      <c r="DC44" s="33"/>
      <c r="DD44" s="33"/>
      <c r="DE44" s="33"/>
      <c r="DF44" s="33"/>
      <c r="DG44" s="33"/>
      <c r="DH44" s="33"/>
      <c r="DI44" s="33"/>
      <c r="DJ44" s="33"/>
      <c r="DK44" s="33"/>
      <c r="DL44" s="33"/>
      <c r="DM44" s="33"/>
      <c r="DN44" s="33"/>
      <c r="DO44" s="33"/>
      <c r="DP44" s="33"/>
      <c r="DQ44" s="33"/>
      <c r="DR44" s="33"/>
      <c r="DS44" s="33"/>
      <c r="DT44" s="33"/>
      <c r="DU44" s="33"/>
      <c r="DV44" s="33"/>
      <c r="DW44" s="33"/>
      <c r="DX44" s="33"/>
      <c r="DY44" s="33"/>
      <c r="DZ44" s="33"/>
      <c r="EA44" s="33"/>
      <c r="EB44" s="33"/>
      <c r="EC44" s="33"/>
      <c r="ED44" s="33"/>
      <c r="EE44" s="33"/>
      <c r="EF44" s="33"/>
      <c r="EG44" s="33"/>
      <c r="EH44" s="33"/>
      <c r="EI44" s="33"/>
      <c r="EJ44" s="33"/>
      <c r="EK44" s="33"/>
      <c r="EL44" s="44"/>
      <c r="EM44" s="41"/>
      <c r="EN44" s="41"/>
      <c r="EO44" s="41"/>
      <c r="EP44" s="42"/>
      <c r="EQ44" s="36"/>
      <c r="ER44" s="33"/>
      <c r="ES44" s="33"/>
      <c r="ET44" s="33"/>
      <c r="EU44" s="33"/>
      <c r="EV44" s="33"/>
      <c r="EW44" s="33"/>
      <c r="EX44" s="33"/>
      <c r="EY44" s="33"/>
      <c r="EZ44" s="33"/>
      <c r="FA44" s="33"/>
      <c r="FB44" s="33"/>
      <c r="FC44" s="33"/>
      <c r="FD44" s="36"/>
      <c r="FE44" s="42"/>
      <c r="FF44" s="41"/>
      <c r="FG44" s="41"/>
      <c r="FH44" s="41"/>
      <c r="FI44" s="44"/>
      <c r="FJ44" s="33"/>
      <c r="FK44" s="33"/>
      <c r="FL44" s="33"/>
      <c r="FM44" s="33"/>
      <c r="FN44" s="33"/>
      <c r="FO44" s="33"/>
      <c r="FP44" s="33"/>
      <c r="FQ44" s="33"/>
      <c r="FR44" s="33"/>
      <c r="FS44" s="33"/>
      <c r="FT44" s="33"/>
      <c r="FU44" s="33"/>
      <c r="FV44" s="33"/>
      <c r="FW44" s="33"/>
      <c r="FX44" s="33"/>
      <c r="FY44" s="33"/>
      <c r="FZ44" s="33"/>
      <c r="GA44" s="33"/>
      <c r="GB44" s="33"/>
      <c r="GC44" s="33"/>
      <c r="GD44" s="33"/>
      <c r="GE44" s="33"/>
      <c r="GF44" s="33"/>
      <c r="GG44" s="33"/>
      <c r="GH44" s="33"/>
      <c r="GI44" s="33"/>
      <c r="GJ44" s="33"/>
      <c r="GK44" s="33"/>
      <c r="GL44" s="33"/>
      <c r="GM44" s="33"/>
      <c r="GN44" s="33"/>
      <c r="GO44" s="33"/>
      <c r="GP44" s="52"/>
      <c r="GQ44" s="41"/>
      <c r="GR44" s="41"/>
      <c r="GS44" s="41"/>
      <c r="GT44" s="41"/>
      <c r="GU44" s="63"/>
      <c r="GV44" s="33"/>
      <c r="GW44" s="33"/>
      <c r="GX44" s="33"/>
      <c r="GY44" s="33"/>
      <c r="GZ44" s="33"/>
      <c r="HA44" s="33"/>
      <c r="HB44" s="33"/>
      <c r="HC44" s="33"/>
      <c r="HD44" s="33"/>
      <c r="HE44" s="33"/>
      <c r="HF44" s="33"/>
      <c r="HG44" s="33"/>
      <c r="HH44" s="33"/>
      <c r="HI44" s="33"/>
      <c r="HJ44" s="33"/>
      <c r="HK44" s="33"/>
      <c r="HL44" s="33"/>
      <c r="HM44" s="33"/>
      <c r="HN44" s="33"/>
      <c r="HO44" s="33"/>
      <c r="HP44" s="33"/>
      <c r="HQ44" s="33"/>
      <c r="HR44" s="33"/>
      <c r="HS44" s="33"/>
      <c r="HT44" s="33"/>
      <c r="HU44" s="33"/>
      <c r="HV44" s="33"/>
      <c r="HW44" s="33"/>
      <c r="HX44" s="33"/>
      <c r="HY44" s="33"/>
      <c r="HZ44" s="33"/>
      <c r="IA44" s="33"/>
      <c r="IB44" s="33"/>
      <c r="IC44" s="33"/>
      <c r="ID44" s="33"/>
      <c r="IE44" s="33"/>
      <c r="IF44" s="33"/>
      <c r="IG44" s="33"/>
      <c r="IH44" s="33"/>
      <c r="II44" s="33"/>
      <c r="IJ44" s="33"/>
      <c r="IK44" s="33"/>
      <c r="IL44" s="33"/>
      <c r="IM44" s="33"/>
      <c r="IN44" s="33"/>
      <c r="IO44" s="33"/>
      <c r="IP44" s="33"/>
      <c r="IQ44" s="33"/>
      <c r="IR44" s="33"/>
      <c r="IS44" s="33"/>
      <c r="IT44" s="33"/>
      <c r="IU44" s="33"/>
      <c r="IV44" s="33"/>
      <c r="IW44" s="33"/>
      <c r="IX44" s="33"/>
      <c r="IY44" s="33"/>
      <c r="IZ44" s="33"/>
      <c r="JA44" s="33"/>
      <c r="JB44" s="33"/>
      <c r="JC44" s="33"/>
      <c r="JD44" s="33"/>
      <c r="JE44" s="33"/>
      <c r="JF44" s="33"/>
      <c r="JG44" s="33"/>
      <c r="JH44" s="33"/>
      <c r="JI44" s="33"/>
      <c r="JJ44" s="33"/>
      <c r="JK44" s="33"/>
      <c r="JL44" s="33"/>
      <c r="JM44" s="33"/>
      <c r="JN44" s="33"/>
      <c r="JO44" s="33"/>
      <c r="JP44" s="33"/>
      <c r="JQ44" s="33"/>
      <c r="JR44" s="33"/>
      <c r="JS44" s="33"/>
      <c r="JT44" s="33"/>
      <c r="JU44" s="33"/>
      <c r="JV44" s="33"/>
      <c r="JW44" s="33"/>
      <c r="JX44" s="33"/>
      <c r="JY44" s="33"/>
      <c r="JZ44" s="33"/>
      <c r="KA44" s="33"/>
      <c r="KB44" s="33"/>
      <c r="KC44" s="33"/>
      <c r="KD44" s="33"/>
      <c r="KE44" s="33"/>
      <c r="KF44" s="33"/>
      <c r="KG44" s="33"/>
      <c r="KH44" s="33"/>
      <c r="KI44" s="33"/>
      <c r="KJ44" s="33"/>
      <c r="KK44" s="33"/>
      <c r="KL44" s="33"/>
      <c r="KM44" s="33"/>
      <c r="KN44" s="33"/>
      <c r="KO44" s="33"/>
      <c r="KP44" s="33"/>
      <c r="KQ44" s="33"/>
      <c r="KR44" s="33"/>
      <c r="KS44" s="33"/>
      <c r="KT44" s="33"/>
      <c r="KU44" s="33"/>
      <c r="KV44" s="33"/>
      <c r="KW44" s="33"/>
      <c r="KX44" s="33"/>
      <c r="KY44" s="33"/>
      <c r="KZ44" s="33"/>
      <c r="LA44" s="33"/>
      <c r="LB44" s="33"/>
      <c r="LC44" s="33"/>
      <c r="LD44" s="33"/>
      <c r="LE44" s="33"/>
      <c r="LF44" s="33"/>
      <c r="LG44" s="33"/>
      <c r="LH44" s="33"/>
      <c r="LI44" s="33"/>
      <c r="LJ44" s="33"/>
      <c r="LK44" s="33"/>
      <c r="LL44" s="33"/>
      <c r="LM44" s="33"/>
      <c r="LN44" s="33"/>
      <c r="LO44" s="33"/>
      <c r="LP44" s="33"/>
      <c r="LQ44" s="33"/>
      <c r="LR44" s="33"/>
      <c r="LS44" s="33"/>
      <c r="LT44" s="33"/>
      <c r="LU44" s="33"/>
      <c r="LV44" s="33"/>
      <c r="LW44" s="33"/>
      <c r="LX44" s="33"/>
      <c r="LY44" s="33"/>
      <c r="LZ44" s="33"/>
      <c r="MA44" s="33"/>
      <c r="MB44" s="33"/>
      <c r="MC44" s="33"/>
      <c r="MD44" s="33"/>
      <c r="ME44" s="33"/>
      <c r="MF44" s="33"/>
      <c r="MG44" s="33"/>
      <c r="MH44" s="33"/>
      <c r="MI44" s="33"/>
      <c r="MJ44" s="33"/>
      <c r="MK44" s="33"/>
      <c r="ML44" s="33"/>
      <c r="MM44" s="33"/>
      <c r="MN44" s="33"/>
      <c r="MO44" s="33"/>
      <c r="MP44" s="33"/>
      <c r="MQ44" s="33"/>
      <c r="MR44" s="33"/>
      <c r="MS44" s="33"/>
      <c r="MT44" s="33"/>
      <c r="MU44" s="33"/>
      <c r="MV44" s="33"/>
    </row>
    <row r="45" spans="1:360" ht="0.75" customHeight="1" x14ac:dyDescent="0.25">
      <c r="A45" s="33"/>
      <c r="B45" s="33"/>
      <c r="C45" s="33"/>
      <c r="D45" s="33"/>
      <c r="E45" s="33"/>
      <c r="F45" s="33"/>
      <c r="G45" s="33"/>
      <c r="H45" s="33"/>
      <c r="I45" s="33"/>
      <c r="J45" s="33"/>
      <c r="K45" s="33"/>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3"/>
      <c r="AV45" s="33"/>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c r="CF45" s="33"/>
      <c r="CG45" s="33"/>
      <c r="CH45" s="33"/>
      <c r="CI45" s="33"/>
      <c r="CJ45" s="33"/>
      <c r="CK45" s="33"/>
      <c r="CL45" s="33"/>
      <c r="CM45" s="33"/>
      <c r="CN45" s="33"/>
      <c r="CO45" s="33"/>
      <c r="CP45" s="33"/>
      <c r="CQ45" s="33"/>
      <c r="CR45" s="33"/>
      <c r="CS45" s="33"/>
      <c r="CT45" s="33"/>
      <c r="CU45" s="33"/>
      <c r="CV45" s="33"/>
      <c r="CW45" s="33"/>
      <c r="CX45" s="33"/>
      <c r="CY45" s="33"/>
      <c r="CZ45" s="33"/>
      <c r="DA45" s="33"/>
      <c r="DB45" s="33"/>
      <c r="DC45" s="33"/>
      <c r="DD45" s="33"/>
      <c r="DE45" s="33"/>
      <c r="DF45" s="33"/>
      <c r="DG45" s="33"/>
      <c r="DH45" s="33"/>
      <c r="DI45" s="33"/>
      <c r="DJ45" s="33"/>
      <c r="DK45" s="33"/>
      <c r="DL45" s="33"/>
      <c r="DM45" s="33"/>
      <c r="DN45" s="33"/>
      <c r="DO45" s="33"/>
      <c r="DP45" s="33"/>
      <c r="DQ45" s="33"/>
      <c r="DR45" s="33"/>
      <c r="DS45" s="33"/>
      <c r="DT45" s="33"/>
      <c r="DU45" s="33"/>
      <c r="DV45" s="33"/>
      <c r="DW45" s="33"/>
      <c r="DX45" s="33"/>
      <c r="DY45" s="33"/>
      <c r="DZ45" s="33"/>
      <c r="EA45" s="33"/>
      <c r="EB45" s="33"/>
      <c r="EC45" s="33"/>
      <c r="ED45" s="33"/>
      <c r="EE45" s="33"/>
      <c r="EF45" s="33"/>
      <c r="EG45" s="33"/>
      <c r="EH45" s="33"/>
      <c r="EI45" s="33"/>
      <c r="EJ45" s="33"/>
      <c r="EK45" s="33"/>
      <c r="EL45" s="44"/>
      <c r="EM45" s="41"/>
      <c r="EN45" s="41"/>
      <c r="EO45" s="41"/>
      <c r="EP45" s="42"/>
      <c r="EQ45" s="36"/>
      <c r="ER45" s="33"/>
      <c r="ES45" s="33"/>
      <c r="ET45" s="33"/>
      <c r="EU45" s="33"/>
      <c r="EV45" s="33"/>
      <c r="EW45" s="33"/>
      <c r="EX45" s="33"/>
      <c r="EY45" s="33"/>
      <c r="EZ45" s="33"/>
      <c r="FA45" s="33"/>
      <c r="FB45" s="33"/>
      <c r="FC45" s="33"/>
      <c r="FD45" s="36"/>
      <c r="FE45" s="42"/>
      <c r="FF45" s="41"/>
      <c r="FG45" s="41"/>
      <c r="FH45" s="41"/>
      <c r="FI45" s="44"/>
      <c r="FJ45" s="33"/>
      <c r="FK45" s="33"/>
      <c r="FL45" s="33"/>
      <c r="FM45" s="33"/>
      <c r="FN45" s="33"/>
      <c r="FO45" s="33"/>
      <c r="FP45" s="33"/>
      <c r="FQ45" s="33"/>
      <c r="FR45" s="33"/>
      <c r="FS45" s="33"/>
      <c r="FT45" s="33"/>
      <c r="FU45" s="33"/>
      <c r="FV45" s="33"/>
      <c r="FW45" s="33"/>
      <c r="FX45" s="33"/>
      <c r="FY45" s="33"/>
      <c r="FZ45" s="33"/>
      <c r="GA45" s="33"/>
      <c r="GB45" s="33"/>
      <c r="GC45" s="33"/>
      <c r="GD45" s="33"/>
      <c r="GE45" s="33"/>
      <c r="GF45" s="33"/>
      <c r="GG45" s="33"/>
      <c r="GH45" s="33"/>
      <c r="GI45" s="33"/>
      <c r="GJ45" s="33"/>
      <c r="GK45" s="33"/>
      <c r="GL45" s="33"/>
      <c r="GM45" s="33"/>
      <c r="GN45" s="33"/>
      <c r="GO45" s="33"/>
      <c r="GP45" s="52"/>
      <c r="GQ45" s="41"/>
      <c r="GR45" s="41"/>
      <c r="GS45" s="41"/>
      <c r="GT45" s="41"/>
      <c r="GU45" s="63"/>
      <c r="GV45" s="33"/>
      <c r="GW45" s="33"/>
      <c r="GX45" s="33"/>
      <c r="GY45" s="33"/>
      <c r="GZ45" s="33"/>
      <c r="HA45" s="33"/>
      <c r="HB45" s="33"/>
      <c r="HC45" s="33"/>
      <c r="HD45" s="33"/>
      <c r="HE45" s="33"/>
      <c r="HF45" s="33"/>
      <c r="HG45" s="33"/>
      <c r="HH45" s="33"/>
      <c r="HI45" s="33"/>
      <c r="HJ45" s="33"/>
      <c r="HK45" s="33"/>
      <c r="HL45" s="33"/>
      <c r="HM45" s="33"/>
      <c r="HN45" s="33"/>
      <c r="HO45" s="33"/>
      <c r="HP45" s="33"/>
      <c r="HQ45" s="33"/>
      <c r="HR45" s="33"/>
      <c r="HS45" s="33"/>
      <c r="HT45" s="33"/>
      <c r="HU45" s="33"/>
      <c r="HV45" s="33"/>
      <c r="HW45" s="33"/>
      <c r="HX45" s="33"/>
      <c r="HY45" s="33"/>
      <c r="HZ45" s="33"/>
      <c r="IA45" s="33"/>
      <c r="IB45" s="33"/>
      <c r="IC45" s="33"/>
      <c r="ID45" s="33"/>
      <c r="IE45" s="33"/>
      <c r="IF45" s="33"/>
      <c r="IG45" s="33"/>
      <c r="IH45" s="33"/>
      <c r="II45" s="33"/>
      <c r="IJ45" s="33"/>
      <c r="IK45" s="33"/>
      <c r="IL45" s="33"/>
      <c r="IM45" s="33"/>
      <c r="IN45" s="33"/>
      <c r="IO45" s="33"/>
      <c r="IP45" s="33"/>
      <c r="IQ45" s="33"/>
      <c r="IR45" s="33"/>
      <c r="IS45" s="33"/>
      <c r="IT45" s="33"/>
      <c r="IU45" s="33"/>
      <c r="IV45" s="33"/>
      <c r="IW45" s="33"/>
      <c r="IX45" s="33"/>
      <c r="IY45" s="33"/>
      <c r="IZ45" s="33"/>
      <c r="JA45" s="33"/>
      <c r="JB45" s="33"/>
      <c r="JC45" s="33"/>
      <c r="JD45" s="33"/>
      <c r="JE45" s="33"/>
      <c r="JF45" s="33"/>
      <c r="JG45" s="33"/>
      <c r="JH45" s="33"/>
      <c r="JI45" s="33"/>
      <c r="JJ45" s="33"/>
      <c r="JK45" s="33"/>
      <c r="JL45" s="33"/>
      <c r="JM45" s="33"/>
      <c r="JN45" s="33"/>
      <c r="JO45" s="33"/>
      <c r="JP45" s="33"/>
      <c r="JQ45" s="33"/>
      <c r="JR45" s="33"/>
      <c r="JS45" s="33"/>
      <c r="JT45" s="33"/>
      <c r="JU45" s="33"/>
      <c r="JV45" s="33"/>
      <c r="JW45" s="33"/>
      <c r="JX45" s="33"/>
      <c r="JY45" s="33"/>
      <c r="JZ45" s="33"/>
      <c r="KA45" s="33"/>
      <c r="KB45" s="33"/>
      <c r="KC45" s="33"/>
      <c r="KD45" s="33"/>
      <c r="KE45" s="33"/>
      <c r="KF45" s="33"/>
      <c r="KG45" s="33"/>
      <c r="KH45" s="33"/>
      <c r="KI45" s="33"/>
      <c r="KJ45" s="33"/>
      <c r="KK45" s="33"/>
      <c r="KL45" s="33"/>
      <c r="KM45" s="33"/>
      <c r="KN45" s="33"/>
      <c r="KO45" s="33"/>
      <c r="KP45" s="33"/>
      <c r="KQ45" s="33"/>
      <c r="KR45" s="33"/>
      <c r="KS45" s="33"/>
      <c r="KT45" s="33"/>
      <c r="KU45" s="33"/>
      <c r="KV45" s="33"/>
      <c r="KW45" s="33"/>
      <c r="KX45" s="33"/>
      <c r="KY45" s="33"/>
      <c r="KZ45" s="33"/>
      <c r="LA45" s="33"/>
      <c r="LB45" s="33"/>
      <c r="LC45" s="33"/>
      <c r="LD45" s="33"/>
      <c r="LE45" s="33"/>
      <c r="LF45" s="33"/>
      <c r="LG45" s="33"/>
      <c r="LH45" s="33"/>
      <c r="LI45" s="33"/>
      <c r="LJ45" s="33"/>
      <c r="LK45" s="33"/>
      <c r="LL45" s="33"/>
      <c r="LM45" s="33"/>
      <c r="LN45" s="33"/>
      <c r="LO45" s="33"/>
      <c r="LP45" s="33"/>
      <c r="LQ45" s="33"/>
      <c r="LR45" s="33"/>
      <c r="LS45" s="33"/>
      <c r="LT45" s="33"/>
      <c r="LU45" s="33"/>
      <c r="LV45" s="33"/>
      <c r="LW45" s="33"/>
      <c r="LX45" s="33"/>
      <c r="LY45" s="33"/>
      <c r="LZ45" s="33"/>
      <c r="MA45" s="33"/>
      <c r="MB45" s="33"/>
      <c r="MC45" s="33"/>
      <c r="MD45" s="33"/>
      <c r="ME45" s="33"/>
      <c r="MF45" s="33"/>
      <c r="MG45" s="33"/>
      <c r="MH45" s="33"/>
      <c r="MI45" s="33"/>
      <c r="MJ45" s="33"/>
      <c r="MK45" s="33"/>
      <c r="ML45" s="33"/>
      <c r="MM45" s="33"/>
      <c r="MN45" s="33"/>
      <c r="MO45" s="33"/>
      <c r="MP45" s="33"/>
      <c r="MQ45" s="33"/>
      <c r="MR45" s="33"/>
      <c r="MS45" s="33"/>
      <c r="MT45" s="33"/>
      <c r="MU45" s="33"/>
      <c r="MV45" s="33"/>
    </row>
    <row r="46" spans="1:360" ht="0.75" customHeight="1" x14ac:dyDescent="0.25">
      <c r="A46" s="33"/>
      <c r="B46" s="33"/>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33"/>
      <c r="CG46" s="33"/>
      <c r="CH46" s="33"/>
      <c r="CI46" s="33"/>
      <c r="CJ46" s="33"/>
      <c r="CK46" s="33"/>
      <c r="CL46" s="33"/>
      <c r="CM46" s="33"/>
      <c r="CN46" s="33"/>
      <c r="CO46" s="33"/>
      <c r="CP46" s="33"/>
      <c r="CQ46" s="33"/>
      <c r="CR46" s="33"/>
      <c r="CS46" s="33"/>
      <c r="CT46" s="33"/>
      <c r="CU46" s="33"/>
      <c r="CV46" s="33"/>
      <c r="CW46" s="33"/>
      <c r="CX46" s="33"/>
      <c r="CY46" s="33"/>
      <c r="CZ46" s="33"/>
      <c r="DA46" s="33"/>
      <c r="DB46" s="33"/>
      <c r="DC46" s="33"/>
      <c r="DD46" s="33"/>
      <c r="DE46" s="33"/>
      <c r="DF46" s="33"/>
      <c r="DG46" s="33"/>
      <c r="DH46" s="33"/>
      <c r="DI46" s="33"/>
      <c r="DJ46" s="33"/>
      <c r="DK46" s="33"/>
      <c r="DL46" s="33"/>
      <c r="DM46" s="33"/>
      <c r="DN46" s="33"/>
      <c r="DO46" s="33"/>
      <c r="DP46" s="33"/>
      <c r="DQ46" s="33"/>
      <c r="DR46" s="33"/>
      <c r="DS46" s="33"/>
      <c r="DT46" s="33"/>
      <c r="DU46" s="33"/>
      <c r="DV46" s="33"/>
      <c r="DW46" s="33"/>
      <c r="DX46" s="33"/>
      <c r="DY46" s="33"/>
      <c r="DZ46" s="33"/>
      <c r="EA46" s="33"/>
      <c r="EB46" s="33"/>
      <c r="EC46" s="33"/>
      <c r="ED46" s="33"/>
      <c r="EE46" s="33"/>
      <c r="EF46" s="33"/>
      <c r="EG46" s="33"/>
      <c r="EH46" s="33"/>
      <c r="EI46" s="33"/>
      <c r="EJ46" s="33"/>
      <c r="EK46" s="33"/>
      <c r="EL46" s="44"/>
      <c r="EM46" s="41"/>
      <c r="EN46" s="41"/>
      <c r="EO46" s="41"/>
      <c r="EP46" s="42"/>
      <c r="EQ46" s="36"/>
      <c r="ER46" s="33"/>
      <c r="ES46" s="33"/>
      <c r="ET46" s="33"/>
      <c r="EU46" s="33"/>
      <c r="EV46" s="33"/>
      <c r="EW46" s="33"/>
      <c r="EX46" s="33"/>
      <c r="EY46" s="33"/>
      <c r="EZ46" s="33"/>
      <c r="FA46" s="33"/>
      <c r="FB46" s="33"/>
      <c r="FC46" s="33"/>
      <c r="FD46" s="36"/>
      <c r="FE46" s="42"/>
      <c r="FF46" s="41"/>
      <c r="FG46" s="41"/>
      <c r="FH46" s="41"/>
      <c r="FI46" s="44"/>
      <c r="FJ46" s="33"/>
      <c r="FK46" s="33"/>
      <c r="FL46" s="33"/>
      <c r="FM46" s="33"/>
      <c r="FN46" s="33"/>
      <c r="FO46" s="33"/>
      <c r="FP46" s="33"/>
      <c r="FQ46" s="33"/>
      <c r="FR46" s="33"/>
      <c r="FS46" s="33"/>
      <c r="FT46" s="33"/>
      <c r="FU46" s="33"/>
      <c r="FV46" s="33"/>
      <c r="FW46" s="33"/>
      <c r="FX46" s="33"/>
      <c r="FY46" s="33"/>
      <c r="FZ46" s="33"/>
      <c r="GA46" s="33"/>
      <c r="GB46" s="33"/>
      <c r="GC46" s="33"/>
      <c r="GD46" s="33"/>
      <c r="GE46" s="33"/>
      <c r="GF46" s="33"/>
      <c r="GG46" s="33"/>
      <c r="GH46" s="33"/>
      <c r="GI46" s="33"/>
      <c r="GJ46" s="33"/>
      <c r="GK46" s="33"/>
      <c r="GL46" s="33"/>
      <c r="GM46" s="33"/>
      <c r="GN46" s="33"/>
      <c r="GO46" s="33"/>
      <c r="GP46" s="52"/>
      <c r="GQ46" s="41"/>
      <c r="GR46" s="41"/>
      <c r="GS46" s="41"/>
      <c r="GT46" s="41"/>
      <c r="GU46" s="63"/>
      <c r="GV46" s="33"/>
      <c r="GW46" s="33"/>
      <c r="GX46" s="33"/>
      <c r="GY46" s="33"/>
      <c r="GZ46" s="33"/>
      <c r="HA46" s="33"/>
      <c r="HB46" s="33"/>
      <c r="HC46" s="33"/>
      <c r="HD46" s="33"/>
      <c r="HE46" s="33"/>
      <c r="HF46" s="33"/>
      <c r="HG46" s="33"/>
      <c r="HH46" s="33"/>
      <c r="HI46" s="33"/>
      <c r="HJ46" s="33"/>
      <c r="HK46" s="33"/>
      <c r="HL46" s="33"/>
      <c r="HM46" s="33"/>
      <c r="HN46" s="33"/>
      <c r="HO46" s="33"/>
      <c r="HP46" s="33"/>
      <c r="HQ46" s="33"/>
      <c r="HR46" s="33"/>
      <c r="HS46" s="33"/>
      <c r="HT46" s="33"/>
      <c r="HU46" s="33"/>
      <c r="HV46" s="33"/>
      <c r="HW46" s="33"/>
      <c r="HX46" s="33"/>
      <c r="HY46" s="33"/>
      <c r="HZ46" s="33"/>
      <c r="IA46" s="33"/>
      <c r="IB46" s="33"/>
      <c r="IC46" s="33"/>
      <c r="ID46" s="33"/>
      <c r="IE46" s="33"/>
      <c r="IF46" s="33"/>
      <c r="IG46" s="33"/>
      <c r="IH46" s="33"/>
      <c r="II46" s="33"/>
      <c r="IJ46" s="33"/>
      <c r="IK46" s="33"/>
      <c r="IL46" s="33"/>
      <c r="IM46" s="33"/>
      <c r="IN46" s="33"/>
      <c r="IO46" s="33"/>
      <c r="IP46" s="33"/>
      <c r="IQ46" s="33"/>
      <c r="IR46" s="33"/>
      <c r="IS46" s="33"/>
      <c r="IT46" s="33"/>
      <c r="IU46" s="33"/>
      <c r="IV46" s="33"/>
      <c r="IW46" s="33"/>
      <c r="IX46" s="33"/>
      <c r="IY46" s="33"/>
      <c r="IZ46" s="33"/>
      <c r="JA46" s="33"/>
      <c r="JB46" s="33"/>
      <c r="JC46" s="33"/>
      <c r="JD46" s="33"/>
      <c r="JE46" s="33"/>
      <c r="JF46" s="33"/>
      <c r="JG46" s="33"/>
      <c r="JH46" s="33"/>
      <c r="JI46" s="33"/>
      <c r="JJ46" s="33"/>
      <c r="JK46" s="33"/>
      <c r="JL46" s="33"/>
      <c r="JM46" s="33"/>
      <c r="JN46" s="33"/>
      <c r="JO46" s="33"/>
      <c r="JP46" s="33"/>
      <c r="JQ46" s="33"/>
      <c r="JR46" s="33"/>
      <c r="JS46" s="33"/>
      <c r="JT46" s="33"/>
      <c r="JU46" s="33"/>
      <c r="JV46" s="33"/>
      <c r="JW46" s="33"/>
      <c r="JX46" s="33"/>
      <c r="JY46" s="33"/>
      <c r="JZ46" s="33"/>
      <c r="KA46" s="33"/>
      <c r="KB46" s="33"/>
      <c r="KC46" s="33"/>
      <c r="KD46" s="33"/>
      <c r="KE46" s="33"/>
      <c r="KF46" s="33"/>
      <c r="KG46" s="33"/>
      <c r="KH46" s="33"/>
      <c r="KI46" s="33"/>
      <c r="KJ46" s="33"/>
      <c r="KK46" s="33"/>
      <c r="KL46" s="33"/>
      <c r="KM46" s="33"/>
      <c r="KN46" s="33"/>
      <c r="KO46" s="33"/>
      <c r="KP46" s="33"/>
      <c r="KQ46" s="33"/>
      <c r="KR46" s="33"/>
      <c r="KS46" s="33"/>
      <c r="KT46" s="33"/>
      <c r="KU46" s="33"/>
      <c r="KV46" s="33"/>
      <c r="KW46" s="33"/>
      <c r="KX46" s="33"/>
      <c r="KY46" s="33"/>
      <c r="KZ46" s="33"/>
      <c r="LA46" s="33"/>
      <c r="LB46" s="33"/>
      <c r="LC46" s="33"/>
      <c r="LD46" s="33"/>
      <c r="LE46" s="33"/>
      <c r="LF46" s="33"/>
      <c r="LG46" s="33"/>
      <c r="LH46" s="33"/>
      <c r="LI46" s="33"/>
      <c r="LJ46" s="33"/>
      <c r="LK46" s="33"/>
      <c r="LL46" s="33"/>
      <c r="LM46" s="33"/>
      <c r="LN46" s="33"/>
      <c r="LO46" s="33"/>
      <c r="LP46" s="33"/>
      <c r="LQ46" s="33"/>
      <c r="LR46" s="33"/>
      <c r="LS46" s="33"/>
      <c r="LT46" s="33"/>
      <c r="LU46" s="33"/>
      <c r="LV46" s="33"/>
      <c r="LW46" s="33"/>
      <c r="LX46" s="33"/>
      <c r="LY46" s="33"/>
      <c r="LZ46" s="33"/>
      <c r="MA46" s="33"/>
      <c r="MB46" s="33"/>
      <c r="MC46" s="33"/>
      <c r="MD46" s="33"/>
      <c r="ME46" s="33"/>
      <c r="MF46" s="33"/>
      <c r="MG46" s="33"/>
      <c r="MH46" s="33"/>
      <c r="MI46" s="33"/>
      <c r="MJ46" s="33"/>
      <c r="MK46" s="33"/>
      <c r="ML46" s="33"/>
      <c r="MM46" s="33"/>
      <c r="MN46" s="33"/>
      <c r="MO46" s="33"/>
      <c r="MP46" s="33"/>
      <c r="MQ46" s="33"/>
      <c r="MR46" s="33"/>
      <c r="MS46" s="33"/>
      <c r="MT46" s="33"/>
      <c r="MU46" s="33"/>
      <c r="MV46" s="33"/>
    </row>
    <row r="47" spans="1:360" ht="0.75" customHeight="1" x14ac:dyDescent="0.25">
      <c r="A47" s="33"/>
      <c r="B47" s="33"/>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33"/>
      <c r="CG47" s="33"/>
      <c r="CH47" s="33"/>
      <c r="CI47" s="33"/>
      <c r="CJ47" s="33"/>
      <c r="CK47" s="33"/>
      <c r="CL47" s="33"/>
      <c r="CM47" s="33"/>
      <c r="CN47" s="33"/>
      <c r="CO47" s="33"/>
      <c r="CP47" s="33"/>
      <c r="CQ47" s="33"/>
      <c r="CR47" s="33"/>
      <c r="CS47" s="33"/>
      <c r="CT47" s="33"/>
      <c r="CU47" s="33"/>
      <c r="CV47" s="33"/>
      <c r="CW47" s="33"/>
      <c r="CX47" s="33"/>
      <c r="CY47" s="33"/>
      <c r="CZ47" s="33"/>
      <c r="DA47" s="33"/>
      <c r="DB47" s="33"/>
      <c r="DC47" s="33"/>
      <c r="DD47" s="33"/>
      <c r="DE47" s="33"/>
      <c r="DF47" s="33"/>
      <c r="DG47" s="33"/>
      <c r="DH47" s="33"/>
      <c r="DI47" s="33"/>
      <c r="DJ47" s="33"/>
      <c r="DK47" s="33"/>
      <c r="DL47" s="33"/>
      <c r="DM47" s="33"/>
      <c r="DN47" s="33"/>
      <c r="DO47" s="33"/>
      <c r="DP47" s="33"/>
      <c r="DQ47" s="33"/>
      <c r="DR47" s="33"/>
      <c r="DS47" s="33"/>
      <c r="DT47" s="33"/>
      <c r="DU47" s="33"/>
      <c r="DV47" s="33"/>
      <c r="DW47" s="33"/>
      <c r="DX47" s="33"/>
      <c r="DY47" s="33"/>
      <c r="DZ47" s="33"/>
      <c r="EA47" s="33"/>
      <c r="EB47" s="33"/>
      <c r="EC47" s="33"/>
      <c r="ED47" s="33"/>
      <c r="EE47" s="33"/>
      <c r="EF47" s="33"/>
      <c r="EG47" s="33"/>
      <c r="EH47" s="33"/>
      <c r="EI47" s="33"/>
      <c r="EJ47" s="33"/>
      <c r="EK47" s="33"/>
      <c r="EL47" s="44"/>
      <c r="EM47" s="41"/>
      <c r="EN47" s="41"/>
      <c r="EO47" s="41"/>
      <c r="EP47" s="42"/>
      <c r="EQ47" s="71"/>
      <c r="ER47" s="33"/>
      <c r="ES47" s="36"/>
      <c r="ET47" s="36"/>
      <c r="EU47" s="36"/>
      <c r="EV47" s="36"/>
      <c r="EW47" s="36"/>
      <c r="EX47" s="36"/>
      <c r="EY47" s="36"/>
      <c r="EZ47" s="36"/>
      <c r="FA47" s="36"/>
      <c r="FB47" s="36"/>
      <c r="FC47" s="33"/>
      <c r="FD47" s="72"/>
      <c r="FE47" s="73"/>
      <c r="FF47" s="41"/>
      <c r="FG47" s="42"/>
      <c r="FH47" s="41"/>
      <c r="FI47" s="40"/>
      <c r="FJ47" s="33"/>
      <c r="FK47" s="33"/>
      <c r="FL47" s="33"/>
      <c r="FM47" s="33"/>
      <c r="FN47" s="33"/>
      <c r="FO47" s="33"/>
      <c r="FP47" s="33"/>
      <c r="FQ47" s="33"/>
      <c r="FR47" s="33"/>
      <c r="FS47" s="33"/>
      <c r="FT47" s="33"/>
      <c r="FU47" s="33"/>
      <c r="FV47" s="33"/>
      <c r="FW47" s="33"/>
      <c r="FX47" s="33"/>
      <c r="FY47" s="33"/>
      <c r="FZ47" s="33"/>
      <c r="GA47" s="33"/>
      <c r="GB47" s="33"/>
      <c r="GC47" s="33"/>
      <c r="GD47" s="33"/>
      <c r="GE47" s="33"/>
      <c r="GF47" s="33"/>
      <c r="GG47" s="33"/>
      <c r="GH47" s="33"/>
      <c r="GI47" s="33"/>
      <c r="GJ47" s="33"/>
      <c r="GK47" s="33"/>
      <c r="GL47" s="33"/>
      <c r="GM47" s="33"/>
      <c r="GN47" s="33"/>
      <c r="GO47" s="33"/>
      <c r="GP47" s="52"/>
      <c r="GQ47" s="41"/>
      <c r="GR47" s="41"/>
      <c r="GS47" s="41"/>
      <c r="GT47" s="41"/>
      <c r="GU47" s="63"/>
      <c r="GV47" s="33"/>
      <c r="GW47" s="33"/>
      <c r="GX47" s="33"/>
      <c r="GY47" s="33"/>
      <c r="GZ47" s="33"/>
      <c r="HA47" s="33"/>
      <c r="HB47" s="33"/>
      <c r="HC47" s="33"/>
      <c r="HD47" s="33"/>
      <c r="HE47" s="33"/>
      <c r="HF47" s="33"/>
      <c r="HG47" s="33"/>
      <c r="HH47" s="33"/>
      <c r="HI47" s="33"/>
      <c r="HJ47" s="33"/>
      <c r="HK47" s="33"/>
      <c r="HL47" s="33"/>
      <c r="HM47" s="33"/>
      <c r="HN47" s="33"/>
      <c r="HO47" s="33"/>
      <c r="HP47" s="33"/>
      <c r="HQ47" s="33"/>
      <c r="HR47" s="33"/>
      <c r="HS47" s="33"/>
      <c r="HT47" s="33"/>
      <c r="HU47" s="33"/>
      <c r="HV47" s="33"/>
      <c r="HW47" s="33"/>
      <c r="HX47" s="33"/>
      <c r="HY47" s="33"/>
      <c r="HZ47" s="33"/>
      <c r="IA47" s="33"/>
      <c r="IB47" s="33"/>
      <c r="IC47" s="33"/>
      <c r="ID47" s="33"/>
      <c r="IE47" s="33"/>
      <c r="IF47" s="33"/>
      <c r="IG47" s="33"/>
      <c r="IH47" s="33"/>
      <c r="II47" s="33"/>
      <c r="IJ47" s="33"/>
      <c r="IK47" s="33"/>
      <c r="IL47" s="33"/>
      <c r="IM47" s="33"/>
      <c r="IN47" s="33"/>
      <c r="IO47" s="33"/>
      <c r="IP47" s="33"/>
      <c r="IQ47" s="33"/>
      <c r="IR47" s="33"/>
      <c r="IS47" s="33"/>
      <c r="IT47" s="33"/>
      <c r="IU47" s="33"/>
      <c r="IV47" s="33"/>
      <c r="IW47" s="33"/>
      <c r="IX47" s="33"/>
      <c r="IY47" s="33"/>
      <c r="IZ47" s="33"/>
      <c r="JA47" s="33"/>
      <c r="JB47" s="33"/>
      <c r="JC47" s="33"/>
      <c r="JD47" s="33"/>
      <c r="JE47" s="33"/>
      <c r="JF47" s="33"/>
      <c r="JG47" s="33"/>
      <c r="JH47" s="33"/>
      <c r="JI47" s="33"/>
      <c r="JJ47" s="33"/>
      <c r="JK47" s="33"/>
      <c r="JL47" s="33"/>
      <c r="JM47" s="33"/>
      <c r="JN47" s="33"/>
      <c r="JO47" s="33"/>
      <c r="JP47" s="33"/>
      <c r="JQ47" s="33"/>
      <c r="JR47" s="33"/>
      <c r="JS47" s="33"/>
      <c r="JT47" s="33"/>
      <c r="JU47" s="33"/>
      <c r="JV47" s="33"/>
      <c r="JW47" s="33"/>
      <c r="JX47" s="33"/>
      <c r="JY47" s="33"/>
      <c r="JZ47" s="33"/>
      <c r="KA47" s="33"/>
      <c r="KB47" s="33"/>
      <c r="KC47" s="33"/>
      <c r="KD47" s="33"/>
      <c r="KE47" s="33"/>
      <c r="KF47" s="33"/>
      <c r="KG47" s="33"/>
      <c r="KH47" s="33"/>
      <c r="KI47" s="33"/>
      <c r="KJ47" s="33"/>
      <c r="KK47" s="33"/>
      <c r="KL47" s="33"/>
      <c r="KM47" s="33"/>
      <c r="KN47" s="33"/>
      <c r="KO47" s="33"/>
      <c r="KP47" s="33"/>
      <c r="KQ47" s="33"/>
      <c r="KR47" s="33"/>
      <c r="KS47" s="33"/>
      <c r="KT47" s="33"/>
      <c r="KU47" s="33"/>
      <c r="KV47" s="33"/>
      <c r="KW47" s="33"/>
      <c r="KX47" s="33"/>
      <c r="KY47" s="33"/>
      <c r="KZ47" s="33"/>
      <c r="LA47" s="33"/>
      <c r="LB47" s="33"/>
      <c r="LC47" s="33"/>
      <c r="LD47" s="33"/>
      <c r="LE47" s="33"/>
      <c r="LF47" s="33"/>
      <c r="LG47" s="33"/>
      <c r="LH47" s="33"/>
      <c r="LI47" s="33"/>
      <c r="LJ47" s="33"/>
      <c r="LK47" s="33"/>
      <c r="LL47" s="33"/>
      <c r="LM47" s="33"/>
      <c r="LN47" s="33"/>
      <c r="LO47" s="33"/>
      <c r="LP47" s="33"/>
      <c r="LQ47" s="33"/>
      <c r="LR47" s="33"/>
      <c r="LS47" s="33"/>
      <c r="LT47" s="33"/>
      <c r="LU47" s="33"/>
      <c r="LV47" s="33"/>
      <c r="LW47" s="33"/>
      <c r="LX47" s="33"/>
      <c r="LY47" s="33"/>
      <c r="LZ47" s="33"/>
      <c r="MA47" s="33"/>
      <c r="MB47" s="33"/>
      <c r="MC47" s="33"/>
      <c r="MD47" s="33"/>
      <c r="ME47" s="33"/>
      <c r="MF47" s="33"/>
      <c r="MG47" s="33"/>
      <c r="MH47" s="33"/>
      <c r="MI47" s="33"/>
      <c r="MJ47" s="33"/>
      <c r="MK47" s="33"/>
      <c r="ML47" s="33"/>
      <c r="MM47" s="33"/>
      <c r="MN47" s="33"/>
      <c r="MO47" s="33"/>
      <c r="MP47" s="33"/>
      <c r="MQ47" s="33"/>
      <c r="MR47" s="33"/>
      <c r="MS47" s="33"/>
      <c r="MT47" s="33"/>
      <c r="MU47" s="33"/>
      <c r="MV47" s="33"/>
    </row>
    <row r="48" spans="1:360" ht="0.75" customHeight="1" x14ac:dyDescent="0.25">
      <c r="A48" s="33"/>
      <c r="B48" s="33"/>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33"/>
      <c r="CG48" s="33"/>
      <c r="CH48" s="33"/>
      <c r="CI48" s="33"/>
      <c r="CJ48" s="33"/>
      <c r="CK48" s="33"/>
      <c r="CL48" s="33"/>
      <c r="CM48" s="33"/>
      <c r="CN48" s="33"/>
      <c r="CO48" s="33"/>
      <c r="CP48" s="33"/>
      <c r="CQ48" s="33"/>
      <c r="CR48" s="33"/>
      <c r="CS48" s="33"/>
      <c r="CT48" s="33"/>
      <c r="CU48" s="33"/>
      <c r="CV48" s="33"/>
      <c r="CW48" s="33"/>
      <c r="CX48" s="33"/>
      <c r="CY48" s="33"/>
      <c r="CZ48" s="33"/>
      <c r="DA48" s="33"/>
      <c r="DB48" s="33"/>
      <c r="DC48" s="33"/>
      <c r="DD48" s="33"/>
      <c r="DE48" s="33"/>
      <c r="DF48" s="33"/>
      <c r="DG48" s="33"/>
      <c r="DH48" s="33"/>
      <c r="DI48" s="33"/>
      <c r="DJ48" s="33"/>
      <c r="DK48" s="33"/>
      <c r="DL48" s="33"/>
      <c r="DM48" s="33"/>
      <c r="DN48" s="33"/>
      <c r="DO48" s="33"/>
      <c r="DP48" s="33"/>
      <c r="DQ48" s="33"/>
      <c r="DR48" s="33"/>
      <c r="DS48" s="33"/>
      <c r="DT48" s="33"/>
      <c r="DU48" s="33"/>
      <c r="DV48" s="33"/>
      <c r="DW48" s="33"/>
      <c r="DX48" s="33"/>
      <c r="DY48" s="33"/>
      <c r="DZ48" s="33"/>
      <c r="EA48" s="33"/>
      <c r="EB48" s="33"/>
      <c r="EC48" s="33"/>
      <c r="ED48" s="33"/>
      <c r="EE48" s="33"/>
      <c r="EF48" s="33"/>
      <c r="EG48" s="33"/>
      <c r="EH48" s="33"/>
      <c r="EI48" s="33"/>
      <c r="EJ48" s="33"/>
      <c r="EK48" s="33"/>
      <c r="EL48" s="44"/>
      <c r="EM48" s="41"/>
      <c r="EN48" s="41"/>
      <c r="EO48" s="41"/>
      <c r="EP48" s="74"/>
      <c r="EQ48" s="75"/>
      <c r="ER48" s="76"/>
      <c r="ES48" s="42"/>
      <c r="ET48" s="42"/>
      <c r="EU48" s="42"/>
      <c r="EV48" s="42"/>
      <c r="EW48" s="42"/>
      <c r="EX48" s="42"/>
      <c r="EY48" s="42"/>
      <c r="EZ48" s="42"/>
      <c r="FA48" s="42"/>
      <c r="FB48" s="42"/>
      <c r="FC48" s="41"/>
      <c r="FD48" s="73"/>
      <c r="FE48" s="72"/>
      <c r="FF48" s="33"/>
      <c r="FG48" s="36"/>
      <c r="FH48" s="35"/>
      <c r="FI48" s="34"/>
      <c r="FJ48" s="33"/>
      <c r="FK48" s="33"/>
      <c r="FL48" s="33"/>
      <c r="FM48" s="33"/>
      <c r="FN48" s="33"/>
      <c r="FO48" s="33"/>
      <c r="FP48" s="33"/>
      <c r="FQ48" s="33"/>
      <c r="FR48" s="33"/>
      <c r="FS48" s="33"/>
      <c r="FT48" s="33"/>
      <c r="FU48" s="33"/>
      <c r="FV48" s="33"/>
      <c r="FW48" s="33"/>
      <c r="FX48" s="33"/>
      <c r="FY48" s="33"/>
      <c r="FZ48" s="33"/>
      <c r="GA48" s="33"/>
      <c r="GB48" s="33"/>
      <c r="GC48" s="33"/>
      <c r="GD48" s="33"/>
      <c r="GE48" s="33"/>
      <c r="GF48" s="33"/>
      <c r="GG48" s="33"/>
      <c r="GH48" s="33"/>
      <c r="GI48" s="33"/>
      <c r="GJ48" s="33"/>
      <c r="GK48" s="33"/>
      <c r="GL48" s="33"/>
      <c r="GM48" s="33"/>
      <c r="GN48" s="33"/>
      <c r="GO48" s="33"/>
      <c r="GP48" s="52"/>
      <c r="GQ48" s="41"/>
      <c r="GR48" s="41"/>
      <c r="GS48" s="41"/>
      <c r="GT48" s="41"/>
      <c r="GU48" s="63"/>
      <c r="GV48" s="33"/>
      <c r="GW48" s="33"/>
      <c r="GX48" s="33"/>
      <c r="GY48" s="33"/>
      <c r="GZ48" s="33"/>
      <c r="HA48" s="33"/>
      <c r="HB48" s="33"/>
      <c r="HC48" s="33"/>
      <c r="HD48" s="33"/>
      <c r="HE48" s="33"/>
      <c r="HF48" s="33"/>
      <c r="HG48" s="33"/>
      <c r="HH48" s="33"/>
      <c r="HI48" s="33"/>
      <c r="HJ48" s="33"/>
      <c r="HK48" s="33"/>
      <c r="HL48" s="33"/>
      <c r="HM48" s="33"/>
      <c r="HN48" s="33"/>
      <c r="HO48" s="33"/>
      <c r="HP48" s="33"/>
      <c r="HQ48" s="33"/>
      <c r="HR48" s="33"/>
      <c r="HS48" s="33"/>
      <c r="HT48" s="33"/>
      <c r="HU48" s="33"/>
      <c r="HV48" s="33"/>
      <c r="HW48" s="33"/>
      <c r="HX48" s="33"/>
      <c r="HY48" s="33"/>
      <c r="HZ48" s="33"/>
      <c r="IA48" s="33"/>
      <c r="IB48" s="33"/>
      <c r="IC48" s="33"/>
      <c r="ID48" s="33"/>
      <c r="IE48" s="33"/>
      <c r="IF48" s="33"/>
      <c r="IG48" s="33"/>
      <c r="IH48" s="33"/>
      <c r="II48" s="33"/>
      <c r="IJ48" s="33"/>
      <c r="IK48" s="33"/>
      <c r="IL48" s="33"/>
      <c r="IM48" s="33"/>
      <c r="IN48" s="33"/>
      <c r="IO48" s="33"/>
      <c r="IP48" s="33"/>
      <c r="IQ48" s="33"/>
      <c r="IR48" s="33"/>
      <c r="IS48" s="33"/>
      <c r="IT48" s="33"/>
      <c r="IU48" s="33"/>
      <c r="IV48" s="33"/>
      <c r="IW48" s="33"/>
      <c r="IX48" s="33"/>
      <c r="IY48" s="33"/>
      <c r="IZ48" s="33"/>
      <c r="JA48" s="33"/>
      <c r="JB48" s="33"/>
      <c r="JC48" s="33"/>
      <c r="JD48" s="33"/>
      <c r="JE48" s="33"/>
      <c r="JF48" s="33"/>
      <c r="JG48" s="33"/>
      <c r="JH48" s="33"/>
      <c r="JI48" s="33"/>
      <c r="JJ48" s="33"/>
      <c r="JK48" s="33"/>
      <c r="JL48" s="33"/>
      <c r="JM48" s="33"/>
      <c r="JN48" s="33"/>
      <c r="JO48" s="33"/>
      <c r="JP48" s="33"/>
      <c r="JQ48" s="33"/>
      <c r="JR48" s="33"/>
      <c r="JS48" s="33"/>
      <c r="JT48" s="33"/>
      <c r="JU48" s="33"/>
      <c r="JV48" s="33"/>
      <c r="JW48" s="33"/>
      <c r="JX48" s="33"/>
      <c r="JY48" s="33"/>
      <c r="JZ48" s="33"/>
      <c r="KA48" s="33"/>
      <c r="KB48" s="33"/>
      <c r="KC48" s="33"/>
      <c r="KD48" s="33"/>
      <c r="KE48" s="33"/>
      <c r="KF48" s="33"/>
      <c r="KG48" s="33"/>
      <c r="KH48" s="33"/>
      <c r="KI48" s="33"/>
      <c r="KJ48" s="33"/>
      <c r="KK48" s="33"/>
      <c r="KL48" s="33"/>
      <c r="KM48" s="33"/>
      <c r="KN48" s="33"/>
      <c r="KO48" s="33"/>
      <c r="KP48" s="33"/>
      <c r="KQ48" s="33"/>
      <c r="KR48" s="33"/>
      <c r="KS48" s="33"/>
      <c r="KT48" s="33"/>
      <c r="KU48" s="33"/>
      <c r="KV48" s="33"/>
      <c r="KW48" s="33"/>
      <c r="KX48" s="33"/>
      <c r="KY48" s="33"/>
      <c r="KZ48" s="33"/>
      <c r="LA48" s="33"/>
      <c r="LB48" s="33"/>
      <c r="LC48" s="33"/>
      <c r="LD48" s="33"/>
      <c r="LE48" s="33"/>
      <c r="LF48" s="33"/>
      <c r="LG48" s="33"/>
      <c r="LH48" s="33"/>
      <c r="LI48" s="33"/>
      <c r="LJ48" s="33"/>
      <c r="LK48" s="33"/>
      <c r="LL48" s="33"/>
      <c r="LM48" s="33"/>
      <c r="LN48" s="33"/>
      <c r="LO48" s="33"/>
      <c r="LP48" s="33"/>
      <c r="LQ48" s="33"/>
      <c r="LR48" s="33"/>
      <c r="LS48" s="33"/>
      <c r="LT48" s="33"/>
      <c r="LU48" s="33"/>
      <c r="LV48" s="33"/>
      <c r="LW48" s="33"/>
      <c r="LX48" s="33"/>
      <c r="LY48" s="33"/>
      <c r="LZ48" s="33"/>
      <c r="MA48" s="33"/>
      <c r="MB48" s="33"/>
      <c r="MC48" s="33"/>
      <c r="MD48" s="33"/>
      <c r="ME48" s="33"/>
      <c r="MF48" s="33"/>
      <c r="MG48" s="33"/>
      <c r="MH48" s="33"/>
      <c r="MI48" s="33"/>
      <c r="MJ48" s="33"/>
      <c r="MK48" s="33"/>
      <c r="ML48" s="33"/>
      <c r="MM48" s="33"/>
      <c r="MN48" s="33"/>
      <c r="MO48" s="33"/>
      <c r="MP48" s="33"/>
      <c r="MQ48" s="33"/>
      <c r="MR48" s="33"/>
      <c r="MS48" s="33"/>
      <c r="MT48" s="33"/>
      <c r="MU48" s="33"/>
      <c r="MV48" s="33"/>
    </row>
    <row r="49" spans="1:360" ht="0.75" customHeight="1" x14ac:dyDescent="0.25">
      <c r="A49" s="33"/>
      <c r="B49" s="33"/>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33"/>
      <c r="CG49" s="33"/>
      <c r="CH49" s="33"/>
      <c r="CI49" s="33"/>
      <c r="CJ49" s="33"/>
      <c r="CK49" s="33"/>
      <c r="CL49" s="33"/>
      <c r="CM49" s="33"/>
      <c r="CN49" s="33"/>
      <c r="CO49" s="33"/>
      <c r="CP49" s="33"/>
      <c r="CQ49" s="33"/>
      <c r="CR49" s="33"/>
      <c r="CS49" s="33"/>
      <c r="CT49" s="33"/>
      <c r="CU49" s="33"/>
      <c r="CV49" s="33"/>
      <c r="CW49" s="33"/>
      <c r="CX49" s="33"/>
      <c r="CY49" s="33"/>
      <c r="CZ49" s="33"/>
      <c r="DA49" s="33"/>
      <c r="DB49" s="33"/>
      <c r="DC49" s="33"/>
      <c r="DD49" s="33"/>
      <c r="DE49" s="33"/>
      <c r="DF49" s="33"/>
      <c r="DG49" s="33"/>
      <c r="DH49" s="33"/>
      <c r="DI49" s="33"/>
      <c r="DJ49" s="33"/>
      <c r="DK49" s="33"/>
      <c r="DL49" s="33"/>
      <c r="DM49" s="33"/>
      <c r="DN49" s="33"/>
      <c r="DO49" s="33"/>
      <c r="DP49" s="33"/>
      <c r="DQ49" s="33"/>
      <c r="DR49" s="33"/>
      <c r="DS49" s="33"/>
      <c r="DT49" s="33"/>
      <c r="DU49" s="33"/>
      <c r="DV49" s="33"/>
      <c r="DW49" s="33"/>
      <c r="DX49" s="33"/>
      <c r="DY49" s="33"/>
      <c r="DZ49" s="33"/>
      <c r="EA49" s="33"/>
      <c r="EB49" s="33"/>
      <c r="EC49" s="33"/>
      <c r="ED49" s="33"/>
      <c r="EE49" s="33"/>
      <c r="EF49" s="33"/>
      <c r="EG49" s="33"/>
      <c r="EH49" s="33"/>
      <c r="EI49" s="33"/>
      <c r="EJ49" s="33"/>
      <c r="EK49" s="33"/>
      <c r="EL49" s="44"/>
      <c r="EM49" s="41"/>
      <c r="EN49" s="41"/>
      <c r="EO49" s="41"/>
      <c r="EP49" s="41"/>
      <c r="EQ49" s="41"/>
      <c r="ER49" s="41"/>
      <c r="ES49" s="41"/>
      <c r="ET49" s="41"/>
      <c r="EU49" s="41"/>
      <c r="EV49" s="41"/>
      <c r="EW49" s="41"/>
      <c r="EX49" s="41"/>
      <c r="EY49" s="41"/>
      <c r="EZ49" s="41"/>
      <c r="FA49" s="41"/>
      <c r="FB49" s="41"/>
      <c r="FC49" s="41"/>
      <c r="FD49" s="42"/>
      <c r="FE49" s="36"/>
      <c r="FF49" s="33"/>
      <c r="FG49" s="33"/>
      <c r="FH49" s="33"/>
      <c r="FI49" s="33"/>
      <c r="FJ49" s="33"/>
      <c r="FK49" s="33"/>
      <c r="FL49" s="33"/>
      <c r="FM49" s="33"/>
      <c r="FN49" s="33"/>
      <c r="FO49" s="33"/>
      <c r="FP49" s="33"/>
      <c r="FQ49" s="33"/>
      <c r="FR49" s="33"/>
      <c r="FS49" s="33"/>
      <c r="FT49" s="33"/>
      <c r="FU49" s="33"/>
      <c r="FV49" s="33"/>
      <c r="FW49" s="33"/>
      <c r="FX49" s="33"/>
      <c r="FY49" s="33"/>
      <c r="FZ49" s="33"/>
      <c r="GA49" s="33"/>
      <c r="GB49" s="33"/>
      <c r="GC49" s="33"/>
      <c r="GD49" s="33"/>
      <c r="GE49" s="33"/>
      <c r="GF49" s="33"/>
      <c r="GG49" s="33"/>
      <c r="GH49" s="33"/>
      <c r="GI49" s="33"/>
      <c r="GJ49" s="33"/>
      <c r="GK49" s="33"/>
      <c r="GL49" s="33"/>
      <c r="GM49" s="33"/>
      <c r="GN49" s="33"/>
      <c r="GO49" s="33"/>
      <c r="GP49" s="52"/>
      <c r="GQ49" s="41"/>
      <c r="GR49" s="41"/>
      <c r="GS49" s="41"/>
      <c r="GT49" s="41"/>
      <c r="GU49" s="63"/>
      <c r="GV49" s="33"/>
      <c r="GW49" s="33"/>
      <c r="GX49" s="33"/>
      <c r="GY49" s="33"/>
      <c r="GZ49" s="33"/>
      <c r="HA49" s="33"/>
      <c r="HB49" s="33"/>
      <c r="HC49" s="33"/>
      <c r="HD49" s="33"/>
      <c r="HE49" s="33"/>
      <c r="HF49" s="33"/>
      <c r="HG49" s="33"/>
      <c r="HH49" s="33"/>
      <c r="HI49" s="33"/>
      <c r="HJ49" s="33"/>
      <c r="HK49" s="33"/>
      <c r="HL49" s="33"/>
      <c r="HM49" s="33"/>
      <c r="HN49" s="33"/>
      <c r="HO49" s="33"/>
      <c r="HP49" s="33"/>
      <c r="HQ49" s="33"/>
      <c r="HR49" s="33"/>
      <c r="HS49" s="33"/>
      <c r="HT49" s="33"/>
      <c r="HU49" s="33"/>
      <c r="HV49" s="33"/>
      <c r="HW49" s="33"/>
      <c r="HX49" s="33"/>
      <c r="HY49" s="33"/>
      <c r="HZ49" s="33"/>
      <c r="IA49" s="33"/>
      <c r="IB49" s="33"/>
      <c r="IC49" s="33"/>
      <c r="ID49" s="33"/>
      <c r="IE49" s="33"/>
      <c r="IF49" s="33"/>
      <c r="IG49" s="33"/>
      <c r="IH49" s="33"/>
      <c r="II49" s="33"/>
      <c r="IJ49" s="33"/>
      <c r="IK49" s="33"/>
      <c r="IL49" s="33"/>
      <c r="IM49" s="33"/>
      <c r="IN49" s="33"/>
      <c r="IO49" s="33"/>
      <c r="IP49" s="33"/>
      <c r="IQ49" s="33"/>
      <c r="IR49" s="33"/>
      <c r="IS49" s="33"/>
      <c r="IT49" s="33"/>
      <c r="IU49" s="33"/>
      <c r="IV49" s="33"/>
      <c r="IW49" s="33"/>
      <c r="IX49" s="33"/>
      <c r="IY49" s="33"/>
      <c r="IZ49" s="33"/>
      <c r="JA49" s="33"/>
      <c r="JB49" s="33"/>
      <c r="JC49" s="33"/>
      <c r="JD49" s="33"/>
      <c r="JE49" s="33"/>
      <c r="JF49" s="33"/>
      <c r="JG49" s="33"/>
      <c r="JH49" s="33"/>
      <c r="JI49" s="33"/>
      <c r="JJ49" s="33"/>
      <c r="JK49" s="33"/>
      <c r="JL49" s="33"/>
      <c r="JM49" s="33"/>
      <c r="JN49" s="33"/>
      <c r="JO49" s="33"/>
      <c r="JP49" s="33"/>
      <c r="JQ49" s="33"/>
      <c r="JR49" s="33"/>
      <c r="JS49" s="33"/>
      <c r="JT49" s="33"/>
      <c r="JU49" s="33"/>
      <c r="JV49" s="33"/>
      <c r="JW49" s="33"/>
      <c r="JX49" s="33"/>
      <c r="JY49" s="33"/>
      <c r="JZ49" s="33"/>
      <c r="KA49" s="33"/>
      <c r="KB49" s="33"/>
      <c r="KC49" s="33"/>
      <c r="KD49" s="33"/>
      <c r="KE49" s="33"/>
      <c r="KF49" s="33"/>
      <c r="KG49" s="33"/>
      <c r="KH49" s="33"/>
      <c r="KI49" s="33"/>
      <c r="KJ49" s="33"/>
      <c r="KK49" s="33"/>
      <c r="KL49" s="33"/>
      <c r="KM49" s="33"/>
      <c r="KN49" s="33"/>
      <c r="KO49" s="33"/>
      <c r="KP49" s="33"/>
      <c r="KQ49" s="33"/>
      <c r="KR49" s="33"/>
      <c r="KS49" s="33"/>
      <c r="KT49" s="33"/>
      <c r="KU49" s="33"/>
      <c r="KV49" s="33"/>
      <c r="KW49" s="33"/>
      <c r="KX49" s="33"/>
      <c r="KY49" s="33"/>
      <c r="KZ49" s="33"/>
      <c r="LA49" s="33"/>
      <c r="LB49" s="33"/>
      <c r="LC49" s="33"/>
      <c r="LD49" s="33"/>
      <c r="LE49" s="33"/>
      <c r="LF49" s="33"/>
      <c r="LG49" s="33"/>
      <c r="LH49" s="33"/>
      <c r="LI49" s="33"/>
      <c r="LJ49" s="33"/>
      <c r="LK49" s="33"/>
      <c r="LL49" s="33"/>
      <c r="LM49" s="33"/>
      <c r="LN49" s="33"/>
      <c r="LO49" s="33"/>
      <c r="LP49" s="33"/>
      <c r="LQ49" s="33"/>
      <c r="LR49" s="33"/>
      <c r="LS49" s="33"/>
      <c r="LT49" s="33"/>
      <c r="LU49" s="33"/>
      <c r="LV49" s="33"/>
      <c r="LW49" s="33"/>
      <c r="LX49" s="33"/>
      <c r="LY49" s="33"/>
      <c r="LZ49" s="33"/>
      <c r="MA49" s="33"/>
      <c r="MB49" s="33"/>
      <c r="MC49" s="33"/>
      <c r="MD49" s="33"/>
      <c r="ME49" s="33"/>
      <c r="MF49" s="33"/>
      <c r="MG49" s="33"/>
      <c r="MH49" s="33"/>
      <c r="MI49" s="33"/>
      <c r="MJ49" s="33"/>
      <c r="MK49" s="33"/>
      <c r="ML49" s="33"/>
      <c r="MM49" s="33"/>
      <c r="MN49" s="33"/>
      <c r="MO49" s="33"/>
      <c r="MP49" s="33"/>
      <c r="MQ49" s="33"/>
      <c r="MR49" s="33"/>
      <c r="MS49" s="33"/>
      <c r="MT49" s="33"/>
      <c r="MU49" s="33"/>
      <c r="MV49" s="33"/>
    </row>
    <row r="50" spans="1:360" ht="0.75" customHeight="1" x14ac:dyDescent="0.25">
      <c r="A50" s="33"/>
      <c r="B50" s="33"/>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33"/>
      <c r="CG50" s="33"/>
      <c r="CH50" s="33"/>
      <c r="CI50" s="33"/>
      <c r="CJ50" s="33"/>
      <c r="CK50" s="33"/>
      <c r="CL50" s="33"/>
      <c r="CM50" s="33"/>
      <c r="CN50" s="33"/>
      <c r="CO50" s="33"/>
      <c r="CP50" s="33"/>
      <c r="CQ50" s="33"/>
      <c r="CR50" s="33"/>
      <c r="CS50" s="33"/>
      <c r="CT50" s="33"/>
      <c r="CU50" s="33"/>
      <c r="CV50" s="33"/>
      <c r="CW50" s="33"/>
      <c r="CX50" s="33"/>
      <c r="CY50" s="33"/>
      <c r="CZ50" s="33"/>
      <c r="DA50" s="33"/>
      <c r="DB50" s="33"/>
      <c r="DC50" s="33"/>
      <c r="DD50" s="33"/>
      <c r="DE50" s="33"/>
      <c r="DF50" s="33"/>
      <c r="DG50" s="33"/>
      <c r="DH50" s="33"/>
      <c r="DI50" s="33"/>
      <c r="DJ50" s="33"/>
      <c r="DK50" s="33"/>
      <c r="DL50" s="33"/>
      <c r="DM50" s="33"/>
      <c r="DN50" s="33"/>
      <c r="DO50" s="33"/>
      <c r="DP50" s="33"/>
      <c r="DQ50" s="33"/>
      <c r="DR50" s="33"/>
      <c r="DS50" s="33"/>
      <c r="DT50" s="33"/>
      <c r="DU50" s="33"/>
      <c r="DV50" s="33"/>
      <c r="DW50" s="33"/>
      <c r="DX50" s="33"/>
      <c r="DY50" s="33"/>
      <c r="DZ50" s="33"/>
      <c r="EA50" s="33"/>
      <c r="EB50" s="33"/>
      <c r="EC50" s="33"/>
      <c r="ED50" s="33"/>
      <c r="EE50" s="33"/>
      <c r="EF50" s="33"/>
      <c r="EG50" s="33"/>
      <c r="EH50" s="33"/>
      <c r="EI50" s="33"/>
      <c r="EJ50" s="33"/>
      <c r="EK50" s="33"/>
      <c r="EL50" s="44"/>
      <c r="EM50" s="41"/>
      <c r="EN50" s="41"/>
      <c r="EO50" s="41"/>
      <c r="EP50" s="41"/>
      <c r="EQ50" s="41"/>
      <c r="ER50" s="41"/>
      <c r="ES50" s="41"/>
      <c r="ET50" s="41"/>
      <c r="EU50" s="41"/>
      <c r="EV50" s="41"/>
      <c r="EW50" s="41"/>
      <c r="EX50" s="41"/>
      <c r="EY50" s="41"/>
      <c r="EZ50" s="41"/>
      <c r="FA50" s="41"/>
      <c r="FB50" s="41"/>
      <c r="FC50" s="41"/>
      <c r="FD50" s="42"/>
      <c r="FE50" s="36"/>
      <c r="FF50" s="33"/>
      <c r="FG50" s="33"/>
      <c r="FH50" s="33"/>
      <c r="FI50" s="33"/>
      <c r="FJ50" s="33"/>
      <c r="FK50" s="33"/>
      <c r="FL50" s="33"/>
      <c r="FM50" s="33"/>
      <c r="FN50" s="33"/>
      <c r="FO50" s="33"/>
      <c r="FP50" s="33"/>
      <c r="FQ50" s="33"/>
      <c r="FR50" s="33"/>
      <c r="FS50" s="33"/>
      <c r="FT50" s="33"/>
      <c r="FU50" s="33"/>
      <c r="FV50" s="33"/>
      <c r="FW50" s="33"/>
      <c r="FX50" s="33"/>
      <c r="FY50" s="33"/>
      <c r="FZ50" s="33"/>
      <c r="GA50" s="33"/>
      <c r="GB50" s="33"/>
      <c r="GC50" s="33"/>
      <c r="GD50" s="33"/>
      <c r="GE50" s="33"/>
      <c r="GF50" s="33"/>
      <c r="GG50" s="33"/>
      <c r="GH50" s="33"/>
      <c r="GI50" s="33"/>
      <c r="GJ50" s="33"/>
      <c r="GK50" s="33"/>
      <c r="GL50" s="33"/>
      <c r="GM50" s="33"/>
      <c r="GN50" s="33"/>
      <c r="GO50" s="33"/>
      <c r="GP50" s="52"/>
      <c r="GQ50" s="41"/>
      <c r="GR50" s="41"/>
      <c r="GS50" s="41"/>
      <c r="GT50" s="41"/>
      <c r="GU50" s="63"/>
      <c r="GV50" s="33"/>
      <c r="GW50" s="33"/>
      <c r="GX50" s="33"/>
      <c r="GY50" s="33"/>
      <c r="GZ50" s="33"/>
      <c r="HA50" s="33"/>
      <c r="HB50" s="33"/>
      <c r="HC50" s="33"/>
      <c r="HD50" s="33"/>
      <c r="HE50" s="33"/>
      <c r="HF50" s="33"/>
      <c r="HG50" s="33"/>
      <c r="HH50" s="33"/>
      <c r="HI50" s="33"/>
      <c r="HJ50" s="33"/>
      <c r="HK50" s="33"/>
      <c r="HL50" s="33"/>
      <c r="HM50" s="33"/>
      <c r="HN50" s="33"/>
      <c r="HO50" s="33"/>
      <c r="HP50" s="33"/>
      <c r="HQ50" s="33"/>
      <c r="HR50" s="33"/>
      <c r="HS50" s="33"/>
      <c r="HT50" s="33"/>
      <c r="HU50" s="33"/>
      <c r="HV50" s="33"/>
      <c r="HW50" s="33"/>
      <c r="HX50" s="33"/>
      <c r="HY50" s="33"/>
      <c r="HZ50" s="33"/>
      <c r="IA50" s="33"/>
      <c r="IB50" s="33"/>
      <c r="IC50" s="33"/>
      <c r="ID50" s="33"/>
      <c r="IE50" s="33"/>
      <c r="IF50" s="33"/>
      <c r="IG50" s="33"/>
      <c r="IH50" s="33"/>
      <c r="II50" s="33"/>
      <c r="IJ50" s="33"/>
      <c r="IK50" s="33"/>
      <c r="IL50" s="33"/>
      <c r="IM50" s="33"/>
      <c r="IN50" s="33"/>
      <c r="IO50" s="33"/>
      <c r="IP50" s="33"/>
      <c r="IQ50" s="33"/>
      <c r="IR50" s="33"/>
      <c r="IS50" s="33"/>
      <c r="IT50" s="33"/>
      <c r="IU50" s="33"/>
      <c r="IV50" s="33"/>
      <c r="IW50" s="33"/>
      <c r="IX50" s="33"/>
      <c r="IY50" s="33"/>
      <c r="IZ50" s="33"/>
      <c r="JA50" s="33"/>
      <c r="JB50" s="33"/>
      <c r="JC50" s="33"/>
      <c r="JD50" s="33"/>
      <c r="JE50" s="33"/>
      <c r="JF50" s="33"/>
      <c r="JG50" s="33"/>
      <c r="JH50" s="33"/>
      <c r="JI50" s="33"/>
      <c r="JJ50" s="33"/>
      <c r="JK50" s="33"/>
      <c r="JL50" s="33"/>
      <c r="JM50" s="33"/>
      <c r="JN50" s="33"/>
      <c r="JO50" s="33"/>
      <c r="JP50" s="33"/>
      <c r="JQ50" s="33"/>
      <c r="JR50" s="33"/>
      <c r="JS50" s="33"/>
      <c r="JT50" s="33"/>
      <c r="JU50" s="33"/>
      <c r="JV50" s="33"/>
      <c r="JW50" s="33"/>
      <c r="JX50" s="33"/>
      <c r="JY50" s="33"/>
      <c r="JZ50" s="33"/>
      <c r="KA50" s="33"/>
      <c r="KB50" s="33"/>
      <c r="KC50" s="33"/>
      <c r="KD50" s="33"/>
      <c r="KE50" s="33"/>
      <c r="KF50" s="33"/>
      <c r="KG50" s="33"/>
      <c r="KH50" s="33"/>
      <c r="KI50" s="33"/>
      <c r="KJ50" s="33"/>
      <c r="KK50" s="33"/>
      <c r="KL50" s="33"/>
      <c r="KM50" s="33"/>
      <c r="KN50" s="33"/>
      <c r="KO50" s="33"/>
      <c r="KP50" s="33"/>
      <c r="KQ50" s="33"/>
      <c r="KR50" s="33"/>
      <c r="KS50" s="33"/>
      <c r="KT50" s="33"/>
      <c r="KU50" s="33"/>
      <c r="KV50" s="33"/>
      <c r="KW50" s="33"/>
      <c r="KX50" s="33"/>
      <c r="KY50" s="33"/>
      <c r="KZ50" s="33"/>
      <c r="LA50" s="33"/>
      <c r="LB50" s="33"/>
      <c r="LC50" s="33"/>
      <c r="LD50" s="33"/>
      <c r="LE50" s="33"/>
      <c r="LF50" s="33"/>
      <c r="LG50" s="33"/>
      <c r="LH50" s="33"/>
      <c r="LI50" s="33"/>
      <c r="LJ50" s="33"/>
      <c r="LK50" s="33"/>
      <c r="LL50" s="33"/>
      <c r="LM50" s="33"/>
      <c r="LN50" s="33"/>
      <c r="LO50" s="33"/>
      <c r="LP50" s="33"/>
      <c r="LQ50" s="33"/>
      <c r="LR50" s="33"/>
      <c r="LS50" s="33"/>
      <c r="LT50" s="33"/>
      <c r="LU50" s="33"/>
      <c r="LV50" s="33"/>
      <c r="LW50" s="33"/>
      <c r="LX50" s="33"/>
      <c r="LY50" s="33"/>
      <c r="LZ50" s="33"/>
      <c r="MA50" s="33"/>
      <c r="MB50" s="33"/>
      <c r="MC50" s="33"/>
      <c r="MD50" s="33"/>
      <c r="ME50" s="33"/>
      <c r="MF50" s="33"/>
      <c r="MG50" s="33"/>
      <c r="MH50" s="33"/>
      <c r="MI50" s="33"/>
      <c r="MJ50" s="33"/>
      <c r="MK50" s="33"/>
      <c r="ML50" s="33"/>
      <c r="MM50" s="33"/>
      <c r="MN50" s="33"/>
      <c r="MO50" s="33"/>
      <c r="MP50" s="33"/>
      <c r="MQ50" s="33"/>
      <c r="MR50" s="33"/>
      <c r="MS50" s="33"/>
      <c r="MT50" s="33"/>
      <c r="MU50" s="33"/>
      <c r="MV50" s="33"/>
    </row>
    <row r="51" spans="1:360" ht="0.75" customHeight="1" x14ac:dyDescent="0.25">
      <c r="A51" s="33"/>
      <c r="B51" s="33"/>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33"/>
      <c r="CG51" s="33"/>
      <c r="CH51" s="33"/>
      <c r="CI51" s="33"/>
      <c r="CJ51" s="33"/>
      <c r="CK51" s="33"/>
      <c r="CL51" s="33"/>
      <c r="CM51" s="33"/>
      <c r="CN51" s="33"/>
      <c r="CO51" s="33"/>
      <c r="CP51" s="33"/>
      <c r="CQ51" s="33"/>
      <c r="CR51" s="33"/>
      <c r="CS51" s="33"/>
      <c r="CT51" s="33"/>
      <c r="CU51" s="33"/>
      <c r="CV51" s="33"/>
      <c r="CW51" s="33"/>
      <c r="CX51" s="33"/>
      <c r="CY51" s="33"/>
      <c r="CZ51" s="33"/>
      <c r="DA51" s="33"/>
      <c r="DB51" s="33"/>
      <c r="DC51" s="33"/>
      <c r="DD51" s="33"/>
      <c r="DE51" s="33"/>
      <c r="DF51" s="33"/>
      <c r="DG51" s="33"/>
      <c r="DH51" s="33"/>
      <c r="DI51" s="33"/>
      <c r="DJ51" s="33"/>
      <c r="DK51" s="33"/>
      <c r="DL51" s="33"/>
      <c r="DM51" s="33"/>
      <c r="DN51" s="33"/>
      <c r="DO51" s="33"/>
      <c r="DP51" s="33"/>
      <c r="DQ51" s="33"/>
      <c r="DR51" s="33"/>
      <c r="DS51" s="33"/>
      <c r="DT51" s="33"/>
      <c r="DU51" s="33"/>
      <c r="DV51" s="33"/>
      <c r="DW51" s="33"/>
      <c r="DX51" s="33"/>
      <c r="DY51" s="33"/>
      <c r="DZ51" s="33"/>
      <c r="EA51" s="33"/>
      <c r="EB51" s="33"/>
      <c r="EC51" s="33"/>
      <c r="ED51" s="33"/>
      <c r="EE51" s="33"/>
      <c r="EF51" s="33"/>
      <c r="EG51" s="33"/>
      <c r="EH51" s="33"/>
      <c r="EI51" s="33"/>
      <c r="EJ51" s="33"/>
      <c r="EK51" s="33"/>
      <c r="EL51" s="44"/>
      <c r="EM51" s="41"/>
      <c r="EN51" s="41"/>
      <c r="EO51" s="41"/>
      <c r="EP51" s="41"/>
      <c r="EQ51" s="41"/>
      <c r="ER51" s="41"/>
      <c r="ES51" s="41"/>
      <c r="ET51" s="41"/>
      <c r="EU51" s="41"/>
      <c r="EV51" s="41"/>
      <c r="EW51" s="41"/>
      <c r="EX51" s="41"/>
      <c r="EY51" s="41"/>
      <c r="EZ51" s="41"/>
      <c r="FA51" s="41"/>
      <c r="FB51" s="41"/>
      <c r="FC51" s="41"/>
      <c r="FD51" s="42"/>
      <c r="FE51" s="36"/>
      <c r="FF51" s="33"/>
      <c r="FG51" s="33"/>
      <c r="FH51" s="33"/>
      <c r="FI51" s="33"/>
      <c r="FJ51" s="33"/>
      <c r="FK51" s="33"/>
      <c r="FL51" s="33"/>
      <c r="FM51" s="33"/>
      <c r="FN51" s="33"/>
      <c r="FO51" s="33"/>
      <c r="FP51" s="33"/>
      <c r="FQ51" s="33"/>
      <c r="FR51" s="33"/>
      <c r="FS51" s="33"/>
      <c r="FT51" s="33"/>
      <c r="FU51" s="33"/>
      <c r="FV51" s="33"/>
      <c r="FW51" s="33"/>
      <c r="FX51" s="33"/>
      <c r="FY51" s="33"/>
      <c r="FZ51" s="33"/>
      <c r="GA51" s="33"/>
      <c r="GB51" s="33"/>
      <c r="GC51" s="33"/>
      <c r="GD51" s="33"/>
      <c r="GE51" s="33"/>
      <c r="GF51" s="33"/>
      <c r="GG51" s="33"/>
      <c r="GH51" s="33"/>
      <c r="GI51" s="33"/>
      <c r="GJ51" s="33"/>
      <c r="GK51" s="33"/>
      <c r="GL51" s="33"/>
      <c r="GM51" s="33"/>
      <c r="GN51" s="33"/>
      <c r="GO51" s="33"/>
      <c r="GP51" s="52"/>
      <c r="GQ51" s="41"/>
      <c r="GR51" s="41"/>
      <c r="GS51" s="41"/>
      <c r="GT51" s="41"/>
      <c r="GU51" s="63"/>
      <c r="GV51" s="33"/>
      <c r="GW51" s="33"/>
      <c r="GX51" s="33"/>
      <c r="GY51" s="33"/>
      <c r="GZ51" s="33"/>
      <c r="HA51" s="33"/>
      <c r="HB51" s="33"/>
      <c r="HC51" s="33"/>
      <c r="HD51" s="33"/>
      <c r="HE51" s="33"/>
      <c r="HF51" s="33"/>
      <c r="HG51" s="33"/>
      <c r="HH51" s="33"/>
      <c r="HI51" s="33"/>
      <c r="HJ51" s="33"/>
      <c r="HK51" s="33"/>
      <c r="HL51" s="33"/>
      <c r="HM51" s="33"/>
      <c r="HN51" s="33"/>
      <c r="HO51" s="33"/>
      <c r="HP51" s="33"/>
      <c r="HQ51" s="33"/>
      <c r="HR51" s="33"/>
      <c r="HS51" s="33"/>
      <c r="HT51" s="33"/>
      <c r="HU51" s="33"/>
      <c r="HV51" s="33"/>
      <c r="HW51" s="33"/>
      <c r="HX51" s="33"/>
      <c r="HY51" s="33"/>
      <c r="HZ51" s="33"/>
      <c r="IA51" s="33"/>
      <c r="IB51" s="33"/>
      <c r="IC51" s="33"/>
      <c r="ID51" s="33"/>
      <c r="IE51" s="33"/>
      <c r="IF51" s="33"/>
      <c r="IG51" s="33"/>
      <c r="IH51" s="33"/>
      <c r="II51" s="33"/>
      <c r="IJ51" s="33"/>
      <c r="IK51" s="33"/>
      <c r="IL51" s="33"/>
      <c r="IM51" s="33"/>
      <c r="IN51" s="33"/>
      <c r="IO51" s="33"/>
      <c r="IP51" s="33"/>
      <c r="IQ51" s="33"/>
      <c r="IR51" s="33"/>
      <c r="IS51" s="33"/>
      <c r="IT51" s="33"/>
      <c r="IU51" s="33"/>
      <c r="IV51" s="33"/>
      <c r="IW51" s="33"/>
      <c r="IX51" s="33"/>
      <c r="IY51" s="33"/>
      <c r="IZ51" s="33"/>
      <c r="JA51" s="33"/>
      <c r="JB51" s="33"/>
      <c r="JC51" s="33"/>
      <c r="JD51" s="33"/>
      <c r="JE51" s="33"/>
      <c r="JF51" s="33"/>
      <c r="JG51" s="33"/>
      <c r="JH51" s="33"/>
      <c r="JI51" s="33"/>
      <c r="JJ51" s="33"/>
      <c r="JK51" s="33"/>
      <c r="JL51" s="33"/>
      <c r="JM51" s="33"/>
      <c r="JN51" s="33"/>
      <c r="JO51" s="33"/>
      <c r="JP51" s="33"/>
      <c r="JQ51" s="33"/>
      <c r="JR51" s="33"/>
      <c r="JS51" s="33"/>
      <c r="JT51" s="33"/>
      <c r="JU51" s="33"/>
      <c r="JV51" s="33"/>
      <c r="JW51" s="33"/>
      <c r="JX51" s="33"/>
      <c r="JY51" s="33"/>
      <c r="JZ51" s="33"/>
      <c r="KA51" s="33"/>
      <c r="KB51" s="33"/>
      <c r="KC51" s="33"/>
      <c r="KD51" s="33"/>
      <c r="KE51" s="33"/>
      <c r="KF51" s="33"/>
      <c r="KG51" s="33"/>
      <c r="KH51" s="33"/>
      <c r="KI51" s="33"/>
      <c r="KJ51" s="33"/>
      <c r="KK51" s="33"/>
      <c r="KL51" s="33"/>
      <c r="KM51" s="33"/>
      <c r="KN51" s="33"/>
      <c r="KO51" s="33"/>
      <c r="KP51" s="33"/>
      <c r="KQ51" s="33"/>
      <c r="KR51" s="33"/>
      <c r="KS51" s="33"/>
      <c r="KT51" s="33"/>
      <c r="KU51" s="33"/>
      <c r="KV51" s="33"/>
      <c r="KW51" s="33"/>
      <c r="KX51" s="33"/>
      <c r="KY51" s="33"/>
      <c r="KZ51" s="33"/>
      <c r="LA51" s="33"/>
      <c r="LB51" s="33"/>
      <c r="LC51" s="33"/>
      <c r="LD51" s="33"/>
      <c r="LE51" s="33"/>
      <c r="LF51" s="33"/>
      <c r="LG51" s="33"/>
      <c r="LH51" s="33"/>
      <c r="LI51" s="33"/>
      <c r="LJ51" s="33"/>
      <c r="LK51" s="33"/>
      <c r="LL51" s="33"/>
      <c r="LM51" s="33"/>
      <c r="LN51" s="33"/>
      <c r="LO51" s="33"/>
      <c r="LP51" s="33"/>
      <c r="LQ51" s="33"/>
      <c r="LR51" s="33"/>
      <c r="LS51" s="33"/>
      <c r="LT51" s="33"/>
      <c r="LU51" s="33"/>
      <c r="LV51" s="33"/>
      <c r="LW51" s="33"/>
      <c r="LX51" s="33"/>
      <c r="LY51" s="33"/>
      <c r="LZ51" s="33"/>
      <c r="MA51" s="33"/>
      <c r="MB51" s="33"/>
      <c r="MC51" s="33"/>
      <c r="MD51" s="33"/>
      <c r="ME51" s="33"/>
      <c r="MF51" s="33"/>
      <c r="MG51" s="33"/>
      <c r="MH51" s="33"/>
      <c r="MI51" s="33"/>
      <c r="MJ51" s="33"/>
      <c r="MK51" s="33"/>
      <c r="ML51" s="33"/>
      <c r="MM51" s="33"/>
      <c r="MN51" s="33"/>
      <c r="MO51" s="33"/>
      <c r="MP51" s="33"/>
      <c r="MQ51" s="33"/>
      <c r="MR51" s="33"/>
      <c r="MS51" s="33"/>
      <c r="MT51" s="33"/>
      <c r="MU51" s="33"/>
      <c r="MV51" s="33"/>
    </row>
    <row r="52" spans="1:360" ht="0.75" customHeight="1" x14ac:dyDescent="0.25">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33"/>
      <c r="CG52" s="33"/>
      <c r="CH52" s="33"/>
      <c r="CI52" s="33"/>
      <c r="CJ52" s="33"/>
      <c r="CK52" s="33"/>
      <c r="CL52" s="33"/>
      <c r="CM52" s="33"/>
      <c r="CN52" s="33"/>
      <c r="CO52" s="33"/>
      <c r="CP52" s="33"/>
      <c r="CQ52" s="33"/>
      <c r="CR52" s="33"/>
      <c r="CS52" s="33"/>
      <c r="CT52" s="33"/>
      <c r="CU52" s="33"/>
      <c r="CV52" s="33"/>
      <c r="CW52" s="33"/>
      <c r="CX52" s="33"/>
      <c r="CY52" s="33"/>
      <c r="CZ52" s="33"/>
      <c r="DA52" s="33"/>
      <c r="DB52" s="33"/>
      <c r="DC52" s="33"/>
      <c r="DD52" s="33"/>
      <c r="DE52" s="33"/>
      <c r="DF52" s="33"/>
      <c r="DG52" s="33"/>
      <c r="DH52" s="33"/>
      <c r="DI52" s="33"/>
      <c r="DJ52" s="33"/>
      <c r="DK52" s="33"/>
      <c r="DL52" s="33"/>
      <c r="DM52" s="33"/>
      <c r="DN52" s="33"/>
      <c r="DO52" s="33"/>
      <c r="DP52" s="33"/>
      <c r="DQ52" s="33"/>
      <c r="DR52" s="33"/>
      <c r="DS52" s="33"/>
      <c r="DT52" s="33"/>
      <c r="DU52" s="33"/>
      <c r="DV52" s="33"/>
      <c r="DW52" s="33"/>
      <c r="DX52" s="33"/>
      <c r="DY52" s="33"/>
      <c r="DZ52" s="33"/>
      <c r="EA52" s="33"/>
      <c r="EB52" s="33"/>
      <c r="EC52" s="33"/>
      <c r="ED52" s="33"/>
      <c r="EE52" s="33"/>
      <c r="EF52" s="33"/>
      <c r="EG52" s="33"/>
      <c r="EH52" s="33"/>
      <c r="EI52" s="33"/>
      <c r="EJ52" s="33"/>
      <c r="EK52" s="33"/>
      <c r="EL52" s="44"/>
      <c r="EM52" s="41"/>
      <c r="EN52" s="41"/>
      <c r="EO52" s="41"/>
      <c r="EP52" s="45"/>
      <c r="EQ52" s="46"/>
      <c r="ER52" s="47"/>
      <c r="ES52" s="44"/>
      <c r="ET52" s="44"/>
      <c r="EU52" s="44"/>
      <c r="EV52" s="44"/>
      <c r="EW52" s="44"/>
      <c r="EX52" s="44"/>
      <c r="EY52" s="44"/>
      <c r="EZ52" s="44"/>
      <c r="FA52" s="44"/>
      <c r="FB52" s="44"/>
      <c r="FC52" s="48"/>
      <c r="FD52" s="49"/>
      <c r="FE52" s="50"/>
      <c r="FF52" s="51"/>
      <c r="FG52" s="52"/>
      <c r="FH52" s="53"/>
      <c r="FI52" s="54"/>
      <c r="FJ52" s="33"/>
      <c r="FK52" s="33"/>
      <c r="FL52" s="33"/>
      <c r="FM52" s="33"/>
      <c r="FN52" s="33"/>
      <c r="FO52" s="33"/>
      <c r="FP52" s="33"/>
      <c r="FQ52" s="33"/>
      <c r="FR52" s="33"/>
      <c r="FS52" s="33"/>
      <c r="FT52" s="33"/>
      <c r="FU52" s="33"/>
      <c r="FV52" s="33"/>
      <c r="FW52" s="33"/>
      <c r="FX52" s="33"/>
      <c r="FY52" s="33"/>
      <c r="FZ52" s="33"/>
      <c r="GA52" s="33"/>
      <c r="GB52" s="33"/>
      <c r="GC52" s="33"/>
      <c r="GD52" s="33"/>
      <c r="GE52" s="33"/>
      <c r="GF52" s="33"/>
      <c r="GG52" s="33"/>
      <c r="GH52" s="33"/>
      <c r="GI52" s="33"/>
      <c r="GJ52" s="33"/>
      <c r="GK52" s="33"/>
      <c r="GL52" s="33"/>
      <c r="GM52" s="33"/>
      <c r="GN52" s="33"/>
      <c r="GO52" s="33"/>
      <c r="GP52" s="52"/>
      <c r="GQ52" s="41"/>
      <c r="GR52" s="41"/>
      <c r="GS52" s="41"/>
      <c r="GT52" s="41"/>
      <c r="GU52" s="63"/>
      <c r="GV52" s="33"/>
      <c r="GW52" s="33"/>
      <c r="GX52" s="33"/>
      <c r="GY52" s="33"/>
      <c r="GZ52" s="33"/>
      <c r="HA52" s="33"/>
      <c r="HB52" s="33"/>
      <c r="HC52" s="33"/>
      <c r="HD52" s="33"/>
      <c r="HE52" s="33"/>
      <c r="HF52" s="33"/>
      <c r="HG52" s="33"/>
      <c r="HH52" s="33"/>
      <c r="HI52" s="33"/>
      <c r="HJ52" s="33"/>
      <c r="HK52" s="33"/>
      <c r="HL52" s="33"/>
      <c r="HM52" s="33"/>
      <c r="HN52" s="33"/>
      <c r="HO52" s="33"/>
      <c r="HP52" s="33"/>
      <c r="HQ52" s="33"/>
      <c r="HR52" s="33"/>
      <c r="HS52" s="33"/>
      <c r="HT52" s="33"/>
      <c r="HU52" s="33"/>
      <c r="HV52" s="33"/>
      <c r="HW52" s="33"/>
      <c r="HX52" s="33"/>
      <c r="HY52" s="33"/>
      <c r="HZ52" s="33"/>
      <c r="IA52" s="33"/>
      <c r="IB52" s="33"/>
      <c r="IC52" s="33"/>
      <c r="ID52" s="33"/>
      <c r="IE52" s="33"/>
      <c r="IF52" s="33"/>
      <c r="IG52" s="33"/>
      <c r="IH52" s="33"/>
      <c r="II52" s="33"/>
      <c r="IJ52" s="33"/>
      <c r="IK52" s="33"/>
      <c r="IL52" s="33"/>
      <c r="IM52" s="33"/>
      <c r="IN52" s="33"/>
      <c r="IO52" s="33"/>
      <c r="IP52" s="33"/>
      <c r="IQ52" s="33"/>
      <c r="IR52" s="33"/>
      <c r="IS52" s="33"/>
      <c r="IT52" s="33"/>
      <c r="IU52" s="33"/>
      <c r="IV52" s="33"/>
      <c r="IW52" s="33"/>
      <c r="IX52" s="33"/>
      <c r="IY52" s="33"/>
      <c r="IZ52" s="33"/>
      <c r="JA52" s="33"/>
      <c r="JB52" s="33"/>
      <c r="JC52" s="33"/>
      <c r="JD52" s="33"/>
      <c r="JE52" s="33"/>
      <c r="JF52" s="33"/>
      <c r="JG52" s="33"/>
      <c r="JH52" s="33"/>
      <c r="JI52" s="33"/>
      <c r="JJ52" s="33"/>
      <c r="JK52" s="33"/>
      <c r="JL52" s="33"/>
      <c r="JM52" s="33"/>
      <c r="JN52" s="33"/>
      <c r="JO52" s="33"/>
      <c r="JP52" s="33"/>
      <c r="JQ52" s="33"/>
      <c r="JR52" s="33"/>
      <c r="JS52" s="33"/>
      <c r="JT52" s="33"/>
      <c r="JU52" s="33"/>
      <c r="JV52" s="33"/>
      <c r="JW52" s="33"/>
      <c r="JX52" s="33"/>
      <c r="JY52" s="33"/>
      <c r="JZ52" s="33"/>
      <c r="KA52" s="33"/>
      <c r="KB52" s="33"/>
      <c r="KC52" s="33"/>
      <c r="KD52" s="33"/>
      <c r="KE52" s="33"/>
      <c r="KF52" s="33"/>
      <c r="KG52" s="33"/>
      <c r="KH52" s="33"/>
      <c r="KI52" s="33"/>
      <c r="KJ52" s="33"/>
      <c r="KK52" s="33"/>
      <c r="KL52" s="33"/>
      <c r="KM52" s="33"/>
      <c r="KN52" s="33"/>
      <c r="KO52" s="33"/>
      <c r="KP52" s="33"/>
      <c r="KQ52" s="33"/>
      <c r="KR52" s="33"/>
      <c r="KS52" s="33"/>
      <c r="KT52" s="33"/>
      <c r="KU52" s="33"/>
      <c r="KV52" s="33"/>
      <c r="KW52" s="33"/>
      <c r="KX52" s="33"/>
      <c r="KY52" s="33"/>
      <c r="KZ52" s="33"/>
      <c r="LA52" s="33"/>
      <c r="LB52" s="33"/>
      <c r="LC52" s="33"/>
      <c r="LD52" s="33"/>
      <c r="LE52" s="33"/>
      <c r="LF52" s="33"/>
      <c r="LG52" s="33"/>
      <c r="LH52" s="33"/>
      <c r="LI52" s="33"/>
      <c r="LJ52" s="33"/>
      <c r="LK52" s="33"/>
      <c r="LL52" s="33"/>
      <c r="LM52" s="33"/>
      <c r="LN52" s="33"/>
      <c r="LO52" s="33"/>
      <c r="LP52" s="33"/>
      <c r="LQ52" s="33"/>
      <c r="LR52" s="33"/>
      <c r="LS52" s="33"/>
      <c r="LT52" s="33"/>
      <c r="LU52" s="33"/>
      <c r="LV52" s="33"/>
      <c r="LW52" s="33"/>
      <c r="LX52" s="33"/>
      <c r="LY52" s="33"/>
      <c r="LZ52" s="33"/>
      <c r="MA52" s="33"/>
      <c r="MB52" s="33"/>
      <c r="MC52" s="33"/>
      <c r="MD52" s="33"/>
      <c r="ME52" s="33"/>
      <c r="MF52" s="33"/>
      <c r="MG52" s="33"/>
      <c r="MH52" s="33"/>
      <c r="MI52" s="33"/>
      <c r="MJ52" s="33"/>
      <c r="MK52" s="33"/>
      <c r="ML52" s="33"/>
      <c r="MM52" s="33"/>
      <c r="MN52" s="33"/>
      <c r="MO52" s="33"/>
      <c r="MP52" s="33"/>
      <c r="MQ52" s="33"/>
      <c r="MR52" s="33"/>
      <c r="MS52" s="33"/>
      <c r="MT52" s="33"/>
      <c r="MU52" s="33"/>
      <c r="MV52" s="33"/>
    </row>
    <row r="53" spans="1:360" ht="0.75" customHeight="1" x14ac:dyDescent="0.25">
      <c r="A53" s="33"/>
      <c r="B53" s="33"/>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33"/>
      <c r="CG53" s="33"/>
      <c r="CH53" s="33"/>
      <c r="CI53" s="33"/>
      <c r="CJ53" s="33"/>
      <c r="CK53" s="33"/>
      <c r="CL53" s="33"/>
      <c r="CM53" s="33"/>
      <c r="CN53" s="33"/>
      <c r="CO53" s="33"/>
      <c r="CP53" s="33"/>
      <c r="CQ53" s="33"/>
      <c r="CR53" s="33"/>
      <c r="CS53" s="33"/>
      <c r="CT53" s="33"/>
      <c r="CU53" s="33"/>
      <c r="CV53" s="33"/>
      <c r="CW53" s="33"/>
      <c r="CX53" s="33"/>
      <c r="CY53" s="33"/>
      <c r="CZ53" s="33"/>
      <c r="DA53" s="33"/>
      <c r="DB53" s="33"/>
      <c r="DC53" s="33"/>
      <c r="DD53" s="33"/>
      <c r="DE53" s="33"/>
      <c r="DF53" s="33"/>
      <c r="DG53" s="33"/>
      <c r="DH53" s="33"/>
      <c r="DI53" s="33"/>
      <c r="DJ53" s="33"/>
      <c r="DK53" s="33"/>
      <c r="DL53" s="33"/>
      <c r="DM53" s="33"/>
      <c r="DN53" s="33"/>
      <c r="DO53" s="33"/>
      <c r="DP53" s="33"/>
      <c r="DQ53" s="33"/>
      <c r="DR53" s="33"/>
      <c r="DS53" s="33"/>
      <c r="DT53" s="33"/>
      <c r="DU53" s="33"/>
      <c r="DV53" s="33"/>
      <c r="DW53" s="33"/>
      <c r="DX53" s="33"/>
      <c r="DY53" s="33"/>
      <c r="DZ53" s="33"/>
      <c r="EA53" s="33"/>
      <c r="EB53" s="33"/>
      <c r="EC53" s="33"/>
      <c r="ED53" s="33"/>
      <c r="EE53" s="33"/>
      <c r="EF53" s="33"/>
      <c r="EG53" s="33"/>
      <c r="EH53" s="33"/>
      <c r="EI53" s="33"/>
      <c r="EJ53" s="33"/>
      <c r="EK53" s="33"/>
      <c r="EL53" s="44"/>
      <c r="EM53" s="41"/>
      <c r="EN53" s="41"/>
      <c r="EO53" s="41"/>
      <c r="EP53" s="42"/>
      <c r="EQ53" s="36"/>
      <c r="ER53" s="33"/>
      <c r="ES53" s="33"/>
      <c r="ET53" s="33"/>
      <c r="EU53" s="33"/>
      <c r="EV53" s="33"/>
      <c r="EW53" s="33"/>
      <c r="EX53" s="33"/>
      <c r="EY53" s="33"/>
      <c r="EZ53" s="33"/>
      <c r="FA53" s="33"/>
      <c r="FB53" s="33"/>
      <c r="FC53" s="33"/>
      <c r="FD53" s="36"/>
      <c r="FE53" s="42"/>
      <c r="FF53" s="41"/>
      <c r="FG53" s="41"/>
      <c r="FH53" s="41"/>
      <c r="FI53" s="44"/>
      <c r="FJ53" s="33"/>
      <c r="FK53" s="33"/>
      <c r="FL53" s="33"/>
      <c r="FM53" s="33"/>
      <c r="FN53" s="33"/>
      <c r="FO53" s="33"/>
      <c r="FP53" s="33"/>
      <c r="FQ53" s="33"/>
      <c r="FR53" s="33"/>
      <c r="FS53" s="33"/>
      <c r="FT53" s="33"/>
      <c r="FU53" s="33"/>
      <c r="FV53" s="33"/>
      <c r="FW53" s="33"/>
      <c r="FX53" s="33"/>
      <c r="FY53" s="33"/>
      <c r="FZ53" s="33"/>
      <c r="GA53" s="33"/>
      <c r="GB53" s="33"/>
      <c r="GC53" s="33"/>
      <c r="GD53" s="33"/>
      <c r="GE53" s="33"/>
      <c r="GF53" s="33"/>
      <c r="GG53" s="33"/>
      <c r="GH53" s="33"/>
      <c r="GI53" s="33"/>
      <c r="GJ53" s="33"/>
      <c r="GK53" s="33"/>
      <c r="GL53" s="33"/>
      <c r="GM53" s="33"/>
      <c r="GN53" s="33"/>
      <c r="GO53" s="33"/>
      <c r="GP53" s="52"/>
      <c r="GQ53" s="41"/>
      <c r="GR53" s="41"/>
      <c r="GS53" s="41"/>
      <c r="GT53" s="41"/>
      <c r="GU53" s="63"/>
      <c r="GV53" s="33"/>
      <c r="GW53" s="33"/>
      <c r="GX53" s="33"/>
      <c r="GY53" s="33"/>
      <c r="GZ53" s="33"/>
      <c r="HA53" s="33"/>
      <c r="HB53" s="33"/>
      <c r="HC53" s="33"/>
      <c r="HD53" s="33"/>
      <c r="HE53" s="33"/>
      <c r="HF53" s="33"/>
      <c r="HG53" s="33"/>
      <c r="HH53" s="33"/>
      <c r="HI53" s="33"/>
      <c r="HJ53" s="33"/>
      <c r="HK53" s="33"/>
      <c r="HL53" s="33"/>
      <c r="HM53" s="33"/>
      <c r="HN53" s="33"/>
      <c r="HO53" s="33"/>
      <c r="HP53" s="33"/>
      <c r="HQ53" s="33"/>
      <c r="HR53" s="33"/>
      <c r="HS53" s="33"/>
      <c r="HT53" s="33"/>
      <c r="HU53" s="33"/>
      <c r="HV53" s="33"/>
      <c r="HW53" s="33"/>
      <c r="HX53" s="33"/>
      <c r="HY53" s="33"/>
      <c r="HZ53" s="33"/>
      <c r="IA53" s="33"/>
      <c r="IB53" s="33"/>
      <c r="IC53" s="33"/>
      <c r="ID53" s="33"/>
      <c r="IE53" s="33"/>
      <c r="IF53" s="33"/>
      <c r="IG53" s="33"/>
      <c r="IH53" s="33"/>
      <c r="II53" s="33"/>
      <c r="IJ53" s="33"/>
      <c r="IK53" s="33"/>
      <c r="IL53" s="33"/>
      <c r="IM53" s="33"/>
      <c r="IN53" s="33"/>
      <c r="IO53" s="33"/>
      <c r="IP53" s="33"/>
      <c r="IQ53" s="33"/>
      <c r="IR53" s="33"/>
      <c r="IS53" s="33"/>
      <c r="IT53" s="33"/>
      <c r="IU53" s="33"/>
      <c r="IV53" s="33"/>
      <c r="IW53" s="33"/>
      <c r="IX53" s="33"/>
      <c r="IY53" s="33"/>
      <c r="IZ53" s="33"/>
      <c r="JA53" s="33"/>
      <c r="JB53" s="33"/>
      <c r="JC53" s="33"/>
      <c r="JD53" s="33"/>
      <c r="JE53" s="33"/>
      <c r="JF53" s="33"/>
      <c r="JG53" s="33"/>
      <c r="JH53" s="33"/>
      <c r="JI53" s="33"/>
      <c r="JJ53" s="33"/>
      <c r="JK53" s="33"/>
      <c r="JL53" s="33"/>
      <c r="JM53" s="33"/>
      <c r="JN53" s="33"/>
      <c r="JO53" s="33"/>
      <c r="JP53" s="33"/>
      <c r="JQ53" s="33"/>
      <c r="JR53" s="33"/>
      <c r="JS53" s="33"/>
      <c r="JT53" s="33"/>
      <c r="JU53" s="33"/>
      <c r="JV53" s="33"/>
      <c r="JW53" s="33"/>
      <c r="JX53" s="33"/>
      <c r="JY53" s="33"/>
      <c r="JZ53" s="33"/>
      <c r="KA53" s="33"/>
      <c r="KB53" s="33"/>
      <c r="KC53" s="33"/>
      <c r="KD53" s="33"/>
      <c r="KE53" s="33"/>
      <c r="KF53" s="33"/>
      <c r="KG53" s="33"/>
      <c r="KH53" s="33"/>
      <c r="KI53" s="33"/>
      <c r="KJ53" s="33"/>
      <c r="KK53" s="33"/>
      <c r="KL53" s="33"/>
      <c r="KM53" s="33"/>
      <c r="KN53" s="33"/>
      <c r="KO53" s="33"/>
      <c r="KP53" s="33"/>
      <c r="KQ53" s="33"/>
      <c r="KR53" s="33"/>
      <c r="KS53" s="33"/>
      <c r="KT53" s="33"/>
      <c r="KU53" s="33"/>
      <c r="KV53" s="33"/>
      <c r="KW53" s="33"/>
      <c r="KX53" s="33"/>
      <c r="KY53" s="33"/>
      <c r="KZ53" s="33"/>
      <c r="LA53" s="33"/>
      <c r="LB53" s="33"/>
      <c r="LC53" s="33"/>
      <c r="LD53" s="33"/>
      <c r="LE53" s="33"/>
      <c r="LF53" s="33"/>
      <c r="LG53" s="33"/>
      <c r="LH53" s="33"/>
      <c r="LI53" s="33"/>
      <c r="LJ53" s="33"/>
      <c r="LK53" s="33"/>
      <c r="LL53" s="33"/>
      <c r="LM53" s="33"/>
      <c r="LN53" s="33"/>
      <c r="LO53" s="33"/>
      <c r="LP53" s="33"/>
      <c r="LQ53" s="33"/>
      <c r="LR53" s="33"/>
      <c r="LS53" s="33"/>
      <c r="LT53" s="33"/>
      <c r="LU53" s="33"/>
      <c r="LV53" s="33"/>
      <c r="LW53" s="33"/>
      <c r="LX53" s="33"/>
      <c r="LY53" s="33"/>
      <c r="LZ53" s="33"/>
      <c r="MA53" s="33"/>
      <c r="MB53" s="33"/>
      <c r="MC53" s="33"/>
      <c r="MD53" s="33"/>
      <c r="ME53" s="33"/>
      <c r="MF53" s="33"/>
      <c r="MG53" s="33"/>
      <c r="MH53" s="33"/>
      <c r="MI53" s="33"/>
      <c r="MJ53" s="33"/>
      <c r="MK53" s="33"/>
      <c r="ML53" s="33"/>
      <c r="MM53" s="33"/>
      <c r="MN53" s="33"/>
      <c r="MO53" s="33"/>
      <c r="MP53" s="33"/>
      <c r="MQ53" s="33"/>
      <c r="MR53" s="33"/>
      <c r="MS53" s="33"/>
      <c r="MT53" s="33"/>
      <c r="MU53" s="33"/>
      <c r="MV53" s="33"/>
    </row>
    <row r="54" spans="1:360" ht="0.75" customHeight="1" x14ac:dyDescent="0.25">
      <c r="A54" s="33"/>
      <c r="B54" s="33"/>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33"/>
      <c r="CG54" s="33"/>
      <c r="CH54" s="33"/>
      <c r="CI54" s="33"/>
      <c r="CJ54" s="33"/>
      <c r="CK54" s="33"/>
      <c r="CL54" s="33"/>
      <c r="CM54" s="33"/>
      <c r="CN54" s="33"/>
      <c r="CO54" s="33"/>
      <c r="CP54" s="33"/>
      <c r="CQ54" s="33"/>
      <c r="CR54" s="33"/>
      <c r="CS54" s="33"/>
      <c r="CT54" s="33"/>
      <c r="CU54" s="33"/>
      <c r="CV54" s="33"/>
      <c r="CW54" s="33"/>
      <c r="CX54" s="33"/>
      <c r="CY54" s="33"/>
      <c r="CZ54" s="33"/>
      <c r="DA54" s="33"/>
      <c r="DB54" s="33"/>
      <c r="DC54" s="33"/>
      <c r="DD54" s="33"/>
      <c r="DE54" s="33"/>
      <c r="DF54" s="33"/>
      <c r="DG54" s="33"/>
      <c r="DH54" s="33"/>
      <c r="DI54" s="33"/>
      <c r="DJ54" s="33"/>
      <c r="DK54" s="33"/>
      <c r="DL54" s="33"/>
      <c r="DM54" s="33"/>
      <c r="DN54" s="33"/>
      <c r="DO54" s="33"/>
      <c r="DP54" s="33"/>
      <c r="DQ54" s="33"/>
      <c r="DR54" s="33"/>
      <c r="DS54" s="33"/>
      <c r="DT54" s="33"/>
      <c r="DU54" s="33"/>
      <c r="DV54" s="33"/>
      <c r="DW54" s="33"/>
      <c r="DX54" s="33"/>
      <c r="DY54" s="33"/>
      <c r="DZ54" s="33"/>
      <c r="EA54" s="33"/>
      <c r="EB54" s="33"/>
      <c r="EC54" s="33"/>
      <c r="ED54" s="33"/>
      <c r="EE54" s="33"/>
      <c r="EF54" s="33"/>
      <c r="EG54" s="33"/>
      <c r="EH54" s="33"/>
      <c r="EI54" s="33"/>
      <c r="EJ54" s="33"/>
      <c r="EK54" s="33"/>
      <c r="EL54" s="44"/>
      <c r="EM54" s="41"/>
      <c r="EN54" s="41"/>
      <c r="EO54" s="41"/>
      <c r="EP54" s="42"/>
      <c r="EQ54" s="36"/>
      <c r="ER54" s="33"/>
      <c r="ES54" s="33"/>
      <c r="ET54" s="33"/>
      <c r="EU54" s="33"/>
      <c r="EV54" s="33"/>
      <c r="EW54" s="33"/>
      <c r="EX54" s="33"/>
      <c r="EY54" s="33"/>
      <c r="EZ54" s="33"/>
      <c r="FA54" s="33"/>
      <c r="FB54" s="33"/>
      <c r="FC54" s="33"/>
      <c r="FD54" s="36"/>
      <c r="FE54" s="42"/>
      <c r="FF54" s="41"/>
      <c r="FG54" s="41"/>
      <c r="FH54" s="41"/>
      <c r="FI54" s="44"/>
      <c r="FJ54" s="33"/>
      <c r="FK54" s="33"/>
      <c r="FL54" s="33"/>
      <c r="FM54" s="33"/>
      <c r="FN54" s="33"/>
      <c r="FO54" s="33"/>
      <c r="FP54" s="33"/>
      <c r="FQ54" s="33"/>
      <c r="FR54" s="33"/>
      <c r="FS54" s="33"/>
      <c r="FT54" s="33"/>
      <c r="FU54" s="33"/>
      <c r="FV54" s="33"/>
      <c r="FW54" s="33"/>
      <c r="FX54" s="33"/>
      <c r="FY54" s="33"/>
      <c r="FZ54" s="33"/>
      <c r="GA54" s="33"/>
      <c r="GB54" s="33"/>
      <c r="GC54" s="33"/>
      <c r="GD54" s="33"/>
      <c r="GE54" s="33"/>
      <c r="GF54" s="33"/>
      <c r="GG54" s="33"/>
      <c r="GH54" s="33"/>
      <c r="GI54" s="33"/>
      <c r="GJ54" s="33"/>
      <c r="GK54" s="33"/>
      <c r="GL54" s="33"/>
      <c r="GM54" s="33"/>
      <c r="GN54" s="33"/>
      <c r="GO54" s="33"/>
      <c r="GP54" s="52"/>
      <c r="GQ54" s="41"/>
      <c r="GR54" s="41"/>
      <c r="GS54" s="41"/>
      <c r="GT54" s="41"/>
      <c r="GU54" s="63"/>
      <c r="GV54" s="33"/>
      <c r="GW54" s="33"/>
      <c r="GX54" s="33"/>
      <c r="GY54" s="33"/>
      <c r="GZ54" s="33"/>
      <c r="HA54" s="33"/>
      <c r="HB54" s="33"/>
      <c r="HC54" s="33"/>
      <c r="HD54" s="33"/>
      <c r="HE54" s="33"/>
      <c r="HF54" s="33"/>
      <c r="HG54" s="33"/>
      <c r="HH54" s="33"/>
      <c r="HI54" s="33"/>
      <c r="HJ54" s="33"/>
      <c r="HK54" s="33"/>
      <c r="HL54" s="33"/>
      <c r="HM54" s="33"/>
      <c r="HN54" s="33"/>
      <c r="HO54" s="33"/>
      <c r="HP54" s="33"/>
      <c r="HQ54" s="33"/>
      <c r="HR54" s="33"/>
      <c r="HS54" s="33"/>
      <c r="HT54" s="33"/>
      <c r="HU54" s="33"/>
      <c r="HV54" s="33"/>
      <c r="HW54" s="33"/>
      <c r="HX54" s="33"/>
      <c r="HY54" s="33"/>
      <c r="HZ54" s="33"/>
      <c r="IA54" s="33"/>
      <c r="IB54" s="33"/>
      <c r="IC54" s="33"/>
      <c r="ID54" s="33"/>
      <c r="IE54" s="33"/>
      <c r="IF54" s="33"/>
      <c r="IG54" s="33"/>
      <c r="IH54" s="33"/>
      <c r="II54" s="33"/>
      <c r="IJ54" s="33"/>
      <c r="IK54" s="33"/>
      <c r="IL54" s="33"/>
      <c r="IM54" s="33"/>
      <c r="IN54" s="33"/>
      <c r="IO54" s="33"/>
      <c r="IP54" s="33"/>
      <c r="IQ54" s="33"/>
      <c r="IR54" s="33"/>
      <c r="IS54" s="33"/>
      <c r="IT54" s="33"/>
      <c r="IU54" s="33"/>
      <c r="IV54" s="33"/>
      <c r="IW54" s="33"/>
      <c r="IX54" s="33"/>
      <c r="IY54" s="33"/>
      <c r="IZ54" s="33"/>
      <c r="JA54" s="33"/>
      <c r="JB54" s="33"/>
      <c r="JC54" s="33"/>
      <c r="JD54" s="33"/>
      <c r="JE54" s="33"/>
      <c r="JF54" s="33"/>
      <c r="JG54" s="33"/>
      <c r="JH54" s="33"/>
      <c r="JI54" s="33"/>
      <c r="JJ54" s="33"/>
      <c r="JK54" s="33"/>
      <c r="JL54" s="33"/>
      <c r="JM54" s="33"/>
      <c r="JN54" s="33"/>
      <c r="JO54" s="33"/>
      <c r="JP54" s="33"/>
      <c r="JQ54" s="33"/>
      <c r="JR54" s="33"/>
      <c r="JS54" s="33"/>
      <c r="JT54" s="33"/>
      <c r="JU54" s="33"/>
      <c r="JV54" s="33"/>
      <c r="JW54" s="33"/>
      <c r="JX54" s="33"/>
      <c r="JY54" s="33"/>
      <c r="JZ54" s="33"/>
      <c r="KA54" s="33"/>
      <c r="KB54" s="33"/>
      <c r="KC54" s="33"/>
      <c r="KD54" s="33"/>
      <c r="KE54" s="33"/>
      <c r="KF54" s="33"/>
      <c r="KG54" s="33"/>
      <c r="KH54" s="33"/>
      <c r="KI54" s="33"/>
      <c r="KJ54" s="33"/>
      <c r="KK54" s="33"/>
      <c r="KL54" s="33"/>
      <c r="KM54" s="33"/>
      <c r="KN54" s="33"/>
      <c r="KO54" s="33"/>
      <c r="KP54" s="33"/>
      <c r="KQ54" s="33"/>
      <c r="KR54" s="33"/>
      <c r="KS54" s="33"/>
      <c r="KT54" s="33"/>
      <c r="KU54" s="33"/>
      <c r="KV54" s="33"/>
      <c r="KW54" s="33"/>
      <c r="KX54" s="33"/>
      <c r="KY54" s="33"/>
      <c r="KZ54" s="33"/>
      <c r="LA54" s="33"/>
      <c r="LB54" s="33"/>
      <c r="LC54" s="33"/>
      <c r="LD54" s="33"/>
      <c r="LE54" s="33"/>
      <c r="LF54" s="33"/>
      <c r="LG54" s="33"/>
      <c r="LH54" s="33"/>
      <c r="LI54" s="33"/>
      <c r="LJ54" s="33"/>
      <c r="LK54" s="33"/>
      <c r="LL54" s="33"/>
      <c r="LM54" s="33"/>
      <c r="LN54" s="33"/>
      <c r="LO54" s="33"/>
      <c r="LP54" s="33"/>
      <c r="LQ54" s="33"/>
      <c r="LR54" s="33"/>
      <c r="LS54" s="33"/>
      <c r="LT54" s="33"/>
      <c r="LU54" s="33"/>
      <c r="LV54" s="33"/>
      <c r="LW54" s="33"/>
      <c r="LX54" s="33"/>
      <c r="LY54" s="33"/>
      <c r="LZ54" s="33"/>
      <c r="MA54" s="33"/>
      <c r="MB54" s="33"/>
      <c r="MC54" s="33"/>
      <c r="MD54" s="33"/>
      <c r="ME54" s="33"/>
      <c r="MF54" s="33"/>
      <c r="MG54" s="33"/>
      <c r="MH54" s="33"/>
      <c r="MI54" s="33"/>
      <c r="MJ54" s="33"/>
      <c r="MK54" s="33"/>
      <c r="ML54" s="33"/>
      <c r="MM54" s="33"/>
      <c r="MN54" s="33"/>
      <c r="MO54" s="33"/>
      <c r="MP54" s="33"/>
      <c r="MQ54" s="33"/>
      <c r="MR54" s="33"/>
      <c r="MS54" s="33"/>
      <c r="MT54" s="33"/>
      <c r="MU54" s="33"/>
      <c r="MV54" s="33"/>
    </row>
    <row r="55" spans="1:360" ht="0.75" customHeight="1" x14ac:dyDescent="0.25">
      <c r="A55" s="33"/>
      <c r="B55" s="33"/>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33"/>
      <c r="CG55" s="33"/>
      <c r="CH55" s="33"/>
      <c r="CI55" s="33"/>
      <c r="CJ55" s="33"/>
      <c r="CK55" s="33"/>
      <c r="CL55" s="33"/>
      <c r="CM55" s="33"/>
      <c r="CN55" s="33"/>
      <c r="CO55" s="33"/>
      <c r="CP55" s="33"/>
      <c r="CQ55" s="33"/>
      <c r="CR55" s="33"/>
      <c r="CS55" s="33"/>
      <c r="CT55" s="33"/>
      <c r="CU55" s="33"/>
      <c r="CV55" s="33"/>
      <c r="CW55" s="33"/>
      <c r="CX55" s="33"/>
      <c r="CY55" s="33"/>
      <c r="CZ55" s="33"/>
      <c r="DA55" s="33"/>
      <c r="DB55" s="33"/>
      <c r="DC55" s="33"/>
      <c r="DD55" s="33"/>
      <c r="DE55" s="33"/>
      <c r="DF55" s="33"/>
      <c r="DG55" s="33"/>
      <c r="DH55" s="33"/>
      <c r="DI55" s="33"/>
      <c r="DJ55" s="33"/>
      <c r="DK55" s="33"/>
      <c r="DL55" s="33"/>
      <c r="DM55" s="33"/>
      <c r="DN55" s="33"/>
      <c r="DO55" s="33"/>
      <c r="DP55" s="33"/>
      <c r="DQ55" s="33"/>
      <c r="DR55" s="33"/>
      <c r="DS55" s="33"/>
      <c r="DT55" s="33"/>
      <c r="DU55" s="33"/>
      <c r="DV55" s="33"/>
      <c r="DW55" s="33"/>
      <c r="DX55" s="33"/>
      <c r="DY55" s="33"/>
      <c r="DZ55" s="33"/>
      <c r="EA55" s="33"/>
      <c r="EB55" s="33"/>
      <c r="EC55" s="33"/>
      <c r="ED55" s="33"/>
      <c r="EE55" s="33"/>
      <c r="EF55" s="33"/>
      <c r="EG55" s="33"/>
      <c r="EH55" s="33"/>
      <c r="EI55" s="33"/>
      <c r="EJ55" s="33"/>
      <c r="EK55" s="33"/>
      <c r="EL55" s="44"/>
      <c r="EM55" s="41"/>
      <c r="EN55" s="41"/>
      <c r="EO55" s="41"/>
      <c r="EP55" s="42"/>
      <c r="EQ55" s="36"/>
      <c r="ER55" s="33"/>
      <c r="ES55" s="33"/>
      <c r="ET55" s="33"/>
      <c r="EU55" s="33"/>
      <c r="EV55" s="33"/>
      <c r="EW55" s="33"/>
      <c r="EX55" s="33"/>
      <c r="EY55" s="33"/>
      <c r="EZ55" s="33"/>
      <c r="FA55" s="33"/>
      <c r="FB55" s="33"/>
      <c r="FC55" s="33"/>
      <c r="FD55" s="36"/>
      <c r="FE55" s="42"/>
      <c r="FF55" s="41"/>
      <c r="FG55" s="41"/>
      <c r="FH55" s="41"/>
      <c r="FI55" s="44"/>
      <c r="FJ55" s="33"/>
      <c r="FK55" s="33"/>
      <c r="FL55" s="33"/>
      <c r="FM55" s="33"/>
      <c r="FN55" s="33"/>
      <c r="FO55" s="33"/>
      <c r="FP55" s="33"/>
      <c r="FQ55" s="33"/>
      <c r="FR55" s="33"/>
      <c r="FS55" s="33"/>
      <c r="FT55" s="33"/>
      <c r="FU55" s="33"/>
      <c r="FV55" s="33"/>
      <c r="FW55" s="33"/>
      <c r="FX55" s="33"/>
      <c r="FY55" s="33"/>
      <c r="FZ55" s="33"/>
      <c r="GA55" s="33"/>
      <c r="GB55" s="33"/>
      <c r="GC55" s="33"/>
      <c r="GD55" s="33"/>
      <c r="GE55" s="33"/>
      <c r="GF55" s="33"/>
      <c r="GG55" s="33"/>
      <c r="GH55" s="33"/>
      <c r="GI55" s="33"/>
      <c r="GJ55" s="33"/>
      <c r="GK55" s="33"/>
      <c r="GL55" s="33"/>
      <c r="GM55" s="33"/>
      <c r="GN55" s="33"/>
      <c r="GO55" s="33"/>
      <c r="GP55" s="52"/>
      <c r="GQ55" s="41"/>
      <c r="GR55" s="41"/>
      <c r="GS55" s="41"/>
      <c r="GT55" s="41"/>
      <c r="GU55" s="63"/>
      <c r="GV55" s="33"/>
      <c r="GW55" s="33"/>
      <c r="GX55" s="33"/>
      <c r="GY55" s="33"/>
      <c r="GZ55" s="33"/>
      <c r="HA55" s="33"/>
      <c r="HB55" s="33"/>
      <c r="HC55" s="33"/>
      <c r="HD55" s="33"/>
      <c r="HE55" s="33"/>
      <c r="HF55" s="33"/>
      <c r="HG55" s="33"/>
      <c r="HH55" s="33"/>
      <c r="HI55" s="33"/>
      <c r="HJ55" s="33"/>
      <c r="HK55" s="33"/>
      <c r="HL55" s="33"/>
      <c r="HM55" s="33"/>
      <c r="HN55" s="33"/>
      <c r="HO55" s="33"/>
      <c r="HP55" s="33"/>
      <c r="HQ55" s="33"/>
      <c r="HR55" s="33"/>
      <c r="HS55" s="33"/>
      <c r="HT55" s="33"/>
      <c r="HU55" s="33"/>
      <c r="HV55" s="33"/>
      <c r="HW55" s="33"/>
      <c r="HX55" s="33"/>
      <c r="HY55" s="33"/>
      <c r="HZ55" s="33"/>
      <c r="IA55" s="33"/>
      <c r="IB55" s="33"/>
      <c r="IC55" s="33"/>
      <c r="ID55" s="33"/>
      <c r="IE55" s="33"/>
      <c r="IF55" s="33"/>
      <c r="IG55" s="33"/>
      <c r="IH55" s="33"/>
      <c r="II55" s="33"/>
      <c r="IJ55" s="33"/>
      <c r="IK55" s="33"/>
      <c r="IL55" s="33"/>
      <c r="IM55" s="33"/>
      <c r="IN55" s="33"/>
      <c r="IO55" s="33"/>
      <c r="IP55" s="33"/>
      <c r="IQ55" s="33"/>
      <c r="IR55" s="33"/>
      <c r="IS55" s="33"/>
      <c r="IT55" s="33"/>
      <c r="IU55" s="33"/>
      <c r="IV55" s="33"/>
      <c r="IW55" s="33"/>
      <c r="IX55" s="33"/>
      <c r="IY55" s="33"/>
      <c r="IZ55" s="33"/>
      <c r="JA55" s="33"/>
      <c r="JB55" s="33"/>
      <c r="JC55" s="33"/>
      <c r="JD55" s="33"/>
      <c r="JE55" s="33"/>
      <c r="JF55" s="33"/>
      <c r="JG55" s="33"/>
      <c r="JH55" s="33"/>
      <c r="JI55" s="33"/>
      <c r="JJ55" s="33"/>
      <c r="JK55" s="33"/>
      <c r="JL55" s="33"/>
      <c r="JM55" s="33"/>
      <c r="JN55" s="33"/>
      <c r="JO55" s="33"/>
      <c r="JP55" s="33"/>
      <c r="JQ55" s="33"/>
      <c r="JR55" s="33"/>
      <c r="JS55" s="33"/>
      <c r="JT55" s="33"/>
      <c r="JU55" s="33"/>
      <c r="JV55" s="33"/>
      <c r="JW55" s="33"/>
      <c r="JX55" s="33"/>
      <c r="JY55" s="33"/>
      <c r="JZ55" s="33"/>
      <c r="KA55" s="33"/>
      <c r="KB55" s="33"/>
      <c r="KC55" s="33"/>
      <c r="KD55" s="33"/>
      <c r="KE55" s="33"/>
      <c r="KF55" s="33"/>
      <c r="KG55" s="33"/>
      <c r="KH55" s="33"/>
      <c r="KI55" s="33"/>
      <c r="KJ55" s="33"/>
      <c r="KK55" s="33"/>
      <c r="KL55" s="33"/>
      <c r="KM55" s="33"/>
      <c r="KN55" s="33"/>
      <c r="KO55" s="33"/>
      <c r="KP55" s="33"/>
      <c r="KQ55" s="33"/>
      <c r="KR55" s="33"/>
      <c r="KS55" s="33"/>
      <c r="KT55" s="33"/>
      <c r="KU55" s="33"/>
      <c r="KV55" s="33"/>
      <c r="KW55" s="33"/>
      <c r="KX55" s="33"/>
      <c r="KY55" s="33"/>
      <c r="KZ55" s="33"/>
      <c r="LA55" s="33"/>
      <c r="LB55" s="33"/>
      <c r="LC55" s="33"/>
      <c r="LD55" s="33"/>
      <c r="LE55" s="33"/>
      <c r="LF55" s="33"/>
      <c r="LG55" s="33"/>
      <c r="LH55" s="33"/>
      <c r="LI55" s="33"/>
      <c r="LJ55" s="33"/>
      <c r="LK55" s="33"/>
      <c r="LL55" s="33"/>
      <c r="LM55" s="33"/>
      <c r="LN55" s="33"/>
      <c r="LO55" s="33"/>
      <c r="LP55" s="33"/>
      <c r="LQ55" s="33"/>
      <c r="LR55" s="33"/>
      <c r="LS55" s="33"/>
      <c r="LT55" s="33"/>
      <c r="LU55" s="33"/>
      <c r="LV55" s="33"/>
      <c r="LW55" s="33"/>
      <c r="LX55" s="33"/>
      <c r="LY55" s="33"/>
      <c r="LZ55" s="33"/>
      <c r="MA55" s="33"/>
      <c r="MB55" s="33"/>
      <c r="MC55" s="33"/>
      <c r="MD55" s="33"/>
      <c r="ME55" s="33"/>
      <c r="MF55" s="33"/>
      <c r="MG55" s="33"/>
      <c r="MH55" s="33"/>
      <c r="MI55" s="33"/>
      <c r="MJ55" s="33"/>
      <c r="MK55" s="33"/>
      <c r="ML55" s="33"/>
      <c r="MM55" s="33"/>
      <c r="MN55" s="33"/>
      <c r="MO55" s="33"/>
      <c r="MP55" s="33"/>
      <c r="MQ55" s="33"/>
      <c r="MR55" s="33"/>
      <c r="MS55" s="33"/>
      <c r="MT55" s="33"/>
      <c r="MU55" s="33"/>
      <c r="MV55" s="33"/>
    </row>
    <row r="56" spans="1:360" ht="0.75" customHeight="1" x14ac:dyDescent="0.25">
      <c r="A56" s="33"/>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33"/>
      <c r="CG56" s="33"/>
      <c r="CH56" s="33"/>
      <c r="CI56" s="33"/>
      <c r="CJ56" s="33"/>
      <c r="CK56" s="33"/>
      <c r="CL56" s="33"/>
      <c r="CM56" s="33"/>
      <c r="CN56" s="33"/>
      <c r="CO56" s="33"/>
      <c r="CP56" s="33"/>
      <c r="CQ56" s="33"/>
      <c r="CR56" s="33"/>
      <c r="CS56" s="33"/>
      <c r="CT56" s="33"/>
      <c r="CU56" s="33"/>
      <c r="CV56" s="33"/>
      <c r="CW56" s="33"/>
      <c r="CX56" s="33"/>
      <c r="CY56" s="33"/>
      <c r="CZ56" s="33"/>
      <c r="DA56" s="33"/>
      <c r="DB56" s="33"/>
      <c r="DC56" s="33"/>
      <c r="DD56" s="33"/>
      <c r="DE56" s="33"/>
      <c r="DF56" s="33"/>
      <c r="DG56" s="33"/>
      <c r="DH56" s="33"/>
      <c r="DI56" s="33"/>
      <c r="DJ56" s="33"/>
      <c r="DK56" s="33"/>
      <c r="DL56" s="33"/>
      <c r="DM56" s="33"/>
      <c r="DN56" s="33"/>
      <c r="DO56" s="33"/>
      <c r="DP56" s="33"/>
      <c r="DQ56" s="33"/>
      <c r="DR56" s="33"/>
      <c r="DS56" s="33"/>
      <c r="DT56" s="33"/>
      <c r="DU56" s="33"/>
      <c r="DV56" s="33"/>
      <c r="DW56" s="33"/>
      <c r="DX56" s="33"/>
      <c r="DY56" s="33"/>
      <c r="DZ56" s="33"/>
      <c r="EA56" s="33"/>
      <c r="EB56" s="33"/>
      <c r="EC56" s="33"/>
      <c r="ED56" s="33"/>
      <c r="EE56" s="33"/>
      <c r="EF56" s="33"/>
      <c r="EG56" s="33"/>
      <c r="EH56" s="33"/>
      <c r="EI56" s="33"/>
      <c r="EJ56" s="33"/>
      <c r="EK56" s="33"/>
      <c r="EL56" s="44"/>
      <c r="EM56" s="41"/>
      <c r="EN56" s="41"/>
      <c r="EO56" s="41"/>
      <c r="EP56" s="42"/>
      <c r="EQ56" s="36"/>
      <c r="ER56" s="33"/>
      <c r="ES56" s="33"/>
      <c r="ET56" s="33"/>
      <c r="EU56" s="33"/>
      <c r="EV56" s="33"/>
      <c r="EW56" s="33"/>
      <c r="EX56" s="33"/>
      <c r="EY56" s="33"/>
      <c r="EZ56" s="33"/>
      <c r="FA56" s="33"/>
      <c r="FB56" s="33"/>
      <c r="FC56" s="33"/>
      <c r="FD56" s="36"/>
      <c r="FE56" s="42"/>
      <c r="FF56" s="41"/>
      <c r="FG56" s="41"/>
      <c r="FH56" s="41"/>
      <c r="FI56" s="44"/>
      <c r="FJ56" s="33"/>
      <c r="FK56" s="33"/>
      <c r="FL56" s="33"/>
      <c r="FM56" s="33"/>
      <c r="FN56" s="33"/>
      <c r="FO56" s="33"/>
      <c r="FP56" s="33"/>
      <c r="FQ56" s="33"/>
      <c r="FR56" s="33"/>
      <c r="FS56" s="33"/>
      <c r="FT56" s="33"/>
      <c r="FU56" s="33"/>
      <c r="FV56" s="33"/>
      <c r="FW56" s="33"/>
      <c r="FX56" s="33"/>
      <c r="FY56" s="33"/>
      <c r="FZ56" s="33"/>
      <c r="GA56" s="33"/>
      <c r="GB56" s="33"/>
      <c r="GC56" s="33"/>
      <c r="GD56" s="33"/>
      <c r="GE56" s="33"/>
      <c r="GF56" s="33"/>
      <c r="GG56" s="33"/>
      <c r="GH56" s="33"/>
      <c r="GI56" s="33"/>
      <c r="GJ56" s="33"/>
      <c r="GK56" s="33"/>
      <c r="GL56" s="33"/>
      <c r="GM56" s="33"/>
      <c r="GN56" s="33"/>
      <c r="GO56" s="33"/>
      <c r="GP56" s="52"/>
      <c r="GQ56" s="41"/>
      <c r="GR56" s="41"/>
      <c r="GS56" s="41"/>
      <c r="GT56" s="41"/>
      <c r="GU56" s="63"/>
      <c r="GV56" s="33"/>
      <c r="GW56" s="33"/>
      <c r="GX56" s="33"/>
      <c r="GY56" s="33"/>
      <c r="GZ56" s="33"/>
      <c r="HA56" s="33"/>
      <c r="HB56" s="33"/>
      <c r="HC56" s="33"/>
      <c r="HD56" s="33"/>
      <c r="HE56" s="33"/>
      <c r="HF56" s="33"/>
      <c r="HG56" s="33"/>
      <c r="HH56" s="33"/>
      <c r="HI56" s="33"/>
      <c r="HJ56" s="33"/>
      <c r="HK56" s="33"/>
      <c r="HL56" s="33"/>
      <c r="HM56" s="33"/>
      <c r="HN56" s="33"/>
      <c r="HO56" s="33"/>
      <c r="HP56" s="33"/>
      <c r="HQ56" s="33"/>
      <c r="HR56" s="33"/>
      <c r="HS56" s="33"/>
      <c r="HT56" s="33"/>
      <c r="HU56" s="33"/>
      <c r="HV56" s="33"/>
      <c r="HW56" s="33"/>
      <c r="HX56" s="33"/>
      <c r="HY56" s="33"/>
      <c r="HZ56" s="33"/>
      <c r="IA56" s="33"/>
      <c r="IB56" s="33"/>
      <c r="IC56" s="33"/>
      <c r="ID56" s="33"/>
      <c r="IE56" s="33"/>
      <c r="IF56" s="33"/>
      <c r="IG56" s="33"/>
      <c r="IH56" s="33"/>
      <c r="II56" s="33"/>
      <c r="IJ56" s="33"/>
      <c r="IK56" s="33"/>
      <c r="IL56" s="33"/>
      <c r="IM56" s="33"/>
      <c r="IN56" s="33"/>
      <c r="IO56" s="33"/>
      <c r="IP56" s="33"/>
      <c r="IQ56" s="33"/>
      <c r="IR56" s="33"/>
      <c r="IS56" s="33"/>
      <c r="IT56" s="33"/>
      <c r="IU56" s="33"/>
      <c r="IV56" s="33"/>
      <c r="IW56" s="33"/>
      <c r="IX56" s="33"/>
      <c r="IY56" s="33"/>
      <c r="IZ56" s="33"/>
      <c r="JA56" s="33"/>
      <c r="JB56" s="33"/>
      <c r="JC56" s="33"/>
      <c r="JD56" s="33"/>
      <c r="JE56" s="33"/>
      <c r="JF56" s="33"/>
      <c r="JG56" s="33"/>
      <c r="JH56" s="33"/>
      <c r="JI56" s="33"/>
      <c r="JJ56" s="33"/>
      <c r="JK56" s="33"/>
      <c r="JL56" s="33"/>
      <c r="JM56" s="33"/>
      <c r="JN56" s="33"/>
      <c r="JO56" s="33"/>
      <c r="JP56" s="33"/>
      <c r="JQ56" s="33"/>
      <c r="JR56" s="33"/>
      <c r="JS56" s="33"/>
      <c r="JT56" s="33"/>
      <c r="JU56" s="33"/>
      <c r="JV56" s="33"/>
      <c r="JW56" s="33"/>
      <c r="JX56" s="33"/>
      <c r="JY56" s="33"/>
      <c r="JZ56" s="33"/>
      <c r="KA56" s="33"/>
      <c r="KB56" s="33"/>
      <c r="KC56" s="33"/>
      <c r="KD56" s="33"/>
      <c r="KE56" s="33"/>
      <c r="KF56" s="33"/>
      <c r="KG56" s="33"/>
      <c r="KH56" s="33"/>
      <c r="KI56" s="33"/>
      <c r="KJ56" s="33"/>
      <c r="KK56" s="33"/>
      <c r="KL56" s="33"/>
      <c r="KM56" s="33"/>
      <c r="KN56" s="33"/>
      <c r="KO56" s="33"/>
      <c r="KP56" s="33"/>
      <c r="KQ56" s="33"/>
      <c r="KR56" s="33"/>
      <c r="KS56" s="33"/>
      <c r="KT56" s="33"/>
      <c r="KU56" s="33"/>
      <c r="KV56" s="33"/>
      <c r="KW56" s="33"/>
      <c r="KX56" s="33"/>
      <c r="KY56" s="33"/>
      <c r="KZ56" s="33"/>
      <c r="LA56" s="33"/>
      <c r="LB56" s="33"/>
      <c r="LC56" s="33"/>
      <c r="LD56" s="33"/>
      <c r="LE56" s="33"/>
      <c r="LF56" s="33"/>
      <c r="LG56" s="33"/>
      <c r="LH56" s="33"/>
      <c r="LI56" s="33"/>
      <c r="LJ56" s="33"/>
      <c r="LK56" s="33"/>
      <c r="LL56" s="33"/>
      <c r="LM56" s="33"/>
      <c r="LN56" s="33"/>
      <c r="LO56" s="33"/>
      <c r="LP56" s="33"/>
      <c r="LQ56" s="33"/>
      <c r="LR56" s="33"/>
      <c r="LS56" s="33"/>
      <c r="LT56" s="33"/>
      <c r="LU56" s="33"/>
      <c r="LV56" s="33"/>
      <c r="LW56" s="33"/>
      <c r="LX56" s="33"/>
      <c r="LY56" s="33"/>
      <c r="LZ56" s="33"/>
      <c r="MA56" s="33"/>
      <c r="MB56" s="33"/>
      <c r="MC56" s="33"/>
      <c r="MD56" s="33"/>
      <c r="ME56" s="33"/>
      <c r="MF56" s="33"/>
      <c r="MG56" s="33"/>
      <c r="MH56" s="33"/>
      <c r="MI56" s="33"/>
      <c r="MJ56" s="33"/>
      <c r="MK56" s="33"/>
      <c r="ML56" s="33"/>
      <c r="MM56" s="33"/>
      <c r="MN56" s="33"/>
      <c r="MO56" s="33"/>
      <c r="MP56" s="33"/>
      <c r="MQ56" s="33"/>
      <c r="MR56" s="33"/>
      <c r="MS56" s="33"/>
      <c r="MT56" s="33"/>
      <c r="MU56" s="33"/>
      <c r="MV56" s="33"/>
    </row>
    <row r="57" spans="1:360" ht="0.75" customHeight="1" x14ac:dyDescent="0.25">
      <c r="A57" s="33"/>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33"/>
      <c r="CG57" s="33"/>
      <c r="CH57" s="33"/>
      <c r="CI57" s="33"/>
      <c r="CJ57" s="33"/>
      <c r="CK57" s="33"/>
      <c r="CL57" s="33"/>
      <c r="CM57" s="33"/>
      <c r="CN57" s="33"/>
      <c r="CO57" s="33"/>
      <c r="CP57" s="33"/>
      <c r="CQ57" s="33"/>
      <c r="CR57" s="33"/>
      <c r="CS57" s="33"/>
      <c r="CT57" s="33"/>
      <c r="CU57" s="33"/>
      <c r="CV57" s="33"/>
      <c r="CW57" s="33"/>
      <c r="CX57" s="33"/>
      <c r="CY57" s="33"/>
      <c r="CZ57" s="33"/>
      <c r="DA57" s="33"/>
      <c r="DB57" s="33"/>
      <c r="DC57" s="33"/>
      <c r="DD57" s="33"/>
      <c r="DE57" s="33"/>
      <c r="DF57" s="33"/>
      <c r="DG57" s="33"/>
      <c r="DH57" s="33"/>
      <c r="DI57" s="33"/>
      <c r="DJ57" s="33"/>
      <c r="DK57" s="33"/>
      <c r="DL57" s="33"/>
      <c r="DM57" s="33"/>
      <c r="DN57" s="33"/>
      <c r="DO57" s="33"/>
      <c r="DP57" s="33"/>
      <c r="DQ57" s="33"/>
      <c r="DR57" s="33"/>
      <c r="DS57" s="33"/>
      <c r="DT57" s="33"/>
      <c r="DU57" s="33"/>
      <c r="DV57" s="33"/>
      <c r="DW57" s="33"/>
      <c r="DX57" s="33"/>
      <c r="DY57" s="33"/>
      <c r="DZ57" s="33"/>
      <c r="EA57" s="33"/>
      <c r="EB57" s="33"/>
      <c r="EC57" s="33"/>
      <c r="ED57" s="33"/>
      <c r="EE57" s="33"/>
      <c r="EF57" s="33"/>
      <c r="EG57" s="33"/>
      <c r="EH57" s="33"/>
      <c r="EI57" s="33"/>
      <c r="EJ57" s="33"/>
      <c r="EK57" s="33"/>
      <c r="EL57" s="44"/>
      <c r="EM57" s="41"/>
      <c r="EN57" s="41"/>
      <c r="EO57" s="41"/>
      <c r="EP57" s="42"/>
      <c r="EQ57" s="36"/>
      <c r="ER57" s="33"/>
      <c r="ES57" s="33"/>
      <c r="ET57" s="33"/>
      <c r="EU57" s="33"/>
      <c r="EV57" s="33"/>
      <c r="EW57" s="33"/>
      <c r="EX57" s="33"/>
      <c r="EY57" s="33"/>
      <c r="EZ57" s="33"/>
      <c r="FA57" s="33"/>
      <c r="FB57" s="33"/>
      <c r="FC57" s="33"/>
      <c r="FD57" s="36"/>
      <c r="FE57" s="42"/>
      <c r="FF57" s="41"/>
      <c r="FG57" s="41"/>
      <c r="FH57" s="41"/>
      <c r="FI57" s="44"/>
      <c r="FJ57" s="33"/>
      <c r="FK57" s="33"/>
      <c r="FL57" s="33"/>
      <c r="FM57" s="33"/>
      <c r="FN57" s="33"/>
      <c r="FO57" s="33"/>
      <c r="FP57" s="33"/>
      <c r="FQ57" s="33"/>
      <c r="FR57" s="33"/>
      <c r="FS57" s="33"/>
      <c r="FT57" s="33"/>
      <c r="FU57" s="33"/>
      <c r="FV57" s="33"/>
      <c r="FW57" s="33"/>
      <c r="FX57" s="33"/>
      <c r="FY57" s="33"/>
      <c r="FZ57" s="33"/>
      <c r="GA57" s="33"/>
      <c r="GB57" s="33"/>
      <c r="GC57" s="33"/>
      <c r="GD57" s="33"/>
      <c r="GE57" s="33"/>
      <c r="GF57" s="33"/>
      <c r="GG57" s="33"/>
      <c r="GH57" s="33"/>
      <c r="GI57" s="33"/>
      <c r="GJ57" s="33"/>
      <c r="GK57" s="33"/>
      <c r="GL57" s="33"/>
      <c r="GM57" s="33"/>
      <c r="GN57" s="33"/>
      <c r="GO57" s="33"/>
      <c r="GP57" s="52"/>
      <c r="GQ57" s="41"/>
      <c r="GR57" s="41"/>
      <c r="GS57" s="41"/>
      <c r="GT57" s="41"/>
      <c r="GU57" s="63"/>
      <c r="GV57" s="33"/>
      <c r="GW57" s="33"/>
      <c r="GX57" s="33"/>
      <c r="GY57" s="33"/>
      <c r="GZ57" s="33"/>
      <c r="HA57" s="33"/>
      <c r="HB57" s="33"/>
      <c r="HC57" s="33"/>
      <c r="HD57" s="33"/>
      <c r="HE57" s="33"/>
      <c r="HF57" s="33"/>
      <c r="HG57" s="33"/>
      <c r="HH57" s="33"/>
      <c r="HI57" s="33"/>
      <c r="HJ57" s="33"/>
      <c r="HK57" s="33"/>
      <c r="HL57" s="33"/>
      <c r="HM57" s="33"/>
      <c r="HN57" s="33"/>
      <c r="HO57" s="33"/>
      <c r="HP57" s="33"/>
      <c r="HQ57" s="33"/>
      <c r="HR57" s="33"/>
      <c r="HS57" s="33"/>
      <c r="HT57" s="33"/>
      <c r="HU57" s="33"/>
      <c r="HV57" s="33"/>
      <c r="HW57" s="33"/>
      <c r="HX57" s="33"/>
      <c r="HY57" s="33"/>
      <c r="HZ57" s="33"/>
      <c r="IA57" s="33"/>
      <c r="IB57" s="33"/>
      <c r="IC57" s="33"/>
      <c r="ID57" s="33"/>
      <c r="IE57" s="33"/>
      <c r="IF57" s="33"/>
      <c r="IG57" s="33"/>
      <c r="IH57" s="33"/>
      <c r="II57" s="33"/>
      <c r="IJ57" s="33"/>
      <c r="IK57" s="33"/>
      <c r="IL57" s="33"/>
      <c r="IM57" s="33"/>
      <c r="IN57" s="33"/>
      <c r="IO57" s="33"/>
      <c r="IP57" s="33"/>
      <c r="IQ57" s="33"/>
      <c r="IR57" s="33"/>
      <c r="IS57" s="33"/>
      <c r="IT57" s="33"/>
      <c r="IU57" s="33"/>
      <c r="IV57" s="33"/>
      <c r="IW57" s="33"/>
      <c r="IX57" s="33"/>
      <c r="IY57" s="33"/>
      <c r="IZ57" s="33"/>
      <c r="JA57" s="33"/>
      <c r="JB57" s="33"/>
      <c r="JC57" s="33"/>
      <c r="JD57" s="33"/>
      <c r="JE57" s="33"/>
      <c r="JF57" s="33"/>
      <c r="JG57" s="33"/>
      <c r="JH57" s="33"/>
      <c r="JI57" s="33"/>
      <c r="JJ57" s="33"/>
      <c r="JK57" s="33"/>
      <c r="JL57" s="33"/>
      <c r="JM57" s="33"/>
      <c r="JN57" s="33"/>
      <c r="JO57" s="33"/>
      <c r="JP57" s="33"/>
      <c r="JQ57" s="33"/>
      <c r="JR57" s="33"/>
      <c r="JS57" s="33"/>
      <c r="JT57" s="33"/>
      <c r="JU57" s="33"/>
      <c r="JV57" s="33"/>
      <c r="JW57" s="33"/>
      <c r="JX57" s="33"/>
      <c r="JY57" s="33"/>
      <c r="JZ57" s="33"/>
      <c r="KA57" s="33"/>
      <c r="KB57" s="33"/>
      <c r="KC57" s="33"/>
      <c r="KD57" s="33"/>
      <c r="KE57" s="33"/>
      <c r="KF57" s="33"/>
      <c r="KG57" s="33"/>
      <c r="KH57" s="33"/>
      <c r="KI57" s="33"/>
      <c r="KJ57" s="33"/>
      <c r="KK57" s="33"/>
      <c r="KL57" s="33"/>
      <c r="KM57" s="33"/>
      <c r="KN57" s="33"/>
      <c r="KO57" s="33"/>
      <c r="KP57" s="33"/>
      <c r="KQ57" s="33"/>
      <c r="KR57" s="33"/>
      <c r="KS57" s="33"/>
      <c r="KT57" s="33"/>
      <c r="KU57" s="33"/>
      <c r="KV57" s="33"/>
      <c r="KW57" s="33"/>
      <c r="KX57" s="33"/>
      <c r="KY57" s="33"/>
      <c r="KZ57" s="33"/>
      <c r="LA57" s="33"/>
      <c r="LB57" s="33"/>
      <c r="LC57" s="33"/>
      <c r="LD57" s="33"/>
      <c r="LE57" s="33"/>
      <c r="LF57" s="33"/>
      <c r="LG57" s="33"/>
      <c r="LH57" s="33"/>
      <c r="LI57" s="33"/>
      <c r="LJ57" s="33"/>
      <c r="LK57" s="33"/>
      <c r="LL57" s="33"/>
      <c r="LM57" s="33"/>
      <c r="LN57" s="33"/>
      <c r="LO57" s="33"/>
      <c r="LP57" s="33"/>
      <c r="LQ57" s="33"/>
      <c r="LR57" s="33"/>
      <c r="LS57" s="33"/>
      <c r="LT57" s="33"/>
      <c r="LU57" s="33"/>
      <c r="LV57" s="33"/>
      <c r="LW57" s="33"/>
      <c r="LX57" s="33"/>
      <c r="LY57" s="33"/>
      <c r="LZ57" s="33"/>
      <c r="MA57" s="33"/>
      <c r="MB57" s="33"/>
      <c r="MC57" s="33"/>
      <c r="MD57" s="33"/>
      <c r="ME57" s="33"/>
      <c r="MF57" s="33"/>
      <c r="MG57" s="33"/>
      <c r="MH57" s="33"/>
      <c r="MI57" s="33"/>
      <c r="MJ57" s="33"/>
      <c r="MK57" s="33"/>
      <c r="ML57" s="33"/>
      <c r="MM57" s="33"/>
      <c r="MN57" s="33"/>
      <c r="MO57" s="33"/>
      <c r="MP57" s="33"/>
      <c r="MQ57" s="33"/>
      <c r="MR57" s="33"/>
      <c r="MS57" s="33"/>
      <c r="MT57" s="33"/>
      <c r="MU57" s="33"/>
      <c r="MV57" s="33"/>
    </row>
    <row r="58" spans="1:360" ht="0.75" customHeight="1" x14ac:dyDescent="0.25">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33"/>
      <c r="CG58" s="33"/>
      <c r="CH58" s="33"/>
      <c r="CI58" s="33"/>
      <c r="CJ58" s="33"/>
      <c r="CK58" s="33"/>
      <c r="CL58" s="33"/>
      <c r="CM58" s="33"/>
      <c r="CN58" s="33"/>
      <c r="CO58" s="33"/>
      <c r="CP58" s="33"/>
      <c r="CQ58" s="33"/>
      <c r="CR58" s="33"/>
      <c r="CS58" s="33"/>
      <c r="CT58" s="33"/>
      <c r="CU58" s="33"/>
      <c r="CV58" s="33"/>
      <c r="CW58" s="33"/>
      <c r="CX58" s="33"/>
      <c r="CY58" s="33"/>
      <c r="CZ58" s="33"/>
      <c r="DA58" s="33"/>
      <c r="DB58" s="33"/>
      <c r="DC58" s="33"/>
      <c r="DD58" s="33"/>
      <c r="DE58" s="33"/>
      <c r="DF58" s="33"/>
      <c r="DG58" s="33"/>
      <c r="DH58" s="33"/>
      <c r="DI58" s="33"/>
      <c r="DJ58" s="33"/>
      <c r="DK58" s="33"/>
      <c r="DL58" s="33"/>
      <c r="DM58" s="33"/>
      <c r="DN58" s="33"/>
      <c r="DO58" s="33"/>
      <c r="DP58" s="33"/>
      <c r="DQ58" s="33"/>
      <c r="DR58" s="33"/>
      <c r="DS58" s="33"/>
      <c r="DT58" s="33"/>
      <c r="DU58" s="33"/>
      <c r="DV58" s="33"/>
      <c r="DW58" s="33"/>
      <c r="DX58" s="33"/>
      <c r="DY58" s="33"/>
      <c r="DZ58" s="33"/>
      <c r="EA58" s="33"/>
      <c r="EB58" s="33"/>
      <c r="EC58" s="33"/>
      <c r="ED58" s="33"/>
      <c r="EE58" s="33"/>
      <c r="EF58" s="33"/>
      <c r="EG58" s="33"/>
      <c r="EH58" s="33"/>
      <c r="EI58" s="33"/>
      <c r="EJ58" s="33"/>
      <c r="EK58" s="33"/>
      <c r="EL58" s="44"/>
      <c r="EM58" s="41"/>
      <c r="EN58" s="41"/>
      <c r="EO58" s="41"/>
      <c r="EP58" s="42"/>
      <c r="EQ58" s="36"/>
      <c r="ER58" s="33"/>
      <c r="ES58" s="33"/>
      <c r="ET58" s="33"/>
      <c r="EU58" s="33"/>
      <c r="EV58" s="33"/>
      <c r="EW58" s="33"/>
      <c r="EX58" s="33"/>
      <c r="EY58" s="33"/>
      <c r="EZ58" s="33"/>
      <c r="FA58" s="33"/>
      <c r="FB58" s="33"/>
      <c r="FC58" s="33"/>
      <c r="FD58" s="36"/>
      <c r="FE58" s="42"/>
      <c r="FF58" s="41"/>
      <c r="FG58" s="41"/>
      <c r="FH58" s="41"/>
      <c r="FI58" s="44"/>
      <c r="FJ58" s="33"/>
      <c r="FK58" s="33"/>
      <c r="FL58" s="33"/>
      <c r="FM58" s="33"/>
      <c r="FN58" s="33"/>
      <c r="FO58" s="33"/>
      <c r="FP58" s="33"/>
      <c r="FQ58" s="33"/>
      <c r="FR58" s="33"/>
      <c r="FS58" s="33"/>
      <c r="FT58" s="33"/>
      <c r="FU58" s="33"/>
      <c r="FV58" s="33"/>
      <c r="FW58" s="33"/>
      <c r="FX58" s="33"/>
      <c r="FY58" s="33"/>
      <c r="FZ58" s="33"/>
      <c r="GA58" s="33"/>
      <c r="GB58" s="33"/>
      <c r="GC58" s="33"/>
      <c r="GD58" s="33"/>
      <c r="GE58" s="33"/>
      <c r="GF58" s="33"/>
      <c r="GG58" s="33"/>
      <c r="GH58" s="33"/>
      <c r="GI58" s="33"/>
      <c r="GJ58" s="33"/>
      <c r="GK58" s="33"/>
      <c r="GL58" s="33"/>
      <c r="GM58" s="33"/>
      <c r="GN58" s="33"/>
      <c r="GO58" s="33"/>
      <c r="GP58" s="52"/>
      <c r="GQ58" s="41"/>
      <c r="GR58" s="41"/>
      <c r="GS58" s="41"/>
      <c r="GT58" s="41"/>
      <c r="GU58" s="63"/>
      <c r="GV58" s="33"/>
      <c r="GW58" s="33"/>
      <c r="GX58" s="33"/>
      <c r="GY58" s="33"/>
      <c r="GZ58" s="33"/>
      <c r="HA58" s="33"/>
      <c r="HB58" s="33"/>
      <c r="HC58" s="33"/>
      <c r="HD58" s="33"/>
      <c r="HE58" s="33"/>
      <c r="HF58" s="33"/>
      <c r="HG58" s="33"/>
      <c r="HH58" s="33"/>
      <c r="HI58" s="33"/>
      <c r="HJ58" s="33"/>
      <c r="HK58" s="33"/>
      <c r="HL58" s="33"/>
      <c r="HM58" s="33"/>
      <c r="HN58" s="33"/>
      <c r="HO58" s="33"/>
      <c r="HP58" s="33"/>
      <c r="HQ58" s="33"/>
      <c r="HR58" s="33"/>
      <c r="HS58" s="33"/>
      <c r="HT58" s="33"/>
      <c r="HU58" s="33"/>
      <c r="HV58" s="33"/>
      <c r="HW58" s="33"/>
      <c r="HX58" s="33"/>
      <c r="HY58" s="33"/>
      <c r="HZ58" s="33"/>
      <c r="IA58" s="33"/>
      <c r="IB58" s="33"/>
      <c r="IC58" s="33"/>
      <c r="ID58" s="33"/>
      <c r="IE58" s="33"/>
      <c r="IF58" s="33"/>
      <c r="IG58" s="33"/>
      <c r="IH58" s="33"/>
      <c r="II58" s="33"/>
      <c r="IJ58" s="33"/>
      <c r="IK58" s="33"/>
      <c r="IL58" s="33"/>
      <c r="IM58" s="33"/>
      <c r="IN58" s="33"/>
      <c r="IO58" s="33"/>
      <c r="IP58" s="33"/>
      <c r="IQ58" s="33"/>
      <c r="IR58" s="33"/>
      <c r="IS58" s="33"/>
      <c r="IT58" s="33"/>
      <c r="IU58" s="33"/>
      <c r="IV58" s="33"/>
      <c r="IW58" s="33"/>
      <c r="IX58" s="33"/>
      <c r="IY58" s="33"/>
      <c r="IZ58" s="33"/>
      <c r="JA58" s="33"/>
      <c r="JB58" s="33"/>
      <c r="JC58" s="33"/>
      <c r="JD58" s="33"/>
      <c r="JE58" s="33"/>
      <c r="JF58" s="33"/>
      <c r="JG58" s="33"/>
      <c r="JH58" s="33"/>
      <c r="JI58" s="33"/>
      <c r="JJ58" s="33"/>
      <c r="JK58" s="33"/>
      <c r="JL58" s="33"/>
      <c r="JM58" s="33"/>
      <c r="JN58" s="33"/>
      <c r="JO58" s="33"/>
      <c r="JP58" s="33"/>
      <c r="JQ58" s="33"/>
      <c r="JR58" s="33"/>
      <c r="JS58" s="33"/>
      <c r="JT58" s="33"/>
      <c r="JU58" s="33"/>
      <c r="JV58" s="33"/>
      <c r="JW58" s="33"/>
      <c r="JX58" s="33"/>
      <c r="JY58" s="33"/>
      <c r="JZ58" s="33"/>
      <c r="KA58" s="33"/>
      <c r="KB58" s="33"/>
      <c r="KC58" s="33"/>
      <c r="KD58" s="33"/>
      <c r="KE58" s="33"/>
      <c r="KF58" s="33"/>
      <c r="KG58" s="33"/>
      <c r="KH58" s="33"/>
      <c r="KI58" s="33"/>
      <c r="KJ58" s="33"/>
      <c r="KK58" s="33"/>
      <c r="KL58" s="33"/>
      <c r="KM58" s="33"/>
      <c r="KN58" s="33"/>
      <c r="KO58" s="33"/>
      <c r="KP58" s="33"/>
      <c r="KQ58" s="33"/>
      <c r="KR58" s="33"/>
      <c r="KS58" s="33"/>
      <c r="KT58" s="33"/>
      <c r="KU58" s="33"/>
      <c r="KV58" s="33"/>
      <c r="KW58" s="33"/>
      <c r="KX58" s="33"/>
      <c r="KY58" s="33"/>
      <c r="KZ58" s="33"/>
      <c r="LA58" s="33"/>
      <c r="LB58" s="33"/>
      <c r="LC58" s="33"/>
      <c r="LD58" s="33"/>
      <c r="LE58" s="33"/>
      <c r="LF58" s="33"/>
      <c r="LG58" s="33"/>
      <c r="LH58" s="33"/>
      <c r="LI58" s="33"/>
      <c r="LJ58" s="33"/>
      <c r="LK58" s="33"/>
      <c r="LL58" s="33"/>
      <c r="LM58" s="33"/>
      <c r="LN58" s="33"/>
      <c r="LO58" s="33"/>
      <c r="LP58" s="33"/>
      <c r="LQ58" s="33"/>
      <c r="LR58" s="33"/>
      <c r="LS58" s="33"/>
      <c r="LT58" s="33"/>
      <c r="LU58" s="33"/>
      <c r="LV58" s="33"/>
      <c r="LW58" s="33"/>
      <c r="LX58" s="33"/>
      <c r="LY58" s="33"/>
      <c r="LZ58" s="33"/>
      <c r="MA58" s="33"/>
      <c r="MB58" s="33"/>
      <c r="MC58" s="33"/>
      <c r="MD58" s="33"/>
      <c r="ME58" s="33"/>
      <c r="MF58" s="33"/>
      <c r="MG58" s="33"/>
      <c r="MH58" s="33"/>
      <c r="MI58" s="33"/>
      <c r="MJ58" s="33"/>
      <c r="MK58" s="33"/>
      <c r="ML58" s="33"/>
      <c r="MM58" s="33"/>
      <c r="MN58" s="33"/>
      <c r="MO58" s="33"/>
      <c r="MP58" s="33"/>
      <c r="MQ58" s="33"/>
      <c r="MR58" s="33"/>
      <c r="MS58" s="33"/>
      <c r="MT58" s="33"/>
      <c r="MU58" s="33"/>
      <c r="MV58" s="33"/>
    </row>
    <row r="59" spans="1:360" ht="0.75" customHeight="1" x14ac:dyDescent="0.25">
      <c r="A59" s="33"/>
      <c r="B59" s="33"/>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c r="CF59" s="33"/>
      <c r="CG59" s="33"/>
      <c r="CH59" s="33"/>
      <c r="CI59" s="33"/>
      <c r="CJ59" s="33"/>
      <c r="CK59" s="33"/>
      <c r="CL59" s="33"/>
      <c r="CM59" s="33"/>
      <c r="CN59" s="33"/>
      <c r="CO59" s="33"/>
      <c r="CP59" s="33"/>
      <c r="CQ59" s="33"/>
      <c r="CR59" s="33"/>
      <c r="CS59" s="33"/>
      <c r="CT59" s="33"/>
      <c r="CU59" s="33"/>
      <c r="CV59" s="33"/>
      <c r="CW59" s="33"/>
      <c r="CX59" s="33"/>
      <c r="CY59" s="33"/>
      <c r="CZ59" s="33"/>
      <c r="DA59" s="33"/>
      <c r="DB59" s="33"/>
      <c r="DC59" s="33"/>
      <c r="DD59" s="33"/>
      <c r="DE59" s="33"/>
      <c r="DF59" s="33"/>
      <c r="DG59" s="33"/>
      <c r="DH59" s="33"/>
      <c r="DI59" s="33"/>
      <c r="DJ59" s="33"/>
      <c r="DK59" s="33"/>
      <c r="DL59" s="33"/>
      <c r="DM59" s="33"/>
      <c r="DN59" s="33"/>
      <c r="DO59" s="33"/>
      <c r="DP59" s="33"/>
      <c r="DQ59" s="33"/>
      <c r="DR59" s="33"/>
      <c r="DS59" s="33"/>
      <c r="DT59" s="33"/>
      <c r="DU59" s="33"/>
      <c r="DV59" s="33"/>
      <c r="DW59" s="33"/>
      <c r="DX59" s="33"/>
      <c r="DY59" s="33"/>
      <c r="DZ59" s="33"/>
      <c r="EA59" s="33"/>
      <c r="EB59" s="33"/>
      <c r="EC59" s="33"/>
      <c r="ED59" s="33"/>
      <c r="EE59" s="33"/>
      <c r="EF59" s="33"/>
      <c r="EG59" s="33"/>
      <c r="EH59" s="33"/>
      <c r="EI59" s="33"/>
      <c r="EJ59" s="33"/>
      <c r="EK59" s="33"/>
      <c r="EL59" s="44"/>
      <c r="EM59" s="41"/>
      <c r="EN59" s="41"/>
      <c r="EO59" s="41"/>
      <c r="EP59" s="42"/>
      <c r="EQ59" s="36"/>
      <c r="ER59" s="33"/>
      <c r="ES59" s="33"/>
      <c r="ET59" s="33"/>
      <c r="EU59" s="33"/>
      <c r="EV59" s="33"/>
      <c r="EW59" s="33"/>
      <c r="EX59" s="33"/>
      <c r="EY59" s="33"/>
      <c r="EZ59" s="33"/>
      <c r="FA59" s="33"/>
      <c r="FB59" s="33"/>
      <c r="FC59" s="33"/>
      <c r="FD59" s="36"/>
      <c r="FE59" s="42"/>
      <c r="FF59" s="41"/>
      <c r="FG59" s="41"/>
      <c r="FH59" s="41"/>
      <c r="FI59" s="44"/>
      <c r="FJ59" s="33"/>
      <c r="FK59" s="33"/>
      <c r="FL59" s="33"/>
      <c r="FM59" s="33"/>
      <c r="FN59" s="33"/>
      <c r="FO59" s="33"/>
      <c r="FP59" s="33"/>
      <c r="FQ59" s="33"/>
      <c r="FR59" s="33"/>
      <c r="FS59" s="33"/>
      <c r="FT59" s="33"/>
      <c r="FU59" s="33"/>
      <c r="FV59" s="33"/>
      <c r="FW59" s="33"/>
      <c r="FX59" s="33"/>
      <c r="FY59" s="33"/>
      <c r="FZ59" s="33"/>
      <c r="GA59" s="33"/>
      <c r="GB59" s="33"/>
      <c r="GC59" s="33"/>
      <c r="GD59" s="33"/>
      <c r="GE59" s="33"/>
      <c r="GF59" s="33"/>
      <c r="GG59" s="33"/>
      <c r="GH59" s="33"/>
      <c r="GI59" s="33"/>
      <c r="GJ59" s="33"/>
      <c r="GK59" s="33"/>
      <c r="GL59" s="33"/>
      <c r="GM59" s="33"/>
      <c r="GN59" s="33"/>
      <c r="GO59" s="33"/>
      <c r="GP59" s="52"/>
      <c r="GQ59" s="41"/>
      <c r="GR59" s="41"/>
      <c r="GS59" s="41"/>
      <c r="GT59" s="41"/>
      <c r="GU59" s="63"/>
      <c r="GV59" s="33"/>
      <c r="GW59" s="33"/>
      <c r="GX59" s="33"/>
      <c r="GY59" s="33"/>
      <c r="GZ59" s="33"/>
      <c r="HA59" s="33"/>
      <c r="HB59" s="33"/>
      <c r="HC59" s="33"/>
      <c r="HD59" s="33"/>
      <c r="HE59" s="33"/>
      <c r="HF59" s="33"/>
      <c r="HG59" s="33"/>
      <c r="HH59" s="33"/>
      <c r="HI59" s="33"/>
      <c r="HJ59" s="33"/>
      <c r="HK59" s="33"/>
      <c r="HL59" s="33"/>
      <c r="HM59" s="33"/>
      <c r="HN59" s="33"/>
      <c r="HO59" s="33"/>
      <c r="HP59" s="33"/>
      <c r="HQ59" s="33"/>
      <c r="HR59" s="33"/>
      <c r="HS59" s="33"/>
      <c r="HT59" s="33"/>
      <c r="HU59" s="33"/>
      <c r="HV59" s="33"/>
      <c r="HW59" s="33"/>
      <c r="HX59" s="33"/>
      <c r="HY59" s="33"/>
      <c r="HZ59" s="33"/>
      <c r="IA59" s="33"/>
      <c r="IB59" s="33"/>
      <c r="IC59" s="33"/>
      <c r="ID59" s="33"/>
      <c r="IE59" s="33"/>
      <c r="IF59" s="33"/>
      <c r="IG59" s="33"/>
      <c r="IH59" s="33"/>
      <c r="II59" s="33"/>
      <c r="IJ59" s="33"/>
      <c r="IK59" s="33"/>
      <c r="IL59" s="33"/>
      <c r="IM59" s="33"/>
      <c r="IN59" s="33"/>
      <c r="IO59" s="33"/>
      <c r="IP59" s="33"/>
      <c r="IQ59" s="33"/>
      <c r="IR59" s="33"/>
      <c r="IS59" s="33"/>
      <c r="IT59" s="33"/>
      <c r="IU59" s="33"/>
      <c r="IV59" s="33"/>
      <c r="IW59" s="33"/>
      <c r="IX59" s="33"/>
      <c r="IY59" s="33"/>
      <c r="IZ59" s="33"/>
      <c r="JA59" s="33"/>
      <c r="JB59" s="33"/>
      <c r="JC59" s="33"/>
      <c r="JD59" s="33"/>
      <c r="JE59" s="33"/>
      <c r="JF59" s="33"/>
      <c r="JG59" s="33"/>
      <c r="JH59" s="33"/>
      <c r="JI59" s="33"/>
      <c r="JJ59" s="33"/>
      <c r="JK59" s="33"/>
      <c r="JL59" s="33"/>
      <c r="JM59" s="33"/>
      <c r="JN59" s="33"/>
      <c r="JO59" s="33"/>
      <c r="JP59" s="33"/>
      <c r="JQ59" s="33"/>
      <c r="JR59" s="33"/>
      <c r="JS59" s="33"/>
      <c r="JT59" s="33"/>
      <c r="JU59" s="33"/>
      <c r="JV59" s="33"/>
      <c r="JW59" s="33"/>
      <c r="JX59" s="33"/>
      <c r="JY59" s="33"/>
      <c r="JZ59" s="33"/>
      <c r="KA59" s="33"/>
      <c r="KB59" s="33"/>
      <c r="KC59" s="33"/>
      <c r="KD59" s="33"/>
      <c r="KE59" s="33"/>
      <c r="KF59" s="33"/>
      <c r="KG59" s="33"/>
      <c r="KH59" s="33"/>
      <c r="KI59" s="33"/>
      <c r="KJ59" s="33"/>
      <c r="KK59" s="33"/>
      <c r="KL59" s="33"/>
      <c r="KM59" s="33"/>
      <c r="KN59" s="33"/>
      <c r="KO59" s="33"/>
      <c r="KP59" s="33"/>
      <c r="KQ59" s="33"/>
      <c r="KR59" s="33"/>
      <c r="KS59" s="33"/>
      <c r="KT59" s="33"/>
      <c r="KU59" s="33"/>
      <c r="KV59" s="33"/>
      <c r="KW59" s="33"/>
      <c r="KX59" s="33"/>
      <c r="KY59" s="33"/>
      <c r="KZ59" s="33"/>
      <c r="LA59" s="33"/>
      <c r="LB59" s="33"/>
      <c r="LC59" s="33"/>
      <c r="LD59" s="33"/>
      <c r="LE59" s="33"/>
      <c r="LF59" s="33"/>
      <c r="LG59" s="33"/>
      <c r="LH59" s="33"/>
      <c r="LI59" s="33"/>
      <c r="LJ59" s="33"/>
      <c r="LK59" s="33"/>
      <c r="LL59" s="33"/>
      <c r="LM59" s="33"/>
      <c r="LN59" s="33"/>
      <c r="LO59" s="33"/>
      <c r="LP59" s="33"/>
      <c r="LQ59" s="33"/>
      <c r="LR59" s="33"/>
      <c r="LS59" s="33"/>
      <c r="LT59" s="33"/>
      <c r="LU59" s="33"/>
      <c r="LV59" s="33"/>
      <c r="LW59" s="33"/>
      <c r="LX59" s="33"/>
      <c r="LY59" s="33"/>
      <c r="LZ59" s="33"/>
      <c r="MA59" s="33"/>
      <c r="MB59" s="33"/>
      <c r="MC59" s="33"/>
      <c r="MD59" s="33"/>
      <c r="ME59" s="33"/>
      <c r="MF59" s="33"/>
      <c r="MG59" s="33"/>
      <c r="MH59" s="33"/>
      <c r="MI59" s="33"/>
      <c r="MJ59" s="33"/>
      <c r="MK59" s="33"/>
      <c r="ML59" s="33"/>
      <c r="MM59" s="33"/>
      <c r="MN59" s="33"/>
      <c r="MO59" s="33"/>
      <c r="MP59" s="33"/>
      <c r="MQ59" s="33"/>
      <c r="MR59" s="33"/>
      <c r="MS59" s="33"/>
      <c r="MT59" s="33"/>
      <c r="MU59" s="33"/>
      <c r="MV59" s="33"/>
    </row>
    <row r="60" spans="1:360" ht="0.75" customHeight="1" x14ac:dyDescent="0.25">
      <c r="A60" s="33"/>
      <c r="B60" s="33"/>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33"/>
      <c r="CG60" s="33"/>
      <c r="CH60" s="33"/>
      <c r="CI60" s="33"/>
      <c r="CJ60" s="33"/>
      <c r="CK60" s="33"/>
      <c r="CL60" s="33"/>
      <c r="CM60" s="33"/>
      <c r="CN60" s="33"/>
      <c r="CO60" s="33"/>
      <c r="CP60" s="33"/>
      <c r="CQ60" s="33"/>
      <c r="CR60" s="33"/>
      <c r="CS60" s="33"/>
      <c r="CT60" s="33"/>
      <c r="CU60" s="33"/>
      <c r="CV60" s="33"/>
      <c r="CW60" s="33"/>
      <c r="CX60" s="33"/>
      <c r="CY60" s="33"/>
      <c r="CZ60" s="33"/>
      <c r="DA60" s="33"/>
      <c r="DB60" s="33"/>
      <c r="DC60" s="33"/>
      <c r="DD60" s="33"/>
      <c r="DE60" s="33"/>
      <c r="DF60" s="33"/>
      <c r="DG60" s="33"/>
      <c r="DH60" s="33"/>
      <c r="DI60" s="33"/>
      <c r="DJ60" s="33"/>
      <c r="DK60" s="33"/>
      <c r="DL60" s="33"/>
      <c r="DM60" s="33"/>
      <c r="DN60" s="33"/>
      <c r="DO60" s="33"/>
      <c r="DP60" s="33"/>
      <c r="DQ60" s="33"/>
      <c r="DR60" s="33"/>
      <c r="DS60" s="33"/>
      <c r="DT60" s="33"/>
      <c r="DU60" s="33"/>
      <c r="DV60" s="33"/>
      <c r="DW60" s="33"/>
      <c r="DX60" s="33"/>
      <c r="DY60" s="33"/>
      <c r="DZ60" s="33"/>
      <c r="EA60" s="33"/>
      <c r="EB60" s="33"/>
      <c r="EC60" s="33"/>
      <c r="ED60" s="33"/>
      <c r="EE60" s="33"/>
      <c r="EF60" s="33"/>
      <c r="EG60" s="33"/>
      <c r="EH60" s="33"/>
      <c r="EI60" s="33"/>
      <c r="EJ60" s="33"/>
      <c r="EK60" s="33"/>
      <c r="EL60" s="44"/>
      <c r="EM60" s="41"/>
      <c r="EN60" s="41"/>
      <c r="EO60" s="41"/>
      <c r="EP60" s="42"/>
      <c r="EQ60" s="36"/>
      <c r="ER60" s="33"/>
      <c r="ES60" s="33"/>
      <c r="ET60" s="33"/>
      <c r="EU60" s="33"/>
      <c r="EV60" s="33"/>
      <c r="EW60" s="33"/>
      <c r="EX60" s="33"/>
      <c r="EY60" s="33"/>
      <c r="EZ60" s="33"/>
      <c r="FA60" s="33"/>
      <c r="FB60" s="33"/>
      <c r="FC60" s="33"/>
      <c r="FD60" s="36"/>
      <c r="FE60" s="42"/>
      <c r="FF60" s="41"/>
      <c r="FG60" s="41"/>
      <c r="FH60" s="41"/>
      <c r="FI60" s="44"/>
      <c r="FJ60" s="33"/>
      <c r="FK60" s="33"/>
      <c r="FL60" s="33"/>
      <c r="FM60" s="33"/>
      <c r="FN60" s="33"/>
      <c r="FO60" s="33"/>
      <c r="FP60" s="33"/>
      <c r="FQ60" s="33"/>
      <c r="FR60" s="33"/>
      <c r="FS60" s="33"/>
      <c r="FT60" s="33"/>
      <c r="FU60" s="33"/>
      <c r="FV60" s="33"/>
      <c r="FW60" s="33"/>
      <c r="FX60" s="33"/>
      <c r="FY60" s="33"/>
      <c r="FZ60" s="33"/>
      <c r="GA60" s="33"/>
      <c r="GB60" s="33"/>
      <c r="GC60" s="33"/>
      <c r="GD60" s="33"/>
      <c r="GE60" s="33"/>
      <c r="GF60" s="33"/>
      <c r="GG60" s="33"/>
      <c r="GH60" s="33"/>
      <c r="GI60" s="33"/>
      <c r="GJ60" s="33"/>
      <c r="GK60" s="33"/>
      <c r="GL60" s="33"/>
      <c r="GM60" s="33"/>
      <c r="GN60" s="33"/>
      <c r="GO60" s="33"/>
      <c r="GP60" s="52"/>
      <c r="GQ60" s="41"/>
      <c r="GR60" s="41"/>
      <c r="GS60" s="41"/>
      <c r="GT60" s="41"/>
      <c r="GU60" s="63"/>
      <c r="GV60" s="33"/>
      <c r="GW60" s="33"/>
      <c r="GX60" s="33"/>
      <c r="GY60" s="33"/>
      <c r="GZ60" s="33"/>
      <c r="HA60" s="33"/>
      <c r="HB60" s="33"/>
      <c r="HC60" s="33"/>
      <c r="HD60" s="33"/>
      <c r="HE60" s="33"/>
      <c r="HF60" s="33"/>
      <c r="HG60" s="33"/>
      <c r="HH60" s="33"/>
      <c r="HI60" s="33"/>
      <c r="HJ60" s="33"/>
      <c r="HK60" s="33"/>
      <c r="HL60" s="33"/>
      <c r="HM60" s="33"/>
      <c r="HN60" s="33"/>
      <c r="HO60" s="33"/>
      <c r="HP60" s="33"/>
      <c r="HQ60" s="33"/>
      <c r="HR60" s="33"/>
      <c r="HS60" s="33"/>
      <c r="HT60" s="33"/>
      <c r="HU60" s="33"/>
      <c r="HV60" s="33"/>
      <c r="HW60" s="33"/>
      <c r="HX60" s="33"/>
      <c r="HY60" s="33"/>
      <c r="HZ60" s="33"/>
      <c r="IA60" s="33"/>
      <c r="IB60" s="33"/>
      <c r="IC60" s="33"/>
      <c r="ID60" s="33"/>
      <c r="IE60" s="33"/>
      <c r="IF60" s="33"/>
      <c r="IG60" s="33"/>
      <c r="IH60" s="33"/>
      <c r="II60" s="33"/>
      <c r="IJ60" s="33"/>
      <c r="IK60" s="33"/>
      <c r="IL60" s="33"/>
      <c r="IM60" s="33"/>
      <c r="IN60" s="33"/>
      <c r="IO60" s="33"/>
      <c r="IP60" s="33"/>
      <c r="IQ60" s="33"/>
      <c r="IR60" s="33"/>
      <c r="IS60" s="33"/>
      <c r="IT60" s="33"/>
      <c r="IU60" s="33"/>
      <c r="IV60" s="33"/>
      <c r="IW60" s="33"/>
      <c r="IX60" s="33"/>
      <c r="IY60" s="33"/>
      <c r="IZ60" s="33"/>
      <c r="JA60" s="33"/>
      <c r="JB60" s="33"/>
      <c r="JC60" s="33"/>
      <c r="JD60" s="33"/>
      <c r="JE60" s="33"/>
      <c r="JF60" s="33"/>
      <c r="JG60" s="33"/>
      <c r="JH60" s="33"/>
      <c r="JI60" s="33"/>
      <c r="JJ60" s="33"/>
      <c r="JK60" s="33"/>
      <c r="JL60" s="33"/>
      <c r="JM60" s="33"/>
      <c r="JN60" s="33"/>
      <c r="JO60" s="33"/>
      <c r="JP60" s="33"/>
      <c r="JQ60" s="33"/>
      <c r="JR60" s="33"/>
      <c r="JS60" s="33"/>
      <c r="JT60" s="33"/>
      <c r="JU60" s="33"/>
      <c r="JV60" s="33"/>
      <c r="JW60" s="33"/>
      <c r="JX60" s="33"/>
      <c r="JY60" s="33"/>
      <c r="JZ60" s="33"/>
      <c r="KA60" s="33"/>
      <c r="KB60" s="33"/>
      <c r="KC60" s="33"/>
      <c r="KD60" s="33"/>
      <c r="KE60" s="33"/>
      <c r="KF60" s="33"/>
      <c r="KG60" s="33"/>
      <c r="KH60" s="33"/>
      <c r="KI60" s="33"/>
      <c r="KJ60" s="33"/>
      <c r="KK60" s="33"/>
      <c r="KL60" s="33"/>
      <c r="KM60" s="33"/>
      <c r="KN60" s="33"/>
      <c r="KO60" s="33"/>
      <c r="KP60" s="33"/>
      <c r="KQ60" s="33"/>
      <c r="KR60" s="33"/>
      <c r="KS60" s="33"/>
      <c r="KT60" s="33"/>
      <c r="KU60" s="33"/>
      <c r="KV60" s="33"/>
      <c r="KW60" s="33"/>
      <c r="KX60" s="33"/>
      <c r="KY60" s="33"/>
      <c r="KZ60" s="33"/>
      <c r="LA60" s="33"/>
      <c r="LB60" s="33"/>
      <c r="LC60" s="33"/>
      <c r="LD60" s="33"/>
      <c r="LE60" s="33"/>
      <c r="LF60" s="33"/>
      <c r="LG60" s="33"/>
      <c r="LH60" s="33"/>
      <c r="LI60" s="33"/>
      <c r="LJ60" s="33"/>
      <c r="LK60" s="33"/>
      <c r="LL60" s="33"/>
      <c r="LM60" s="33"/>
      <c r="LN60" s="33"/>
      <c r="LO60" s="33"/>
      <c r="LP60" s="33"/>
      <c r="LQ60" s="33"/>
      <c r="LR60" s="33"/>
      <c r="LS60" s="33"/>
      <c r="LT60" s="33"/>
      <c r="LU60" s="33"/>
      <c r="LV60" s="33"/>
      <c r="LW60" s="33"/>
      <c r="LX60" s="33"/>
      <c r="LY60" s="33"/>
      <c r="LZ60" s="33"/>
      <c r="MA60" s="33"/>
      <c r="MB60" s="33"/>
      <c r="MC60" s="33"/>
      <c r="MD60" s="33"/>
      <c r="ME60" s="33"/>
      <c r="MF60" s="33"/>
      <c r="MG60" s="33"/>
      <c r="MH60" s="33"/>
      <c r="MI60" s="33"/>
      <c r="MJ60" s="33"/>
      <c r="MK60" s="33"/>
      <c r="ML60" s="33"/>
      <c r="MM60" s="33"/>
      <c r="MN60" s="33"/>
      <c r="MO60" s="33"/>
      <c r="MP60" s="33"/>
      <c r="MQ60" s="33"/>
      <c r="MR60" s="33"/>
      <c r="MS60" s="33"/>
      <c r="MT60" s="33"/>
      <c r="MU60" s="33"/>
      <c r="MV60" s="33"/>
    </row>
    <row r="61" spans="1:360" ht="0.75" customHeight="1" x14ac:dyDescent="0.25">
      <c r="A61" s="33"/>
      <c r="B61" s="33"/>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33"/>
      <c r="CG61" s="33"/>
      <c r="CH61" s="33"/>
      <c r="CI61" s="33"/>
      <c r="CJ61" s="33"/>
      <c r="CK61" s="33"/>
      <c r="CL61" s="33"/>
      <c r="CM61" s="33"/>
      <c r="CN61" s="33"/>
      <c r="CO61" s="33"/>
      <c r="CP61" s="33"/>
      <c r="CQ61" s="33"/>
      <c r="CR61" s="33"/>
      <c r="CS61" s="33"/>
      <c r="CT61" s="33"/>
      <c r="CU61" s="33"/>
      <c r="CV61" s="33"/>
      <c r="CW61" s="33"/>
      <c r="CX61" s="33"/>
      <c r="CY61" s="33"/>
      <c r="CZ61" s="33"/>
      <c r="DA61" s="33"/>
      <c r="DB61" s="33"/>
      <c r="DC61" s="33"/>
      <c r="DD61" s="33"/>
      <c r="DE61" s="33"/>
      <c r="DF61" s="33"/>
      <c r="DG61" s="33"/>
      <c r="DH61" s="33"/>
      <c r="DI61" s="33"/>
      <c r="DJ61" s="33"/>
      <c r="DK61" s="33"/>
      <c r="DL61" s="33"/>
      <c r="DM61" s="33"/>
      <c r="DN61" s="33"/>
      <c r="DO61" s="33"/>
      <c r="DP61" s="33"/>
      <c r="DQ61" s="33"/>
      <c r="DR61" s="33"/>
      <c r="DS61" s="33"/>
      <c r="DT61" s="33"/>
      <c r="DU61" s="33"/>
      <c r="DV61" s="33"/>
      <c r="DW61" s="33"/>
      <c r="DX61" s="33"/>
      <c r="DY61" s="33"/>
      <c r="DZ61" s="33"/>
      <c r="EA61" s="33"/>
      <c r="EB61" s="33"/>
      <c r="EC61" s="33"/>
      <c r="ED61" s="33"/>
      <c r="EE61" s="33"/>
      <c r="EF61" s="33"/>
      <c r="EG61" s="33"/>
      <c r="EH61" s="33"/>
      <c r="EI61" s="33"/>
      <c r="EJ61" s="33"/>
      <c r="EK61" s="33"/>
      <c r="EL61" s="44"/>
      <c r="EM61" s="41"/>
      <c r="EN61" s="41"/>
      <c r="EO61" s="41"/>
      <c r="EP61" s="42"/>
      <c r="EQ61" s="36"/>
      <c r="ER61" s="33"/>
      <c r="ES61" s="33"/>
      <c r="ET61" s="33"/>
      <c r="EU61" s="33"/>
      <c r="EV61" s="33"/>
      <c r="EW61" s="33"/>
      <c r="EX61" s="33"/>
      <c r="EY61" s="33"/>
      <c r="EZ61" s="33"/>
      <c r="FA61" s="33"/>
      <c r="FB61" s="33"/>
      <c r="FC61" s="33"/>
      <c r="FD61" s="36"/>
      <c r="FE61" s="42"/>
      <c r="FF61" s="41"/>
      <c r="FG61" s="41"/>
      <c r="FH61" s="41"/>
      <c r="FI61" s="44"/>
      <c r="FJ61" s="33"/>
      <c r="FK61" s="33"/>
      <c r="FL61" s="33"/>
      <c r="FM61" s="33"/>
      <c r="FN61" s="33"/>
      <c r="FO61" s="33"/>
      <c r="FP61" s="33"/>
      <c r="FQ61" s="33"/>
      <c r="FR61" s="33"/>
      <c r="FS61" s="33"/>
      <c r="FT61" s="33"/>
      <c r="FU61" s="33"/>
      <c r="FV61" s="33"/>
      <c r="FW61" s="33"/>
      <c r="FX61" s="33"/>
      <c r="FY61" s="33"/>
      <c r="FZ61" s="33"/>
      <c r="GA61" s="33"/>
      <c r="GB61" s="33"/>
      <c r="GC61" s="33"/>
      <c r="GD61" s="33"/>
      <c r="GE61" s="33"/>
      <c r="GF61" s="33"/>
      <c r="GG61" s="33"/>
      <c r="GH61" s="33"/>
      <c r="GI61" s="33"/>
      <c r="GJ61" s="33"/>
      <c r="GK61" s="33"/>
      <c r="GL61" s="33"/>
      <c r="GM61" s="33"/>
      <c r="GN61" s="33"/>
      <c r="GO61" s="33"/>
      <c r="GP61" s="52"/>
      <c r="GQ61" s="41"/>
      <c r="GR61" s="41"/>
      <c r="GS61" s="41"/>
      <c r="GT61" s="41"/>
      <c r="GU61" s="63"/>
      <c r="GV61" s="33"/>
      <c r="GW61" s="33"/>
      <c r="GX61" s="33"/>
      <c r="GY61" s="33"/>
      <c r="GZ61" s="33"/>
      <c r="HA61" s="33"/>
      <c r="HB61" s="33"/>
      <c r="HC61" s="33"/>
      <c r="HD61" s="33"/>
      <c r="HE61" s="33"/>
      <c r="HF61" s="33"/>
      <c r="HG61" s="33"/>
      <c r="HH61" s="33"/>
      <c r="HI61" s="33"/>
      <c r="HJ61" s="33"/>
      <c r="HK61" s="33"/>
      <c r="HL61" s="33"/>
      <c r="HM61" s="33"/>
      <c r="HN61" s="33"/>
      <c r="HO61" s="33"/>
      <c r="HP61" s="33"/>
      <c r="HQ61" s="33"/>
      <c r="HR61" s="33"/>
      <c r="HS61" s="33"/>
      <c r="HT61" s="33"/>
      <c r="HU61" s="33"/>
      <c r="HV61" s="33"/>
      <c r="HW61" s="33"/>
      <c r="HX61" s="33"/>
      <c r="HY61" s="33"/>
      <c r="HZ61" s="33"/>
      <c r="IA61" s="33"/>
      <c r="IB61" s="33"/>
      <c r="IC61" s="33"/>
      <c r="ID61" s="33"/>
      <c r="IE61" s="33"/>
      <c r="IF61" s="33"/>
      <c r="IG61" s="33"/>
      <c r="IH61" s="33"/>
      <c r="II61" s="33"/>
      <c r="IJ61" s="33"/>
      <c r="IK61" s="33"/>
      <c r="IL61" s="33"/>
      <c r="IM61" s="33"/>
      <c r="IN61" s="33"/>
      <c r="IO61" s="33"/>
      <c r="IP61" s="33"/>
      <c r="IQ61" s="33"/>
      <c r="IR61" s="33"/>
      <c r="IS61" s="33"/>
      <c r="IT61" s="33"/>
      <c r="IU61" s="33"/>
      <c r="IV61" s="33"/>
      <c r="IW61" s="33"/>
      <c r="IX61" s="33"/>
      <c r="IY61" s="33"/>
      <c r="IZ61" s="33"/>
      <c r="JA61" s="33"/>
      <c r="JB61" s="33"/>
      <c r="JC61" s="33"/>
      <c r="JD61" s="33"/>
      <c r="JE61" s="33"/>
      <c r="JF61" s="33"/>
      <c r="JG61" s="33"/>
      <c r="JH61" s="33"/>
      <c r="JI61" s="33"/>
      <c r="JJ61" s="33"/>
      <c r="JK61" s="33"/>
      <c r="JL61" s="33"/>
      <c r="JM61" s="33"/>
      <c r="JN61" s="33"/>
      <c r="JO61" s="33"/>
      <c r="JP61" s="33"/>
      <c r="JQ61" s="33"/>
      <c r="JR61" s="33"/>
      <c r="JS61" s="33"/>
      <c r="JT61" s="33"/>
      <c r="JU61" s="33"/>
      <c r="JV61" s="33"/>
      <c r="JW61" s="33"/>
      <c r="JX61" s="33"/>
      <c r="JY61" s="33"/>
      <c r="JZ61" s="33"/>
      <c r="KA61" s="33"/>
      <c r="KB61" s="33"/>
      <c r="KC61" s="33"/>
      <c r="KD61" s="33"/>
      <c r="KE61" s="33"/>
      <c r="KF61" s="33"/>
      <c r="KG61" s="33"/>
      <c r="KH61" s="33"/>
      <c r="KI61" s="33"/>
      <c r="KJ61" s="33"/>
      <c r="KK61" s="33"/>
      <c r="KL61" s="33"/>
      <c r="KM61" s="33"/>
      <c r="KN61" s="33"/>
      <c r="KO61" s="33"/>
      <c r="KP61" s="33"/>
      <c r="KQ61" s="33"/>
      <c r="KR61" s="33"/>
      <c r="KS61" s="33"/>
      <c r="KT61" s="33"/>
      <c r="KU61" s="33"/>
      <c r="KV61" s="33"/>
      <c r="KW61" s="33"/>
      <c r="KX61" s="33"/>
      <c r="KY61" s="33"/>
      <c r="KZ61" s="33"/>
      <c r="LA61" s="33"/>
      <c r="LB61" s="33"/>
      <c r="LC61" s="33"/>
      <c r="LD61" s="33"/>
      <c r="LE61" s="33"/>
      <c r="LF61" s="33"/>
      <c r="LG61" s="33"/>
      <c r="LH61" s="33"/>
      <c r="LI61" s="33"/>
      <c r="LJ61" s="33"/>
      <c r="LK61" s="33"/>
      <c r="LL61" s="33"/>
      <c r="LM61" s="33"/>
      <c r="LN61" s="33"/>
      <c r="LO61" s="33"/>
      <c r="LP61" s="33"/>
      <c r="LQ61" s="33"/>
      <c r="LR61" s="33"/>
      <c r="LS61" s="33"/>
      <c r="LT61" s="33"/>
      <c r="LU61" s="33"/>
      <c r="LV61" s="33"/>
      <c r="LW61" s="33"/>
      <c r="LX61" s="33"/>
      <c r="LY61" s="33"/>
      <c r="LZ61" s="33"/>
      <c r="MA61" s="33"/>
      <c r="MB61" s="33"/>
      <c r="MC61" s="33"/>
      <c r="MD61" s="33"/>
      <c r="ME61" s="33"/>
      <c r="MF61" s="33"/>
      <c r="MG61" s="33"/>
      <c r="MH61" s="33"/>
      <c r="MI61" s="33"/>
      <c r="MJ61" s="33"/>
      <c r="MK61" s="33"/>
      <c r="ML61" s="33"/>
      <c r="MM61" s="33"/>
      <c r="MN61" s="33"/>
      <c r="MO61" s="33"/>
      <c r="MP61" s="33"/>
      <c r="MQ61" s="33"/>
      <c r="MR61" s="33"/>
      <c r="MS61" s="33"/>
      <c r="MT61" s="33"/>
      <c r="MU61" s="33"/>
      <c r="MV61" s="33"/>
    </row>
    <row r="62" spans="1:360" ht="0.75" customHeight="1" x14ac:dyDescent="0.25">
      <c r="A62" s="33"/>
      <c r="B62" s="33"/>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33"/>
      <c r="CG62" s="33"/>
      <c r="CH62" s="33"/>
      <c r="CI62" s="33"/>
      <c r="CJ62" s="33"/>
      <c r="CK62" s="33"/>
      <c r="CL62" s="33"/>
      <c r="CM62" s="33"/>
      <c r="CN62" s="33"/>
      <c r="CO62" s="33"/>
      <c r="CP62" s="33"/>
      <c r="CQ62" s="33"/>
      <c r="CR62" s="33"/>
      <c r="CS62" s="33"/>
      <c r="CT62" s="33"/>
      <c r="CU62" s="33"/>
      <c r="CV62" s="33"/>
      <c r="CW62" s="33"/>
      <c r="CX62" s="33"/>
      <c r="CY62" s="33"/>
      <c r="CZ62" s="33"/>
      <c r="DA62" s="33"/>
      <c r="DB62" s="33"/>
      <c r="DC62" s="33"/>
      <c r="DD62" s="33"/>
      <c r="DE62" s="33"/>
      <c r="DF62" s="33"/>
      <c r="DG62" s="33"/>
      <c r="DH62" s="33"/>
      <c r="DI62" s="33"/>
      <c r="DJ62" s="33"/>
      <c r="DK62" s="33"/>
      <c r="DL62" s="33"/>
      <c r="DM62" s="33"/>
      <c r="DN62" s="33"/>
      <c r="DO62" s="33"/>
      <c r="DP62" s="33"/>
      <c r="DQ62" s="33"/>
      <c r="DR62" s="33"/>
      <c r="DS62" s="33"/>
      <c r="DT62" s="33"/>
      <c r="DU62" s="33"/>
      <c r="DV62" s="33"/>
      <c r="DW62" s="33"/>
      <c r="DX62" s="33"/>
      <c r="DY62" s="33"/>
      <c r="DZ62" s="33"/>
      <c r="EA62" s="33"/>
      <c r="EB62" s="33"/>
      <c r="EC62" s="33"/>
      <c r="ED62" s="33"/>
      <c r="EE62" s="33"/>
      <c r="EF62" s="33"/>
      <c r="EG62" s="33"/>
      <c r="EH62" s="33"/>
      <c r="EI62" s="33"/>
      <c r="EJ62" s="33"/>
      <c r="EK62" s="33"/>
      <c r="EL62" s="44"/>
      <c r="EM62" s="41"/>
      <c r="EN62" s="41"/>
      <c r="EO62" s="41"/>
      <c r="EP62" s="77"/>
      <c r="EQ62" s="56"/>
      <c r="ER62" s="78"/>
      <c r="ES62" s="79"/>
      <c r="ET62" s="79"/>
      <c r="EU62" s="79"/>
      <c r="EV62" s="79"/>
      <c r="EW62" s="79"/>
      <c r="EX62" s="79"/>
      <c r="EY62" s="79"/>
      <c r="EZ62" s="79"/>
      <c r="FA62" s="79"/>
      <c r="FB62" s="79"/>
      <c r="FC62" s="43"/>
      <c r="FD62" s="80"/>
      <c r="FE62" s="54"/>
      <c r="FF62" s="71"/>
      <c r="FG62" s="81"/>
      <c r="FH62" s="82"/>
      <c r="FI62" s="83"/>
      <c r="FJ62" s="33"/>
      <c r="FK62" s="33"/>
      <c r="FL62" s="33"/>
      <c r="FM62" s="33"/>
      <c r="FN62" s="33"/>
      <c r="FO62" s="33"/>
      <c r="FP62" s="33"/>
      <c r="FQ62" s="33"/>
      <c r="FR62" s="33"/>
      <c r="FS62" s="33"/>
      <c r="FT62" s="33"/>
      <c r="FU62" s="33"/>
      <c r="FV62" s="33"/>
      <c r="FW62" s="33"/>
      <c r="FX62" s="33"/>
      <c r="FY62" s="33"/>
      <c r="FZ62" s="33"/>
      <c r="GA62" s="33"/>
      <c r="GB62" s="33"/>
      <c r="GC62" s="33"/>
      <c r="GD62" s="33"/>
      <c r="GE62" s="33"/>
      <c r="GF62" s="33"/>
      <c r="GG62" s="33"/>
      <c r="GH62" s="33"/>
      <c r="GI62" s="33"/>
      <c r="GJ62" s="33"/>
      <c r="GK62" s="33"/>
      <c r="GL62" s="33"/>
      <c r="GM62" s="33"/>
      <c r="GN62" s="33"/>
      <c r="GO62" s="33"/>
      <c r="GP62" s="52"/>
      <c r="GQ62" s="41"/>
      <c r="GR62" s="41"/>
      <c r="GS62" s="41"/>
      <c r="GT62" s="41"/>
      <c r="GU62" s="63"/>
      <c r="GV62" s="33"/>
      <c r="GW62" s="33"/>
      <c r="GX62" s="33"/>
      <c r="GY62" s="33"/>
      <c r="GZ62" s="33"/>
      <c r="HA62" s="33"/>
      <c r="HB62" s="33"/>
      <c r="HC62" s="33"/>
      <c r="HD62" s="33"/>
      <c r="HE62" s="33"/>
      <c r="HF62" s="33"/>
      <c r="HG62" s="33"/>
      <c r="HH62" s="33"/>
      <c r="HI62" s="33"/>
      <c r="HJ62" s="33"/>
      <c r="HK62" s="33"/>
      <c r="HL62" s="33"/>
      <c r="HM62" s="33"/>
      <c r="HN62" s="33"/>
      <c r="HO62" s="33"/>
      <c r="HP62" s="33"/>
      <c r="HQ62" s="33"/>
      <c r="HR62" s="33"/>
      <c r="HS62" s="33"/>
      <c r="HT62" s="33"/>
      <c r="HU62" s="33"/>
      <c r="HV62" s="33"/>
      <c r="HW62" s="33"/>
      <c r="HX62" s="33"/>
      <c r="HY62" s="33"/>
      <c r="HZ62" s="33"/>
      <c r="IA62" s="33"/>
      <c r="IB62" s="33"/>
      <c r="IC62" s="33"/>
      <c r="ID62" s="33"/>
      <c r="IE62" s="33"/>
      <c r="IF62" s="33"/>
      <c r="IG62" s="33"/>
      <c r="IH62" s="33"/>
      <c r="II62" s="33"/>
      <c r="IJ62" s="33"/>
      <c r="IK62" s="33"/>
      <c r="IL62" s="33"/>
      <c r="IM62" s="33"/>
      <c r="IN62" s="33"/>
      <c r="IO62" s="33"/>
      <c r="IP62" s="33"/>
      <c r="IQ62" s="33"/>
      <c r="IR62" s="33"/>
      <c r="IS62" s="33"/>
      <c r="IT62" s="33"/>
      <c r="IU62" s="33"/>
      <c r="IV62" s="33"/>
      <c r="IW62" s="33"/>
      <c r="IX62" s="33"/>
      <c r="IY62" s="33"/>
      <c r="IZ62" s="33"/>
      <c r="JA62" s="33"/>
      <c r="JB62" s="33"/>
      <c r="JC62" s="33"/>
      <c r="JD62" s="33"/>
      <c r="JE62" s="33"/>
      <c r="JF62" s="33"/>
      <c r="JG62" s="33"/>
      <c r="JH62" s="33"/>
      <c r="JI62" s="33"/>
      <c r="JJ62" s="33"/>
      <c r="JK62" s="33"/>
      <c r="JL62" s="33"/>
      <c r="JM62" s="33"/>
      <c r="JN62" s="33"/>
      <c r="JO62" s="33"/>
      <c r="JP62" s="33"/>
      <c r="JQ62" s="33"/>
      <c r="JR62" s="33"/>
      <c r="JS62" s="33"/>
      <c r="JT62" s="33"/>
      <c r="JU62" s="33"/>
      <c r="JV62" s="33"/>
      <c r="JW62" s="33"/>
      <c r="JX62" s="33"/>
      <c r="JY62" s="33"/>
      <c r="JZ62" s="33"/>
      <c r="KA62" s="33"/>
      <c r="KB62" s="33"/>
      <c r="KC62" s="33"/>
      <c r="KD62" s="33"/>
      <c r="KE62" s="33"/>
      <c r="KF62" s="33"/>
      <c r="KG62" s="33"/>
      <c r="KH62" s="33"/>
      <c r="KI62" s="33"/>
      <c r="KJ62" s="33"/>
      <c r="KK62" s="33"/>
      <c r="KL62" s="33"/>
      <c r="KM62" s="33"/>
      <c r="KN62" s="33"/>
      <c r="KO62" s="33"/>
      <c r="KP62" s="33"/>
      <c r="KQ62" s="33"/>
      <c r="KR62" s="33"/>
      <c r="KS62" s="33"/>
      <c r="KT62" s="33"/>
      <c r="KU62" s="33"/>
      <c r="KV62" s="33"/>
      <c r="KW62" s="33"/>
      <c r="KX62" s="33"/>
      <c r="KY62" s="33"/>
      <c r="KZ62" s="33"/>
      <c r="LA62" s="33"/>
      <c r="LB62" s="33"/>
      <c r="LC62" s="33"/>
      <c r="LD62" s="33"/>
      <c r="LE62" s="33"/>
      <c r="LF62" s="33"/>
      <c r="LG62" s="33"/>
      <c r="LH62" s="33"/>
      <c r="LI62" s="33"/>
      <c r="LJ62" s="33"/>
      <c r="LK62" s="33"/>
      <c r="LL62" s="33"/>
      <c r="LM62" s="33"/>
      <c r="LN62" s="33"/>
      <c r="LO62" s="33"/>
      <c r="LP62" s="33"/>
      <c r="LQ62" s="33"/>
      <c r="LR62" s="33"/>
      <c r="LS62" s="33"/>
      <c r="LT62" s="33"/>
      <c r="LU62" s="33"/>
      <c r="LV62" s="33"/>
      <c r="LW62" s="33"/>
      <c r="LX62" s="33"/>
      <c r="LY62" s="33"/>
      <c r="LZ62" s="33"/>
      <c r="MA62" s="33"/>
      <c r="MB62" s="33"/>
      <c r="MC62" s="33"/>
      <c r="MD62" s="33"/>
      <c r="ME62" s="33"/>
      <c r="MF62" s="33"/>
      <c r="MG62" s="33"/>
      <c r="MH62" s="33"/>
      <c r="MI62" s="33"/>
      <c r="MJ62" s="33"/>
      <c r="MK62" s="33"/>
      <c r="ML62" s="33"/>
      <c r="MM62" s="33"/>
      <c r="MN62" s="33"/>
      <c r="MO62" s="33"/>
      <c r="MP62" s="33"/>
      <c r="MQ62" s="33"/>
      <c r="MR62" s="33"/>
      <c r="MS62" s="33"/>
      <c r="MT62" s="33"/>
      <c r="MU62" s="33"/>
      <c r="MV62" s="33"/>
    </row>
    <row r="63" spans="1:360" ht="0.75" customHeight="1" x14ac:dyDescent="0.25">
      <c r="A63" s="33"/>
      <c r="B63" s="33"/>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33"/>
      <c r="CG63" s="33"/>
      <c r="CH63" s="33"/>
      <c r="CI63" s="33"/>
      <c r="CJ63" s="33"/>
      <c r="CK63" s="33"/>
      <c r="CL63" s="33"/>
      <c r="CM63" s="33"/>
      <c r="CN63" s="33"/>
      <c r="CO63" s="33"/>
      <c r="CP63" s="33"/>
      <c r="CQ63" s="33"/>
      <c r="CR63" s="33"/>
      <c r="CS63" s="33"/>
      <c r="CT63" s="33"/>
      <c r="CU63" s="33"/>
      <c r="CV63" s="33"/>
      <c r="CW63" s="33"/>
      <c r="CX63" s="33"/>
      <c r="CY63" s="33"/>
      <c r="CZ63" s="33"/>
      <c r="DA63" s="33"/>
      <c r="DB63" s="33"/>
      <c r="DC63" s="33"/>
      <c r="DD63" s="33"/>
      <c r="DE63" s="33"/>
      <c r="DF63" s="33"/>
      <c r="DG63" s="33"/>
      <c r="DH63" s="33"/>
      <c r="DI63" s="33"/>
      <c r="DJ63" s="33"/>
      <c r="DK63" s="33"/>
      <c r="DL63" s="33"/>
      <c r="DM63" s="33"/>
      <c r="DN63" s="33"/>
      <c r="DO63" s="33"/>
      <c r="DP63" s="33"/>
      <c r="DQ63" s="33"/>
      <c r="DR63" s="33"/>
      <c r="DS63" s="33"/>
      <c r="DT63" s="33"/>
      <c r="DU63" s="33"/>
      <c r="DV63" s="33"/>
      <c r="DW63" s="33"/>
      <c r="DX63" s="33"/>
      <c r="DY63" s="33"/>
      <c r="DZ63" s="33"/>
      <c r="EA63" s="33"/>
      <c r="EB63" s="33"/>
      <c r="EC63" s="33"/>
      <c r="ED63" s="33"/>
      <c r="EE63" s="33"/>
      <c r="EF63" s="33"/>
      <c r="EG63" s="33"/>
      <c r="EH63" s="33"/>
      <c r="EI63" s="33"/>
      <c r="EJ63" s="33"/>
      <c r="EK63" s="33"/>
      <c r="EL63" s="44"/>
      <c r="EM63" s="41"/>
      <c r="EN63" s="41"/>
      <c r="EO63" s="41"/>
      <c r="EP63" s="41"/>
      <c r="EQ63" s="41"/>
      <c r="ER63" s="41"/>
      <c r="ES63" s="41"/>
      <c r="ET63" s="41"/>
      <c r="EU63" s="41"/>
      <c r="EV63" s="41"/>
      <c r="EW63" s="41"/>
      <c r="EX63" s="41"/>
      <c r="EY63" s="41"/>
      <c r="EZ63" s="41"/>
      <c r="FA63" s="41"/>
      <c r="FB63" s="41"/>
      <c r="FC63" s="41"/>
      <c r="FD63" s="42"/>
      <c r="FE63" s="36"/>
      <c r="FF63" s="33"/>
      <c r="FG63" s="33"/>
      <c r="FH63" s="33"/>
      <c r="FI63" s="33"/>
      <c r="FJ63" s="33"/>
      <c r="FK63" s="33"/>
      <c r="FL63" s="33"/>
      <c r="FM63" s="33"/>
      <c r="FN63" s="33"/>
      <c r="FO63" s="33"/>
      <c r="FP63" s="33"/>
      <c r="FQ63" s="33"/>
      <c r="FR63" s="33"/>
      <c r="FS63" s="33"/>
      <c r="FT63" s="33"/>
      <c r="FU63" s="33"/>
      <c r="FV63" s="33"/>
      <c r="FW63" s="33"/>
      <c r="FX63" s="33"/>
      <c r="FY63" s="33"/>
      <c r="FZ63" s="33"/>
      <c r="GA63" s="33"/>
      <c r="GB63" s="33"/>
      <c r="GC63" s="33"/>
      <c r="GD63" s="33"/>
      <c r="GE63" s="33"/>
      <c r="GF63" s="33"/>
      <c r="GG63" s="33"/>
      <c r="GH63" s="33"/>
      <c r="GI63" s="33"/>
      <c r="GJ63" s="33"/>
      <c r="GK63" s="33"/>
      <c r="GL63" s="33"/>
      <c r="GM63" s="33"/>
      <c r="GN63" s="33"/>
      <c r="GO63" s="33"/>
      <c r="GP63" s="52"/>
      <c r="GQ63" s="41"/>
      <c r="GR63" s="41"/>
      <c r="GS63" s="41"/>
      <c r="GT63" s="41"/>
      <c r="GU63" s="63"/>
      <c r="GV63" s="33"/>
      <c r="GW63" s="33"/>
      <c r="GX63" s="33"/>
      <c r="GY63" s="33"/>
      <c r="GZ63" s="33"/>
      <c r="HA63" s="33"/>
      <c r="HB63" s="33"/>
      <c r="HC63" s="33"/>
      <c r="HD63" s="33"/>
      <c r="HE63" s="33"/>
      <c r="HF63" s="33"/>
      <c r="HG63" s="33"/>
      <c r="HH63" s="33"/>
      <c r="HI63" s="33"/>
      <c r="HJ63" s="33"/>
      <c r="HK63" s="33"/>
      <c r="HL63" s="33"/>
      <c r="HM63" s="33"/>
      <c r="HN63" s="33"/>
      <c r="HO63" s="33"/>
      <c r="HP63" s="33"/>
      <c r="HQ63" s="33"/>
      <c r="HR63" s="33"/>
      <c r="HS63" s="33"/>
      <c r="HT63" s="33"/>
      <c r="HU63" s="33"/>
      <c r="HV63" s="33"/>
      <c r="HW63" s="33"/>
      <c r="HX63" s="33"/>
      <c r="HY63" s="33"/>
      <c r="HZ63" s="33"/>
      <c r="IA63" s="33"/>
      <c r="IB63" s="33"/>
      <c r="IC63" s="33"/>
      <c r="ID63" s="33"/>
      <c r="IE63" s="33"/>
      <c r="IF63" s="33"/>
      <c r="IG63" s="33"/>
      <c r="IH63" s="33"/>
      <c r="II63" s="33"/>
      <c r="IJ63" s="33"/>
      <c r="IK63" s="33"/>
      <c r="IL63" s="33"/>
      <c r="IM63" s="33"/>
      <c r="IN63" s="33"/>
      <c r="IO63" s="33"/>
      <c r="IP63" s="33"/>
      <c r="IQ63" s="33"/>
      <c r="IR63" s="33"/>
      <c r="IS63" s="33"/>
      <c r="IT63" s="33"/>
      <c r="IU63" s="33"/>
      <c r="IV63" s="33"/>
      <c r="IW63" s="33"/>
      <c r="IX63" s="33"/>
      <c r="IY63" s="33"/>
      <c r="IZ63" s="33"/>
      <c r="JA63" s="33"/>
      <c r="JB63" s="33"/>
      <c r="JC63" s="33"/>
      <c r="JD63" s="33"/>
      <c r="JE63" s="33"/>
      <c r="JF63" s="33"/>
      <c r="JG63" s="33"/>
      <c r="JH63" s="33"/>
      <c r="JI63" s="33"/>
      <c r="JJ63" s="33"/>
      <c r="JK63" s="33"/>
      <c r="JL63" s="33"/>
      <c r="JM63" s="33"/>
      <c r="JN63" s="33"/>
      <c r="JO63" s="33"/>
      <c r="JP63" s="33"/>
      <c r="JQ63" s="33"/>
      <c r="JR63" s="33"/>
      <c r="JS63" s="33"/>
      <c r="JT63" s="33"/>
      <c r="JU63" s="33"/>
      <c r="JV63" s="33"/>
      <c r="JW63" s="33"/>
      <c r="JX63" s="33"/>
      <c r="JY63" s="33"/>
      <c r="JZ63" s="33"/>
      <c r="KA63" s="33"/>
      <c r="KB63" s="33"/>
      <c r="KC63" s="33"/>
      <c r="KD63" s="33"/>
      <c r="KE63" s="33"/>
      <c r="KF63" s="33"/>
      <c r="KG63" s="33"/>
      <c r="KH63" s="33"/>
      <c r="KI63" s="33"/>
      <c r="KJ63" s="33"/>
      <c r="KK63" s="33"/>
      <c r="KL63" s="33"/>
      <c r="KM63" s="33"/>
      <c r="KN63" s="33"/>
      <c r="KO63" s="33"/>
      <c r="KP63" s="33"/>
      <c r="KQ63" s="33"/>
      <c r="KR63" s="33"/>
      <c r="KS63" s="33"/>
      <c r="KT63" s="33"/>
      <c r="KU63" s="33"/>
      <c r="KV63" s="33"/>
      <c r="KW63" s="33"/>
      <c r="KX63" s="33"/>
      <c r="KY63" s="33"/>
      <c r="KZ63" s="33"/>
      <c r="LA63" s="33"/>
      <c r="LB63" s="33"/>
      <c r="LC63" s="33"/>
      <c r="LD63" s="33"/>
      <c r="LE63" s="33"/>
      <c r="LF63" s="33"/>
      <c r="LG63" s="33"/>
      <c r="LH63" s="33"/>
      <c r="LI63" s="33"/>
      <c r="LJ63" s="33"/>
      <c r="LK63" s="33"/>
      <c r="LL63" s="33"/>
      <c r="LM63" s="33"/>
      <c r="LN63" s="33"/>
      <c r="LO63" s="33"/>
      <c r="LP63" s="33"/>
      <c r="LQ63" s="33"/>
      <c r="LR63" s="33"/>
      <c r="LS63" s="33"/>
      <c r="LT63" s="33"/>
      <c r="LU63" s="33"/>
      <c r="LV63" s="33"/>
      <c r="LW63" s="33"/>
      <c r="LX63" s="33"/>
      <c r="LY63" s="33"/>
      <c r="LZ63" s="33"/>
      <c r="MA63" s="33"/>
      <c r="MB63" s="33"/>
      <c r="MC63" s="33"/>
      <c r="MD63" s="33"/>
      <c r="ME63" s="33"/>
      <c r="MF63" s="33"/>
      <c r="MG63" s="33"/>
      <c r="MH63" s="33"/>
      <c r="MI63" s="33"/>
      <c r="MJ63" s="33"/>
      <c r="MK63" s="33"/>
      <c r="ML63" s="33"/>
      <c r="MM63" s="33"/>
      <c r="MN63" s="33"/>
      <c r="MO63" s="33"/>
      <c r="MP63" s="33"/>
      <c r="MQ63" s="33"/>
      <c r="MR63" s="33"/>
      <c r="MS63" s="33"/>
      <c r="MT63" s="33"/>
      <c r="MU63" s="33"/>
      <c r="MV63" s="33"/>
    </row>
    <row r="64" spans="1:360" ht="0.75" customHeight="1" x14ac:dyDescent="0.25">
      <c r="A64" s="33"/>
      <c r="B64" s="33"/>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33"/>
      <c r="CG64" s="33"/>
      <c r="CH64" s="33"/>
      <c r="CI64" s="33"/>
      <c r="CJ64" s="33"/>
      <c r="CK64" s="33"/>
      <c r="CL64" s="33"/>
      <c r="CM64" s="33"/>
      <c r="CN64" s="33"/>
      <c r="CO64" s="33"/>
      <c r="CP64" s="33"/>
      <c r="CQ64" s="33"/>
      <c r="CR64" s="33"/>
      <c r="CS64" s="33"/>
      <c r="CT64" s="33"/>
      <c r="CU64" s="33"/>
      <c r="CV64" s="33"/>
      <c r="CW64" s="33"/>
      <c r="CX64" s="33"/>
      <c r="CY64" s="33"/>
      <c r="CZ64" s="33"/>
      <c r="DA64" s="33"/>
      <c r="DB64" s="33"/>
      <c r="DC64" s="33"/>
      <c r="DD64" s="33"/>
      <c r="DE64" s="33"/>
      <c r="DF64" s="33"/>
      <c r="DG64" s="33"/>
      <c r="DH64" s="33"/>
      <c r="DI64" s="33"/>
      <c r="DJ64" s="33"/>
      <c r="DK64" s="33"/>
      <c r="DL64" s="33"/>
      <c r="DM64" s="33"/>
      <c r="DN64" s="33"/>
      <c r="DO64" s="33"/>
      <c r="DP64" s="33"/>
      <c r="DQ64" s="33"/>
      <c r="DR64" s="33"/>
      <c r="DS64" s="33"/>
      <c r="DT64" s="33"/>
      <c r="DU64" s="33"/>
      <c r="DV64" s="33"/>
      <c r="DW64" s="33"/>
      <c r="DX64" s="33"/>
      <c r="DY64" s="33"/>
      <c r="DZ64" s="33"/>
      <c r="EA64" s="33"/>
      <c r="EB64" s="33"/>
      <c r="EC64" s="33"/>
      <c r="ED64" s="33"/>
      <c r="EE64" s="33"/>
      <c r="EF64" s="33"/>
      <c r="EG64" s="33"/>
      <c r="EH64" s="33"/>
      <c r="EI64" s="33"/>
      <c r="EJ64" s="33"/>
      <c r="EK64" s="33"/>
      <c r="EL64" s="44"/>
      <c r="EM64" s="41"/>
      <c r="EN64" s="41"/>
      <c r="EO64" s="41"/>
      <c r="EP64" s="41"/>
      <c r="EQ64" s="41"/>
      <c r="ER64" s="41"/>
      <c r="ES64" s="41"/>
      <c r="ET64" s="41"/>
      <c r="EU64" s="41"/>
      <c r="EV64" s="41"/>
      <c r="EW64" s="41"/>
      <c r="EX64" s="41"/>
      <c r="EY64" s="41"/>
      <c r="EZ64" s="41"/>
      <c r="FA64" s="41"/>
      <c r="FB64" s="41"/>
      <c r="FC64" s="41"/>
      <c r="FD64" s="42"/>
      <c r="FE64" s="36"/>
      <c r="FF64" s="33"/>
      <c r="FG64" s="33"/>
      <c r="FH64" s="33"/>
      <c r="FI64" s="33"/>
      <c r="FJ64" s="33"/>
      <c r="FK64" s="33"/>
      <c r="FL64" s="33"/>
      <c r="FM64" s="33"/>
      <c r="FN64" s="33"/>
      <c r="FO64" s="33"/>
      <c r="FP64" s="33"/>
      <c r="FQ64" s="33"/>
      <c r="FR64" s="33"/>
      <c r="FS64" s="33"/>
      <c r="FT64" s="33"/>
      <c r="FU64" s="33"/>
      <c r="FV64" s="33"/>
      <c r="FW64" s="33"/>
      <c r="FX64" s="33"/>
      <c r="FY64" s="33"/>
      <c r="FZ64" s="33"/>
      <c r="GA64" s="33"/>
      <c r="GB64" s="33"/>
      <c r="GC64" s="33"/>
      <c r="GD64" s="33"/>
      <c r="GE64" s="33"/>
      <c r="GF64" s="33"/>
      <c r="GG64" s="33"/>
      <c r="GH64" s="33"/>
      <c r="GI64" s="33"/>
      <c r="GJ64" s="33"/>
      <c r="GK64" s="33"/>
      <c r="GL64" s="33"/>
      <c r="GM64" s="33"/>
      <c r="GN64" s="33"/>
      <c r="GO64" s="33"/>
      <c r="GP64" s="52"/>
      <c r="GQ64" s="41"/>
      <c r="GR64" s="41"/>
      <c r="GS64" s="41"/>
      <c r="GT64" s="41"/>
      <c r="GU64" s="63"/>
      <c r="GV64" s="33"/>
      <c r="GW64" s="33"/>
      <c r="GX64" s="33"/>
      <c r="GY64" s="33"/>
      <c r="GZ64" s="33"/>
      <c r="HA64" s="33"/>
      <c r="HB64" s="33"/>
      <c r="HC64" s="33"/>
      <c r="HD64" s="33"/>
      <c r="HE64" s="33"/>
      <c r="HF64" s="33"/>
      <c r="HG64" s="33"/>
      <c r="HH64" s="33"/>
      <c r="HI64" s="33"/>
      <c r="HJ64" s="33"/>
      <c r="HK64" s="33"/>
      <c r="HL64" s="33"/>
      <c r="HM64" s="33"/>
      <c r="HN64" s="33"/>
      <c r="HO64" s="33"/>
      <c r="HP64" s="33"/>
      <c r="HQ64" s="33"/>
      <c r="HR64" s="33"/>
      <c r="HS64" s="33"/>
      <c r="HT64" s="33"/>
      <c r="HU64" s="33"/>
      <c r="HV64" s="33"/>
      <c r="HW64" s="33"/>
      <c r="HX64" s="33"/>
      <c r="HY64" s="33"/>
      <c r="HZ64" s="33"/>
      <c r="IA64" s="33"/>
      <c r="IB64" s="33"/>
      <c r="IC64" s="33"/>
      <c r="ID64" s="33"/>
      <c r="IE64" s="33"/>
      <c r="IF64" s="33"/>
      <c r="IG64" s="33"/>
      <c r="IH64" s="33"/>
      <c r="II64" s="33"/>
      <c r="IJ64" s="33"/>
      <c r="IK64" s="33"/>
      <c r="IL64" s="33"/>
      <c r="IM64" s="33"/>
      <c r="IN64" s="33"/>
      <c r="IO64" s="33"/>
      <c r="IP64" s="33"/>
      <c r="IQ64" s="33"/>
      <c r="IR64" s="33"/>
      <c r="IS64" s="33"/>
      <c r="IT64" s="33"/>
      <c r="IU64" s="33"/>
      <c r="IV64" s="33"/>
      <c r="IW64" s="33"/>
      <c r="IX64" s="33"/>
      <c r="IY64" s="33"/>
      <c r="IZ64" s="33"/>
      <c r="JA64" s="33"/>
      <c r="JB64" s="33"/>
      <c r="JC64" s="33"/>
      <c r="JD64" s="33"/>
      <c r="JE64" s="33"/>
      <c r="JF64" s="33"/>
      <c r="JG64" s="33"/>
      <c r="JH64" s="33"/>
      <c r="JI64" s="33"/>
      <c r="JJ64" s="33"/>
      <c r="JK64" s="33"/>
      <c r="JL64" s="33"/>
      <c r="JM64" s="33"/>
      <c r="JN64" s="33"/>
      <c r="JO64" s="33"/>
      <c r="JP64" s="33"/>
      <c r="JQ64" s="33"/>
      <c r="JR64" s="33"/>
      <c r="JS64" s="33"/>
      <c r="JT64" s="33"/>
      <c r="JU64" s="33"/>
      <c r="JV64" s="33"/>
      <c r="JW64" s="33"/>
      <c r="JX64" s="33"/>
      <c r="JY64" s="33"/>
      <c r="JZ64" s="33"/>
      <c r="KA64" s="33"/>
      <c r="KB64" s="33"/>
      <c r="KC64" s="33"/>
      <c r="KD64" s="33"/>
      <c r="KE64" s="33"/>
      <c r="KF64" s="33"/>
      <c r="KG64" s="33"/>
      <c r="KH64" s="33"/>
      <c r="KI64" s="33"/>
      <c r="KJ64" s="33"/>
      <c r="KK64" s="33"/>
      <c r="KL64" s="33"/>
      <c r="KM64" s="33"/>
      <c r="KN64" s="33"/>
      <c r="KO64" s="33"/>
      <c r="KP64" s="33"/>
      <c r="KQ64" s="33"/>
      <c r="KR64" s="33"/>
      <c r="KS64" s="33"/>
      <c r="KT64" s="33"/>
      <c r="KU64" s="33"/>
      <c r="KV64" s="33"/>
      <c r="KW64" s="33"/>
      <c r="KX64" s="33"/>
      <c r="KY64" s="33"/>
      <c r="KZ64" s="33"/>
      <c r="LA64" s="33"/>
      <c r="LB64" s="33"/>
      <c r="LC64" s="33"/>
      <c r="LD64" s="33"/>
      <c r="LE64" s="33"/>
      <c r="LF64" s="33"/>
      <c r="LG64" s="33"/>
      <c r="LH64" s="33"/>
      <c r="LI64" s="33"/>
      <c r="LJ64" s="33"/>
      <c r="LK64" s="33"/>
      <c r="LL64" s="33"/>
      <c r="LM64" s="33"/>
      <c r="LN64" s="33"/>
      <c r="LO64" s="33"/>
      <c r="LP64" s="33"/>
      <c r="LQ64" s="33"/>
      <c r="LR64" s="33"/>
      <c r="LS64" s="33"/>
      <c r="LT64" s="33"/>
      <c r="LU64" s="33"/>
      <c r="LV64" s="33"/>
      <c r="LW64" s="33"/>
      <c r="LX64" s="33"/>
      <c r="LY64" s="33"/>
      <c r="LZ64" s="33"/>
      <c r="MA64" s="33"/>
      <c r="MB64" s="33"/>
      <c r="MC64" s="33"/>
      <c r="MD64" s="33"/>
      <c r="ME64" s="33"/>
      <c r="MF64" s="33"/>
      <c r="MG64" s="33"/>
      <c r="MH64" s="33"/>
      <c r="MI64" s="33"/>
      <c r="MJ64" s="33"/>
      <c r="MK64" s="33"/>
      <c r="ML64" s="33"/>
      <c r="MM64" s="33"/>
      <c r="MN64" s="33"/>
      <c r="MO64" s="33"/>
      <c r="MP64" s="33"/>
      <c r="MQ64" s="33"/>
      <c r="MR64" s="33"/>
      <c r="MS64" s="33"/>
      <c r="MT64" s="33"/>
      <c r="MU64" s="33"/>
      <c r="MV64" s="33"/>
    </row>
    <row r="65" spans="1:360" ht="0.75" customHeight="1" x14ac:dyDescent="0.25">
      <c r="A65" s="33"/>
      <c r="B65" s="33"/>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33"/>
      <c r="CG65" s="33"/>
      <c r="CH65" s="33"/>
      <c r="CI65" s="33"/>
      <c r="CJ65" s="33"/>
      <c r="CK65" s="33"/>
      <c r="CL65" s="33"/>
      <c r="CM65" s="33"/>
      <c r="CN65" s="33"/>
      <c r="CO65" s="33"/>
      <c r="CP65" s="33"/>
      <c r="CQ65" s="33"/>
      <c r="CR65" s="33"/>
      <c r="CS65" s="33"/>
      <c r="CT65" s="33"/>
      <c r="CU65" s="33"/>
      <c r="CV65" s="33"/>
      <c r="CW65" s="33"/>
      <c r="CX65" s="33"/>
      <c r="CY65" s="33"/>
      <c r="CZ65" s="33"/>
      <c r="DA65" s="33"/>
      <c r="DB65" s="33"/>
      <c r="DC65" s="33"/>
      <c r="DD65" s="33"/>
      <c r="DE65" s="33"/>
      <c r="DF65" s="33"/>
      <c r="DG65" s="33"/>
      <c r="DH65" s="33"/>
      <c r="DI65" s="33"/>
      <c r="DJ65" s="33"/>
      <c r="DK65" s="33"/>
      <c r="DL65" s="33"/>
      <c r="DM65" s="33"/>
      <c r="DN65" s="33"/>
      <c r="DO65" s="33"/>
      <c r="DP65" s="33"/>
      <c r="DQ65" s="33"/>
      <c r="DR65" s="33"/>
      <c r="DS65" s="33"/>
      <c r="DT65" s="33"/>
      <c r="DU65" s="33"/>
      <c r="DV65" s="33"/>
      <c r="DW65" s="33"/>
      <c r="DX65" s="33"/>
      <c r="DY65" s="33"/>
      <c r="DZ65" s="33"/>
      <c r="EA65" s="33"/>
      <c r="EB65" s="33"/>
      <c r="EC65" s="33"/>
      <c r="ED65" s="33"/>
      <c r="EE65" s="33"/>
      <c r="EF65" s="33"/>
      <c r="EG65" s="33"/>
      <c r="EH65" s="33"/>
      <c r="EI65" s="33"/>
      <c r="EJ65" s="33"/>
      <c r="EK65" s="33"/>
      <c r="EL65" s="44"/>
      <c r="EM65" s="41"/>
      <c r="EN65" s="41"/>
      <c r="EO65" s="41"/>
      <c r="EP65" s="41"/>
      <c r="EQ65" s="41"/>
      <c r="ER65" s="41"/>
      <c r="ES65" s="41"/>
      <c r="ET65" s="41"/>
      <c r="EU65" s="41"/>
      <c r="EV65" s="41"/>
      <c r="EW65" s="41"/>
      <c r="EX65" s="41"/>
      <c r="EY65" s="41"/>
      <c r="EZ65" s="41"/>
      <c r="FA65" s="41"/>
      <c r="FB65" s="41"/>
      <c r="FC65" s="41"/>
      <c r="FD65" s="42"/>
      <c r="FE65" s="36"/>
      <c r="FF65" s="33"/>
      <c r="FG65" s="33"/>
      <c r="FH65" s="33"/>
      <c r="FI65" s="33"/>
      <c r="FJ65" s="33"/>
      <c r="FK65" s="33"/>
      <c r="FL65" s="33"/>
      <c r="FM65" s="33"/>
      <c r="FN65" s="33"/>
      <c r="FO65" s="33"/>
      <c r="FP65" s="33"/>
      <c r="FQ65" s="33"/>
      <c r="FR65" s="33"/>
      <c r="FS65" s="33"/>
      <c r="FT65" s="33"/>
      <c r="FU65" s="33"/>
      <c r="FV65" s="33"/>
      <c r="FW65" s="33"/>
      <c r="FX65" s="33"/>
      <c r="FY65" s="33"/>
      <c r="FZ65" s="33"/>
      <c r="GA65" s="33"/>
      <c r="GB65" s="33"/>
      <c r="GC65" s="33"/>
      <c r="GD65" s="33"/>
      <c r="GE65" s="33"/>
      <c r="GF65" s="33"/>
      <c r="GG65" s="33"/>
      <c r="GH65" s="33"/>
      <c r="GI65" s="33"/>
      <c r="GJ65" s="33"/>
      <c r="GK65" s="33"/>
      <c r="GL65" s="33"/>
      <c r="GM65" s="33"/>
      <c r="GN65" s="33"/>
      <c r="GO65" s="33"/>
      <c r="GP65" s="52"/>
      <c r="GQ65" s="41"/>
      <c r="GR65" s="41"/>
      <c r="GS65" s="41"/>
      <c r="GT65" s="41"/>
      <c r="GU65" s="63"/>
      <c r="GV65" s="33"/>
      <c r="GW65" s="33"/>
      <c r="GX65" s="33"/>
      <c r="GY65" s="33"/>
      <c r="GZ65" s="33"/>
      <c r="HA65" s="33"/>
      <c r="HB65" s="33"/>
      <c r="HC65" s="33"/>
      <c r="HD65" s="33"/>
      <c r="HE65" s="33"/>
      <c r="HF65" s="33"/>
      <c r="HG65" s="33"/>
      <c r="HH65" s="33"/>
      <c r="HI65" s="33"/>
      <c r="HJ65" s="33"/>
      <c r="HK65" s="33"/>
      <c r="HL65" s="33"/>
      <c r="HM65" s="33"/>
      <c r="HN65" s="33"/>
      <c r="HO65" s="33"/>
      <c r="HP65" s="33"/>
      <c r="HQ65" s="33"/>
      <c r="HR65" s="33"/>
      <c r="HS65" s="33"/>
      <c r="HT65" s="33"/>
      <c r="HU65" s="33"/>
      <c r="HV65" s="33"/>
      <c r="HW65" s="33"/>
      <c r="HX65" s="33"/>
      <c r="HY65" s="33"/>
      <c r="HZ65" s="33"/>
      <c r="IA65" s="33"/>
      <c r="IB65" s="33"/>
      <c r="IC65" s="33"/>
      <c r="ID65" s="33"/>
      <c r="IE65" s="33"/>
      <c r="IF65" s="33"/>
      <c r="IG65" s="33"/>
      <c r="IH65" s="33"/>
      <c r="II65" s="33"/>
      <c r="IJ65" s="33"/>
      <c r="IK65" s="33"/>
      <c r="IL65" s="33"/>
      <c r="IM65" s="33"/>
      <c r="IN65" s="33"/>
      <c r="IO65" s="33"/>
      <c r="IP65" s="33"/>
      <c r="IQ65" s="33"/>
      <c r="IR65" s="33"/>
      <c r="IS65" s="33"/>
      <c r="IT65" s="33"/>
      <c r="IU65" s="33"/>
      <c r="IV65" s="33"/>
      <c r="IW65" s="33"/>
      <c r="IX65" s="33"/>
      <c r="IY65" s="33"/>
      <c r="IZ65" s="33"/>
      <c r="JA65" s="33"/>
      <c r="JB65" s="33"/>
      <c r="JC65" s="33"/>
      <c r="JD65" s="33"/>
      <c r="JE65" s="33"/>
      <c r="JF65" s="33"/>
      <c r="JG65" s="33"/>
      <c r="JH65" s="33"/>
      <c r="JI65" s="33"/>
      <c r="JJ65" s="33"/>
      <c r="JK65" s="33"/>
      <c r="JL65" s="33"/>
      <c r="JM65" s="33"/>
      <c r="JN65" s="33"/>
      <c r="JO65" s="33"/>
      <c r="JP65" s="33"/>
      <c r="JQ65" s="33"/>
      <c r="JR65" s="33"/>
      <c r="JS65" s="33"/>
      <c r="JT65" s="33"/>
      <c r="JU65" s="33"/>
      <c r="JV65" s="33"/>
      <c r="JW65" s="33"/>
      <c r="JX65" s="33"/>
      <c r="JY65" s="33"/>
      <c r="JZ65" s="33"/>
      <c r="KA65" s="33"/>
      <c r="KB65" s="33"/>
      <c r="KC65" s="33"/>
      <c r="KD65" s="33"/>
      <c r="KE65" s="33"/>
      <c r="KF65" s="33"/>
      <c r="KG65" s="33"/>
      <c r="KH65" s="33"/>
      <c r="KI65" s="33"/>
      <c r="KJ65" s="33"/>
      <c r="KK65" s="33"/>
      <c r="KL65" s="33"/>
      <c r="KM65" s="33"/>
      <c r="KN65" s="33"/>
      <c r="KO65" s="33"/>
      <c r="KP65" s="33"/>
      <c r="KQ65" s="33"/>
      <c r="KR65" s="33"/>
      <c r="KS65" s="33"/>
      <c r="KT65" s="33"/>
      <c r="KU65" s="33"/>
      <c r="KV65" s="33"/>
      <c r="KW65" s="33"/>
      <c r="KX65" s="33"/>
      <c r="KY65" s="33"/>
      <c r="KZ65" s="33"/>
      <c r="LA65" s="33"/>
      <c r="LB65" s="33"/>
      <c r="LC65" s="33"/>
      <c r="LD65" s="33"/>
      <c r="LE65" s="33"/>
      <c r="LF65" s="33"/>
      <c r="LG65" s="33"/>
      <c r="LH65" s="33"/>
      <c r="LI65" s="33"/>
      <c r="LJ65" s="33"/>
      <c r="LK65" s="33"/>
      <c r="LL65" s="33"/>
      <c r="LM65" s="33"/>
      <c r="LN65" s="33"/>
      <c r="LO65" s="33"/>
      <c r="LP65" s="33"/>
      <c r="LQ65" s="33"/>
      <c r="LR65" s="33"/>
      <c r="LS65" s="33"/>
      <c r="LT65" s="33"/>
      <c r="LU65" s="33"/>
      <c r="LV65" s="33"/>
      <c r="LW65" s="33"/>
      <c r="LX65" s="33"/>
      <c r="LY65" s="33"/>
      <c r="LZ65" s="33"/>
      <c r="MA65" s="33"/>
      <c r="MB65" s="33"/>
      <c r="MC65" s="33"/>
      <c r="MD65" s="33"/>
      <c r="ME65" s="33"/>
      <c r="MF65" s="33"/>
      <c r="MG65" s="33"/>
      <c r="MH65" s="33"/>
      <c r="MI65" s="33"/>
      <c r="MJ65" s="33"/>
      <c r="MK65" s="33"/>
      <c r="ML65" s="33"/>
      <c r="MM65" s="33"/>
      <c r="MN65" s="33"/>
      <c r="MO65" s="33"/>
      <c r="MP65" s="33"/>
      <c r="MQ65" s="33"/>
      <c r="MR65" s="33"/>
      <c r="MS65" s="33"/>
      <c r="MT65" s="33"/>
      <c r="MU65" s="33"/>
      <c r="MV65" s="33"/>
    </row>
    <row r="66" spans="1:360" ht="0.75" customHeight="1" x14ac:dyDescent="0.25">
      <c r="A66" s="33"/>
      <c r="B66" s="33"/>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33"/>
      <c r="CJ66" s="33"/>
      <c r="CK66" s="33"/>
      <c r="CL66" s="33"/>
      <c r="CM66" s="33"/>
      <c r="CN66" s="33"/>
      <c r="CO66" s="33"/>
      <c r="CP66" s="33"/>
      <c r="CQ66" s="33"/>
      <c r="CR66" s="33"/>
      <c r="CS66" s="33"/>
      <c r="CT66" s="33"/>
      <c r="CU66" s="33"/>
      <c r="CV66" s="33"/>
      <c r="CW66" s="33"/>
      <c r="CX66" s="33"/>
      <c r="CY66" s="33"/>
      <c r="CZ66" s="33"/>
      <c r="DA66" s="33"/>
      <c r="DB66" s="33"/>
      <c r="DC66" s="33"/>
      <c r="DD66" s="33"/>
      <c r="DE66" s="33"/>
      <c r="DF66" s="33"/>
      <c r="DG66" s="33"/>
      <c r="DH66" s="33"/>
      <c r="DI66" s="33"/>
      <c r="DJ66" s="33"/>
      <c r="DK66" s="33"/>
      <c r="DL66" s="33"/>
      <c r="DM66" s="33"/>
      <c r="DN66" s="33"/>
      <c r="DO66" s="33"/>
      <c r="DP66" s="33"/>
      <c r="DQ66" s="33"/>
      <c r="DR66" s="33"/>
      <c r="DS66" s="33"/>
      <c r="DT66" s="33"/>
      <c r="DU66" s="33"/>
      <c r="DV66" s="33"/>
      <c r="DW66" s="33"/>
      <c r="DX66" s="33"/>
      <c r="DY66" s="33"/>
      <c r="DZ66" s="33"/>
      <c r="EA66" s="33"/>
      <c r="EB66" s="33"/>
      <c r="EC66" s="33"/>
      <c r="ED66" s="33"/>
      <c r="EE66" s="33"/>
      <c r="EF66" s="33"/>
      <c r="EG66" s="33"/>
      <c r="EH66" s="33"/>
      <c r="EI66" s="33"/>
      <c r="EJ66" s="33"/>
      <c r="EK66" s="33"/>
      <c r="EL66" s="55"/>
      <c r="EM66" s="56"/>
      <c r="EN66" s="44"/>
      <c r="EO66" s="44"/>
      <c r="EP66" s="44"/>
      <c r="EQ66" s="44"/>
      <c r="ER66" s="44"/>
      <c r="ES66" s="44"/>
      <c r="ET66" s="44"/>
      <c r="EU66" s="44"/>
      <c r="EV66" s="44"/>
      <c r="EW66" s="44"/>
      <c r="EX66" s="44"/>
      <c r="EY66" s="44"/>
      <c r="EZ66" s="44"/>
      <c r="FA66" s="44"/>
      <c r="FB66" s="44"/>
      <c r="FC66" s="84"/>
      <c r="FD66" s="40"/>
      <c r="FE66" s="34"/>
      <c r="FF66" s="33"/>
      <c r="FG66" s="33"/>
      <c r="FH66" s="33"/>
      <c r="FI66" s="33"/>
      <c r="FJ66" s="33"/>
      <c r="FK66" s="33"/>
      <c r="FL66" s="33"/>
      <c r="FM66" s="33"/>
      <c r="FN66" s="33"/>
      <c r="FO66" s="33"/>
      <c r="FP66" s="33"/>
      <c r="FQ66" s="33"/>
      <c r="FR66" s="33"/>
      <c r="FS66" s="33"/>
      <c r="FT66" s="33"/>
      <c r="FU66" s="33"/>
      <c r="FV66" s="33"/>
      <c r="FW66" s="33"/>
      <c r="FX66" s="33"/>
      <c r="FY66" s="33"/>
      <c r="FZ66" s="33"/>
      <c r="GA66" s="33"/>
      <c r="GB66" s="33"/>
      <c r="GC66" s="33"/>
      <c r="GD66" s="33"/>
      <c r="GE66" s="33"/>
      <c r="GF66" s="33"/>
      <c r="GG66" s="33"/>
      <c r="GH66" s="33"/>
      <c r="GI66" s="33"/>
      <c r="GJ66" s="33"/>
      <c r="GK66" s="33"/>
      <c r="GL66" s="33"/>
      <c r="GM66" s="33"/>
      <c r="GN66" s="33"/>
      <c r="GO66" s="33"/>
      <c r="GP66" s="85"/>
      <c r="GQ66" s="86"/>
      <c r="GR66" s="87"/>
      <c r="GS66" s="88"/>
      <c r="GT66" s="89"/>
      <c r="GU66" s="90"/>
      <c r="GV66" s="33"/>
      <c r="GW66" s="33"/>
      <c r="GX66" s="33"/>
      <c r="GY66" s="33"/>
      <c r="GZ66" s="33"/>
      <c r="HA66" s="33"/>
      <c r="HB66" s="33"/>
      <c r="HC66" s="33"/>
      <c r="HD66" s="33"/>
      <c r="HE66" s="33"/>
      <c r="HF66" s="33"/>
      <c r="HG66" s="33"/>
      <c r="HH66" s="33"/>
      <c r="HI66" s="33"/>
      <c r="HJ66" s="33"/>
      <c r="HK66" s="33"/>
      <c r="HL66" s="33"/>
      <c r="HM66" s="33"/>
      <c r="HN66" s="33"/>
      <c r="HO66" s="33"/>
      <c r="HP66" s="33"/>
      <c r="HQ66" s="33"/>
      <c r="HR66" s="33"/>
      <c r="HS66" s="33"/>
      <c r="HT66" s="33"/>
      <c r="HU66" s="33"/>
      <c r="HV66" s="33"/>
      <c r="HW66" s="33"/>
      <c r="HX66" s="33"/>
      <c r="HY66" s="33"/>
      <c r="HZ66" s="33"/>
      <c r="IA66" s="33"/>
      <c r="IB66" s="33"/>
      <c r="IC66" s="33"/>
      <c r="ID66" s="33"/>
      <c r="IE66" s="33"/>
      <c r="IF66" s="33"/>
      <c r="IG66" s="33"/>
      <c r="IH66" s="33"/>
      <c r="II66" s="33"/>
      <c r="IJ66" s="33"/>
      <c r="IK66" s="33"/>
      <c r="IL66" s="33"/>
      <c r="IM66" s="33"/>
      <c r="IN66" s="33"/>
      <c r="IO66" s="33"/>
      <c r="IP66" s="33"/>
      <c r="IQ66" s="33"/>
      <c r="IR66" s="33"/>
      <c r="IS66" s="33"/>
      <c r="IT66" s="33"/>
      <c r="IU66" s="33"/>
      <c r="IV66" s="33"/>
      <c r="IW66" s="33"/>
      <c r="IX66" s="33"/>
      <c r="IY66" s="33"/>
      <c r="IZ66" s="33"/>
      <c r="JA66" s="33"/>
      <c r="JB66" s="33"/>
      <c r="JC66" s="33"/>
      <c r="JD66" s="33"/>
      <c r="JE66" s="33"/>
      <c r="JF66" s="33"/>
      <c r="JG66" s="33"/>
      <c r="JH66" s="33"/>
      <c r="JI66" s="33"/>
      <c r="JJ66" s="33"/>
      <c r="JK66" s="33"/>
      <c r="JL66" s="33"/>
      <c r="JM66" s="33"/>
      <c r="JN66" s="33"/>
      <c r="JO66" s="33"/>
      <c r="JP66" s="33"/>
      <c r="JQ66" s="33"/>
      <c r="JR66" s="33"/>
      <c r="JS66" s="33"/>
      <c r="JT66" s="33"/>
      <c r="JU66" s="33"/>
      <c r="JV66" s="33"/>
      <c r="JW66" s="33"/>
      <c r="JX66" s="33"/>
      <c r="JY66" s="33"/>
      <c r="JZ66" s="33"/>
      <c r="KA66" s="33"/>
      <c r="KB66" s="33"/>
      <c r="KC66" s="33"/>
      <c r="KD66" s="33"/>
      <c r="KE66" s="33"/>
      <c r="KF66" s="33"/>
      <c r="KG66" s="33"/>
      <c r="KH66" s="33"/>
      <c r="KI66" s="33"/>
      <c r="KJ66" s="33"/>
      <c r="KK66" s="33"/>
      <c r="KL66" s="33"/>
      <c r="KM66" s="33"/>
      <c r="KN66" s="33"/>
      <c r="KO66" s="33"/>
      <c r="KP66" s="33"/>
      <c r="KQ66" s="33"/>
      <c r="KR66" s="33"/>
      <c r="KS66" s="33"/>
      <c r="KT66" s="33"/>
      <c r="KU66" s="33"/>
      <c r="KV66" s="33"/>
      <c r="KW66" s="33"/>
      <c r="KX66" s="33"/>
      <c r="KY66" s="33"/>
      <c r="KZ66" s="33"/>
      <c r="LA66" s="33"/>
      <c r="LB66" s="33"/>
      <c r="LC66" s="33"/>
      <c r="LD66" s="33"/>
      <c r="LE66" s="33"/>
      <c r="LF66" s="33"/>
      <c r="LG66" s="33"/>
      <c r="LH66" s="33"/>
      <c r="LI66" s="33"/>
      <c r="LJ66" s="33"/>
      <c r="LK66" s="33"/>
      <c r="LL66" s="33"/>
      <c r="LM66" s="33"/>
      <c r="LN66" s="33"/>
      <c r="LO66" s="33"/>
      <c r="LP66" s="33"/>
      <c r="LQ66" s="33"/>
      <c r="LR66" s="33"/>
      <c r="LS66" s="33"/>
      <c r="LT66" s="33"/>
      <c r="LU66" s="33"/>
      <c r="LV66" s="33"/>
      <c r="LW66" s="33"/>
      <c r="LX66" s="33"/>
      <c r="LY66" s="33"/>
      <c r="LZ66" s="33"/>
      <c r="MA66" s="33"/>
      <c r="MB66" s="33"/>
      <c r="MC66" s="33"/>
      <c r="MD66" s="33"/>
      <c r="ME66" s="33"/>
      <c r="MF66" s="33"/>
      <c r="MG66" s="33"/>
      <c r="MH66" s="33"/>
      <c r="MI66" s="33"/>
      <c r="MJ66" s="33"/>
      <c r="MK66" s="33"/>
      <c r="ML66" s="33"/>
      <c r="MM66" s="33"/>
      <c r="MN66" s="33"/>
      <c r="MO66" s="33"/>
      <c r="MP66" s="33"/>
      <c r="MQ66" s="33"/>
      <c r="MR66" s="33"/>
      <c r="MS66" s="33"/>
      <c r="MT66" s="33"/>
      <c r="MU66" s="33"/>
      <c r="MV66" s="33"/>
    </row>
    <row r="67" spans="1:360" ht="0.75" customHeight="1" x14ac:dyDescent="0.25">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33"/>
      <c r="BX67" s="33"/>
      <c r="BY67" s="33"/>
      <c r="BZ67" s="33"/>
      <c r="CA67" s="33"/>
      <c r="CB67" s="33"/>
      <c r="CC67" s="33"/>
      <c r="CD67" s="33"/>
      <c r="CE67" s="33"/>
      <c r="CF67" s="33"/>
      <c r="CG67" s="33"/>
      <c r="CH67" s="33"/>
      <c r="CI67" s="33"/>
      <c r="CJ67" s="33"/>
      <c r="CK67" s="33"/>
      <c r="CL67" s="33"/>
      <c r="CM67" s="33"/>
      <c r="CN67" s="33"/>
      <c r="CO67" s="33"/>
      <c r="CP67" s="33"/>
      <c r="CQ67" s="33"/>
      <c r="CR67" s="33"/>
      <c r="CS67" s="33"/>
      <c r="CT67" s="33"/>
      <c r="CU67" s="33"/>
      <c r="CV67" s="33"/>
      <c r="CW67" s="33"/>
      <c r="CX67" s="33"/>
      <c r="CY67" s="33"/>
      <c r="CZ67" s="33"/>
      <c r="DA67" s="33"/>
      <c r="DB67" s="33"/>
      <c r="DC67" s="33"/>
      <c r="DD67" s="33"/>
      <c r="DE67" s="33"/>
      <c r="DF67" s="33"/>
      <c r="DG67" s="33"/>
      <c r="DH67" s="33"/>
      <c r="DI67" s="33"/>
      <c r="DJ67" s="33"/>
      <c r="DK67" s="33"/>
      <c r="DL67" s="33"/>
      <c r="DM67" s="33"/>
      <c r="DN67" s="33"/>
      <c r="DO67" s="33"/>
      <c r="DP67" s="33"/>
      <c r="DQ67" s="33"/>
      <c r="DR67" s="33"/>
      <c r="DS67" s="33"/>
      <c r="DT67" s="33"/>
      <c r="DU67" s="33"/>
      <c r="DV67" s="33"/>
      <c r="DW67" s="33"/>
      <c r="DX67" s="33"/>
      <c r="DY67" s="33"/>
      <c r="DZ67" s="33"/>
      <c r="EA67" s="33"/>
      <c r="EB67" s="33"/>
      <c r="EC67" s="33"/>
      <c r="ED67" s="33"/>
      <c r="EE67" s="33"/>
      <c r="EF67" s="33"/>
      <c r="EG67" s="33"/>
      <c r="EH67" s="33"/>
      <c r="EI67" s="33"/>
      <c r="EJ67" s="33"/>
      <c r="EK67" s="33"/>
      <c r="EL67" s="33"/>
      <c r="EM67" s="33"/>
      <c r="EN67" s="33"/>
      <c r="EO67" s="33"/>
      <c r="EP67" s="33"/>
      <c r="EQ67" s="33"/>
      <c r="ER67" s="33"/>
      <c r="ES67" s="33"/>
      <c r="ET67" s="33"/>
      <c r="EU67" s="33"/>
      <c r="EV67" s="33"/>
      <c r="EW67" s="33"/>
      <c r="EX67" s="33"/>
      <c r="EY67" s="33"/>
      <c r="EZ67" s="33"/>
      <c r="FA67" s="33"/>
      <c r="FB67" s="33"/>
      <c r="FC67" s="33"/>
      <c r="FD67" s="33"/>
      <c r="FE67" s="33"/>
      <c r="FF67" s="33"/>
      <c r="FG67" s="33"/>
      <c r="FH67" s="33"/>
      <c r="FI67" s="33"/>
      <c r="FJ67" s="33"/>
      <c r="FK67" s="33"/>
      <c r="FL67" s="33"/>
      <c r="FM67" s="33"/>
      <c r="FN67" s="33"/>
      <c r="FO67" s="33"/>
      <c r="FP67" s="33"/>
      <c r="FQ67" s="33"/>
      <c r="FR67" s="33"/>
      <c r="FS67" s="33"/>
      <c r="FT67" s="33"/>
      <c r="FU67" s="33"/>
      <c r="FV67" s="33"/>
      <c r="FW67" s="33"/>
      <c r="FX67" s="33"/>
      <c r="FY67" s="33"/>
      <c r="FZ67" s="33"/>
      <c r="GA67" s="33"/>
      <c r="GB67" s="33"/>
      <c r="GC67" s="33"/>
      <c r="GD67" s="33"/>
      <c r="GE67" s="33"/>
      <c r="GF67" s="33"/>
      <c r="GG67" s="33"/>
      <c r="GH67" s="33"/>
      <c r="GI67" s="33"/>
      <c r="GJ67" s="33"/>
      <c r="GK67" s="33"/>
      <c r="GL67" s="33"/>
      <c r="GM67" s="33"/>
      <c r="GN67" s="33"/>
      <c r="GO67" s="33"/>
      <c r="GP67" s="33"/>
      <c r="GQ67" s="33"/>
      <c r="GR67" s="33"/>
      <c r="GS67" s="33"/>
      <c r="GT67" s="33"/>
      <c r="GU67" s="33"/>
      <c r="GV67" s="33"/>
      <c r="GW67" s="33"/>
      <c r="GX67" s="33"/>
      <c r="GY67" s="33"/>
      <c r="GZ67" s="33"/>
      <c r="HA67" s="33"/>
      <c r="HB67" s="33"/>
      <c r="HC67" s="33"/>
      <c r="HD67" s="33"/>
      <c r="HE67" s="33"/>
      <c r="HF67" s="33"/>
      <c r="HG67" s="33"/>
      <c r="HH67" s="33"/>
      <c r="HI67" s="33"/>
      <c r="HJ67" s="33"/>
      <c r="HK67" s="33"/>
      <c r="HL67" s="33"/>
      <c r="HM67" s="33"/>
      <c r="HN67" s="33"/>
      <c r="HO67" s="33"/>
      <c r="HP67" s="33"/>
      <c r="HQ67" s="33"/>
      <c r="HR67" s="33"/>
      <c r="HS67" s="33"/>
      <c r="HT67" s="33"/>
      <c r="HU67" s="33"/>
      <c r="HV67" s="33"/>
      <c r="HW67" s="33"/>
      <c r="HX67" s="33"/>
      <c r="HY67" s="33"/>
      <c r="HZ67" s="33"/>
      <c r="IA67" s="33"/>
      <c r="IB67" s="33"/>
      <c r="IC67" s="33"/>
      <c r="ID67" s="33"/>
      <c r="IE67" s="33"/>
      <c r="IF67" s="33"/>
      <c r="IG67" s="33"/>
      <c r="IH67" s="33"/>
      <c r="II67" s="33"/>
      <c r="IJ67" s="33"/>
      <c r="IK67" s="33"/>
      <c r="IL67" s="33"/>
      <c r="IM67" s="33"/>
      <c r="IN67" s="33"/>
      <c r="IO67" s="33"/>
      <c r="IP67" s="33"/>
      <c r="IQ67" s="33"/>
      <c r="IR67" s="33"/>
      <c r="IS67" s="33"/>
      <c r="IT67" s="33"/>
      <c r="IU67" s="33"/>
      <c r="IV67" s="33"/>
      <c r="IW67" s="33"/>
      <c r="IX67" s="33"/>
      <c r="IY67" s="33"/>
      <c r="IZ67" s="33"/>
      <c r="JA67" s="33"/>
      <c r="JB67" s="33"/>
      <c r="JC67" s="33"/>
      <c r="JD67" s="33"/>
      <c r="JE67" s="33"/>
      <c r="JF67" s="33"/>
      <c r="JG67" s="33"/>
      <c r="JH67" s="33"/>
      <c r="JI67" s="33"/>
      <c r="JJ67" s="33"/>
      <c r="JK67" s="33"/>
      <c r="JL67" s="33"/>
      <c r="JM67" s="33"/>
      <c r="JN67" s="33"/>
      <c r="JO67" s="33"/>
      <c r="JP67" s="33"/>
      <c r="JQ67" s="33"/>
      <c r="JR67" s="33"/>
      <c r="JS67" s="33"/>
      <c r="JT67" s="33"/>
      <c r="JU67" s="33"/>
      <c r="JV67" s="33"/>
      <c r="JW67" s="33"/>
      <c r="JX67" s="33"/>
      <c r="JY67" s="33"/>
      <c r="JZ67" s="33"/>
      <c r="KA67" s="33"/>
      <c r="KB67" s="33"/>
      <c r="KC67" s="33"/>
      <c r="KD67" s="33"/>
      <c r="KE67" s="33"/>
      <c r="KF67" s="33"/>
      <c r="KG67" s="33"/>
      <c r="KH67" s="33"/>
      <c r="KI67" s="33"/>
      <c r="KJ67" s="33"/>
      <c r="KK67" s="33"/>
      <c r="KL67" s="33"/>
      <c r="KM67" s="33"/>
      <c r="KN67" s="33"/>
      <c r="KO67" s="33"/>
      <c r="KP67" s="33"/>
      <c r="KQ67" s="33"/>
      <c r="KR67" s="33"/>
      <c r="KS67" s="33"/>
      <c r="KT67" s="33"/>
      <c r="KU67" s="33"/>
      <c r="KV67" s="33"/>
      <c r="KW67" s="33"/>
      <c r="KX67" s="33"/>
      <c r="KY67" s="33"/>
      <c r="KZ67" s="33"/>
      <c r="LA67" s="33"/>
      <c r="LB67" s="33"/>
      <c r="LC67" s="33"/>
      <c r="LD67" s="33"/>
      <c r="LE67" s="33"/>
      <c r="LF67" s="33"/>
      <c r="LG67" s="33"/>
      <c r="LH67" s="33"/>
      <c r="LI67" s="33"/>
      <c r="LJ67" s="33"/>
      <c r="LK67" s="33"/>
      <c r="LL67" s="33"/>
      <c r="LM67" s="33"/>
      <c r="LN67" s="33"/>
      <c r="LO67" s="33"/>
      <c r="LP67" s="33"/>
      <c r="LQ67" s="33"/>
      <c r="LR67" s="33"/>
      <c r="LS67" s="33"/>
      <c r="LT67" s="33"/>
      <c r="LU67" s="33"/>
      <c r="LV67" s="33"/>
      <c r="LW67" s="33"/>
      <c r="LX67" s="33"/>
      <c r="LY67" s="33"/>
      <c r="LZ67" s="33"/>
      <c r="MA67" s="33"/>
      <c r="MB67" s="33"/>
      <c r="MC67" s="33"/>
      <c r="MD67" s="33"/>
      <c r="ME67" s="33"/>
      <c r="MF67" s="33"/>
      <c r="MG67" s="33"/>
      <c r="MH67" s="33"/>
      <c r="MI67" s="33"/>
      <c r="MJ67" s="33"/>
      <c r="MK67" s="33"/>
      <c r="ML67" s="33"/>
      <c r="MM67" s="33"/>
      <c r="MN67" s="33"/>
      <c r="MO67" s="33"/>
      <c r="MP67" s="33"/>
      <c r="MQ67" s="33"/>
      <c r="MR67" s="33"/>
      <c r="MS67" s="33"/>
      <c r="MT67" s="33"/>
      <c r="MU67" s="33"/>
      <c r="MV67" s="33"/>
    </row>
    <row r="68" spans="1:360" ht="0.75" customHeight="1" x14ac:dyDescent="0.25">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c r="BZ68" s="33"/>
      <c r="CA68" s="33"/>
      <c r="CB68" s="33"/>
      <c r="CC68" s="33"/>
      <c r="CD68" s="33"/>
      <c r="CE68" s="33"/>
      <c r="CF68" s="33"/>
      <c r="CG68" s="33"/>
      <c r="CH68" s="33"/>
      <c r="CI68" s="33"/>
      <c r="CJ68" s="33"/>
      <c r="CK68" s="33"/>
      <c r="CL68" s="33"/>
      <c r="CM68" s="33"/>
      <c r="CN68" s="33"/>
      <c r="CO68" s="33"/>
      <c r="CP68" s="33"/>
      <c r="CQ68" s="33"/>
      <c r="CR68" s="33"/>
      <c r="CS68" s="33"/>
      <c r="CT68" s="33"/>
      <c r="CU68" s="33"/>
      <c r="CV68" s="33"/>
      <c r="CW68" s="33"/>
      <c r="CX68" s="33"/>
      <c r="CY68" s="33"/>
      <c r="CZ68" s="33"/>
      <c r="DA68" s="33"/>
      <c r="DB68" s="33"/>
      <c r="DC68" s="33"/>
      <c r="DD68" s="33"/>
      <c r="DE68" s="33"/>
      <c r="DF68" s="33"/>
      <c r="DG68" s="33"/>
      <c r="DH68" s="33"/>
      <c r="DI68" s="33"/>
      <c r="DJ68" s="33"/>
      <c r="DK68" s="33"/>
      <c r="DL68" s="33"/>
      <c r="DM68" s="33"/>
      <c r="DN68" s="33"/>
      <c r="DO68" s="33"/>
      <c r="DP68" s="33"/>
      <c r="DQ68" s="33"/>
      <c r="DR68" s="33"/>
      <c r="DS68" s="33"/>
      <c r="DT68" s="33"/>
      <c r="DU68" s="33"/>
      <c r="DV68" s="33"/>
      <c r="DW68" s="33"/>
      <c r="DX68" s="33"/>
      <c r="DY68" s="33"/>
      <c r="DZ68" s="33"/>
      <c r="EA68" s="33"/>
      <c r="EB68" s="33"/>
      <c r="EC68" s="33"/>
      <c r="ED68" s="33"/>
      <c r="EE68" s="33"/>
      <c r="EF68" s="33"/>
      <c r="EG68" s="33"/>
      <c r="EH68" s="33"/>
      <c r="EI68" s="33"/>
      <c r="EJ68" s="33"/>
      <c r="EK68" s="33"/>
      <c r="EL68" s="33"/>
      <c r="EM68" s="33"/>
      <c r="EN68" s="33"/>
      <c r="EO68" s="33"/>
      <c r="EP68" s="33"/>
      <c r="EQ68" s="33"/>
      <c r="ER68" s="33"/>
      <c r="ES68" s="33"/>
      <c r="ET68" s="33"/>
      <c r="EU68" s="33"/>
      <c r="EV68" s="33"/>
      <c r="EW68" s="33"/>
      <c r="EX68" s="33"/>
      <c r="EY68" s="33"/>
      <c r="EZ68" s="33"/>
      <c r="FA68" s="33"/>
      <c r="FB68" s="33"/>
      <c r="FC68" s="33"/>
      <c r="FD68" s="33"/>
      <c r="FE68" s="33"/>
      <c r="FF68" s="33"/>
      <c r="FG68" s="33"/>
      <c r="FH68" s="33"/>
      <c r="FI68" s="33"/>
      <c r="FJ68" s="33"/>
      <c r="FK68" s="33"/>
      <c r="FL68" s="33"/>
      <c r="FM68" s="33"/>
      <c r="FN68" s="33"/>
      <c r="FO68" s="33"/>
      <c r="FP68" s="33"/>
      <c r="FQ68" s="33"/>
      <c r="FR68" s="33"/>
      <c r="FS68" s="33"/>
      <c r="FT68" s="33"/>
      <c r="FU68" s="33"/>
      <c r="FV68" s="33"/>
      <c r="FW68" s="33"/>
      <c r="FX68" s="33"/>
      <c r="FY68" s="33"/>
      <c r="FZ68" s="33"/>
      <c r="GA68" s="33"/>
      <c r="GB68" s="33"/>
      <c r="GC68" s="33"/>
      <c r="GD68" s="33"/>
      <c r="GE68" s="33"/>
      <c r="GF68" s="33"/>
      <c r="GG68" s="33"/>
      <c r="GH68" s="33"/>
      <c r="GI68" s="33"/>
      <c r="GJ68" s="33"/>
      <c r="GK68" s="33"/>
      <c r="GL68" s="33"/>
      <c r="GM68" s="33"/>
      <c r="GN68" s="33"/>
      <c r="GO68" s="33"/>
      <c r="GP68" s="33"/>
      <c r="GQ68" s="33"/>
      <c r="GR68" s="33"/>
      <c r="GS68" s="33"/>
      <c r="GT68" s="33"/>
      <c r="GU68" s="33"/>
      <c r="GV68" s="33"/>
      <c r="GW68" s="33"/>
      <c r="GX68" s="33"/>
      <c r="GY68" s="33"/>
      <c r="GZ68" s="33"/>
      <c r="HA68" s="33"/>
      <c r="HB68" s="33"/>
      <c r="HC68" s="33"/>
      <c r="HD68" s="33"/>
      <c r="HE68" s="33"/>
      <c r="HF68" s="33"/>
      <c r="HG68" s="33"/>
      <c r="HH68" s="33"/>
      <c r="HI68" s="33"/>
      <c r="HJ68" s="33"/>
      <c r="HK68" s="33"/>
      <c r="HL68" s="33"/>
      <c r="HM68" s="33"/>
      <c r="HN68" s="33"/>
      <c r="HO68" s="33"/>
      <c r="HP68" s="33"/>
      <c r="HQ68" s="33"/>
      <c r="HR68" s="33"/>
      <c r="HS68" s="33"/>
      <c r="HT68" s="33"/>
      <c r="HU68" s="33"/>
      <c r="HV68" s="33"/>
      <c r="HW68" s="33"/>
      <c r="HX68" s="33"/>
      <c r="HY68" s="33"/>
      <c r="HZ68" s="33"/>
      <c r="IA68" s="33"/>
      <c r="IB68" s="33"/>
      <c r="IC68" s="33"/>
      <c r="ID68" s="33"/>
      <c r="IE68" s="33"/>
      <c r="IF68" s="33"/>
      <c r="IG68" s="33"/>
      <c r="IH68" s="33"/>
      <c r="II68" s="33"/>
      <c r="IJ68" s="33"/>
      <c r="IK68" s="33"/>
      <c r="IL68" s="33"/>
      <c r="IM68" s="33"/>
      <c r="IN68" s="33"/>
      <c r="IO68" s="33"/>
      <c r="IP68" s="33"/>
      <c r="IQ68" s="33"/>
      <c r="IR68" s="33"/>
      <c r="IS68" s="33"/>
      <c r="IT68" s="33"/>
      <c r="IU68" s="33"/>
      <c r="IV68" s="33"/>
      <c r="IW68" s="33"/>
      <c r="IX68" s="33"/>
      <c r="IY68" s="33"/>
      <c r="IZ68" s="33"/>
      <c r="JA68" s="33"/>
      <c r="JB68" s="33"/>
      <c r="JC68" s="33"/>
      <c r="JD68" s="33"/>
      <c r="JE68" s="33"/>
      <c r="JF68" s="33"/>
      <c r="JG68" s="33"/>
      <c r="JH68" s="33"/>
      <c r="JI68" s="33"/>
      <c r="JJ68" s="33"/>
      <c r="JK68" s="33"/>
      <c r="JL68" s="33"/>
      <c r="JM68" s="33"/>
      <c r="JN68" s="33"/>
      <c r="JO68" s="33"/>
      <c r="JP68" s="33"/>
      <c r="JQ68" s="33"/>
      <c r="JR68" s="33"/>
      <c r="JS68" s="33"/>
      <c r="JT68" s="33"/>
      <c r="JU68" s="33"/>
      <c r="JV68" s="33"/>
      <c r="JW68" s="33"/>
      <c r="JX68" s="33"/>
      <c r="JY68" s="33"/>
      <c r="JZ68" s="33"/>
      <c r="KA68" s="33"/>
      <c r="KB68" s="33"/>
      <c r="KC68" s="33"/>
      <c r="KD68" s="33"/>
      <c r="KE68" s="33"/>
      <c r="KF68" s="33"/>
      <c r="KG68" s="33"/>
      <c r="KH68" s="33"/>
      <c r="KI68" s="33"/>
      <c r="KJ68" s="33"/>
      <c r="KK68" s="33"/>
      <c r="KL68" s="33"/>
      <c r="KM68" s="33"/>
      <c r="KN68" s="33"/>
      <c r="KO68" s="33"/>
      <c r="KP68" s="33"/>
      <c r="KQ68" s="33"/>
      <c r="KR68" s="33"/>
      <c r="KS68" s="33"/>
      <c r="KT68" s="33"/>
      <c r="KU68" s="33"/>
      <c r="KV68" s="33"/>
      <c r="KW68" s="33"/>
      <c r="KX68" s="33"/>
      <c r="KY68" s="33"/>
      <c r="KZ68" s="33"/>
      <c r="LA68" s="33"/>
      <c r="LB68" s="33"/>
      <c r="LC68" s="33"/>
      <c r="LD68" s="33"/>
      <c r="LE68" s="33"/>
      <c r="LF68" s="33"/>
      <c r="LG68" s="33"/>
      <c r="LH68" s="33"/>
      <c r="LI68" s="33"/>
      <c r="LJ68" s="33"/>
      <c r="LK68" s="33"/>
      <c r="LL68" s="33"/>
      <c r="LM68" s="33"/>
      <c r="LN68" s="33"/>
      <c r="LO68" s="33"/>
      <c r="LP68" s="33"/>
      <c r="LQ68" s="33"/>
      <c r="LR68" s="33"/>
      <c r="LS68" s="33"/>
      <c r="LT68" s="33"/>
      <c r="LU68" s="33"/>
      <c r="LV68" s="33"/>
      <c r="LW68" s="33"/>
      <c r="LX68" s="33"/>
      <c r="LY68" s="33"/>
      <c r="LZ68" s="33"/>
      <c r="MA68" s="33"/>
      <c r="MB68" s="33"/>
      <c r="MC68" s="33"/>
      <c r="MD68" s="33"/>
      <c r="ME68" s="33"/>
      <c r="MF68" s="33"/>
      <c r="MG68" s="33"/>
      <c r="MH68" s="33"/>
      <c r="MI68" s="33"/>
      <c r="MJ68" s="33"/>
      <c r="MK68" s="33"/>
      <c r="ML68" s="33"/>
      <c r="MM68" s="33"/>
      <c r="MN68" s="33"/>
      <c r="MO68" s="33"/>
      <c r="MP68" s="33"/>
      <c r="MQ68" s="33"/>
      <c r="MR68" s="33"/>
      <c r="MS68" s="33"/>
      <c r="MT68" s="33"/>
      <c r="MU68" s="33"/>
      <c r="MV68" s="33"/>
    </row>
    <row r="69" spans="1:360" ht="0.75" customHeight="1" x14ac:dyDescent="0.25">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33"/>
      <c r="CA69" s="33"/>
      <c r="CB69" s="33"/>
      <c r="CC69" s="33"/>
      <c r="CD69" s="33"/>
      <c r="CE69" s="33"/>
      <c r="CF69" s="33"/>
      <c r="CG69" s="33"/>
      <c r="CH69" s="33"/>
      <c r="CI69" s="33"/>
      <c r="CJ69" s="33"/>
      <c r="CK69" s="33"/>
      <c r="CL69" s="33"/>
      <c r="CM69" s="33"/>
      <c r="CN69" s="33"/>
      <c r="CO69" s="33"/>
      <c r="CP69" s="33"/>
      <c r="CQ69" s="33"/>
      <c r="CR69" s="33"/>
      <c r="CS69" s="33"/>
      <c r="CT69" s="33"/>
      <c r="CU69" s="33"/>
      <c r="CV69" s="33"/>
      <c r="CW69" s="33"/>
      <c r="CX69" s="33"/>
      <c r="CY69" s="33"/>
      <c r="CZ69" s="33"/>
      <c r="DA69" s="33"/>
      <c r="DB69" s="33"/>
      <c r="DC69" s="33"/>
      <c r="DD69" s="33"/>
      <c r="DE69" s="33"/>
      <c r="DF69" s="33"/>
      <c r="DG69" s="33"/>
      <c r="DH69" s="33"/>
      <c r="DI69" s="33"/>
      <c r="DJ69" s="33"/>
      <c r="DK69" s="33"/>
      <c r="DL69" s="33"/>
      <c r="DM69" s="33"/>
      <c r="DN69" s="33"/>
      <c r="DO69" s="33"/>
      <c r="DP69" s="33"/>
      <c r="DQ69" s="33"/>
      <c r="DR69" s="33"/>
      <c r="DS69" s="33"/>
      <c r="DT69" s="33"/>
      <c r="DU69" s="33"/>
      <c r="DV69" s="33"/>
      <c r="DW69" s="33"/>
      <c r="DX69" s="33"/>
      <c r="DY69" s="33"/>
      <c r="DZ69" s="33"/>
      <c r="EA69" s="33"/>
      <c r="EB69" s="33"/>
      <c r="EC69" s="33"/>
      <c r="ED69" s="33"/>
      <c r="EE69" s="33"/>
      <c r="EF69" s="33"/>
      <c r="EG69" s="33"/>
      <c r="EH69" s="33"/>
      <c r="EI69" s="33"/>
      <c r="EJ69" s="33"/>
      <c r="EK69" s="33"/>
      <c r="EL69" s="33"/>
      <c r="EM69" s="33"/>
      <c r="EN69" s="33"/>
      <c r="EO69" s="33"/>
      <c r="EP69" s="33"/>
      <c r="EQ69" s="33"/>
      <c r="ER69" s="33"/>
      <c r="ES69" s="33"/>
      <c r="ET69" s="33"/>
      <c r="EU69" s="33"/>
      <c r="EV69" s="33"/>
      <c r="EW69" s="33"/>
      <c r="EX69" s="33"/>
      <c r="EY69" s="33"/>
      <c r="EZ69" s="33"/>
      <c r="FA69" s="33"/>
      <c r="FB69" s="33"/>
      <c r="FC69" s="33"/>
      <c r="FD69" s="33"/>
      <c r="FE69" s="33"/>
      <c r="FF69" s="33"/>
      <c r="FG69" s="33"/>
      <c r="FH69" s="33"/>
      <c r="FI69" s="33"/>
      <c r="FJ69" s="33"/>
      <c r="FK69" s="33"/>
      <c r="FL69" s="33"/>
      <c r="FM69" s="33"/>
      <c r="FN69" s="33"/>
      <c r="FO69" s="33"/>
      <c r="FP69" s="33"/>
      <c r="FQ69" s="33"/>
      <c r="FR69" s="33"/>
      <c r="FS69" s="33"/>
      <c r="FT69" s="33"/>
      <c r="FU69" s="33"/>
      <c r="FV69" s="33"/>
      <c r="FW69" s="33"/>
      <c r="FX69" s="33"/>
      <c r="FY69" s="33"/>
      <c r="FZ69" s="33"/>
      <c r="GA69" s="33"/>
      <c r="GB69" s="33"/>
      <c r="GC69" s="33"/>
      <c r="GD69" s="33"/>
      <c r="GE69" s="33"/>
      <c r="GF69" s="33"/>
      <c r="GG69" s="33"/>
      <c r="GH69" s="33"/>
      <c r="GI69" s="33"/>
      <c r="GJ69" s="33"/>
      <c r="GK69" s="33"/>
      <c r="GL69" s="33"/>
      <c r="GM69" s="33"/>
      <c r="GN69" s="33"/>
      <c r="GO69" s="33"/>
      <c r="GP69" s="33"/>
      <c r="GQ69" s="33"/>
      <c r="GR69" s="33"/>
      <c r="GS69" s="33"/>
      <c r="GT69" s="33"/>
      <c r="GU69" s="33"/>
      <c r="GV69" s="33"/>
      <c r="GW69" s="33"/>
      <c r="GX69" s="33"/>
      <c r="GY69" s="33"/>
      <c r="GZ69" s="33"/>
      <c r="HA69" s="33"/>
      <c r="HB69" s="33"/>
      <c r="HC69" s="33"/>
      <c r="HD69" s="33"/>
      <c r="HE69" s="33"/>
      <c r="HF69" s="33"/>
      <c r="HG69" s="33"/>
      <c r="HH69" s="33"/>
      <c r="HI69" s="33"/>
      <c r="HJ69" s="33"/>
      <c r="HK69" s="33"/>
      <c r="HL69" s="33"/>
      <c r="HM69" s="33"/>
      <c r="HN69" s="33"/>
      <c r="HO69" s="33"/>
      <c r="HP69" s="33"/>
      <c r="HQ69" s="33"/>
      <c r="HR69" s="33"/>
      <c r="HS69" s="33"/>
      <c r="HT69" s="33"/>
      <c r="HU69" s="33"/>
      <c r="HV69" s="33"/>
      <c r="HW69" s="33"/>
      <c r="HX69" s="33"/>
      <c r="HY69" s="33"/>
      <c r="HZ69" s="33"/>
      <c r="IA69" s="33"/>
      <c r="IB69" s="33"/>
      <c r="IC69" s="33"/>
      <c r="ID69" s="33"/>
      <c r="IE69" s="33"/>
      <c r="IF69" s="33"/>
      <c r="IG69" s="33"/>
      <c r="IH69" s="33"/>
      <c r="II69" s="33"/>
      <c r="IJ69" s="33"/>
      <c r="IK69" s="33"/>
      <c r="IL69" s="33"/>
      <c r="IM69" s="33"/>
      <c r="IN69" s="33"/>
      <c r="IO69" s="33"/>
      <c r="IP69" s="33"/>
      <c r="IQ69" s="33"/>
      <c r="IR69" s="33"/>
      <c r="IS69" s="33"/>
      <c r="IT69" s="33"/>
      <c r="IU69" s="33"/>
      <c r="IV69" s="33"/>
      <c r="IW69" s="33"/>
      <c r="IX69" s="33"/>
      <c r="IY69" s="33"/>
      <c r="IZ69" s="33"/>
      <c r="JA69" s="33"/>
      <c r="JB69" s="33"/>
      <c r="JC69" s="33"/>
      <c r="JD69" s="33"/>
      <c r="JE69" s="33"/>
      <c r="JF69" s="33"/>
      <c r="JG69" s="33"/>
      <c r="JH69" s="33"/>
      <c r="JI69" s="33"/>
      <c r="JJ69" s="33"/>
      <c r="JK69" s="33"/>
      <c r="JL69" s="33"/>
      <c r="JM69" s="33"/>
      <c r="JN69" s="33"/>
      <c r="JO69" s="33"/>
      <c r="JP69" s="33"/>
      <c r="JQ69" s="33"/>
      <c r="JR69" s="33"/>
      <c r="JS69" s="33"/>
      <c r="JT69" s="33"/>
      <c r="JU69" s="33"/>
      <c r="JV69" s="33"/>
      <c r="JW69" s="33"/>
      <c r="JX69" s="33"/>
      <c r="JY69" s="33"/>
      <c r="JZ69" s="33"/>
      <c r="KA69" s="33"/>
      <c r="KB69" s="33"/>
      <c r="KC69" s="33"/>
      <c r="KD69" s="33"/>
      <c r="KE69" s="33"/>
      <c r="KF69" s="33"/>
      <c r="KG69" s="33"/>
      <c r="KH69" s="33"/>
      <c r="KI69" s="33"/>
      <c r="KJ69" s="33"/>
      <c r="KK69" s="33"/>
      <c r="KL69" s="33"/>
      <c r="KM69" s="33"/>
      <c r="KN69" s="33"/>
      <c r="KO69" s="33"/>
      <c r="KP69" s="33"/>
      <c r="KQ69" s="33"/>
      <c r="KR69" s="33"/>
      <c r="KS69" s="33"/>
      <c r="KT69" s="33"/>
      <c r="KU69" s="33"/>
      <c r="KV69" s="33"/>
      <c r="KW69" s="33"/>
      <c r="KX69" s="33"/>
      <c r="KY69" s="33"/>
      <c r="KZ69" s="33"/>
      <c r="LA69" s="33"/>
      <c r="LB69" s="33"/>
      <c r="LC69" s="33"/>
      <c r="LD69" s="33"/>
      <c r="LE69" s="33"/>
      <c r="LF69" s="33"/>
      <c r="LG69" s="33"/>
      <c r="LH69" s="33"/>
      <c r="LI69" s="33"/>
      <c r="LJ69" s="33"/>
      <c r="LK69" s="33"/>
      <c r="LL69" s="33"/>
      <c r="LM69" s="33"/>
      <c r="LN69" s="33"/>
      <c r="LO69" s="33"/>
      <c r="LP69" s="33"/>
      <c r="LQ69" s="33"/>
      <c r="LR69" s="33"/>
      <c r="LS69" s="33"/>
      <c r="LT69" s="33"/>
      <c r="LU69" s="33"/>
      <c r="LV69" s="33"/>
      <c r="LW69" s="33"/>
      <c r="LX69" s="33"/>
      <c r="LY69" s="33"/>
      <c r="LZ69" s="33"/>
      <c r="MA69" s="33"/>
      <c r="MB69" s="33"/>
      <c r="MC69" s="33"/>
      <c r="MD69" s="33"/>
      <c r="ME69" s="33"/>
      <c r="MF69" s="33"/>
      <c r="MG69" s="33"/>
      <c r="MH69" s="33"/>
      <c r="MI69" s="33"/>
      <c r="MJ69" s="33"/>
      <c r="MK69" s="33"/>
      <c r="ML69" s="33"/>
      <c r="MM69" s="33"/>
      <c r="MN69" s="33"/>
      <c r="MO69" s="33"/>
      <c r="MP69" s="33"/>
      <c r="MQ69" s="33"/>
      <c r="MR69" s="33"/>
      <c r="MS69" s="33"/>
      <c r="MT69" s="33"/>
      <c r="MU69" s="33"/>
      <c r="MV69" s="33"/>
    </row>
    <row r="70" spans="1:360" ht="0.75" customHeight="1" x14ac:dyDescent="0.25">
      <c r="A70" s="33"/>
      <c r="B70" s="33"/>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33"/>
      <c r="CA70" s="33"/>
      <c r="CB70" s="33"/>
      <c r="CC70" s="33"/>
      <c r="CD70" s="33"/>
      <c r="CE70" s="33"/>
      <c r="CF70" s="33"/>
      <c r="CG70" s="33"/>
      <c r="CH70" s="33"/>
      <c r="CI70" s="33"/>
      <c r="CJ70" s="33"/>
      <c r="CK70" s="33"/>
      <c r="CL70" s="33"/>
      <c r="CM70" s="33"/>
      <c r="CN70" s="33"/>
      <c r="CO70" s="33"/>
      <c r="CP70" s="33"/>
      <c r="CQ70" s="33"/>
      <c r="CR70" s="33"/>
      <c r="CS70" s="33"/>
      <c r="CT70" s="33"/>
      <c r="CU70" s="33"/>
      <c r="CV70" s="33"/>
      <c r="CW70" s="33"/>
      <c r="CX70" s="33"/>
      <c r="CY70" s="33"/>
      <c r="CZ70" s="33"/>
      <c r="DA70" s="33"/>
      <c r="DB70" s="33"/>
      <c r="DC70" s="33"/>
      <c r="DD70" s="33"/>
      <c r="DE70" s="33"/>
      <c r="DF70" s="33"/>
      <c r="DG70" s="33"/>
      <c r="DH70" s="33"/>
      <c r="DI70" s="33"/>
      <c r="DJ70" s="33"/>
      <c r="DK70" s="33"/>
      <c r="DL70" s="33"/>
      <c r="DM70" s="33"/>
      <c r="DN70" s="33"/>
      <c r="DO70" s="33"/>
      <c r="DP70" s="33"/>
      <c r="DQ70" s="33"/>
      <c r="DR70" s="33"/>
      <c r="DS70" s="33"/>
      <c r="DT70" s="33"/>
      <c r="DU70" s="33"/>
      <c r="DV70" s="33"/>
      <c r="DW70" s="33"/>
      <c r="DX70" s="33"/>
      <c r="DY70" s="33"/>
      <c r="DZ70" s="33"/>
      <c r="EA70" s="33"/>
      <c r="EB70" s="33"/>
      <c r="EC70" s="33"/>
      <c r="ED70" s="33"/>
      <c r="EE70" s="33"/>
      <c r="EF70" s="33"/>
      <c r="EG70" s="33"/>
      <c r="EH70" s="33"/>
      <c r="EI70" s="33"/>
      <c r="EJ70" s="33"/>
      <c r="EK70" s="33"/>
      <c r="EL70" s="33"/>
      <c r="EM70" s="33"/>
      <c r="EN70" s="33"/>
      <c r="EO70" s="33"/>
      <c r="EP70" s="33"/>
      <c r="EQ70" s="33"/>
      <c r="ER70" s="33"/>
      <c r="ES70" s="33"/>
      <c r="ET70" s="33"/>
      <c r="EU70" s="33"/>
      <c r="EV70" s="33"/>
      <c r="EW70" s="33"/>
      <c r="EX70" s="33"/>
      <c r="EY70" s="33"/>
      <c r="EZ70" s="33"/>
      <c r="FA70" s="33"/>
      <c r="FB70" s="33"/>
      <c r="FC70" s="33"/>
      <c r="FD70" s="33"/>
      <c r="FE70" s="33"/>
      <c r="FF70" s="33"/>
      <c r="FG70" s="33"/>
      <c r="FH70" s="33"/>
      <c r="FI70" s="33"/>
      <c r="FJ70" s="33"/>
      <c r="FK70" s="33"/>
      <c r="FL70" s="33"/>
      <c r="FM70" s="33"/>
      <c r="FN70" s="33"/>
      <c r="FO70" s="33"/>
      <c r="FP70" s="33"/>
      <c r="FQ70" s="33"/>
      <c r="FR70" s="33"/>
      <c r="FS70" s="33"/>
      <c r="FT70" s="33"/>
      <c r="FU70" s="33"/>
      <c r="FV70" s="33"/>
      <c r="FW70" s="33"/>
      <c r="FX70" s="33"/>
      <c r="FY70" s="33"/>
      <c r="FZ70" s="33"/>
      <c r="GA70" s="33"/>
      <c r="GB70" s="33"/>
      <c r="GC70" s="33"/>
      <c r="GD70" s="33"/>
      <c r="GE70" s="33"/>
      <c r="GF70" s="33"/>
      <c r="GG70" s="33"/>
      <c r="GH70" s="33"/>
      <c r="GI70" s="33"/>
      <c r="GJ70" s="33"/>
      <c r="GK70" s="33"/>
      <c r="GL70" s="33"/>
      <c r="GM70" s="33"/>
      <c r="GN70" s="33"/>
      <c r="GO70" s="33"/>
      <c r="GP70" s="33"/>
      <c r="GQ70" s="33"/>
      <c r="GR70" s="33"/>
      <c r="GS70" s="33"/>
      <c r="GT70" s="33"/>
      <c r="GU70" s="33"/>
      <c r="GV70" s="33"/>
      <c r="GW70" s="33"/>
      <c r="GX70" s="33"/>
      <c r="GY70" s="33"/>
      <c r="GZ70" s="33"/>
      <c r="HA70" s="33"/>
      <c r="HB70" s="33"/>
      <c r="HC70" s="33"/>
      <c r="HD70" s="33"/>
      <c r="HE70" s="33"/>
      <c r="HF70" s="33"/>
      <c r="HG70" s="33"/>
      <c r="HH70" s="33"/>
      <c r="HI70" s="33"/>
      <c r="HJ70" s="33"/>
      <c r="HK70" s="33"/>
      <c r="HL70" s="33"/>
      <c r="HM70" s="33"/>
      <c r="HN70" s="33"/>
      <c r="HO70" s="33"/>
      <c r="HP70" s="33"/>
      <c r="HQ70" s="33"/>
      <c r="HR70" s="33"/>
      <c r="HS70" s="33"/>
      <c r="HT70" s="33"/>
      <c r="HU70" s="33"/>
      <c r="HV70" s="33"/>
      <c r="HW70" s="33"/>
      <c r="HX70" s="33"/>
      <c r="HY70" s="33"/>
      <c r="HZ70" s="33"/>
      <c r="IA70" s="33"/>
      <c r="IB70" s="33"/>
      <c r="IC70" s="33"/>
      <c r="ID70" s="33"/>
      <c r="IE70" s="33"/>
      <c r="IF70" s="33"/>
      <c r="IG70" s="33"/>
      <c r="IH70" s="33"/>
      <c r="II70" s="33"/>
      <c r="IJ70" s="33"/>
      <c r="IK70" s="33"/>
      <c r="IL70" s="33"/>
      <c r="IM70" s="33"/>
      <c r="IN70" s="33"/>
      <c r="IO70" s="33"/>
      <c r="IP70" s="33"/>
      <c r="IQ70" s="33"/>
      <c r="IR70" s="33"/>
      <c r="IS70" s="33"/>
      <c r="IT70" s="33"/>
      <c r="IU70" s="33"/>
      <c r="IV70" s="33"/>
      <c r="IW70" s="33"/>
      <c r="IX70" s="33"/>
      <c r="IY70" s="33"/>
      <c r="IZ70" s="33"/>
      <c r="JA70" s="33"/>
      <c r="JB70" s="33"/>
      <c r="JC70" s="33"/>
      <c r="JD70" s="33"/>
      <c r="JE70" s="33"/>
      <c r="JF70" s="33"/>
      <c r="JG70" s="33"/>
      <c r="JH70" s="33"/>
      <c r="JI70" s="33"/>
      <c r="JJ70" s="33"/>
      <c r="JK70" s="33"/>
      <c r="JL70" s="33"/>
      <c r="JM70" s="33"/>
      <c r="JN70" s="33"/>
      <c r="JO70" s="33"/>
      <c r="JP70" s="33"/>
      <c r="JQ70" s="33"/>
      <c r="JR70" s="33"/>
      <c r="JS70" s="33"/>
      <c r="JT70" s="33"/>
      <c r="JU70" s="33"/>
      <c r="JV70" s="33"/>
      <c r="JW70" s="33"/>
      <c r="JX70" s="33"/>
      <c r="JY70" s="33"/>
      <c r="JZ70" s="33"/>
      <c r="KA70" s="33"/>
      <c r="KB70" s="33"/>
      <c r="KC70" s="33"/>
      <c r="KD70" s="33"/>
      <c r="KE70" s="33"/>
      <c r="KF70" s="33"/>
      <c r="KG70" s="33"/>
      <c r="KH70" s="33"/>
      <c r="KI70" s="33"/>
      <c r="KJ70" s="33"/>
      <c r="KK70" s="33"/>
      <c r="KL70" s="33"/>
      <c r="KM70" s="33"/>
      <c r="KN70" s="33"/>
      <c r="KO70" s="33"/>
      <c r="KP70" s="33"/>
      <c r="KQ70" s="33"/>
      <c r="KR70" s="33"/>
      <c r="KS70" s="33"/>
      <c r="KT70" s="33"/>
      <c r="KU70" s="33"/>
      <c r="KV70" s="33"/>
      <c r="KW70" s="33"/>
      <c r="KX70" s="33"/>
      <c r="KY70" s="33"/>
      <c r="KZ70" s="33"/>
      <c r="LA70" s="33"/>
      <c r="LB70" s="33"/>
      <c r="LC70" s="33"/>
      <c r="LD70" s="33"/>
      <c r="LE70" s="33"/>
      <c r="LF70" s="33"/>
      <c r="LG70" s="33"/>
      <c r="LH70" s="33"/>
      <c r="LI70" s="33"/>
      <c r="LJ70" s="33"/>
      <c r="LK70" s="33"/>
      <c r="LL70" s="33"/>
      <c r="LM70" s="33"/>
      <c r="LN70" s="33"/>
      <c r="LO70" s="33"/>
      <c r="LP70" s="33"/>
      <c r="LQ70" s="33"/>
      <c r="LR70" s="33"/>
      <c r="LS70" s="33"/>
      <c r="LT70" s="33"/>
      <c r="LU70" s="33"/>
      <c r="LV70" s="33"/>
      <c r="LW70" s="33"/>
      <c r="LX70" s="33"/>
      <c r="LY70" s="33"/>
      <c r="LZ70" s="33"/>
      <c r="MA70" s="33"/>
      <c r="MB70" s="33"/>
      <c r="MC70" s="33"/>
      <c r="MD70" s="33"/>
      <c r="ME70" s="33"/>
      <c r="MF70" s="33"/>
      <c r="MG70" s="33"/>
      <c r="MH70" s="33"/>
      <c r="MI70" s="33"/>
      <c r="MJ70" s="33"/>
      <c r="MK70" s="33"/>
      <c r="ML70" s="33"/>
      <c r="MM70" s="33"/>
      <c r="MN70" s="33"/>
      <c r="MO70" s="33"/>
      <c r="MP70" s="33"/>
      <c r="MQ70" s="33"/>
      <c r="MR70" s="33"/>
      <c r="MS70" s="33"/>
      <c r="MT70" s="33"/>
      <c r="MU70" s="33"/>
      <c r="MV70" s="33"/>
    </row>
    <row r="71" spans="1:360" ht="0.75" customHeight="1" x14ac:dyDescent="0.25">
      <c r="A71" s="33"/>
      <c r="B71" s="33"/>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33"/>
      <c r="CA71" s="33"/>
      <c r="CB71" s="33"/>
      <c r="CC71" s="33"/>
      <c r="CD71" s="33"/>
      <c r="CE71" s="33"/>
      <c r="CF71" s="33"/>
      <c r="CG71" s="33"/>
      <c r="CH71" s="33"/>
      <c r="CI71" s="33"/>
      <c r="CJ71" s="33"/>
      <c r="CK71" s="33"/>
      <c r="CL71" s="33"/>
      <c r="CM71" s="33"/>
      <c r="CN71" s="33"/>
      <c r="CO71" s="33"/>
      <c r="CP71" s="33"/>
      <c r="CQ71" s="33"/>
      <c r="CR71" s="33"/>
      <c r="CS71" s="33"/>
      <c r="CT71" s="33"/>
      <c r="CU71" s="33"/>
      <c r="CV71" s="33"/>
      <c r="CW71" s="33"/>
      <c r="CX71" s="33"/>
      <c r="CY71" s="33"/>
      <c r="CZ71" s="33"/>
      <c r="DA71" s="33"/>
      <c r="DB71" s="33"/>
      <c r="DC71" s="33"/>
      <c r="DD71" s="33"/>
      <c r="DE71" s="33"/>
      <c r="DF71" s="33"/>
      <c r="DG71" s="33"/>
      <c r="DH71" s="33"/>
      <c r="DI71" s="33"/>
      <c r="DJ71" s="33"/>
      <c r="DK71" s="33"/>
      <c r="DL71" s="33"/>
      <c r="DM71" s="33"/>
      <c r="DN71" s="33"/>
      <c r="DO71" s="33"/>
      <c r="DP71" s="33"/>
      <c r="DQ71" s="33"/>
      <c r="DR71" s="33"/>
      <c r="DS71" s="33"/>
      <c r="DT71" s="33"/>
      <c r="DU71" s="33"/>
      <c r="DV71" s="33"/>
      <c r="DW71" s="33"/>
      <c r="DX71" s="33"/>
      <c r="DY71" s="33"/>
      <c r="DZ71" s="33"/>
      <c r="EA71" s="33"/>
      <c r="EB71" s="33"/>
      <c r="EC71" s="33"/>
      <c r="ED71" s="33"/>
      <c r="EE71" s="33"/>
      <c r="EF71" s="33"/>
      <c r="EG71" s="33"/>
      <c r="EH71" s="33"/>
      <c r="EI71" s="33"/>
      <c r="EJ71" s="33"/>
      <c r="EK71" s="33"/>
      <c r="EL71" s="33"/>
      <c r="EM71" s="33"/>
      <c r="EN71" s="33"/>
      <c r="EO71" s="33"/>
      <c r="EP71" s="33"/>
      <c r="EQ71" s="33"/>
      <c r="ER71" s="33"/>
      <c r="ES71" s="33"/>
      <c r="ET71" s="33"/>
      <c r="EU71" s="33"/>
      <c r="EV71" s="33"/>
      <c r="EW71" s="33"/>
      <c r="EX71" s="33"/>
      <c r="EY71" s="33"/>
      <c r="EZ71" s="33"/>
      <c r="FA71" s="33"/>
      <c r="FB71" s="33"/>
      <c r="FC71" s="33"/>
      <c r="FD71" s="33"/>
      <c r="FE71" s="33"/>
      <c r="FF71" s="33"/>
      <c r="FG71" s="33"/>
      <c r="FH71" s="33"/>
      <c r="FI71" s="33"/>
      <c r="FJ71" s="33"/>
      <c r="FK71" s="33"/>
      <c r="FL71" s="33"/>
      <c r="FM71" s="33"/>
      <c r="FN71" s="33"/>
      <c r="FO71" s="33"/>
      <c r="FP71" s="33"/>
      <c r="FQ71" s="33"/>
      <c r="FR71" s="33"/>
      <c r="FS71" s="33"/>
      <c r="FT71" s="33"/>
      <c r="FU71" s="33"/>
      <c r="FV71" s="33"/>
      <c r="FW71" s="33"/>
      <c r="FX71" s="33"/>
      <c r="FY71" s="33"/>
      <c r="FZ71" s="33"/>
      <c r="GA71" s="33"/>
      <c r="GB71" s="33"/>
      <c r="GC71" s="33"/>
      <c r="GD71" s="33"/>
      <c r="GE71" s="33"/>
      <c r="GF71" s="33"/>
      <c r="GG71" s="33"/>
      <c r="GH71" s="33"/>
      <c r="GI71" s="33"/>
      <c r="GJ71" s="33"/>
      <c r="GK71" s="33"/>
      <c r="GL71" s="33"/>
      <c r="GM71" s="33"/>
      <c r="GN71" s="33"/>
      <c r="GO71" s="33"/>
      <c r="GP71" s="33"/>
      <c r="GQ71" s="33"/>
      <c r="GR71" s="33"/>
      <c r="GS71" s="33"/>
      <c r="GT71" s="33"/>
      <c r="GU71" s="33"/>
      <c r="GV71" s="33"/>
      <c r="GW71" s="33"/>
      <c r="GX71" s="33"/>
      <c r="GY71" s="33"/>
      <c r="GZ71" s="33"/>
      <c r="HA71" s="33"/>
      <c r="HB71" s="33"/>
      <c r="HC71" s="33"/>
      <c r="HD71" s="33"/>
      <c r="HE71" s="33"/>
      <c r="HF71" s="33"/>
      <c r="HG71" s="33"/>
      <c r="HH71" s="33"/>
      <c r="HI71" s="33"/>
      <c r="HJ71" s="33"/>
      <c r="HK71" s="33"/>
      <c r="HL71" s="33"/>
      <c r="HM71" s="33"/>
      <c r="HN71" s="33"/>
      <c r="HO71" s="33"/>
      <c r="HP71" s="33"/>
      <c r="HQ71" s="33"/>
      <c r="HR71" s="33"/>
      <c r="HS71" s="33"/>
      <c r="HT71" s="33"/>
      <c r="HU71" s="33"/>
      <c r="HV71" s="33"/>
      <c r="HW71" s="33"/>
      <c r="HX71" s="33"/>
      <c r="HY71" s="33"/>
      <c r="HZ71" s="33"/>
      <c r="IA71" s="33"/>
      <c r="IB71" s="33"/>
      <c r="IC71" s="33"/>
      <c r="ID71" s="33"/>
      <c r="IE71" s="33"/>
      <c r="IF71" s="33"/>
      <c r="IG71" s="33"/>
      <c r="IH71" s="33"/>
      <c r="II71" s="33"/>
      <c r="IJ71" s="33"/>
      <c r="IK71" s="33"/>
      <c r="IL71" s="33"/>
      <c r="IM71" s="33"/>
      <c r="IN71" s="33"/>
      <c r="IO71" s="33"/>
      <c r="IP71" s="33"/>
      <c r="IQ71" s="33"/>
      <c r="IR71" s="33"/>
      <c r="IS71" s="33"/>
      <c r="IT71" s="33"/>
      <c r="IU71" s="33"/>
      <c r="IV71" s="33"/>
      <c r="IW71" s="33"/>
      <c r="IX71" s="33"/>
      <c r="IY71" s="33"/>
      <c r="IZ71" s="33"/>
      <c r="JA71" s="33"/>
      <c r="JB71" s="33"/>
      <c r="JC71" s="33"/>
      <c r="JD71" s="33"/>
      <c r="JE71" s="33"/>
      <c r="JF71" s="33"/>
      <c r="JG71" s="33"/>
      <c r="JH71" s="33"/>
      <c r="JI71" s="33"/>
      <c r="JJ71" s="33"/>
      <c r="JK71" s="33"/>
      <c r="JL71" s="33"/>
      <c r="JM71" s="33"/>
      <c r="JN71" s="33"/>
      <c r="JO71" s="33"/>
      <c r="JP71" s="33"/>
      <c r="JQ71" s="33"/>
      <c r="JR71" s="33"/>
      <c r="JS71" s="33"/>
      <c r="JT71" s="33"/>
      <c r="JU71" s="33"/>
      <c r="JV71" s="33"/>
      <c r="JW71" s="33"/>
      <c r="JX71" s="33"/>
      <c r="JY71" s="33"/>
      <c r="JZ71" s="33"/>
      <c r="KA71" s="33"/>
      <c r="KB71" s="33"/>
      <c r="KC71" s="33"/>
      <c r="KD71" s="33"/>
      <c r="KE71" s="33"/>
      <c r="KF71" s="33"/>
      <c r="KG71" s="33"/>
      <c r="KH71" s="33"/>
      <c r="KI71" s="33"/>
      <c r="KJ71" s="33"/>
      <c r="KK71" s="33"/>
      <c r="KL71" s="33"/>
      <c r="KM71" s="33"/>
      <c r="KN71" s="33"/>
      <c r="KO71" s="33"/>
      <c r="KP71" s="33"/>
      <c r="KQ71" s="33"/>
      <c r="KR71" s="33"/>
      <c r="KS71" s="33"/>
      <c r="KT71" s="33"/>
      <c r="KU71" s="33"/>
      <c r="KV71" s="33"/>
      <c r="KW71" s="33"/>
      <c r="KX71" s="33"/>
      <c r="KY71" s="33"/>
      <c r="KZ71" s="33"/>
      <c r="LA71" s="33"/>
      <c r="LB71" s="33"/>
      <c r="LC71" s="33"/>
      <c r="LD71" s="33"/>
      <c r="LE71" s="33"/>
      <c r="LF71" s="33"/>
      <c r="LG71" s="33"/>
      <c r="LH71" s="33"/>
      <c r="LI71" s="33"/>
      <c r="LJ71" s="33"/>
      <c r="LK71" s="33"/>
      <c r="LL71" s="33"/>
      <c r="LM71" s="33"/>
      <c r="LN71" s="33"/>
      <c r="LO71" s="33"/>
      <c r="LP71" s="33"/>
      <c r="LQ71" s="33"/>
      <c r="LR71" s="33"/>
      <c r="LS71" s="33"/>
      <c r="LT71" s="33"/>
      <c r="LU71" s="33"/>
      <c r="LV71" s="33"/>
      <c r="LW71" s="33"/>
      <c r="LX71" s="33"/>
      <c r="LY71" s="33"/>
      <c r="LZ71" s="33"/>
      <c r="MA71" s="33"/>
      <c r="MB71" s="33"/>
      <c r="MC71" s="33"/>
      <c r="MD71" s="33"/>
      <c r="ME71" s="33"/>
      <c r="MF71" s="33"/>
      <c r="MG71" s="33"/>
      <c r="MH71" s="33"/>
      <c r="MI71" s="33"/>
      <c r="MJ71" s="33"/>
      <c r="MK71" s="33"/>
      <c r="ML71" s="33"/>
      <c r="MM71" s="33"/>
      <c r="MN71" s="33"/>
      <c r="MO71" s="33"/>
      <c r="MP71" s="33"/>
      <c r="MQ71" s="33"/>
      <c r="MR71" s="33"/>
      <c r="MS71" s="33"/>
      <c r="MT71" s="33"/>
      <c r="MU71" s="33"/>
      <c r="MV71" s="33"/>
    </row>
    <row r="72" spans="1:360" ht="0.75" customHeight="1" x14ac:dyDescent="0.25">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33"/>
      <c r="CA72" s="33"/>
      <c r="CB72" s="33"/>
      <c r="CC72" s="33"/>
      <c r="CD72" s="33"/>
      <c r="CE72" s="33"/>
      <c r="CF72" s="33"/>
      <c r="CG72" s="33"/>
      <c r="CH72" s="33"/>
      <c r="CI72" s="33"/>
      <c r="CJ72" s="33"/>
      <c r="CK72" s="33"/>
      <c r="CL72" s="33"/>
      <c r="CM72" s="33"/>
      <c r="CN72" s="33"/>
      <c r="CO72" s="33"/>
      <c r="CP72" s="33"/>
      <c r="CQ72" s="33"/>
      <c r="CR72" s="33"/>
      <c r="CS72" s="33"/>
      <c r="CT72" s="33"/>
      <c r="CU72" s="33"/>
      <c r="CV72" s="33"/>
      <c r="CW72" s="33"/>
      <c r="CX72" s="33"/>
      <c r="CY72" s="33"/>
      <c r="CZ72" s="33"/>
      <c r="DA72" s="33"/>
      <c r="DB72" s="33"/>
      <c r="DC72" s="33"/>
      <c r="DD72" s="33"/>
      <c r="DE72" s="33"/>
      <c r="DF72" s="33"/>
      <c r="DG72" s="33"/>
      <c r="DH72" s="33"/>
      <c r="DI72" s="33"/>
      <c r="DJ72" s="33"/>
      <c r="DK72" s="33"/>
      <c r="DL72" s="33"/>
      <c r="DM72" s="33"/>
      <c r="DN72" s="33"/>
      <c r="DO72" s="33"/>
      <c r="DP72" s="33"/>
      <c r="DQ72" s="33"/>
      <c r="DR72" s="33"/>
      <c r="DS72" s="33"/>
      <c r="DT72" s="33"/>
      <c r="DU72" s="33"/>
      <c r="DV72" s="33"/>
      <c r="DW72" s="33"/>
      <c r="DX72" s="33"/>
      <c r="DY72" s="33"/>
      <c r="DZ72" s="33"/>
      <c r="EA72" s="33"/>
      <c r="EB72" s="33"/>
      <c r="EC72" s="33"/>
      <c r="ED72" s="33"/>
      <c r="EE72" s="33"/>
      <c r="EF72" s="33"/>
      <c r="EG72" s="33"/>
      <c r="EH72" s="33"/>
      <c r="EI72" s="33"/>
      <c r="EJ72" s="33"/>
      <c r="EK72" s="33"/>
      <c r="EL72" s="33"/>
      <c r="EM72" s="33"/>
      <c r="EN72" s="33"/>
      <c r="EO72" s="33"/>
      <c r="EP72" s="33"/>
      <c r="EQ72" s="33"/>
      <c r="ER72" s="33"/>
      <c r="ES72" s="33"/>
      <c r="ET72" s="33"/>
      <c r="EU72" s="33"/>
      <c r="EV72" s="33"/>
      <c r="EW72" s="33"/>
      <c r="EX72" s="33"/>
      <c r="EY72" s="33"/>
      <c r="EZ72" s="33"/>
      <c r="FA72" s="33"/>
      <c r="FB72" s="33"/>
      <c r="FC72" s="33"/>
      <c r="FD72" s="33"/>
      <c r="FE72" s="33"/>
      <c r="FF72" s="33"/>
      <c r="FG72" s="33"/>
      <c r="FH72" s="33"/>
      <c r="FI72" s="33"/>
      <c r="FJ72" s="33"/>
      <c r="FK72" s="33"/>
      <c r="FL72" s="33"/>
      <c r="FM72" s="33"/>
      <c r="FN72" s="33"/>
      <c r="FO72" s="33"/>
      <c r="FP72" s="33"/>
      <c r="FQ72" s="33"/>
      <c r="FR72" s="33"/>
      <c r="FS72" s="33"/>
      <c r="FT72" s="33"/>
      <c r="FU72" s="33"/>
      <c r="FV72" s="33"/>
      <c r="FW72" s="33"/>
      <c r="FX72" s="33"/>
      <c r="FY72" s="33"/>
      <c r="FZ72" s="33"/>
      <c r="GA72" s="33"/>
      <c r="GB72" s="33"/>
      <c r="GC72" s="33"/>
      <c r="GD72" s="33"/>
      <c r="GE72" s="33"/>
      <c r="GF72" s="33"/>
      <c r="GG72" s="33"/>
      <c r="GH72" s="33"/>
      <c r="GI72" s="33"/>
      <c r="GJ72" s="33"/>
      <c r="GK72" s="33"/>
      <c r="GL72" s="33"/>
      <c r="GM72" s="33"/>
      <c r="GN72" s="33"/>
      <c r="GO72" s="33"/>
      <c r="GP72" s="33"/>
      <c r="GQ72" s="33"/>
      <c r="GR72" s="33"/>
      <c r="GS72" s="33"/>
      <c r="GT72" s="33"/>
      <c r="GU72" s="33"/>
      <c r="GV72" s="33"/>
      <c r="GW72" s="33"/>
      <c r="GX72" s="33"/>
      <c r="GY72" s="33"/>
      <c r="GZ72" s="33"/>
      <c r="HA72" s="33"/>
      <c r="HB72" s="33"/>
      <c r="HC72" s="33"/>
      <c r="HD72" s="33"/>
      <c r="HE72" s="33"/>
      <c r="HF72" s="33"/>
      <c r="HG72" s="33"/>
      <c r="HH72" s="33"/>
      <c r="HI72" s="33"/>
      <c r="HJ72" s="33"/>
      <c r="HK72" s="33"/>
      <c r="HL72" s="33"/>
      <c r="HM72" s="33"/>
      <c r="HN72" s="33"/>
      <c r="HO72" s="33"/>
      <c r="HP72" s="33"/>
      <c r="HQ72" s="33"/>
      <c r="HR72" s="33"/>
      <c r="HS72" s="33"/>
      <c r="HT72" s="33"/>
      <c r="HU72" s="33"/>
      <c r="HV72" s="33"/>
      <c r="HW72" s="33"/>
      <c r="HX72" s="33"/>
      <c r="HY72" s="33"/>
      <c r="HZ72" s="33"/>
      <c r="IA72" s="33"/>
      <c r="IB72" s="33"/>
      <c r="IC72" s="33"/>
      <c r="ID72" s="33"/>
      <c r="IE72" s="33"/>
      <c r="IF72" s="33"/>
      <c r="IG72" s="33"/>
      <c r="IH72" s="33"/>
      <c r="II72" s="33"/>
      <c r="IJ72" s="33"/>
      <c r="IK72" s="33"/>
      <c r="IL72" s="33"/>
      <c r="IM72" s="33"/>
      <c r="IN72" s="33"/>
      <c r="IO72" s="33"/>
      <c r="IP72" s="33"/>
      <c r="IQ72" s="33"/>
      <c r="IR72" s="33"/>
      <c r="IS72" s="33"/>
      <c r="IT72" s="33"/>
      <c r="IU72" s="33"/>
      <c r="IV72" s="33"/>
      <c r="IW72" s="33"/>
      <c r="IX72" s="33"/>
      <c r="IY72" s="33"/>
      <c r="IZ72" s="33"/>
      <c r="JA72" s="33"/>
      <c r="JB72" s="33"/>
      <c r="JC72" s="33"/>
      <c r="JD72" s="33"/>
      <c r="JE72" s="33"/>
      <c r="JF72" s="33"/>
      <c r="JG72" s="33"/>
      <c r="JH72" s="33"/>
      <c r="JI72" s="33"/>
      <c r="JJ72" s="33"/>
      <c r="JK72" s="33"/>
      <c r="JL72" s="33"/>
      <c r="JM72" s="33"/>
      <c r="JN72" s="33"/>
      <c r="JO72" s="33"/>
      <c r="JP72" s="33"/>
      <c r="JQ72" s="33"/>
      <c r="JR72" s="33"/>
      <c r="JS72" s="33"/>
      <c r="JT72" s="33"/>
      <c r="JU72" s="33"/>
      <c r="JV72" s="33"/>
      <c r="JW72" s="33"/>
      <c r="JX72" s="33"/>
      <c r="JY72" s="33"/>
      <c r="JZ72" s="33"/>
      <c r="KA72" s="33"/>
      <c r="KB72" s="33"/>
      <c r="KC72" s="33"/>
      <c r="KD72" s="33"/>
      <c r="KE72" s="33"/>
      <c r="KF72" s="33"/>
      <c r="KG72" s="33"/>
      <c r="KH72" s="33"/>
      <c r="KI72" s="33"/>
      <c r="KJ72" s="33"/>
      <c r="KK72" s="33"/>
      <c r="KL72" s="33"/>
      <c r="KM72" s="33"/>
      <c r="KN72" s="33"/>
      <c r="KO72" s="33"/>
      <c r="KP72" s="33"/>
      <c r="KQ72" s="33"/>
      <c r="KR72" s="33"/>
      <c r="KS72" s="33"/>
      <c r="KT72" s="33"/>
      <c r="KU72" s="33"/>
      <c r="KV72" s="33"/>
      <c r="KW72" s="33"/>
      <c r="KX72" s="33"/>
      <c r="KY72" s="33"/>
      <c r="KZ72" s="33"/>
      <c r="LA72" s="33"/>
      <c r="LB72" s="33"/>
      <c r="LC72" s="33"/>
      <c r="LD72" s="33"/>
      <c r="LE72" s="33"/>
      <c r="LF72" s="33"/>
      <c r="LG72" s="33"/>
      <c r="LH72" s="33"/>
      <c r="LI72" s="33"/>
      <c r="LJ72" s="33"/>
      <c r="LK72" s="33"/>
      <c r="LL72" s="33"/>
      <c r="LM72" s="33"/>
      <c r="LN72" s="33"/>
      <c r="LO72" s="33"/>
      <c r="LP72" s="33"/>
      <c r="LQ72" s="33"/>
      <c r="LR72" s="33"/>
      <c r="LS72" s="33"/>
      <c r="LT72" s="33"/>
      <c r="LU72" s="33"/>
      <c r="LV72" s="33"/>
      <c r="LW72" s="33"/>
      <c r="LX72" s="33"/>
      <c r="LY72" s="33"/>
      <c r="LZ72" s="33"/>
      <c r="MA72" s="33"/>
      <c r="MB72" s="33"/>
      <c r="MC72" s="33"/>
      <c r="MD72" s="33"/>
      <c r="ME72" s="33"/>
      <c r="MF72" s="33"/>
      <c r="MG72" s="33"/>
      <c r="MH72" s="33"/>
      <c r="MI72" s="33"/>
      <c r="MJ72" s="33"/>
      <c r="MK72" s="33"/>
      <c r="ML72" s="33"/>
      <c r="MM72" s="33"/>
      <c r="MN72" s="33"/>
      <c r="MO72" s="33"/>
      <c r="MP72" s="33"/>
      <c r="MQ72" s="33"/>
      <c r="MR72" s="33"/>
      <c r="MS72" s="33"/>
      <c r="MT72" s="33"/>
      <c r="MU72" s="33"/>
      <c r="MV72" s="33"/>
    </row>
    <row r="73" spans="1:360" ht="0.75" customHeight="1" x14ac:dyDescent="0.25">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33"/>
      <c r="CA73" s="33"/>
      <c r="CB73" s="33"/>
      <c r="CC73" s="33"/>
      <c r="CD73" s="33"/>
      <c r="CE73" s="33"/>
      <c r="CF73" s="33"/>
      <c r="CG73" s="33"/>
      <c r="CH73" s="33"/>
      <c r="CI73" s="33"/>
      <c r="CJ73" s="33"/>
      <c r="CK73" s="33"/>
      <c r="CL73" s="33"/>
      <c r="CM73" s="33"/>
      <c r="CN73" s="33"/>
      <c r="CO73" s="33"/>
      <c r="CP73" s="33"/>
      <c r="CQ73" s="33"/>
      <c r="CR73" s="33"/>
      <c r="CS73" s="33"/>
      <c r="CT73" s="33"/>
      <c r="CU73" s="33"/>
      <c r="CV73" s="33"/>
      <c r="CW73" s="33"/>
      <c r="CX73" s="33"/>
      <c r="CY73" s="33"/>
      <c r="CZ73" s="33"/>
      <c r="DA73" s="33"/>
      <c r="DB73" s="33"/>
      <c r="DC73" s="33"/>
      <c r="DD73" s="33"/>
      <c r="DE73" s="33"/>
      <c r="DF73" s="33"/>
      <c r="DG73" s="33"/>
      <c r="DH73" s="33"/>
      <c r="DI73" s="33"/>
      <c r="DJ73" s="33"/>
      <c r="DK73" s="33"/>
      <c r="DL73" s="33"/>
      <c r="DM73" s="33"/>
      <c r="DN73" s="33"/>
      <c r="DO73" s="33"/>
      <c r="DP73" s="33"/>
      <c r="DQ73" s="33"/>
      <c r="DR73" s="33"/>
      <c r="DS73" s="33"/>
      <c r="DT73" s="33"/>
      <c r="DU73" s="33"/>
      <c r="DV73" s="33"/>
      <c r="DW73" s="33"/>
      <c r="DX73" s="33"/>
      <c r="DY73" s="33"/>
      <c r="DZ73" s="33"/>
      <c r="EA73" s="33"/>
      <c r="EB73" s="33"/>
      <c r="EC73" s="33"/>
      <c r="ED73" s="33"/>
      <c r="EE73" s="33"/>
      <c r="EF73" s="33"/>
      <c r="EG73" s="33"/>
      <c r="EH73" s="33"/>
      <c r="EI73" s="33"/>
      <c r="EJ73" s="33"/>
      <c r="EK73" s="33"/>
      <c r="EL73" s="33"/>
      <c r="EM73" s="33"/>
      <c r="EN73" s="33"/>
      <c r="EO73" s="33"/>
      <c r="EP73" s="33"/>
      <c r="EQ73" s="33"/>
      <c r="ER73" s="33"/>
      <c r="ES73" s="33"/>
      <c r="ET73" s="33"/>
      <c r="EU73" s="33"/>
      <c r="EV73" s="33"/>
      <c r="EW73" s="33"/>
      <c r="EX73" s="33"/>
      <c r="EY73" s="33"/>
      <c r="EZ73" s="33"/>
      <c r="FA73" s="33"/>
      <c r="FB73" s="33"/>
      <c r="FC73" s="33"/>
      <c r="FD73" s="33"/>
      <c r="FE73" s="33"/>
      <c r="FF73" s="33"/>
      <c r="FG73" s="33"/>
      <c r="FH73" s="33"/>
      <c r="FI73" s="33"/>
      <c r="FJ73" s="33"/>
      <c r="FK73" s="33"/>
      <c r="FL73" s="33"/>
      <c r="FM73" s="33"/>
      <c r="FN73" s="33"/>
      <c r="FO73" s="33"/>
      <c r="FP73" s="33"/>
      <c r="FQ73" s="33"/>
      <c r="FR73" s="33"/>
      <c r="FS73" s="33"/>
      <c r="FT73" s="33"/>
      <c r="FU73" s="33"/>
      <c r="FV73" s="33"/>
      <c r="FW73" s="33"/>
      <c r="FX73" s="33"/>
      <c r="FY73" s="33"/>
      <c r="FZ73" s="33"/>
      <c r="GA73" s="33"/>
      <c r="GB73" s="33"/>
      <c r="GC73" s="33"/>
      <c r="GD73" s="33"/>
      <c r="GE73" s="33"/>
      <c r="GF73" s="33"/>
      <c r="GG73" s="33"/>
      <c r="GH73" s="33"/>
      <c r="GI73" s="33"/>
      <c r="GJ73" s="33"/>
      <c r="GK73" s="33"/>
      <c r="GL73" s="33"/>
      <c r="GM73" s="33"/>
      <c r="GN73" s="33"/>
      <c r="GO73" s="33"/>
      <c r="GP73" s="33"/>
      <c r="GQ73" s="33"/>
      <c r="GR73" s="33"/>
      <c r="GS73" s="33"/>
      <c r="GT73" s="33"/>
      <c r="GU73" s="33"/>
      <c r="GV73" s="33"/>
      <c r="GW73" s="33"/>
      <c r="GX73" s="33"/>
      <c r="GY73" s="33"/>
      <c r="GZ73" s="33"/>
      <c r="HA73" s="33"/>
      <c r="HB73" s="33"/>
      <c r="HC73" s="33"/>
      <c r="HD73" s="33"/>
      <c r="HE73" s="33"/>
      <c r="HF73" s="33"/>
      <c r="HG73" s="33"/>
      <c r="HH73" s="33"/>
      <c r="HI73" s="33"/>
      <c r="HJ73" s="33"/>
      <c r="HK73" s="33"/>
      <c r="HL73" s="33"/>
      <c r="HM73" s="33"/>
      <c r="HN73" s="33"/>
      <c r="HO73" s="33"/>
      <c r="HP73" s="33"/>
      <c r="HQ73" s="33"/>
      <c r="HR73" s="33"/>
      <c r="HS73" s="33"/>
      <c r="HT73" s="33"/>
      <c r="HU73" s="33"/>
      <c r="HV73" s="33"/>
      <c r="HW73" s="33"/>
      <c r="HX73" s="33"/>
      <c r="HY73" s="33"/>
      <c r="HZ73" s="33"/>
      <c r="IA73" s="33"/>
      <c r="IB73" s="33"/>
      <c r="IC73" s="33"/>
      <c r="ID73" s="33"/>
      <c r="IE73" s="33"/>
      <c r="IF73" s="33"/>
      <c r="IG73" s="33"/>
      <c r="IH73" s="33"/>
      <c r="II73" s="33"/>
      <c r="IJ73" s="33"/>
      <c r="IK73" s="33"/>
      <c r="IL73" s="33"/>
      <c r="IM73" s="33"/>
      <c r="IN73" s="33"/>
      <c r="IO73" s="33"/>
      <c r="IP73" s="33"/>
      <c r="IQ73" s="33"/>
      <c r="IR73" s="33"/>
      <c r="IS73" s="33"/>
      <c r="IT73" s="33"/>
      <c r="IU73" s="33"/>
      <c r="IV73" s="33"/>
      <c r="IW73" s="33"/>
      <c r="IX73" s="33"/>
      <c r="IY73" s="33"/>
      <c r="IZ73" s="33"/>
      <c r="JA73" s="33"/>
      <c r="JB73" s="33"/>
      <c r="JC73" s="33"/>
      <c r="JD73" s="33"/>
      <c r="JE73" s="33"/>
      <c r="JF73" s="33"/>
      <c r="JG73" s="33"/>
      <c r="JH73" s="33"/>
      <c r="JI73" s="33"/>
      <c r="JJ73" s="33"/>
      <c r="JK73" s="33"/>
      <c r="JL73" s="33"/>
      <c r="JM73" s="33"/>
      <c r="JN73" s="33"/>
      <c r="JO73" s="33"/>
      <c r="JP73" s="33"/>
      <c r="JQ73" s="33"/>
      <c r="JR73" s="33"/>
      <c r="JS73" s="33"/>
      <c r="JT73" s="33"/>
      <c r="JU73" s="33"/>
      <c r="JV73" s="33"/>
      <c r="JW73" s="33"/>
      <c r="JX73" s="33"/>
      <c r="JY73" s="33"/>
      <c r="JZ73" s="33"/>
      <c r="KA73" s="33"/>
      <c r="KB73" s="33"/>
      <c r="KC73" s="33"/>
      <c r="KD73" s="33"/>
      <c r="KE73" s="33"/>
      <c r="KF73" s="33"/>
      <c r="KG73" s="33"/>
      <c r="KH73" s="33"/>
      <c r="KI73" s="33"/>
      <c r="KJ73" s="33"/>
      <c r="KK73" s="33"/>
      <c r="KL73" s="33"/>
      <c r="KM73" s="33"/>
      <c r="KN73" s="33"/>
      <c r="KO73" s="33"/>
      <c r="KP73" s="33"/>
      <c r="KQ73" s="33"/>
      <c r="KR73" s="33"/>
      <c r="KS73" s="33"/>
      <c r="KT73" s="33"/>
      <c r="KU73" s="33"/>
      <c r="KV73" s="33"/>
      <c r="KW73" s="33"/>
      <c r="KX73" s="33"/>
      <c r="KY73" s="33"/>
      <c r="KZ73" s="33"/>
      <c r="LA73" s="33"/>
      <c r="LB73" s="33"/>
      <c r="LC73" s="33"/>
      <c r="LD73" s="33"/>
      <c r="LE73" s="33"/>
      <c r="LF73" s="33"/>
      <c r="LG73" s="33"/>
      <c r="LH73" s="33"/>
      <c r="LI73" s="33"/>
      <c r="LJ73" s="33"/>
      <c r="LK73" s="33"/>
      <c r="LL73" s="33"/>
      <c r="LM73" s="33"/>
      <c r="LN73" s="33"/>
      <c r="LO73" s="33"/>
      <c r="LP73" s="33"/>
      <c r="LQ73" s="33"/>
      <c r="LR73" s="33"/>
      <c r="LS73" s="33"/>
      <c r="LT73" s="33"/>
      <c r="LU73" s="33"/>
      <c r="LV73" s="33"/>
      <c r="LW73" s="33"/>
      <c r="LX73" s="33"/>
      <c r="LY73" s="33"/>
      <c r="LZ73" s="33"/>
      <c r="MA73" s="33"/>
      <c r="MB73" s="33"/>
      <c r="MC73" s="33"/>
      <c r="MD73" s="33"/>
      <c r="ME73" s="33"/>
      <c r="MF73" s="33"/>
      <c r="MG73" s="33"/>
      <c r="MH73" s="33"/>
      <c r="MI73" s="33"/>
      <c r="MJ73" s="33"/>
      <c r="MK73" s="33"/>
      <c r="ML73" s="33"/>
      <c r="MM73" s="33"/>
      <c r="MN73" s="33"/>
      <c r="MO73" s="33"/>
      <c r="MP73" s="33"/>
      <c r="MQ73" s="33"/>
      <c r="MR73" s="33"/>
      <c r="MS73" s="33"/>
      <c r="MT73" s="33"/>
      <c r="MU73" s="33"/>
      <c r="MV73" s="33"/>
    </row>
    <row r="74" spans="1:360" ht="0.75" customHeight="1" x14ac:dyDescent="0.25">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c r="BZ74" s="33"/>
      <c r="CA74" s="33"/>
      <c r="CB74" s="33"/>
      <c r="CC74" s="33"/>
      <c r="CD74" s="33"/>
      <c r="CE74" s="33"/>
      <c r="CF74" s="33"/>
      <c r="CG74" s="33"/>
      <c r="CH74" s="33"/>
      <c r="CI74" s="33"/>
      <c r="CJ74" s="33"/>
      <c r="CK74" s="33"/>
      <c r="CL74" s="33"/>
      <c r="CM74" s="33"/>
      <c r="CN74" s="33"/>
      <c r="CO74" s="33"/>
      <c r="CP74" s="33"/>
      <c r="CQ74" s="33"/>
      <c r="CR74" s="33"/>
      <c r="CS74" s="33"/>
      <c r="CT74" s="33"/>
      <c r="CU74" s="33"/>
      <c r="CV74" s="33"/>
      <c r="CW74" s="33"/>
      <c r="CX74" s="33"/>
      <c r="CY74" s="33"/>
      <c r="CZ74" s="33"/>
      <c r="DA74" s="33"/>
      <c r="DB74" s="33"/>
      <c r="DC74" s="33"/>
      <c r="DD74" s="33"/>
      <c r="DE74" s="33"/>
      <c r="DF74" s="33"/>
      <c r="DG74" s="33"/>
      <c r="DH74" s="33"/>
      <c r="DI74" s="33"/>
      <c r="DJ74" s="33"/>
      <c r="DK74" s="33"/>
      <c r="DL74" s="33"/>
      <c r="DM74" s="33"/>
      <c r="DN74" s="33"/>
      <c r="DO74" s="33"/>
      <c r="DP74" s="33"/>
      <c r="DQ74" s="33"/>
      <c r="DR74" s="33"/>
      <c r="DS74" s="33"/>
      <c r="DT74" s="33"/>
      <c r="DU74" s="33"/>
      <c r="DV74" s="33"/>
      <c r="DW74" s="33"/>
      <c r="DX74" s="33"/>
      <c r="DY74" s="33"/>
      <c r="DZ74" s="33"/>
      <c r="EA74" s="33"/>
      <c r="EB74" s="33"/>
      <c r="EC74" s="33"/>
      <c r="ED74" s="33"/>
      <c r="EE74" s="33"/>
      <c r="EF74" s="33"/>
      <c r="EG74" s="33"/>
      <c r="EH74" s="33"/>
      <c r="EI74" s="33"/>
      <c r="EJ74" s="33"/>
      <c r="EK74" s="33"/>
      <c r="EL74" s="33"/>
      <c r="EM74" s="33"/>
      <c r="EN74" s="33"/>
      <c r="EO74" s="33"/>
      <c r="EP74" s="33"/>
      <c r="EQ74" s="33"/>
      <c r="ER74" s="33"/>
      <c r="ES74" s="33"/>
      <c r="ET74" s="33"/>
      <c r="EU74" s="33"/>
      <c r="EV74" s="33"/>
      <c r="EW74" s="33"/>
      <c r="EX74" s="33"/>
      <c r="EY74" s="33"/>
      <c r="EZ74" s="33"/>
      <c r="FA74" s="33"/>
      <c r="FB74" s="33"/>
      <c r="FC74" s="33"/>
      <c r="FD74" s="33"/>
      <c r="FE74" s="33"/>
      <c r="FF74" s="33"/>
      <c r="FG74" s="33"/>
      <c r="FH74" s="33"/>
      <c r="FI74" s="33"/>
      <c r="FJ74" s="33"/>
      <c r="FK74" s="33"/>
      <c r="FL74" s="33"/>
      <c r="FM74" s="33"/>
      <c r="FN74" s="33"/>
      <c r="FO74" s="33"/>
      <c r="FP74" s="33"/>
      <c r="FQ74" s="33"/>
      <c r="FR74" s="33"/>
      <c r="FS74" s="33"/>
      <c r="FT74" s="33"/>
      <c r="FU74" s="33"/>
      <c r="FV74" s="33"/>
      <c r="FW74" s="33"/>
      <c r="FX74" s="33"/>
      <c r="FY74" s="33"/>
      <c r="FZ74" s="33"/>
      <c r="GA74" s="33"/>
      <c r="GB74" s="33"/>
      <c r="GC74" s="33"/>
      <c r="GD74" s="33"/>
      <c r="GE74" s="33"/>
      <c r="GF74" s="33"/>
      <c r="GG74" s="33"/>
      <c r="GH74" s="33"/>
      <c r="GI74" s="33"/>
      <c r="GJ74" s="33"/>
      <c r="GK74" s="33"/>
      <c r="GL74" s="33"/>
      <c r="GM74" s="33"/>
      <c r="GN74" s="33"/>
      <c r="GO74" s="33"/>
      <c r="GP74" s="33"/>
      <c r="GQ74" s="33"/>
      <c r="GR74" s="33"/>
      <c r="GS74" s="33"/>
      <c r="GT74" s="33"/>
      <c r="GU74" s="33"/>
      <c r="GV74" s="33"/>
      <c r="GW74" s="33"/>
      <c r="GX74" s="33"/>
      <c r="GY74" s="33"/>
      <c r="GZ74" s="33"/>
      <c r="HA74" s="33"/>
      <c r="HB74" s="33"/>
      <c r="HC74" s="33"/>
      <c r="HD74" s="33"/>
      <c r="HE74" s="33"/>
      <c r="HF74" s="33"/>
      <c r="HG74" s="33"/>
      <c r="HH74" s="33"/>
      <c r="HI74" s="33"/>
      <c r="HJ74" s="33"/>
      <c r="HK74" s="33"/>
      <c r="HL74" s="33"/>
      <c r="HM74" s="33"/>
      <c r="HN74" s="33"/>
      <c r="HO74" s="33"/>
      <c r="HP74" s="33"/>
      <c r="HQ74" s="33"/>
      <c r="HR74" s="33"/>
      <c r="HS74" s="33"/>
      <c r="HT74" s="33"/>
      <c r="HU74" s="33"/>
      <c r="HV74" s="33"/>
      <c r="HW74" s="33"/>
      <c r="HX74" s="33"/>
      <c r="HY74" s="33"/>
      <c r="HZ74" s="33"/>
      <c r="IA74" s="33"/>
      <c r="IB74" s="33"/>
      <c r="IC74" s="33"/>
      <c r="ID74" s="33"/>
      <c r="IE74" s="33"/>
      <c r="IF74" s="33"/>
      <c r="IG74" s="33"/>
      <c r="IH74" s="33"/>
      <c r="II74" s="33"/>
      <c r="IJ74" s="33"/>
      <c r="IK74" s="33"/>
      <c r="IL74" s="33"/>
      <c r="IM74" s="33"/>
      <c r="IN74" s="33"/>
      <c r="IO74" s="33"/>
      <c r="IP74" s="33"/>
      <c r="IQ74" s="33"/>
      <c r="IR74" s="33"/>
      <c r="IS74" s="33"/>
      <c r="IT74" s="33"/>
      <c r="IU74" s="33"/>
      <c r="IV74" s="33"/>
      <c r="IW74" s="33"/>
      <c r="IX74" s="33"/>
      <c r="IY74" s="33"/>
      <c r="IZ74" s="33"/>
      <c r="JA74" s="33"/>
      <c r="JB74" s="33"/>
      <c r="JC74" s="33"/>
      <c r="JD74" s="33"/>
      <c r="JE74" s="33"/>
      <c r="JF74" s="33"/>
      <c r="JG74" s="33"/>
      <c r="JH74" s="33"/>
      <c r="JI74" s="33"/>
      <c r="JJ74" s="33"/>
      <c r="JK74" s="33"/>
      <c r="JL74" s="33"/>
      <c r="JM74" s="33"/>
      <c r="JN74" s="33"/>
      <c r="JO74" s="33"/>
      <c r="JP74" s="33"/>
      <c r="JQ74" s="33"/>
      <c r="JR74" s="33"/>
      <c r="JS74" s="33"/>
      <c r="JT74" s="33"/>
      <c r="JU74" s="33"/>
      <c r="JV74" s="33"/>
      <c r="JW74" s="33"/>
      <c r="JX74" s="33"/>
      <c r="JY74" s="33"/>
      <c r="JZ74" s="33"/>
      <c r="KA74" s="33"/>
      <c r="KB74" s="33"/>
      <c r="KC74" s="33"/>
      <c r="KD74" s="33"/>
      <c r="KE74" s="33"/>
      <c r="KF74" s="33"/>
      <c r="KG74" s="33"/>
      <c r="KH74" s="33"/>
      <c r="KI74" s="33"/>
      <c r="KJ74" s="33"/>
      <c r="KK74" s="33"/>
      <c r="KL74" s="33"/>
      <c r="KM74" s="33"/>
      <c r="KN74" s="33"/>
      <c r="KO74" s="33"/>
      <c r="KP74" s="33"/>
      <c r="KQ74" s="33"/>
      <c r="KR74" s="33"/>
      <c r="KS74" s="33"/>
      <c r="KT74" s="33"/>
      <c r="KU74" s="33"/>
      <c r="KV74" s="33"/>
      <c r="KW74" s="33"/>
      <c r="KX74" s="33"/>
      <c r="KY74" s="33"/>
      <c r="KZ74" s="33"/>
      <c r="LA74" s="33"/>
      <c r="LB74" s="33"/>
      <c r="LC74" s="33"/>
      <c r="LD74" s="33"/>
      <c r="LE74" s="33"/>
      <c r="LF74" s="33"/>
      <c r="LG74" s="33"/>
      <c r="LH74" s="33"/>
      <c r="LI74" s="33"/>
      <c r="LJ74" s="33"/>
      <c r="LK74" s="33"/>
      <c r="LL74" s="33"/>
      <c r="LM74" s="33"/>
      <c r="LN74" s="33"/>
      <c r="LO74" s="33"/>
      <c r="LP74" s="33"/>
      <c r="LQ74" s="33"/>
      <c r="LR74" s="33"/>
      <c r="LS74" s="33"/>
      <c r="LT74" s="33"/>
      <c r="LU74" s="33"/>
      <c r="LV74" s="33"/>
      <c r="LW74" s="33"/>
      <c r="LX74" s="33"/>
      <c r="LY74" s="33"/>
      <c r="LZ74" s="33"/>
      <c r="MA74" s="33"/>
      <c r="MB74" s="33"/>
      <c r="MC74" s="33"/>
      <c r="MD74" s="33"/>
      <c r="ME74" s="33"/>
      <c r="MF74" s="33"/>
      <c r="MG74" s="33"/>
      <c r="MH74" s="33"/>
      <c r="MI74" s="33"/>
      <c r="MJ74" s="33"/>
      <c r="MK74" s="33"/>
      <c r="ML74" s="33"/>
      <c r="MM74" s="33"/>
      <c r="MN74" s="33"/>
      <c r="MO74" s="33"/>
      <c r="MP74" s="33"/>
      <c r="MQ74" s="33"/>
      <c r="MR74" s="33"/>
      <c r="MS74" s="33"/>
      <c r="MT74" s="33"/>
      <c r="MU74" s="33"/>
      <c r="MV74" s="33"/>
    </row>
    <row r="75" spans="1:360" ht="0.75" customHeight="1" x14ac:dyDescent="0.25">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33"/>
      <c r="CA75" s="33"/>
      <c r="CB75" s="33"/>
      <c r="CC75" s="33"/>
      <c r="CD75" s="33"/>
      <c r="CE75" s="33"/>
      <c r="CF75" s="33"/>
      <c r="CG75" s="33"/>
      <c r="CH75" s="33"/>
      <c r="CI75" s="33"/>
      <c r="CJ75" s="33"/>
      <c r="CK75" s="33"/>
      <c r="CL75" s="33"/>
      <c r="CM75" s="33"/>
      <c r="CN75" s="33"/>
      <c r="CO75" s="33"/>
      <c r="CP75" s="33"/>
      <c r="CQ75" s="33"/>
      <c r="CR75" s="33"/>
      <c r="CS75" s="33"/>
      <c r="CT75" s="33"/>
      <c r="CU75" s="33"/>
      <c r="CV75" s="33"/>
      <c r="CW75" s="33"/>
      <c r="CX75" s="33"/>
      <c r="CY75" s="33"/>
      <c r="CZ75" s="33"/>
      <c r="DA75" s="33"/>
      <c r="DB75" s="33"/>
      <c r="DC75" s="33"/>
      <c r="DD75" s="33"/>
      <c r="DE75" s="33"/>
      <c r="DF75" s="33"/>
      <c r="DG75" s="33"/>
      <c r="DH75" s="33"/>
      <c r="DI75" s="33"/>
      <c r="DJ75" s="33"/>
      <c r="DK75" s="33"/>
      <c r="DL75" s="33"/>
      <c r="DM75" s="33"/>
      <c r="DN75" s="33"/>
      <c r="DO75" s="33"/>
      <c r="DP75" s="33"/>
      <c r="DQ75" s="33"/>
      <c r="DR75" s="33"/>
      <c r="DS75" s="33"/>
      <c r="DT75" s="33"/>
      <c r="DU75" s="33"/>
      <c r="DV75" s="33"/>
      <c r="DW75" s="33"/>
      <c r="DX75" s="33"/>
      <c r="DY75" s="33"/>
      <c r="DZ75" s="33"/>
      <c r="EA75" s="33"/>
      <c r="EB75" s="33"/>
      <c r="EC75" s="33"/>
      <c r="ED75" s="33"/>
      <c r="EE75" s="33"/>
      <c r="EF75" s="33"/>
      <c r="EG75" s="33"/>
      <c r="EH75" s="33"/>
      <c r="EI75" s="33"/>
      <c r="EJ75" s="33"/>
      <c r="EK75" s="33"/>
      <c r="EL75" s="33"/>
      <c r="EM75" s="33"/>
      <c r="EN75" s="33"/>
      <c r="EO75" s="33"/>
      <c r="EP75" s="33"/>
      <c r="EQ75" s="33"/>
      <c r="ER75" s="33"/>
      <c r="ES75" s="33"/>
      <c r="ET75" s="33"/>
      <c r="EU75" s="33"/>
      <c r="EV75" s="33"/>
      <c r="EW75" s="33"/>
      <c r="EX75" s="33"/>
      <c r="EY75" s="33"/>
      <c r="EZ75" s="33"/>
      <c r="FA75" s="33"/>
      <c r="FB75" s="33"/>
      <c r="FC75" s="33"/>
      <c r="FD75" s="33"/>
      <c r="FE75" s="33"/>
      <c r="FF75" s="33"/>
      <c r="FG75" s="33"/>
      <c r="FH75" s="33"/>
      <c r="FI75" s="33"/>
      <c r="FJ75" s="33"/>
      <c r="FK75" s="33"/>
      <c r="FL75" s="33"/>
      <c r="FM75" s="33"/>
      <c r="FN75" s="33"/>
      <c r="FO75" s="33"/>
      <c r="FP75" s="33"/>
      <c r="FQ75" s="33"/>
      <c r="FR75" s="33"/>
      <c r="FS75" s="33"/>
      <c r="FT75" s="33"/>
      <c r="FU75" s="33"/>
      <c r="FV75" s="33"/>
      <c r="FW75" s="33"/>
      <c r="FX75" s="33"/>
      <c r="FY75" s="33"/>
      <c r="FZ75" s="33"/>
      <c r="GA75" s="33"/>
      <c r="GB75" s="33"/>
      <c r="GC75" s="33"/>
      <c r="GD75" s="33"/>
      <c r="GE75" s="33"/>
      <c r="GF75" s="33"/>
      <c r="GG75" s="33"/>
      <c r="GH75" s="33"/>
      <c r="GI75" s="33"/>
      <c r="GJ75" s="33"/>
      <c r="GK75" s="33"/>
      <c r="GL75" s="33"/>
      <c r="GM75" s="33"/>
      <c r="GN75" s="33"/>
      <c r="GO75" s="33"/>
      <c r="GP75" s="33"/>
      <c r="GQ75" s="33"/>
      <c r="GR75" s="33"/>
      <c r="GS75" s="33"/>
      <c r="GT75" s="33"/>
      <c r="GU75" s="33"/>
      <c r="GV75" s="33"/>
      <c r="GW75" s="33"/>
      <c r="GX75" s="33"/>
      <c r="GY75" s="33"/>
      <c r="GZ75" s="33"/>
      <c r="HA75" s="33"/>
      <c r="HB75" s="33"/>
      <c r="HC75" s="33"/>
      <c r="HD75" s="33"/>
      <c r="HE75" s="33"/>
      <c r="HF75" s="33"/>
      <c r="HG75" s="33"/>
      <c r="HH75" s="33"/>
      <c r="HI75" s="33"/>
      <c r="HJ75" s="33"/>
      <c r="HK75" s="33"/>
      <c r="HL75" s="33"/>
      <c r="HM75" s="33"/>
      <c r="HN75" s="33"/>
      <c r="HO75" s="33"/>
      <c r="HP75" s="33"/>
      <c r="HQ75" s="33"/>
      <c r="HR75" s="33"/>
      <c r="HS75" s="33"/>
      <c r="HT75" s="33"/>
      <c r="HU75" s="33"/>
      <c r="HV75" s="33"/>
      <c r="HW75" s="33"/>
      <c r="HX75" s="33"/>
      <c r="HY75" s="33"/>
      <c r="HZ75" s="33"/>
      <c r="IA75" s="33"/>
      <c r="IB75" s="33"/>
      <c r="IC75" s="33"/>
      <c r="ID75" s="33"/>
      <c r="IE75" s="33"/>
      <c r="IF75" s="33"/>
      <c r="IG75" s="33"/>
      <c r="IH75" s="33"/>
      <c r="II75" s="33"/>
      <c r="IJ75" s="33"/>
      <c r="IK75" s="33"/>
      <c r="IL75" s="33"/>
      <c r="IM75" s="33"/>
      <c r="IN75" s="33"/>
      <c r="IO75" s="33"/>
      <c r="IP75" s="33"/>
      <c r="IQ75" s="33"/>
      <c r="IR75" s="33"/>
      <c r="IS75" s="33"/>
      <c r="IT75" s="33"/>
      <c r="IU75" s="33"/>
      <c r="IV75" s="33"/>
      <c r="IW75" s="33"/>
      <c r="IX75" s="33"/>
      <c r="IY75" s="33"/>
      <c r="IZ75" s="33"/>
      <c r="JA75" s="33"/>
      <c r="JB75" s="33"/>
      <c r="JC75" s="33"/>
      <c r="JD75" s="33"/>
      <c r="JE75" s="33"/>
      <c r="JF75" s="33"/>
      <c r="JG75" s="33"/>
      <c r="JH75" s="33"/>
      <c r="JI75" s="33"/>
      <c r="JJ75" s="33"/>
      <c r="JK75" s="33"/>
      <c r="JL75" s="33"/>
      <c r="JM75" s="33"/>
      <c r="JN75" s="33"/>
      <c r="JO75" s="33"/>
      <c r="JP75" s="33"/>
      <c r="JQ75" s="33"/>
      <c r="JR75" s="33"/>
      <c r="JS75" s="33"/>
      <c r="JT75" s="33"/>
      <c r="JU75" s="33"/>
      <c r="JV75" s="33"/>
      <c r="JW75" s="33"/>
      <c r="JX75" s="33"/>
      <c r="JY75" s="33"/>
      <c r="JZ75" s="33"/>
      <c r="KA75" s="33"/>
      <c r="KB75" s="33"/>
      <c r="KC75" s="33"/>
      <c r="KD75" s="33"/>
      <c r="KE75" s="33"/>
      <c r="KF75" s="33"/>
      <c r="KG75" s="33"/>
      <c r="KH75" s="33"/>
      <c r="KI75" s="33"/>
      <c r="KJ75" s="33"/>
      <c r="KK75" s="33"/>
      <c r="KL75" s="33"/>
      <c r="KM75" s="33"/>
      <c r="KN75" s="33"/>
      <c r="KO75" s="33"/>
      <c r="KP75" s="33"/>
      <c r="KQ75" s="33"/>
      <c r="KR75" s="33"/>
      <c r="KS75" s="33"/>
      <c r="KT75" s="33"/>
      <c r="KU75" s="33"/>
      <c r="KV75" s="33"/>
      <c r="KW75" s="33"/>
      <c r="KX75" s="33"/>
      <c r="KY75" s="33"/>
      <c r="KZ75" s="33"/>
      <c r="LA75" s="33"/>
      <c r="LB75" s="33"/>
      <c r="LC75" s="33"/>
      <c r="LD75" s="33"/>
      <c r="LE75" s="33"/>
      <c r="LF75" s="33"/>
      <c r="LG75" s="33"/>
      <c r="LH75" s="33"/>
      <c r="LI75" s="33"/>
      <c r="LJ75" s="33"/>
      <c r="LK75" s="33"/>
      <c r="LL75" s="33"/>
      <c r="LM75" s="33"/>
      <c r="LN75" s="33"/>
      <c r="LO75" s="33"/>
      <c r="LP75" s="33"/>
      <c r="LQ75" s="33"/>
      <c r="LR75" s="33"/>
      <c r="LS75" s="33"/>
      <c r="LT75" s="33"/>
      <c r="LU75" s="33"/>
      <c r="LV75" s="33"/>
      <c r="LW75" s="33"/>
      <c r="LX75" s="33"/>
      <c r="LY75" s="33"/>
      <c r="LZ75" s="33"/>
      <c r="MA75" s="33"/>
      <c r="MB75" s="33"/>
      <c r="MC75" s="33"/>
      <c r="MD75" s="33"/>
      <c r="ME75" s="33"/>
      <c r="MF75" s="33"/>
      <c r="MG75" s="33"/>
      <c r="MH75" s="33"/>
      <c r="MI75" s="33"/>
      <c r="MJ75" s="33"/>
      <c r="MK75" s="33"/>
      <c r="ML75" s="33"/>
      <c r="MM75" s="33"/>
      <c r="MN75" s="33"/>
      <c r="MO75" s="33"/>
      <c r="MP75" s="33"/>
      <c r="MQ75" s="33"/>
      <c r="MR75" s="33"/>
      <c r="MS75" s="33"/>
      <c r="MT75" s="33"/>
      <c r="MU75" s="33"/>
      <c r="MV75" s="33"/>
    </row>
    <row r="76" spans="1:360" ht="0.75" customHeight="1" x14ac:dyDescent="0.25">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33"/>
      <c r="CA76" s="33"/>
      <c r="CB76" s="33"/>
      <c r="CC76" s="33"/>
      <c r="CD76" s="33"/>
      <c r="CE76" s="33"/>
      <c r="CF76" s="33"/>
      <c r="CG76" s="33"/>
      <c r="CH76" s="33"/>
      <c r="CI76" s="33"/>
      <c r="CJ76" s="33"/>
      <c r="CK76" s="33"/>
      <c r="CL76" s="33"/>
      <c r="CM76" s="33"/>
      <c r="CN76" s="33"/>
      <c r="CO76" s="33"/>
      <c r="CP76" s="33"/>
      <c r="CQ76" s="33"/>
      <c r="CR76" s="33"/>
      <c r="CS76" s="33"/>
      <c r="CT76" s="33"/>
      <c r="CU76" s="33"/>
      <c r="CV76" s="33"/>
      <c r="CW76" s="33"/>
      <c r="CX76" s="33"/>
      <c r="CY76" s="33"/>
      <c r="CZ76" s="33"/>
      <c r="DA76" s="33"/>
      <c r="DB76" s="33"/>
      <c r="DC76" s="33"/>
      <c r="DD76" s="33"/>
      <c r="DE76" s="33"/>
      <c r="DF76" s="33"/>
      <c r="DG76" s="33"/>
      <c r="DH76" s="33"/>
      <c r="DI76" s="33"/>
      <c r="DJ76" s="33"/>
      <c r="DK76" s="33"/>
      <c r="DL76" s="33"/>
      <c r="DM76" s="33"/>
      <c r="DN76" s="33"/>
      <c r="DO76" s="33"/>
      <c r="DP76" s="33"/>
      <c r="DQ76" s="33"/>
      <c r="DR76" s="33"/>
      <c r="DS76" s="33"/>
      <c r="DT76" s="33"/>
      <c r="DU76" s="33"/>
      <c r="DV76" s="33"/>
      <c r="DW76" s="33"/>
      <c r="DX76" s="33"/>
      <c r="DY76" s="33"/>
      <c r="DZ76" s="33"/>
      <c r="EA76" s="33"/>
      <c r="EB76" s="33"/>
      <c r="EC76" s="33"/>
      <c r="ED76" s="33"/>
      <c r="EE76" s="33"/>
      <c r="EF76" s="33"/>
      <c r="EG76" s="33"/>
      <c r="EH76" s="33"/>
      <c r="EI76" s="33"/>
      <c r="EJ76" s="33"/>
      <c r="EK76" s="33"/>
      <c r="EL76" s="33"/>
      <c r="EM76" s="33"/>
      <c r="EN76" s="33"/>
      <c r="EO76" s="33"/>
      <c r="EP76" s="33"/>
      <c r="EQ76" s="33"/>
      <c r="ER76" s="33"/>
      <c r="ES76" s="33"/>
      <c r="ET76" s="33"/>
      <c r="EU76" s="33"/>
      <c r="EV76" s="33"/>
      <c r="EW76" s="33"/>
      <c r="EX76" s="33"/>
      <c r="EY76" s="33"/>
      <c r="EZ76" s="33"/>
      <c r="FA76" s="33"/>
      <c r="FB76" s="33"/>
      <c r="FC76" s="33"/>
      <c r="FD76" s="33"/>
      <c r="FE76" s="33"/>
      <c r="FF76" s="33"/>
      <c r="FG76" s="33"/>
      <c r="FH76" s="33"/>
      <c r="FI76" s="33"/>
      <c r="FJ76" s="33"/>
      <c r="FK76" s="33"/>
      <c r="FL76" s="33"/>
      <c r="FM76" s="33"/>
      <c r="FN76" s="33"/>
      <c r="FO76" s="33"/>
      <c r="FP76" s="33"/>
      <c r="FQ76" s="33"/>
      <c r="FR76" s="33"/>
      <c r="FS76" s="33"/>
      <c r="FT76" s="33"/>
      <c r="FU76" s="33"/>
      <c r="FV76" s="33"/>
      <c r="FW76" s="33"/>
      <c r="FX76" s="33"/>
      <c r="FY76" s="33"/>
      <c r="FZ76" s="33"/>
      <c r="GA76" s="33"/>
      <c r="GB76" s="33"/>
      <c r="GC76" s="33"/>
      <c r="GD76" s="33"/>
      <c r="GE76" s="33"/>
      <c r="GF76" s="33"/>
      <c r="GG76" s="33"/>
      <c r="GH76" s="33"/>
      <c r="GI76" s="33"/>
      <c r="GJ76" s="33"/>
      <c r="GK76" s="33"/>
      <c r="GL76" s="33"/>
      <c r="GM76" s="33"/>
      <c r="GN76" s="33"/>
      <c r="GO76" s="33"/>
      <c r="GP76" s="33"/>
      <c r="GQ76" s="33"/>
      <c r="GR76" s="33"/>
      <c r="GS76" s="33"/>
      <c r="GT76" s="33"/>
      <c r="GU76" s="33"/>
      <c r="GV76" s="33"/>
      <c r="GW76" s="33"/>
      <c r="GX76" s="33"/>
      <c r="GY76" s="33"/>
      <c r="GZ76" s="33"/>
      <c r="HA76" s="33"/>
      <c r="HB76" s="33"/>
      <c r="HC76" s="33"/>
      <c r="HD76" s="33"/>
      <c r="HE76" s="33"/>
      <c r="HF76" s="33"/>
      <c r="HG76" s="33"/>
      <c r="HH76" s="33"/>
      <c r="HI76" s="33"/>
      <c r="HJ76" s="33"/>
      <c r="HK76" s="33"/>
      <c r="HL76" s="33"/>
      <c r="HM76" s="33"/>
      <c r="HN76" s="33"/>
      <c r="HO76" s="33"/>
      <c r="HP76" s="33"/>
      <c r="HQ76" s="33"/>
      <c r="HR76" s="33"/>
      <c r="HS76" s="33"/>
      <c r="HT76" s="33"/>
      <c r="HU76" s="33"/>
      <c r="HV76" s="33"/>
      <c r="HW76" s="33"/>
      <c r="HX76" s="33"/>
      <c r="HY76" s="33"/>
      <c r="HZ76" s="33"/>
      <c r="IA76" s="33"/>
      <c r="IB76" s="33"/>
      <c r="IC76" s="33"/>
      <c r="ID76" s="33"/>
      <c r="IE76" s="33"/>
      <c r="IF76" s="33"/>
      <c r="IG76" s="33"/>
      <c r="IH76" s="33"/>
      <c r="II76" s="33"/>
      <c r="IJ76" s="33"/>
      <c r="IK76" s="33"/>
      <c r="IL76" s="33"/>
      <c r="IM76" s="33"/>
      <c r="IN76" s="33"/>
      <c r="IO76" s="33"/>
      <c r="IP76" s="33"/>
      <c r="IQ76" s="33"/>
      <c r="IR76" s="33"/>
      <c r="IS76" s="33"/>
      <c r="IT76" s="33"/>
      <c r="IU76" s="33"/>
      <c r="IV76" s="33"/>
      <c r="IW76" s="33"/>
      <c r="IX76" s="33"/>
      <c r="IY76" s="33"/>
      <c r="IZ76" s="33"/>
      <c r="JA76" s="33"/>
      <c r="JB76" s="33"/>
      <c r="JC76" s="33"/>
      <c r="JD76" s="33"/>
      <c r="JE76" s="33"/>
      <c r="JF76" s="33"/>
      <c r="JG76" s="33"/>
      <c r="JH76" s="33"/>
      <c r="JI76" s="33"/>
      <c r="JJ76" s="33"/>
      <c r="JK76" s="33"/>
      <c r="JL76" s="33"/>
      <c r="JM76" s="33"/>
      <c r="JN76" s="33"/>
      <c r="JO76" s="33"/>
      <c r="JP76" s="33"/>
      <c r="JQ76" s="33"/>
      <c r="JR76" s="33"/>
      <c r="JS76" s="33"/>
      <c r="JT76" s="33"/>
      <c r="JU76" s="33"/>
      <c r="JV76" s="33"/>
      <c r="JW76" s="33"/>
      <c r="JX76" s="33"/>
      <c r="JY76" s="33"/>
      <c r="JZ76" s="33"/>
      <c r="KA76" s="33"/>
      <c r="KB76" s="33"/>
      <c r="KC76" s="33"/>
      <c r="KD76" s="33"/>
      <c r="KE76" s="33"/>
      <c r="KF76" s="33"/>
      <c r="KG76" s="33"/>
      <c r="KH76" s="33"/>
      <c r="KI76" s="33"/>
      <c r="KJ76" s="33"/>
      <c r="KK76" s="33"/>
      <c r="KL76" s="33"/>
      <c r="KM76" s="33"/>
      <c r="KN76" s="33"/>
      <c r="KO76" s="33"/>
      <c r="KP76" s="33"/>
      <c r="KQ76" s="33"/>
      <c r="KR76" s="33"/>
      <c r="KS76" s="33"/>
      <c r="KT76" s="33"/>
      <c r="KU76" s="33"/>
      <c r="KV76" s="33"/>
      <c r="KW76" s="33"/>
      <c r="KX76" s="33"/>
      <c r="KY76" s="33"/>
      <c r="KZ76" s="33"/>
      <c r="LA76" s="33"/>
      <c r="LB76" s="33"/>
      <c r="LC76" s="33"/>
      <c r="LD76" s="33"/>
      <c r="LE76" s="33"/>
      <c r="LF76" s="33"/>
      <c r="LG76" s="33"/>
      <c r="LH76" s="33"/>
      <c r="LI76" s="33"/>
      <c r="LJ76" s="33"/>
      <c r="LK76" s="33"/>
      <c r="LL76" s="33"/>
      <c r="LM76" s="33"/>
      <c r="LN76" s="33"/>
      <c r="LO76" s="33"/>
      <c r="LP76" s="33"/>
      <c r="LQ76" s="33"/>
      <c r="LR76" s="33"/>
      <c r="LS76" s="33"/>
      <c r="LT76" s="33"/>
      <c r="LU76" s="33"/>
      <c r="LV76" s="33"/>
      <c r="LW76" s="33"/>
      <c r="LX76" s="33"/>
      <c r="LY76" s="33"/>
      <c r="LZ76" s="33"/>
      <c r="MA76" s="33"/>
      <c r="MB76" s="33"/>
      <c r="MC76" s="33"/>
      <c r="MD76" s="33"/>
      <c r="ME76" s="33"/>
      <c r="MF76" s="33"/>
      <c r="MG76" s="33"/>
      <c r="MH76" s="33"/>
      <c r="MI76" s="33"/>
      <c r="MJ76" s="33"/>
      <c r="MK76" s="33"/>
      <c r="ML76" s="33"/>
      <c r="MM76" s="33"/>
      <c r="MN76" s="33"/>
      <c r="MO76" s="33"/>
      <c r="MP76" s="33"/>
      <c r="MQ76" s="33"/>
      <c r="MR76" s="33"/>
      <c r="MS76" s="33"/>
      <c r="MT76" s="33"/>
      <c r="MU76" s="33"/>
      <c r="MV76" s="33"/>
    </row>
    <row r="77" spans="1:360" ht="0.75" customHeight="1" x14ac:dyDescent="0.25">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33"/>
      <c r="CA77" s="33"/>
      <c r="CB77" s="33"/>
      <c r="CC77" s="33"/>
      <c r="CD77" s="33"/>
      <c r="CE77" s="33"/>
      <c r="CF77" s="33"/>
      <c r="CG77" s="33"/>
      <c r="CH77" s="33"/>
      <c r="CI77" s="33"/>
      <c r="CJ77" s="33"/>
      <c r="CK77" s="33"/>
      <c r="CL77" s="33"/>
      <c r="CM77" s="33"/>
      <c r="CN77" s="33"/>
      <c r="CO77" s="33"/>
      <c r="CP77" s="33"/>
      <c r="CQ77" s="33"/>
      <c r="CR77" s="33"/>
      <c r="CS77" s="33"/>
      <c r="CT77" s="33"/>
      <c r="CU77" s="33"/>
      <c r="CV77" s="33"/>
      <c r="CW77" s="33"/>
      <c r="CX77" s="33"/>
      <c r="CY77" s="33"/>
      <c r="CZ77" s="33"/>
      <c r="DA77" s="33"/>
      <c r="DB77" s="33"/>
      <c r="DC77" s="33"/>
      <c r="DD77" s="33"/>
      <c r="DE77" s="33"/>
      <c r="DF77" s="33"/>
      <c r="DG77" s="33"/>
      <c r="DH77" s="33"/>
      <c r="DI77" s="33"/>
      <c r="DJ77" s="33"/>
      <c r="DK77" s="33"/>
      <c r="DL77" s="33"/>
      <c r="DM77" s="33"/>
      <c r="DN77" s="33"/>
      <c r="DO77" s="33"/>
      <c r="DP77" s="33"/>
      <c r="DQ77" s="33"/>
      <c r="DR77" s="33"/>
      <c r="DS77" s="33"/>
      <c r="DT77" s="33"/>
      <c r="DU77" s="33"/>
      <c r="DV77" s="33"/>
      <c r="DW77" s="33"/>
      <c r="DX77" s="33"/>
      <c r="DY77" s="33"/>
      <c r="DZ77" s="33"/>
      <c r="EA77" s="33"/>
      <c r="EB77" s="33"/>
      <c r="EC77" s="33"/>
      <c r="ED77" s="33"/>
      <c r="EE77" s="33"/>
      <c r="EF77" s="33"/>
      <c r="EG77" s="33"/>
      <c r="EH77" s="33"/>
      <c r="EI77" s="33"/>
      <c r="EJ77" s="33"/>
      <c r="EK77" s="33"/>
      <c r="EL77" s="33"/>
      <c r="EM77" s="33"/>
      <c r="EN77" s="33"/>
      <c r="EO77" s="33"/>
      <c r="EP77" s="33"/>
      <c r="EQ77" s="33"/>
      <c r="ER77" s="33"/>
      <c r="ES77" s="33"/>
      <c r="ET77" s="33"/>
      <c r="EU77" s="33"/>
      <c r="EV77" s="33"/>
      <c r="EW77" s="33"/>
      <c r="EX77" s="33"/>
      <c r="EY77" s="33"/>
      <c r="EZ77" s="33"/>
      <c r="FA77" s="33"/>
      <c r="FB77" s="33"/>
      <c r="FC77" s="33"/>
      <c r="FD77" s="33"/>
      <c r="FE77" s="33"/>
      <c r="FF77" s="33"/>
      <c r="FG77" s="33"/>
      <c r="FH77" s="33"/>
      <c r="FI77" s="33"/>
      <c r="FJ77" s="33"/>
      <c r="FK77" s="33"/>
      <c r="FL77" s="33"/>
      <c r="FM77" s="33"/>
      <c r="FN77" s="33"/>
      <c r="FO77" s="33"/>
      <c r="FP77" s="33"/>
      <c r="FQ77" s="33"/>
      <c r="FR77" s="33"/>
      <c r="FS77" s="33"/>
      <c r="FT77" s="33"/>
      <c r="FU77" s="33"/>
      <c r="FV77" s="33"/>
      <c r="FW77" s="33"/>
      <c r="FX77" s="33"/>
      <c r="FY77" s="33"/>
      <c r="FZ77" s="33"/>
      <c r="GA77" s="33"/>
      <c r="GB77" s="33"/>
      <c r="GC77" s="33"/>
      <c r="GD77" s="33"/>
      <c r="GE77" s="33"/>
      <c r="GF77" s="33"/>
      <c r="GG77" s="33"/>
      <c r="GH77" s="33"/>
      <c r="GI77" s="33"/>
      <c r="GJ77" s="33"/>
      <c r="GK77" s="33"/>
      <c r="GL77" s="33"/>
      <c r="GM77" s="33"/>
      <c r="GN77" s="33"/>
      <c r="GO77" s="33"/>
      <c r="GP77" s="33"/>
      <c r="GQ77" s="33"/>
      <c r="GR77" s="33"/>
      <c r="GS77" s="33"/>
      <c r="GT77" s="33"/>
      <c r="GU77" s="33"/>
      <c r="GV77" s="33"/>
      <c r="GW77" s="33"/>
      <c r="GX77" s="33"/>
      <c r="GY77" s="33"/>
      <c r="GZ77" s="33"/>
      <c r="HA77" s="33"/>
      <c r="HB77" s="33"/>
      <c r="HC77" s="33"/>
      <c r="HD77" s="33"/>
      <c r="HE77" s="33"/>
      <c r="HF77" s="33"/>
      <c r="HG77" s="33"/>
      <c r="HH77" s="33"/>
      <c r="HI77" s="33"/>
      <c r="HJ77" s="33"/>
      <c r="HK77" s="33"/>
      <c r="HL77" s="33"/>
      <c r="HM77" s="33"/>
      <c r="HN77" s="33"/>
      <c r="HO77" s="33"/>
      <c r="HP77" s="33"/>
      <c r="HQ77" s="33"/>
      <c r="HR77" s="33"/>
      <c r="HS77" s="33"/>
      <c r="HT77" s="33"/>
      <c r="HU77" s="33"/>
      <c r="HV77" s="33"/>
      <c r="HW77" s="33"/>
      <c r="HX77" s="33"/>
      <c r="HY77" s="33"/>
      <c r="HZ77" s="33"/>
      <c r="IA77" s="33"/>
      <c r="IB77" s="33"/>
      <c r="IC77" s="33"/>
      <c r="ID77" s="33"/>
      <c r="IE77" s="33"/>
      <c r="IF77" s="33"/>
      <c r="IG77" s="33"/>
      <c r="IH77" s="33"/>
      <c r="II77" s="33"/>
      <c r="IJ77" s="33"/>
      <c r="IK77" s="33"/>
      <c r="IL77" s="33"/>
      <c r="IM77" s="33"/>
      <c r="IN77" s="33"/>
      <c r="IO77" s="33"/>
      <c r="IP77" s="33"/>
      <c r="IQ77" s="33"/>
      <c r="IR77" s="33"/>
      <c r="IS77" s="33"/>
      <c r="IT77" s="33"/>
      <c r="IU77" s="33"/>
      <c r="IV77" s="33"/>
      <c r="IW77" s="33"/>
      <c r="IX77" s="33"/>
      <c r="IY77" s="33"/>
      <c r="IZ77" s="33"/>
      <c r="JA77" s="33"/>
      <c r="JB77" s="33"/>
      <c r="JC77" s="33"/>
      <c r="JD77" s="33"/>
      <c r="JE77" s="33"/>
      <c r="JF77" s="33"/>
      <c r="JG77" s="33"/>
      <c r="JH77" s="33"/>
      <c r="JI77" s="33"/>
      <c r="JJ77" s="33"/>
      <c r="JK77" s="33"/>
      <c r="JL77" s="33"/>
      <c r="JM77" s="33"/>
      <c r="JN77" s="33"/>
      <c r="JO77" s="33"/>
      <c r="JP77" s="33"/>
      <c r="JQ77" s="33"/>
      <c r="JR77" s="33"/>
      <c r="JS77" s="33"/>
      <c r="JT77" s="33"/>
      <c r="JU77" s="33"/>
      <c r="JV77" s="33"/>
      <c r="JW77" s="33"/>
      <c r="JX77" s="33"/>
      <c r="JY77" s="33"/>
      <c r="JZ77" s="33"/>
      <c r="KA77" s="33"/>
      <c r="KB77" s="33"/>
      <c r="KC77" s="33"/>
      <c r="KD77" s="33"/>
      <c r="KE77" s="33"/>
      <c r="KF77" s="33"/>
      <c r="KG77" s="33"/>
      <c r="KH77" s="33"/>
      <c r="KI77" s="33"/>
      <c r="KJ77" s="33"/>
      <c r="KK77" s="33"/>
      <c r="KL77" s="33"/>
      <c r="KM77" s="33"/>
      <c r="KN77" s="33"/>
      <c r="KO77" s="33"/>
      <c r="KP77" s="33"/>
      <c r="KQ77" s="33"/>
      <c r="KR77" s="33"/>
      <c r="KS77" s="33"/>
      <c r="KT77" s="33"/>
      <c r="KU77" s="33"/>
      <c r="KV77" s="33"/>
      <c r="KW77" s="33"/>
      <c r="KX77" s="33"/>
      <c r="KY77" s="33"/>
      <c r="KZ77" s="33"/>
      <c r="LA77" s="33"/>
      <c r="LB77" s="33"/>
      <c r="LC77" s="33"/>
      <c r="LD77" s="33"/>
      <c r="LE77" s="33"/>
      <c r="LF77" s="33"/>
      <c r="LG77" s="33"/>
      <c r="LH77" s="33"/>
      <c r="LI77" s="33"/>
      <c r="LJ77" s="33"/>
      <c r="LK77" s="33"/>
      <c r="LL77" s="33"/>
      <c r="LM77" s="33"/>
      <c r="LN77" s="33"/>
      <c r="LO77" s="33"/>
      <c r="LP77" s="33"/>
      <c r="LQ77" s="33"/>
      <c r="LR77" s="33"/>
      <c r="LS77" s="33"/>
      <c r="LT77" s="33"/>
      <c r="LU77" s="33"/>
      <c r="LV77" s="33"/>
      <c r="LW77" s="33"/>
      <c r="LX77" s="33"/>
      <c r="LY77" s="33"/>
      <c r="LZ77" s="33"/>
      <c r="MA77" s="33"/>
      <c r="MB77" s="33"/>
      <c r="MC77" s="33"/>
      <c r="MD77" s="33"/>
      <c r="ME77" s="33"/>
      <c r="MF77" s="33"/>
      <c r="MG77" s="33"/>
      <c r="MH77" s="33"/>
      <c r="MI77" s="33"/>
      <c r="MJ77" s="33"/>
      <c r="MK77" s="33"/>
      <c r="ML77" s="33"/>
      <c r="MM77" s="33"/>
      <c r="MN77" s="33"/>
      <c r="MO77" s="33"/>
      <c r="MP77" s="33"/>
      <c r="MQ77" s="33"/>
      <c r="MR77" s="33"/>
      <c r="MS77" s="33"/>
      <c r="MT77" s="33"/>
      <c r="MU77" s="33"/>
      <c r="MV77" s="33"/>
    </row>
    <row r="78" spans="1:360" ht="0.75" customHeight="1" x14ac:dyDescent="0.25">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33"/>
      <c r="CA78" s="33"/>
      <c r="CB78" s="33"/>
      <c r="CC78" s="33"/>
      <c r="CD78" s="33"/>
      <c r="CE78" s="33"/>
      <c r="CF78" s="33"/>
      <c r="CG78" s="33"/>
      <c r="CH78" s="33"/>
      <c r="CI78" s="33"/>
      <c r="CJ78" s="33"/>
      <c r="CK78" s="33"/>
      <c r="CL78" s="33"/>
      <c r="CM78" s="33"/>
      <c r="CN78" s="33"/>
      <c r="CO78" s="33"/>
      <c r="CP78" s="33"/>
      <c r="CQ78" s="33"/>
      <c r="CR78" s="33"/>
      <c r="CS78" s="33"/>
      <c r="CT78" s="33"/>
      <c r="CU78" s="33"/>
      <c r="CV78" s="33"/>
      <c r="CW78" s="33"/>
      <c r="CX78" s="33"/>
      <c r="CY78" s="33"/>
      <c r="CZ78" s="33"/>
      <c r="DA78" s="33"/>
      <c r="DB78" s="33"/>
      <c r="DC78" s="33"/>
      <c r="DD78" s="33"/>
      <c r="DE78" s="33"/>
      <c r="DF78" s="33"/>
      <c r="DG78" s="33"/>
      <c r="DH78" s="33"/>
      <c r="DI78" s="33"/>
      <c r="DJ78" s="33"/>
      <c r="DK78" s="33"/>
      <c r="DL78" s="33"/>
      <c r="DM78" s="33"/>
      <c r="DN78" s="33"/>
      <c r="DO78" s="33"/>
      <c r="DP78" s="33"/>
      <c r="DQ78" s="33"/>
      <c r="DR78" s="33"/>
      <c r="DS78" s="33"/>
      <c r="DT78" s="33"/>
      <c r="DU78" s="33"/>
      <c r="DV78" s="33"/>
      <c r="DW78" s="33"/>
      <c r="DX78" s="33"/>
      <c r="DY78" s="33"/>
      <c r="DZ78" s="33"/>
      <c r="EA78" s="33"/>
      <c r="EB78" s="33"/>
      <c r="EC78" s="33"/>
      <c r="ED78" s="33"/>
      <c r="EE78" s="33"/>
      <c r="EF78" s="33"/>
      <c r="EG78" s="33"/>
      <c r="EH78" s="33"/>
      <c r="EI78" s="33"/>
      <c r="EJ78" s="33"/>
      <c r="EK78" s="33"/>
      <c r="EL78" s="33"/>
      <c r="EM78" s="33"/>
      <c r="EN78" s="33"/>
      <c r="EO78" s="33"/>
      <c r="EP78" s="33"/>
      <c r="EQ78" s="33"/>
      <c r="ER78" s="33"/>
      <c r="ES78" s="33"/>
      <c r="ET78" s="33"/>
      <c r="EU78" s="33"/>
      <c r="EV78" s="33"/>
      <c r="EW78" s="33"/>
      <c r="EX78" s="33"/>
      <c r="EY78" s="33"/>
      <c r="EZ78" s="33"/>
      <c r="FA78" s="33"/>
      <c r="FB78" s="33"/>
      <c r="FC78" s="33"/>
      <c r="FD78" s="33"/>
      <c r="FE78" s="33"/>
      <c r="FF78" s="33"/>
      <c r="FG78" s="33"/>
      <c r="FH78" s="33"/>
      <c r="FI78" s="33"/>
      <c r="FJ78" s="33"/>
      <c r="FK78" s="33"/>
      <c r="FL78" s="33"/>
      <c r="FM78" s="33"/>
      <c r="FN78" s="33"/>
      <c r="FO78" s="33"/>
      <c r="FP78" s="33"/>
      <c r="FQ78" s="33"/>
      <c r="FR78" s="33"/>
      <c r="FS78" s="33"/>
      <c r="FT78" s="33"/>
      <c r="FU78" s="33"/>
      <c r="FV78" s="33"/>
      <c r="FW78" s="33"/>
      <c r="FX78" s="33"/>
      <c r="FY78" s="33"/>
      <c r="FZ78" s="33"/>
      <c r="GA78" s="33"/>
      <c r="GB78" s="33"/>
      <c r="GC78" s="33"/>
      <c r="GD78" s="33"/>
      <c r="GE78" s="33"/>
      <c r="GF78" s="33"/>
      <c r="GG78" s="33"/>
      <c r="GH78" s="33"/>
      <c r="GI78" s="33"/>
      <c r="GJ78" s="33"/>
      <c r="GK78" s="33"/>
      <c r="GL78" s="33"/>
      <c r="GM78" s="33"/>
      <c r="GN78" s="33"/>
      <c r="GO78" s="33"/>
      <c r="GP78" s="33"/>
      <c r="GQ78" s="33"/>
      <c r="GR78" s="33"/>
      <c r="GS78" s="33"/>
      <c r="GT78" s="33"/>
      <c r="GU78" s="33"/>
      <c r="GV78" s="33"/>
      <c r="GW78" s="33"/>
      <c r="GX78" s="33"/>
      <c r="GY78" s="33"/>
      <c r="GZ78" s="33"/>
      <c r="HA78" s="33"/>
      <c r="HB78" s="33"/>
      <c r="HC78" s="33"/>
      <c r="HD78" s="33"/>
      <c r="HE78" s="33"/>
      <c r="HF78" s="33"/>
      <c r="HG78" s="33"/>
      <c r="HH78" s="33"/>
      <c r="HI78" s="33"/>
      <c r="HJ78" s="33"/>
      <c r="HK78" s="33"/>
      <c r="HL78" s="33"/>
      <c r="HM78" s="33"/>
      <c r="HN78" s="33"/>
      <c r="HO78" s="33"/>
      <c r="HP78" s="33"/>
      <c r="HQ78" s="33"/>
      <c r="HR78" s="33"/>
      <c r="HS78" s="33"/>
      <c r="HT78" s="33"/>
      <c r="HU78" s="33"/>
      <c r="HV78" s="33"/>
      <c r="HW78" s="33"/>
      <c r="HX78" s="33"/>
      <c r="HY78" s="33"/>
      <c r="HZ78" s="33"/>
      <c r="IA78" s="33"/>
      <c r="IB78" s="33"/>
      <c r="IC78" s="33"/>
      <c r="ID78" s="33"/>
      <c r="IE78" s="33"/>
      <c r="IF78" s="33"/>
      <c r="IG78" s="33"/>
      <c r="IH78" s="33"/>
      <c r="II78" s="33"/>
      <c r="IJ78" s="33"/>
      <c r="IK78" s="33"/>
      <c r="IL78" s="33"/>
      <c r="IM78" s="33"/>
      <c r="IN78" s="33"/>
      <c r="IO78" s="33"/>
      <c r="IP78" s="33"/>
      <c r="IQ78" s="33"/>
      <c r="IR78" s="33"/>
      <c r="IS78" s="33"/>
      <c r="IT78" s="33"/>
      <c r="IU78" s="33"/>
      <c r="IV78" s="33"/>
      <c r="IW78" s="33"/>
      <c r="IX78" s="33"/>
      <c r="IY78" s="33"/>
      <c r="IZ78" s="33"/>
      <c r="JA78" s="33"/>
      <c r="JB78" s="33"/>
      <c r="JC78" s="33"/>
      <c r="JD78" s="33"/>
      <c r="JE78" s="33"/>
      <c r="JF78" s="33"/>
      <c r="JG78" s="33"/>
      <c r="JH78" s="33"/>
      <c r="JI78" s="33"/>
      <c r="JJ78" s="33"/>
      <c r="JK78" s="33"/>
      <c r="JL78" s="33"/>
      <c r="JM78" s="33"/>
      <c r="JN78" s="33"/>
      <c r="JO78" s="33"/>
      <c r="JP78" s="33"/>
      <c r="JQ78" s="33"/>
      <c r="JR78" s="33"/>
      <c r="JS78" s="33"/>
      <c r="JT78" s="33"/>
      <c r="JU78" s="33"/>
      <c r="JV78" s="33"/>
      <c r="JW78" s="33"/>
      <c r="JX78" s="33"/>
      <c r="JY78" s="33"/>
      <c r="JZ78" s="33"/>
      <c r="KA78" s="33"/>
      <c r="KB78" s="33"/>
      <c r="KC78" s="33"/>
      <c r="KD78" s="33"/>
      <c r="KE78" s="33"/>
      <c r="KF78" s="33"/>
      <c r="KG78" s="33"/>
      <c r="KH78" s="33"/>
      <c r="KI78" s="33"/>
      <c r="KJ78" s="33"/>
      <c r="KK78" s="33"/>
      <c r="KL78" s="33"/>
      <c r="KM78" s="33"/>
      <c r="KN78" s="33"/>
      <c r="KO78" s="33"/>
      <c r="KP78" s="33"/>
      <c r="KQ78" s="33"/>
      <c r="KR78" s="33"/>
      <c r="KS78" s="33"/>
      <c r="KT78" s="33"/>
      <c r="KU78" s="33"/>
      <c r="KV78" s="33"/>
      <c r="KW78" s="33"/>
      <c r="KX78" s="33"/>
      <c r="KY78" s="33"/>
      <c r="KZ78" s="33"/>
      <c r="LA78" s="33"/>
      <c r="LB78" s="33"/>
      <c r="LC78" s="33"/>
      <c r="LD78" s="33"/>
      <c r="LE78" s="33"/>
      <c r="LF78" s="33"/>
      <c r="LG78" s="33"/>
      <c r="LH78" s="33"/>
      <c r="LI78" s="33"/>
      <c r="LJ78" s="33"/>
      <c r="LK78" s="33"/>
      <c r="LL78" s="33"/>
      <c r="LM78" s="33"/>
      <c r="LN78" s="33"/>
      <c r="LO78" s="33"/>
      <c r="LP78" s="33"/>
      <c r="LQ78" s="33"/>
      <c r="LR78" s="33"/>
      <c r="LS78" s="33"/>
      <c r="LT78" s="33"/>
      <c r="LU78" s="33"/>
      <c r="LV78" s="33"/>
      <c r="LW78" s="33"/>
      <c r="LX78" s="33"/>
      <c r="LY78" s="33"/>
      <c r="LZ78" s="33"/>
      <c r="MA78" s="33"/>
      <c r="MB78" s="33"/>
      <c r="MC78" s="33"/>
      <c r="MD78" s="33"/>
      <c r="ME78" s="33"/>
      <c r="MF78" s="33"/>
      <c r="MG78" s="33"/>
      <c r="MH78" s="33"/>
      <c r="MI78" s="33"/>
      <c r="MJ78" s="33"/>
      <c r="MK78" s="33"/>
      <c r="ML78" s="33"/>
      <c r="MM78" s="33"/>
      <c r="MN78" s="33"/>
      <c r="MO78" s="33"/>
      <c r="MP78" s="33"/>
      <c r="MQ78" s="33"/>
      <c r="MR78" s="33"/>
      <c r="MS78" s="33"/>
      <c r="MT78" s="33"/>
      <c r="MU78" s="33"/>
      <c r="MV78" s="33"/>
    </row>
    <row r="79" spans="1:360" ht="0.75" customHeight="1" x14ac:dyDescent="0.25">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33"/>
      <c r="CA79" s="33"/>
      <c r="CB79" s="33"/>
      <c r="CC79" s="33"/>
      <c r="CD79" s="33"/>
      <c r="CE79" s="33"/>
      <c r="CF79" s="33"/>
      <c r="CG79" s="33"/>
      <c r="CH79" s="33"/>
      <c r="CI79" s="33"/>
      <c r="CJ79" s="33"/>
      <c r="CK79" s="33"/>
      <c r="CL79" s="33"/>
      <c r="CM79" s="33"/>
      <c r="CN79" s="33"/>
      <c r="CO79" s="33"/>
      <c r="CP79" s="33"/>
      <c r="CQ79" s="33"/>
      <c r="CR79" s="33"/>
      <c r="CS79" s="33"/>
      <c r="CT79" s="33"/>
      <c r="CU79" s="33"/>
      <c r="CV79" s="33"/>
      <c r="CW79" s="33"/>
      <c r="CX79" s="33"/>
      <c r="CY79" s="33"/>
      <c r="CZ79" s="33"/>
      <c r="DA79" s="33"/>
      <c r="DB79" s="33"/>
      <c r="DC79" s="33"/>
      <c r="DD79" s="33"/>
      <c r="DE79" s="33"/>
      <c r="DF79" s="33"/>
      <c r="DG79" s="33"/>
      <c r="DH79" s="33"/>
      <c r="DI79" s="33"/>
      <c r="DJ79" s="33"/>
      <c r="DK79" s="33"/>
      <c r="DL79" s="33"/>
      <c r="DM79" s="33"/>
      <c r="DN79" s="33"/>
      <c r="DO79" s="33"/>
      <c r="DP79" s="33"/>
      <c r="DQ79" s="33"/>
      <c r="DR79" s="33"/>
      <c r="DS79" s="33"/>
      <c r="DT79" s="33"/>
      <c r="DU79" s="33"/>
      <c r="DV79" s="33"/>
      <c r="DW79" s="33"/>
      <c r="DX79" s="33"/>
      <c r="DY79" s="33"/>
      <c r="DZ79" s="33"/>
      <c r="EA79" s="33"/>
      <c r="EB79" s="33"/>
      <c r="EC79" s="33"/>
      <c r="ED79" s="33"/>
      <c r="EE79" s="33"/>
      <c r="EF79" s="33"/>
      <c r="EG79" s="33"/>
      <c r="EH79" s="33"/>
      <c r="EI79" s="33"/>
      <c r="EJ79" s="33"/>
      <c r="EK79" s="33"/>
      <c r="EL79" s="33"/>
      <c r="EM79" s="33"/>
      <c r="EN79" s="33"/>
      <c r="EO79" s="33"/>
      <c r="EP79" s="33"/>
      <c r="EQ79" s="33"/>
      <c r="ER79" s="33"/>
      <c r="ES79" s="33"/>
      <c r="ET79" s="33"/>
      <c r="EU79" s="33"/>
      <c r="EV79" s="33"/>
      <c r="EW79" s="33"/>
      <c r="EX79" s="33"/>
      <c r="EY79" s="33"/>
      <c r="EZ79" s="33"/>
      <c r="FA79" s="33"/>
      <c r="FB79" s="33"/>
      <c r="FC79" s="33"/>
      <c r="FD79" s="33"/>
      <c r="FE79" s="33"/>
      <c r="FF79" s="33"/>
      <c r="FG79" s="33"/>
      <c r="FH79" s="33"/>
      <c r="FI79" s="33"/>
      <c r="FJ79" s="33"/>
      <c r="FK79" s="33"/>
      <c r="FL79" s="33"/>
      <c r="FM79" s="33"/>
      <c r="FN79" s="33"/>
      <c r="FO79" s="33"/>
      <c r="FP79" s="33"/>
      <c r="FQ79" s="33"/>
      <c r="FR79" s="33"/>
      <c r="FS79" s="33"/>
      <c r="FT79" s="33"/>
      <c r="FU79" s="33"/>
      <c r="FV79" s="33"/>
      <c r="FW79" s="33"/>
      <c r="FX79" s="33"/>
      <c r="FY79" s="33"/>
      <c r="FZ79" s="33"/>
      <c r="GA79" s="33"/>
      <c r="GB79" s="33"/>
      <c r="GC79" s="33"/>
      <c r="GD79" s="33"/>
      <c r="GE79" s="33"/>
      <c r="GF79" s="33"/>
      <c r="GG79" s="33"/>
      <c r="GH79" s="33"/>
      <c r="GI79" s="33"/>
      <c r="GJ79" s="33"/>
      <c r="GK79" s="33"/>
      <c r="GL79" s="33"/>
      <c r="GM79" s="33"/>
      <c r="GN79" s="33"/>
      <c r="GO79" s="33"/>
      <c r="GP79" s="33"/>
      <c r="GQ79" s="33"/>
      <c r="GR79" s="33"/>
      <c r="GS79" s="33"/>
      <c r="GT79" s="33"/>
      <c r="GU79" s="33"/>
      <c r="GV79" s="33"/>
      <c r="GW79" s="33"/>
      <c r="GX79" s="33"/>
      <c r="GY79" s="33"/>
      <c r="GZ79" s="33"/>
      <c r="HA79" s="33"/>
      <c r="HB79" s="33"/>
      <c r="HC79" s="33"/>
      <c r="HD79" s="33"/>
      <c r="HE79" s="33"/>
      <c r="HF79" s="33"/>
      <c r="HG79" s="33"/>
      <c r="HH79" s="33"/>
      <c r="HI79" s="33"/>
      <c r="HJ79" s="33"/>
      <c r="HK79" s="33"/>
      <c r="HL79" s="33"/>
      <c r="HM79" s="33"/>
      <c r="HN79" s="33"/>
      <c r="HO79" s="33"/>
      <c r="HP79" s="33"/>
      <c r="HQ79" s="33"/>
      <c r="HR79" s="33"/>
      <c r="HS79" s="33"/>
      <c r="HT79" s="33"/>
      <c r="HU79" s="33"/>
      <c r="HV79" s="33"/>
      <c r="HW79" s="33"/>
      <c r="HX79" s="33"/>
      <c r="HY79" s="33"/>
      <c r="HZ79" s="33"/>
      <c r="IA79" s="33"/>
      <c r="IB79" s="33"/>
      <c r="IC79" s="33"/>
      <c r="ID79" s="33"/>
      <c r="IE79" s="33"/>
      <c r="IF79" s="33"/>
      <c r="IG79" s="33"/>
      <c r="IH79" s="33"/>
      <c r="II79" s="33"/>
      <c r="IJ79" s="33"/>
      <c r="IK79" s="33"/>
      <c r="IL79" s="33"/>
      <c r="IM79" s="33"/>
      <c r="IN79" s="33"/>
      <c r="IO79" s="33"/>
      <c r="IP79" s="33"/>
      <c r="IQ79" s="33"/>
      <c r="IR79" s="33"/>
      <c r="IS79" s="33"/>
      <c r="IT79" s="33"/>
      <c r="IU79" s="33"/>
      <c r="IV79" s="33"/>
      <c r="IW79" s="33"/>
      <c r="IX79" s="33"/>
      <c r="IY79" s="33"/>
      <c r="IZ79" s="33"/>
      <c r="JA79" s="33"/>
      <c r="JB79" s="33"/>
      <c r="JC79" s="33"/>
      <c r="JD79" s="33"/>
      <c r="JE79" s="33"/>
      <c r="JF79" s="33"/>
      <c r="JG79" s="33"/>
      <c r="JH79" s="33"/>
      <c r="JI79" s="33"/>
      <c r="JJ79" s="33"/>
      <c r="JK79" s="33"/>
      <c r="JL79" s="33"/>
      <c r="JM79" s="33"/>
      <c r="JN79" s="33"/>
      <c r="JO79" s="33"/>
      <c r="JP79" s="33"/>
      <c r="JQ79" s="33"/>
      <c r="JR79" s="33"/>
      <c r="JS79" s="33"/>
      <c r="JT79" s="33"/>
      <c r="JU79" s="33"/>
      <c r="JV79" s="33"/>
      <c r="JW79" s="33"/>
      <c r="JX79" s="33"/>
      <c r="JY79" s="33"/>
      <c r="JZ79" s="33"/>
      <c r="KA79" s="33"/>
      <c r="KB79" s="33"/>
      <c r="KC79" s="33"/>
      <c r="KD79" s="33"/>
      <c r="KE79" s="33"/>
      <c r="KF79" s="33"/>
      <c r="KG79" s="33"/>
      <c r="KH79" s="33"/>
      <c r="KI79" s="33"/>
      <c r="KJ79" s="33"/>
      <c r="KK79" s="33"/>
      <c r="KL79" s="33"/>
      <c r="KM79" s="33"/>
      <c r="KN79" s="33"/>
      <c r="KO79" s="33"/>
      <c r="KP79" s="33"/>
      <c r="KQ79" s="33"/>
      <c r="KR79" s="33"/>
      <c r="KS79" s="33"/>
      <c r="KT79" s="33"/>
      <c r="KU79" s="33"/>
      <c r="KV79" s="33"/>
      <c r="KW79" s="33"/>
      <c r="KX79" s="33"/>
      <c r="KY79" s="33"/>
      <c r="KZ79" s="33"/>
      <c r="LA79" s="33"/>
      <c r="LB79" s="33"/>
      <c r="LC79" s="33"/>
      <c r="LD79" s="33"/>
      <c r="LE79" s="33"/>
      <c r="LF79" s="33"/>
      <c r="LG79" s="33"/>
      <c r="LH79" s="33"/>
      <c r="LI79" s="33"/>
      <c r="LJ79" s="33"/>
      <c r="LK79" s="33"/>
      <c r="LL79" s="33"/>
      <c r="LM79" s="33"/>
      <c r="LN79" s="33"/>
      <c r="LO79" s="33"/>
      <c r="LP79" s="33"/>
      <c r="LQ79" s="33"/>
      <c r="LR79" s="33"/>
      <c r="LS79" s="33"/>
      <c r="LT79" s="33"/>
      <c r="LU79" s="33"/>
      <c r="LV79" s="33"/>
      <c r="LW79" s="33"/>
      <c r="LX79" s="33"/>
      <c r="LY79" s="33"/>
      <c r="LZ79" s="33"/>
      <c r="MA79" s="33"/>
      <c r="MB79" s="33"/>
      <c r="MC79" s="33"/>
      <c r="MD79" s="33"/>
      <c r="ME79" s="33"/>
      <c r="MF79" s="33"/>
      <c r="MG79" s="33"/>
      <c r="MH79" s="33"/>
      <c r="MI79" s="33"/>
      <c r="MJ79" s="33"/>
      <c r="MK79" s="33"/>
      <c r="ML79" s="33"/>
      <c r="MM79" s="33"/>
      <c r="MN79" s="33"/>
      <c r="MO79" s="33"/>
      <c r="MP79" s="33"/>
      <c r="MQ79" s="33"/>
      <c r="MR79" s="33"/>
      <c r="MS79" s="33"/>
      <c r="MT79" s="33"/>
      <c r="MU79" s="33"/>
      <c r="MV79" s="33"/>
    </row>
    <row r="80" spans="1:360" ht="0.75" customHeight="1" x14ac:dyDescent="0.25">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c r="BZ80" s="33"/>
      <c r="CA80" s="33"/>
      <c r="CB80" s="33"/>
      <c r="CC80" s="33"/>
      <c r="CD80" s="33"/>
      <c r="CE80" s="33"/>
      <c r="CF80" s="33"/>
      <c r="CG80" s="33"/>
      <c r="CH80" s="33"/>
      <c r="CI80" s="33"/>
      <c r="CJ80" s="33"/>
      <c r="CK80" s="33"/>
      <c r="CL80" s="33"/>
      <c r="CM80" s="33"/>
      <c r="CN80" s="33"/>
      <c r="CO80" s="33"/>
      <c r="CP80" s="33"/>
      <c r="CQ80" s="33"/>
      <c r="CR80" s="33"/>
      <c r="CS80" s="33"/>
      <c r="CT80" s="33"/>
      <c r="CU80" s="33"/>
      <c r="CV80" s="33"/>
      <c r="CW80" s="33"/>
      <c r="CX80" s="33"/>
      <c r="CY80" s="33"/>
      <c r="CZ80" s="33"/>
      <c r="DA80" s="33"/>
      <c r="DB80" s="33"/>
      <c r="DC80" s="33"/>
      <c r="DD80" s="33"/>
      <c r="DE80" s="33"/>
      <c r="DF80" s="33"/>
      <c r="DG80" s="33"/>
      <c r="DH80" s="33"/>
      <c r="DI80" s="33"/>
      <c r="DJ80" s="33"/>
      <c r="DK80" s="33"/>
      <c r="DL80" s="33"/>
      <c r="DM80" s="33"/>
      <c r="DN80" s="33"/>
      <c r="DO80" s="33"/>
      <c r="DP80" s="33"/>
      <c r="DQ80" s="33"/>
      <c r="DR80" s="33"/>
      <c r="DS80" s="33"/>
      <c r="DT80" s="33"/>
      <c r="DU80" s="33"/>
      <c r="DV80" s="33"/>
      <c r="DW80" s="33"/>
      <c r="DX80" s="33"/>
      <c r="DY80" s="33"/>
      <c r="DZ80" s="33"/>
      <c r="EA80" s="33"/>
      <c r="EB80" s="33"/>
      <c r="EC80" s="33"/>
      <c r="ED80" s="33"/>
      <c r="EE80" s="33"/>
      <c r="EF80" s="33"/>
      <c r="EG80" s="33"/>
      <c r="EH80" s="33"/>
      <c r="EI80" s="33"/>
      <c r="EJ80" s="33"/>
      <c r="EK80" s="33"/>
      <c r="EL80" s="33"/>
      <c r="EM80" s="33"/>
      <c r="EN80" s="33"/>
      <c r="EO80" s="33"/>
      <c r="EP80" s="33"/>
      <c r="EQ80" s="33"/>
      <c r="ER80" s="33"/>
      <c r="ES80" s="33"/>
      <c r="ET80" s="33"/>
      <c r="EU80" s="33"/>
      <c r="EV80" s="33"/>
      <c r="EW80" s="33"/>
      <c r="EX80" s="33"/>
      <c r="EY80" s="33"/>
      <c r="EZ80" s="33"/>
      <c r="FA80" s="33"/>
      <c r="FB80" s="33"/>
      <c r="FC80" s="33"/>
      <c r="FD80" s="33"/>
      <c r="FE80" s="33"/>
      <c r="FF80" s="33"/>
      <c r="FG80" s="33"/>
      <c r="FH80" s="33"/>
      <c r="FI80" s="33"/>
      <c r="FJ80" s="33"/>
      <c r="FK80" s="33"/>
      <c r="FL80" s="33"/>
      <c r="FM80" s="33"/>
      <c r="FN80" s="33"/>
      <c r="FO80" s="33"/>
      <c r="FP80" s="33"/>
      <c r="FQ80" s="33"/>
      <c r="FR80" s="33"/>
      <c r="FS80" s="33"/>
      <c r="FT80" s="33"/>
      <c r="FU80" s="33"/>
      <c r="FV80" s="33"/>
      <c r="FW80" s="33"/>
      <c r="FX80" s="33"/>
      <c r="FY80" s="33"/>
      <c r="FZ80" s="33"/>
      <c r="GA80" s="33"/>
      <c r="GB80" s="33"/>
      <c r="GC80" s="33"/>
      <c r="GD80" s="33"/>
      <c r="GE80" s="33"/>
      <c r="GF80" s="33"/>
      <c r="GG80" s="33"/>
      <c r="GH80" s="33"/>
      <c r="GI80" s="33"/>
      <c r="GJ80" s="33"/>
      <c r="GK80" s="33"/>
      <c r="GL80" s="33"/>
      <c r="GM80" s="33"/>
      <c r="GN80" s="33"/>
      <c r="GO80" s="33"/>
      <c r="GP80" s="33"/>
      <c r="GQ80" s="33"/>
      <c r="GR80" s="33"/>
      <c r="GS80" s="33"/>
      <c r="GT80" s="33"/>
      <c r="GU80" s="33"/>
      <c r="GV80" s="33"/>
      <c r="GW80" s="33"/>
      <c r="GX80" s="33"/>
      <c r="GY80" s="33"/>
      <c r="GZ80" s="33"/>
      <c r="HA80" s="33"/>
      <c r="HB80" s="33"/>
      <c r="HC80" s="33"/>
      <c r="HD80" s="33"/>
      <c r="HE80" s="33"/>
      <c r="HF80" s="33"/>
      <c r="HG80" s="33"/>
      <c r="HH80" s="33"/>
      <c r="HI80" s="33"/>
      <c r="HJ80" s="33"/>
      <c r="HK80" s="33"/>
      <c r="HL80" s="33"/>
      <c r="HM80" s="33"/>
      <c r="HN80" s="33"/>
      <c r="HO80" s="33"/>
      <c r="HP80" s="33"/>
      <c r="HQ80" s="33"/>
      <c r="HR80" s="33"/>
      <c r="HS80" s="33"/>
      <c r="HT80" s="33"/>
      <c r="HU80" s="33"/>
      <c r="HV80" s="33"/>
      <c r="HW80" s="33"/>
      <c r="HX80" s="33"/>
      <c r="HY80" s="33"/>
      <c r="HZ80" s="33"/>
      <c r="IA80" s="33"/>
      <c r="IB80" s="33"/>
      <c r="IC80" s="33"/>
      <c r="ID80" s="33"/>
      <c r="IE80" s="33"/>
      <c r="IF80" s="33"/>
      <c r="IG80" s="33"/>
      <c r="IH80" s="33"/>
      <c r="II80" s="33"/>
      <c r="IJ80" s="33"/>
      <c r="IK80" s="33"/>
      <c r="IL80" s="33"/>
      <c r="IM80" s="33"/>
      <c r="IN80" s="33"/>
      <c r="IO80" s="33"/>
      <c r="IP80" s="33"/>
      <c r="IQ80" s="33"/>
      <c r="IR80" s="33"/>
      <c r="IS80" s="33"/>
      <c r="IT80" s="33"/>
      <c r="IU80" s="33"/>
      <c r="IV80" s="33"/>
      <c r="IW80" s="33"/>
      <c r="IX80" s="33"/>
      <c r="IY80" s="33"/>
      <c r="IZ80" s="33"/>
      <c r="JA80" s="33"/>
      <c r="JB80" s="33"/>
      <c r="JC80" s="33"/>
      <c r="JD80" s="33"/>
      <c r="JE80" s="33"/>
      <c r="JF80" s="33"/>
      <c r="JG80" s="33"/>
      <c r="JH80" s="33"/>
      <c r="JI80" s="33"/>
      <c r="JJ80" s="33"/>
      <c r="JK80" s="33"/>
      <c r="JL80" s="33"/>
      <c r="JM80" s="33"/>
      <c r="JN80" s="33"/>
      <c r="JO80" s="33"/>
      <c r="JP80" s="33"/>
      <c r="JQ80" s="33"/>
      <c r="JR80" s="33"/>
      <c r="JS80" s="33"/>
      <c r="JT80" s="33"/>
      <c r="JU80" s="33"/>
      <c r="JV80" s="33"/>
      <c r="JW80" s="33"/>
      <c r="JX80" s="33"/>
      <c r="JY80" s="33"/>
      <c r="JZ80" s="33"/>
      <c r="KA80" s="33"/>
      <c r="KB80" s="33"/>
      <c r="KC80" s="33"/>
      <c r="KD80" s="33"/>
      <c r="KE80" s="33"/>
      <c r="KF80" s="33"/>
      <c r="KG80" s="33"/>
      <c r="KH80" s="33"/>
      <c r="KI80" s="33"/>
      <c r="KJ80" s="33"/>
      <c r="KK80" s="33"/>
      <c r="KL80" s="33"/>
      <c r="KM80" s="33"/>
      <c r="KN80" s="33"/>
      <c r="KO80" s="33"/>
      <c r="KP80" s="33"/>
      <c r="KQ80" s="33"/>
      <c r="KR80" s="33"/>
      <c r="KS80" s="33"/>
      <c r="KT80" s="33"/>
      <c r="KU80" s="33"/>
      <c r="KV80" s="33"/>
      <c r="KW80" s="33"/>
      <c r="KX80" s="33"/>
      <c r="KY80" s="33"/>
      <c r="KZ80" s="33"/>
      <c r="LA80" s="33"/>
      <c r="LB80" s="33"/>
      <c r="LC80" s="33"/>
      <c r="LD80" s="33"/>
      <c r="LE80" s="33"/>
      <c r="LF80" s="33"/>
      <c r="LG80" s="33"/>
      <c r="LH80" s="33"/>
      <c r="LI80" s="33"/>
      <c r="LJ80" s="33"/>
      <c r="LK80" s="33"/>
      <c r="LL80" s="33"/>
      <c r="LM80" s="33"/>
      <c r="LN80" s="33"/>
      <c r="LO80" s="33"/>
      <c r="LP80" s="33"/>
      <c r="LQ80" s="33"/>
      <c r="LR80" s="33"/>
      <c r="LS80" s="33"/>
      <c r="LT80" s="33"/>
      <c r="LU80" s="33"/>
      <c r="LV80" s="33"/>
      <c r="LW80" s="33"/>
      <c r="LX80" s="33"/>
      <c r="LY80" s="33"/>
      <c r="LZ80" s="33"/>
      <c r="MA80" s="33"/>
      <c r="MB80" s="33"/>
      <c r="MC80" s="33"/>
      <c r="MD80" s="33"/>
      <c r="ME80" s="33"/>
      <c r="MF80" s="33"/>
      <c r="MG80" s="33"/>
      <c r="MH80" s="33"/>
      <c r="MI80" s="33"/>
      <c r="MJ80" s="33"/>
      <c r="MK80" s="33"/>
      <c r="ML80" s="33"/>
      <c r="MM80" s="33"/>
      <c r="MN80" s="33"/>
      <c r="MO80" s="33"/>
      <c r="MP80" s="33"/>
      <c r="MQ80" s="33"/>
      <c r="MR80" s="33"/>
      <c r="MS80" s="33"/>
      <c r="MT80" s="33"/>
      <c r="MU80" s="33"/>
      <c r="MV80" s="33"/>
    </row>
    <row r="81" spans="1:360" ht="0.75" customHeight="1" x14ac:dyDescent="0.25">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33"/>
      <c r="CA81" s="33"/>
      <c r="CB81" s="33"/>
      <c r="CC81" s="33"/>
      <c r="CD81" s="33"/>
      <c r="CE81" s="33"/>
      <c r="CF81" s="33"/>
      <c r="CG81" s="33"/>
      <c r="CH81" s="33"/>
      <c r="CI81" s="33"/>
      <c r="CJ81" s="33"/>
      <c r="CK81" s="33"/>
      <c r="CL81" s="33"/>
      <c r="CM81" s="33"/>
      <c r="CN81" s="33"/>
      <c r="CO81" s="33"/>
      <c r="CP81" s="33"/>
      <c r="CQ81" s="33"/>
      <c r="CR81" s="33"/>
      <c r="CS81" s="33"/>
      <c r="CT81" s="33"/>
      <c r="CU81" s="33"/>
      <c r="CV81" s="33"/>
      <c r="CW81" s="33"/>
      <c r="CX81" s="33"/>
      <c r="CY81" s="33"/>
      <c r="CZ81" s="33"/>
      <c r="DA81" s="33"/>
      <c r="DB81" s="33"/>
      <c r="DC81" s="33"/>
      <c r="DD81" s="33"/>
      <c r="DE81" s="33"/>
      <c r="DF81" s="33"/>
      <c r="DG81" s="33"/>
      <c r="DH81" s="33"/>
      <c r="DI81" s="33"/>
      <c r="DJ81" s="33"/>
      <c r="DK81" s="33"/>
      <c r="DL81" s="33"/>
      <c r="DM81" s="33"/>
      <c r="DN81" s="33"/>
      <c r="DO81" s="33"/>
      <c r="DP81" s="33"/>
      <c r="DQ81" s="33"/>
      <c r="DR81" s="33"/>
      <c r="DS81" s="33"/>
      <c r="DT81" s="33"/>
      <c r="DU81" s="33"/>
      <c r="DV81" s="33"/>
      <c r="DW81" s="33"/>
      <c r="DX81" s="33"/>
      <c r="DY81" s="33"/>
      <c r="DZ81" s="33"/>
      <c r="EA81" s="33"/>
      <c r="EB81" s="33"/>
      <c r="EC81" s="33"/>
      <c r="ED81" s="33"/>
      <c r="EE81" s="33"/>
      <c r="EF81" s="33"/>
      <c r="EG81" s="33"/>
      <c r="EH81" s="33"/>
      <c r="EI81" s="33"/>
      <c r="EJ81" s="33"/>
      <c r="EK81" s="33"/>
      <c r="EL81" s="33"/>
      <c r="EM81" s="33"/>
      <c r="EN81" s="33"/>
      <c r="EO81" s="33"/>
      <c r="EP81" s="33"/>
      <c r="EQ81" s="33"/>
      <c r="ER81" s="33"/>
      <c r="ES81" s="33"/>
      <c r="ET81" s="33"/>
      <c r="EU81" s="33"/>
      <c r="EV81" s="33"/>
      <c r="EW81" s="33"/>
      <c r="EX81" s="33"/>
      <c r="EY81" s="33"/>
      <c r="EZ81" s="33"/>
      <c r="FA81" s="33"/>
      <c r="FB81" s="33"/>
      <c r="FC81" s="33"/>
      <c r="FD81" s="33"/>
      <c r="FE81" s="33"/>
      <c r="FF81" s="33"/>
      <c r="FG81" s="33"/>
      <c r="FH81" s="33"/>
      <c r="FI81" s="33"/>
      <c r="FJ81" s="33"/>
      <c r="FK81" s="33"/>
      <c r="FL81" s="33"/>
      <c r="FM81" s="33"/>
      <c r="FN81" s="33"/>
      <c r="FO81" s="33"/>
      <c r="FP81" s="33"/>
      <c r="FQ81" s="33"/>
      <c r="FR81" s="33"/>
      <c r="FS81" s="33"/>
      <c r="FT81" s="33"/>
      <c r="FU81" s="33"/>
      <c r="FV81" s="33"/>
      <c r="FW81" s="33"/>
      <c r="FX81" s="33"/>
      <c r="FY81" s="33"/>
      <c r="FZ81" s="33"/>
      <c r="GA81" s="33"/>
      <c r="GB81" s="33"/>
      <c r="GC81" s="33"/>
      <c r="GD81" s="33"/>
      <c r="GE81" s="33"/>
      <c r="GF81" s="33"/>
      <c r="GG81" s="33"/>
      <c r="GH81" s="33"/>
      <c r="GI81" s="33"/>
      <c r="GJ81" s="33"/>
      <c r="GK81" s="33"/>
      <c r="GL81" s="33"/>
      <c r="GM81" s="33"/>
      <c r="GN81" s="33"/>
      <c r="GO81" s="33"/>
      <c r="GP81" s="33"/>
      <c r="GQ81" s="33"/>
      <c r="GR81" s="33"/>
      <c r="GS81" s="33"/>
      <c r="GT81" s="33"/>
      <c r="GU81" s="33"/>
      <c r="GV81" s="33"/>
      <c r="GW81" s="33"/>
      <c r="GX81" s="33"/>
      <c r="GY81" s="33"/>
      <c r="GZ81" s="33"/>
      <c r="HA81" s="33"/>
      <c r="HB81" s="33"/>
      <c r="HC81" s="33"/>
      <c r="HD81" s="33"/>
      <c r="HE81" s="33"/>
      <c r="HF81" s="33"/>
      <c r="HG81" s="33"/>
      <c r="HH81" s="33"/>
      <c r="HI81" s="33"/>
      <c r="HJ81" s="33"/>
      <c r="HK81" s="33"/>
      <c r="HL81" s="33"/>
      <c r="HM81" s="33"/>
      <c r="HN81" s="33"/>
      <c r="HO81" s="33"/>
      <c r="HP81" s="33"/>
      <c r="HQ81" s="33"/>
      <c r="HR81" s="33"/>
      <c r="HS81" s="33"/>
      <c r="HT81" s="33"/>
      <c r="HU81" s="33"/>
      <c r="HV81" s="33"/>
      <c r="HW81" s="33"/>
      <c r="HX81" s="33"/>
      <c r="HY81" s="33"/>
      <c r="HZ81" s="33"/>
      <c r="IA81" s="33"/>
      <c r="IB81" s="33"/>
      <c r="IC81" s="33"/>
      <c r="ID81" s="33"/>
      <c r="IE81" s="33"/>
      <c r="IF81" s="33"/>
      <c r="IG81" s="33"/>
      <c r="IH81" s="33"/>
      <c r="II81" s="33"/>
      <c r="IJ81" s="33"/>
      <c r="IK81" s="33"/>
      <c r="IL81" s="33"/>
      <c r="IM81" s="33"/>
      <c r="IN81" s="33"/>
      <c r="IO81" s="33"/>
      <c r="IP81" s="33"/>
      <c r="IQ81" s="33"/>
      <c r="IR81" s="33"/>
      <c r="IS81" s="33"/>
      <c r="IT81" s="33"/>
      <c r="IU81" s="33"/>
      <c r="IV81" s="33"/>
      <c r="IW81" s="33"/>
      <c r="IX81" s="33"/>
      <c r="IY81" s="33"/>
      <c r="IZ81" s="33"/>
      <c r="JA81" s="33"/>
      <c r="JB81" s="33"/>
      <c r="JC81" s="33"/>
      <c r="JD81" s="33"/>
      <c r="JE81" s="33"/>
      <c r="JF81" s="33"/>
      <c r="JG81" s="33"/>
      <c r="JH81" s="33"/>
      <c r="JI81" s="33"/>
      <c r="JJ81" s="33"/>
      <c r="JK81" s="33"/>
      <c r="JL81" s="33"/>
      <c r="JM81" s="33"/>
      <c r="JN81" s="33"/>
      <c r="JO81" s="33"/>
      <c r="JP81" s="33"/>
      <c r="JQ81" s="33"/>
      <c r="JR81" s="33"/>
      <c r="JS81" s="33"/>
      <c r="JT81" s="33"/>
      <c r="JU81" s="33"/>
      <c r="JV81" s="33"/>
      <c r="JW81" s="33"/>
      <c r="JX81" s="33"/>
      <c r="JY81" s="33"/>
      <c r="JZ81" s="33"/>
      <c r="KA81" s="33"/>
      <c r="KB81" s="33"/>
      <c r="KC81" s="33"/>
      <c r="KD81" s="33"/>
      <c r="KE81" s="33"/>
      <c r="KF81" s="33"/>
      <c r="KG81" s="33"/>
      <c r="KH81" s="33"/>
      <c r="KI81" s="33"/>
      <c r="KJ81" s="33"/>
      <c r="KK81" s="33"/>
      <c r="KL81" s="33"/>
      <c r="KM81" s="33"/>
      <c r="KN81" s="33"/>
      <c r="KO81" s="33"/>
      <c r="KP81" s="33"/>
      <c r="KQ81" s="33"/>
      <c r="KR81" s="33"/>
      <c r="KS81" s="33"/>
      <c r="KT81" s="33"/>
      <c r="KU81" s="33"/>
      <c r="KV81" s="33"/>
      <c r="KW81" s="33"/>
      <c r="KX81" s="33"/>
      <c r="KY81" s="33"/>
      <c r="KZ81" s="33"/>
      <c r="LA81" s="33"/>
      <c r="LB81" s="33"/>
      <c r="LC81" s="33"/>
      <c r="LD81" s="33"/>
      <c r="LE81" s="33"/>
      <c r="LF81" s="33"/>
      <c r="LG81" s="33"/>
      <c r="LH81" s="33"/>
      <c r="LI81" s="33"/>
      <c r="LJ81" s="33"/>
      <c r="LK81" s="33"/>
      <c r="LL81" s="33"/>
      <c r="LM81" s="33"/>
      <c r="LN81" s="33"/>
      <c r="LO81" s="33"/>
      <c r="LP81" s="33"/>
      <c r="LQ81" s="33"/>
      <c r="LR81" s="33"/>
      <c r="LS81" s="33"/>
      <c r="LT81" s="33"/>
      <c r="LU81" s="33"/>
      <c r="LV81" s="33"/>
      <c r="LW81" s="33"/>
      <c r="LX81" s="33"/>
      <c r="LY81" s="33"/>
      <c r="LZ81" s="33"/>
      <c r="MA81" s="33"/>
      <c r="MB81" s="33"/>
      <c r="MC81" s="33"/>
      <c r="MD81" s="33"/>
      <c r="ME81" s="33"/>
      <c r="MF81" s="33"/>
      <c r="MG81" s="33"/>
      <c r="MH81" s="33"/>
      <c r="MI81" s="33"/>
      <c r="MJ81" s="33"/>
      <c r="MK81" s="33"/>
      <c r="ML81" s="33"/>
      <c r="MM81" s="33"/>
      <c r="MN81" s="33"/>
      <c r="MO81" s="33"/>
      <c r="MP81" s="33"/>
      <c r="MQ81" s="33"/>
      <c r="MR81" s="33"/>
      <c r="MS81" s="33"/>
      <c r="MT81" s="33"/>
      <c r="MU81" s="33"/>
      <c r="MV81" s="33"/>
    </row>
    <row r="82" spans="1:360" ht="0.75" customHeight="1" x14ac:dyDescent="0.25">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33"/>
      <c r="CA82" s="33"/>
      <c r="CB82" s="33"/>
      <c r="CC82" s="33"/>
      <c r="CD82" s="33"/>
      <c r="CE82" s="33"/>
      <c r="CF82" s="33"/>
      <c r="CG82" s="33"/>
      <c r="CH82" s="33"/>
      <c r="CI82" s="33"/>
      <c r="CJ82" s="33"/>
      <c r="CK82" s="33"/>
      <c r="CL82" s="33"/>
      <c r="CM82" s="33"/>
      <c r="CN82" s="33"/>
      <c r="CO82" s="33"/>
      <c r="CP82" s="33"/>
      <c r="CQ82" s="33"/>
      <c r="CR82" s="33"/>
      <c r="CS82" s="33"/>
      <c r="CT82" s="33"/>
      <c r="CU82" s="33"/>
      <c r="CV82" s="33"/>
      <c r="CW82" s="33"/>
      <c r="CX82" s="33"/>
      <c r="CY82" s="33"/>
      <c r="CZ82" s="33"/>
      <c r="DA82" s="33"/>
      <c r="DB82" s="33"/>
      <c r="DC82" s="33"/>
      <c r="DD82" s="33"/>
      <c r="DE82" s="33"/>
      <c r="DF82" s="33"/>
      <c r="DG82" s="33"/>
      <c r="DH82" s="33"/>
      <c r="DI82" s="33"/>
      <c r="DJ82" s="33"/>
      <c r="DK82" s="33"/>
      <c r="DL82" s="33"/>
      <c r="DM82" s="33"/>
      <c r="DN82" s="33"/>
      <c r="DO82" s="33"/>
      <c r="DP82" s="33"/>
      <c r="DQ82" s="33"/>
      <c r="DR82" s="33"/>
      <c r="DS82" s="33"/>
      <c r="DT82" s="33"/>
      <c r="DU82" s="33"/>
      <c r="DV82" s="33"/>
      <c r="DW82" s="33"/>
      <c r="DX82" s="33"/>
      <c r="DY82" s="33"/>
      <c r="DZ82" s="33"/>
      <c r="EA82" s="33"/>
      <c r="EB82" s="33"/>
      <c r="EC82" s="33"/>
      <c r="ED82" s="33"/>
      <c r="EE82" s="33"/>
      <c r="EF82" s="33"/>
      <c r="EG82" s="33"/>
      <c r="EH82" s="33"/>
      <c r="EI82" s="33"/>
      <c r="EJ82" s="33"/>
      <c r="EK82" s="33"/>
      <c r="EL82" s="33"/>
      <c r="EM82" s="33"/>
      <c r="EN82" s="33"/>
      <c r="EO82" s="33"/>
      <c r="EP82" s="33"/>
      <c r="EQ82" s="33"/>
      <c r="ER82" s="33"/>
      <c r="ES82" s="33"/>
      <c r="ET82" s="33"/>
      <c r="EU82" s="33"/>
      <c r="EV82" s="33"/>
      <c r="EW82" s="33"/>
      <c r="EX82" s="33"/>
      <c r="EY82" s="33"/>
      <c r="EZ82" s="33"/>
      <c r="FA82" s="33"/>
      <c r="FB82" s="33"/>
      <c r="FC82" s="33"/>
      <c r="FD82" s="33"/>
      <c r="FE82" s="33"/>
      <c r="FF82" s="33"/>
      <c r="FG82" s="33"/>
      <c r="FH82" s="33"/>
      <c r="FI82" s="33"/>
      <c r="FJ82" s="33"/>
      <c r="FK82" s="33"/>
      <c r="FL82" s="33"/>
      <c r="FM82" s="33"/>
      <c r="FN82" s="33"/>
      <c r="FO82" s="33"/>
      <c r="FP82" s="33"/>
      <c r="FQ82" s="33"/>
      <c r="FR82" s="33"/>
      <c r="FS82" s="33"/>
      <c r="FT82" s="33"/>
      <c r="FU82" s="33"/>
      <c r="FV82" s="33"/>
      <c r="FW82" s="33"/>
      <c r="FX82" s="33"/>
      <c r="FY82" s="33"/>
      <c r="FZ82" s="33"/>
      <c r="GA82" s="33"/>
      <c r="GB82" s="33"/>
      <c r="GC82" s="33"/>
      <c r="GD82" s="33"/>
      <c r="GE82" s="33"/>
      <c r="GF82" s="33"/>
      <c r="GG82" s="33"/>
      <c r="GH82" s="33"/>
      <c r="GI82" s="33"/>
      <c r="GJ82" s="33"/>
      <c r="GK82" s="33"/>
      <c r="GL82" s="33"/>
      <c r="GM82" s="33"/>
      <c r="GN82" s="33"/>
      <c r="GO82" s="33"/>
      <c r="GP82" s="33"/>
      <c r="GQ82" s="33"/>
      <c r="GR82" s="33"/>
      <c r="GS82" s="33"/>
      <c r="GT82" s="33"/>
      <c r="GU82" s="33"/>
      <c r="GV82" s="33"/>
      <c r="GW82" s="33"/>
      <c r="GX82" s="33"/>
      <c r="GY82" s="33"/>
      <c r="GZ82" s="33"/>
      <c r="HA82" s="33"/>
      <c r="HB82" s="33"/>
      <c r="HC82" s="33"/>
      <c r="HD82" s="33"/>
      <c r="HE82" s="33"/>
      <c r="HF82" s="33"/>
      <c r="HG82" s="33"/>
      <c r="HH82" s="33"/>
      <c r="HI82" s="33"/>
      <c r="HJ82" s="33"/>
      <c r="HK82" s="33"/>
      <c r="HL82" s="33"/>
      <c r="HM82" s="33"/>
      <c r="HN82" s="33"/>
      <c r="HO82" s="33"/>
      <c r="HP82" s="33"/>
      <c r="HQ82" s="33"/>
      <c r="HR82" s="33"/>
      <c r="HS82" s="33"/>
      <c r="HT82" s="33"/>
      <c r="HU82" s="33"/>
      <c r="HV82" s="33"/>
      <c r="HW82" s="33"/>
      <c r="HX82" s="33"/>
      <c r="HY82" s="33"/>
      <c r="HZ82" s="33"/>
      <c r="IA82" s="33"/>
      <c r="IB82" s="33"/>
      <c r="IC82" s="33"/>
      <c r="ID82" s="33"/>
      <c r="IE82" s="33"/>
      <c r="IF82" s="33"/>
      <c r="IG82" s="33"/>
      <c r="IH82" s="33"/>
      <c r="II82" s="33"/>
      <c r="IJ82" s="33"/>
      <c r="IK82" s="33"/>
      <c r="IL82" s="33"/>
      <c r="IM82" s="33"/>
      <c r="IN82" s="33"/>
      <c r="IO82" s="33"/>
      <c r="IP82" s="33"/>
      <c r="IQ82" s="33"/>
      <c r="IR82" s="33"/>
      <c r="IS82" s="33"/>
      <c r="IT82" s="33"/>
      <c r="IU82" s="33"/>
      <c r="IV82" s="33"/>
      <c r="IW82" s="33"/>
      <c r="IX82" s="33"/>
      <c r="IY82" s="33"/>
      <c r="IZ82" s="33"/>
      <c r="JA82" s="33"/>
      <c r="JB82" s="33"/>
      <c r="JC82" s="33"/>
      <c r="JD82" s="33"/>
      <c r="JE82" s="33"/>
      <c r="JF82" s="33"/>
      <c r="JG82" s="33"/>
      <c r="JH82" s="33"/>
      <c r="JI82" s="33"/>
      <c r="JJ82" s="33"/>
      <c r="JK82" s="33"/>
      <c r="JL82" s="33"/>
      <c r="JM82" s="33"/>
      <c r="JN82" s="33"/>
      <c r="JO82" s="33"/>
      <c r="JP82" s="33"/>
      <c r="JQ82" s="33"/>
      <c r="JR82" s="33"/>
      <c r="JS82" s="33"/>
      <c r="JT82" s="33"/>
      <c r="JU82" s="33"/>
      <c r="JV82" s="33"/>
      <c r="JW82" s="33"/>
      <c r="JX82" s="33"/>
      <c r="JY82" s="33"/>
      <c r="JZ82" s="33"/>
      <c r="KA82" s="33"/>
      <c r="KB82" s="33"/>
      <c r="KC82" s="33"/>
      <c r="KD82" s="33"/>
      <c r="KE82" s="33"/>
      <c r="KF82" s="33"/>
      <c r="KG82" s="33"/>
      <c r="KH82" s="33"/>
      <c r="KI82" s="33"/>
      <c r="KJ82" s="33"/>
      <c r="KK82" s="33"/>
      <c r="KL82" s="33"/>
      <c r="KM82" s="33"/>
      <c r="KN82" s="33"/>
      <c r="KO82" s="33"/>
      <c r="KP82" s="33"/>
      <c r="KQ82" s="33"/>
      <c r="KR82" s="33"/>
      <c r="KS82" s="33"/>
      <c r="KT82" s="33"/>
      <c r="KU82" s="33"/>
      <c r="KV82" s="33"/>
      <c r="KW82" s="33"/>
      <c r="KX82" s="33"/>
      <c r="KY82" s="33"/>
      <c r="KZ82" s="33"/>
      <c r="LA82" s="33"/>
      <c r="LB82" s="33"/>
      <c r="LC82" s="33"/>
      <c r="LD82" s="33"/>
      <c r="LE82" s="33"/>
      <c r="LF82" s="33"/>
      <c r="LG82" s="33"/>
      <c r="LH82" s="33"/>
      <c r="LI82" s="33"/>
      <c r="LJ82" s="33"/>
      <c r="LK82" s="33"/>
      <c r="LL82" s="33"/>
      <c r="LM82" s="33"/>
      <c r="LN82" s="33"/>
      <c r="LO82" s="33"/>
      <c r="LP82" s="33"/>
      <c r="LQ82" s="33"/>
      <c r="LR82" s="33"/>
      <c r="LS82" s="33"/>
      <c r="LT82" s="33"/>
      <c r="LU82" s="33"/>
      <c r="LV82" s="33"/>
      <c r="LW82" s="33"/>
      <c r="LX82" s="33"/>
      <c r="LY82" s="33"/>
      <c r="LZ82" s="33"/>
      <c r="MA82" s="33"/>
      <c r="MB82" s="33"/>
      <c r="MC82" s="33"/>
      <c r="MD82" s="33"/>
      <c r="ME82" s="33"/>
      <c r="MF82" s="33"/>
      <c r="MG82" s="33"/>
      <c r="MH82" s="33"/>
      <c r="MI82" s="33"/>
      <c r="MJ82" s="33"/>
      <c r="MK82" s="33"/>
      <c r="ML82" s="33"/>
      <c r="MM82" s="33"/>
      <c r="MN82" s="33"/>
      <c r="MO82" s="33"/>
      <c r="MP82" s="33"/>
      <c r="MQ82" s="33"/>
      <c r="MR82" s="33"/>
      <c r="MS82" s="33"/>
      <c r="MT82" s="33"/>
      <c r="MU82" s="33"/>
      <c r="MV82" s="33"/>
    </row>
    <row r="83" spans="1:360" ht="0.75" customHeight="1" x14ac:dyDescent="0.25">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33"/>
      <c r="CA83" s="33"/>
      <c r="CB83" s="33"/>
      <c r="CC83" s="33"/>
      <c r="CD83" s="33"/>
      <c r="CE83" s="33"/>
      <c r="CF83" s="33"/>
      <c r="CG83" s="33"/>
      <c r="CH83" s="33"/>
      <c r="CI83" s="33"/>
      <c r="CJ83" s="33"/>
      <c r="CK83" s="33"/>
      <c r="CL83" s="33"/>
      <c r="CM83" s="33"/>
      <c r="CN83" s="33"/>
      <c r="CO83" s="33"/>
      <c r="CP83" s="33"/>
      <c r="CQ83" s="33"/>
      <c r="CR83" s="33"/>
      <c r="CS83" s="33"/>
      <c r="CT83" s="33"/>
      <c r="CU83" s="33"/>
      <c r="CV83" s="33"/>
      <c r="CW83" s="33"/>
      <c r="CX83" s="33"/>
      <c r="CY83" s="33"/>
      <c r="CZ83" s="33"/>
      <c r="DA83" s="33"/>
      <c r="DB83" s="33"/>
      <c r="DC83" s="33"/>
      <c r="DD83" s="33"/>
      <c r="DE83" s="33"/>
      <c r="DF83" s="33"/>
      <c r="DG83" s="33"/>
      <c r="DH83" s="33"/>
      <c r="DI83" s="33"/>
      <c r="DJ83" s="33"/>
      <c r="DK83" s="33"/>
      <c r="DL83" s="33"/>
      <c r="DM83" s="33"/>
      <c r="DN83" s="33"/>
      <c r="DO83" s="33"/>
      <c r="DP83" s="33"/>
      <c r="DQ83" s="33"/>
      <c r="DR83" s="33"/>
      <c r="DS83" s="33"/>
      <c r="DT83" s="33"/>
      <c r="DU83" s="33"/>
      <c r="DV83" s="33"/>
      <c r="DW83" s="33"/>
      <c r="DX83" s="33"/>
      <c r="DY83" s="33"/>
      <c r="DZ83" s="33"/>
      <c r="EA83" s="33"/>
      <c r="EB83" s="33"/>
      <c r="EC83" s="33"/>
      <c r="ED83" s="33"/>
      <c r="EE83" s="33"/>
      <c r="EF83" s="33"/>
      <c r="EG83" s="33"/>
      <c r="EH83" s="33"/>
      <c r="EI83" s="33"/>
      <c r="EJ83" s="33"/>
      <c r="EK83" s="33"/>
      <c r="EL83" s="33"/>
      <c r="EM83" s="33"/>
      <c r="EN83" s="33"/>
      <c r="EO83" s="33"/>
      <c r="EP83" s="33"/>
      <c r="EQ83" s="33"/>
      <c r="ER83" s="33"/>
      <c r="ES83" s="33"/>
      <c r="ET83" s="33"/>
      <c r="EU83" s="33"/>
      <c r="EV83" s="33"/>
      <c r="EW83" s="33"/>
      <c r="EX83" s="33"/>
      <c r="EY83" s="33"/>
      <c r="EZ83" s="33"/>
      <c r="FA83" s="33"/>
      <c r="FB83" s="33"/>
      <c r="FC83" s="33"/>
      <c r="FD83" s="33"/>
      <c r="FE83" s="33"/>
      <c r="FF83" s="33"/>
      <c r="FG83" s="33"/>
      <c r="FH83" s="33"/>
      <c r="FI83" s="33"/>
      <c r="FJ83" s="33"/>
      <c r="FK83" s="33"/>
      <c r="FL83" s="33"/>
      <c r="FM83" s="33"/>
      <c r="FN83" s="33"/>
      <c r="FO83" s="33"/>
      <c r="FP83" s="33"/>
      <c r="FQ83" s="33"/>
      <c r="FR83" s="33"/>
      <c r="FS83" s="33"/>
      <c r="FT83" s="33"/>
      <c r="FU83" s="33"/>
      <c r="FV83" s="33"/>
      <c r="FW83" s="33"/>
      <c r="FX83" s="33"/>
      <c r="FY83" s="33"/>
      <c r="FZ83" s="33"/>
      <c r="GA83" s="33"/>
      <c r="GB83" s="33"/>
      <c r="GC83" s="33"/>
      <c r="GD83" s="33"/>
      <c r="GE83" s="33"/>
      <c r="GF83" s="33"/>
      <c r="GG83" s="33"/>
      <c r="GH83" s="33"/>
      <c r="GI83" s="33"/>
      <c r="GJ83" s="33"/>
      <c r="GK83" s="33"/>
      <c r="GL83" s="33"/>
      <c r="GM83" s="33"/>
      <c r="GN83" s="33"/>
      <c r="GO83" s="33"/>
      <c r="GP83" s="33"/>
      <c r="GQ83" s="33"/>
      <c r="GR83" s="33"/>
      <c r="GS83" s="33"/>
      <c r="GT83" s="33"/>
      <c r="GU83" s="33"/>
      <c r="GV83" s="33"/>
      <c r="GW83" s="33"/>
      <c r="GX83" s="33"/>
      <c r="GY83" s="33"/>
      <c r="GZ83" s="33"/>
      <c r="HA83" s="33"/>
      <c r="HB83" s="33"/>
      <c r="HC83" s="33"/>
      <c r="HD83" s="33"/>
      <c r="HE83" s="33"/>
      <c r="HF83" s="33"/>
      <c r="HG83" s="33"/>
      <c r="HH83" s="33"/>
      <c r="HI83" s="33"/>
      <c r="HJ83" s="33"/>
      <c r="HK83" s="33"/>
      <c r="HL83" s="33"/>
      <c r="HM83" s="33"/>
      <c r="HN83" s="33"/>
      <c r="HO83" s="33"/>
      <c r="HP83" s="33"/>
      <c r="HQ83" s="33"/>
      <c r="HR83" s="33"/>
      <c r="HS83" s="33"/>
      <c r="HT83" s="33"/>
      <c r="HU83" s="33"/>
      <c r="HV83" s="33"/>
      <c r="HW83" s="33"/>
      <c r="HX83" s="33"/>
      <c r="HY83" s="33"/>
      <c r="HZ83" s="33"/>
      <c r="IA83" s="33"/>
      <c r="IB83" s="33"/>
      <c r="IC83" s="33"/>
      <c r="ID83" s="33"/>
      <c r="IE83" s="33"/>
      <c r="IF83" s="33"/>
      <c r="IG83" s="33"/>
      <c r="IH83" s="33"/>
      <c r="II83" s="33"/>
      <c r="IJ83" s="33"/>
      <c r="IK83" s="33"/>
      <c r="IL83" s="33"/>
      <c r="IM83" s="33"/>
      <c r="IN83" s="33"/>
      <c r="IO83" s="33"/>
      <c r="IP83" s="33"/>
      <c r="IQ83" s="33"/>
      <c r="IR83" s="33"/>
      <c r="IS83" s="33"/>
      <c r="IT83" s="33"/>
      <c r="IU83" s="33"/>
      <c r="IV83" s="33"/>
      <c r="IW83" s="33"/>
      <c r="IX83" s="33"/>
      <c r="IY83" s="33"/>
      <c r="IZ83" s="33"/>
      <c r="JA83" s="33"/>
      <c r="JB83" s="33"/>
      <c r="JC83" s="33"/>
      <c r="JD83" s="33"/>
      <c r="JE83" s="33"/>
      <c r="JF83" s="33"/>
      <c r="JG83" s="33"/>
      <c r="JH83" s="33"/>
      <c r="JI83" s="33"/>
      <c r="JJ83" s="33"/>
      <c r="JK83" s="33"/>
      <c r="JL83" s="33"/>
      <c r="JM83" s="33"/>
      <c r="JN83" s="33"/>
      <c r="JO83" s="33"/>
      <c r="JP83" s="33"/>
      <c r="JQ83" s="33"/>
      <c r="JR83" s="33"/>
      <c r="JS83" s="33"/>
      <c r="JT83" s="33"/>
      <c r="JU83" s="33"/>
      <c r="JV83" s="33"/>
      <c r="JW83" s="33"/>
      <c r="JX83" s="33"/>
      <c r="JY83" s="33"/>
      <c r="JZ83" s="33"/>
      <c r="KA83" s="33"/>
      <c r="KB83" s="33"/>
      <c r="KC83" s="33"/>
      <c r="KD83" s="33"/>
      <c r="KE83" s="33"/>
      <c r="KF83" s="33"/>
      <c r="KG83" s="33"/>
      <c r="KH83" s="33"/>
      <c r="KI83" s="33"/>
      <c r="KJ83" s="33"/>
      <c r="KK83" s="33"/>
      <c r="KL83" s="33"/>
      <c r="KM83" s="33"/>
      <c r="KN83" s="33"/>
      <c r="KO83" s="33"/>
      <c r="KP83" s="33"/>
      <c r="KQ83" s="33"/>
      <c r="KR83" s="33"/>
      <c r="KS83" s="33"/>
      <c r="KT83" s="33"/>
      <c r="KU83" s="33"/>
      <c r="KV83" s="33"/>
      <c r="KW83" s="33"/>
      <c r="KX83" s="33"/>
      <c r="KY83" s="33"/>
      <c r="KZ83" s="33"/>
      <c r="LA83" s="33"/>
      <c r="LB83" s="33"/>
      <c r="LC83" s="33"/>
      <c r="LD83" s="33"/>
      <c r="LE83" s="33"/>
      <c r="LF83" s="33"/>
      <c r="LG83" s="33"/>
      <c r="LH83" s="33"/>
      <c r="LI83" s="33"/>
      <c r="LJ83" s="33"/>
      <c r="LK83" s="33"/>
      <c r="LL83" s="33"/>
      <c r="LM83" s="33"/>
      <c r="LN83" s="33"/>
      <c r="LO83" s="33"/>
      <c r="LP83" s="33"/>
      <c r="LQ83" s="33"/>
      <c r="LR83" s="33"/>
      <c r="LS83" s="33"/>
      <c r="LT83" s="33"/>
      <c r="LU83" s="33"/>
      <c r="LV83" s="33"/>
      <c r="LW83" s="33"/>
      <c r="LX83" s="33"/>
      <c r="LY83" s="33"/>
      <c r="LZ83" s="33"/>
      <c r="MA83" s="33"/>
      <c r="MB83" s="33"/>
      <c r="MC83" s="33"/>
      <c r="MD83" s="33"/>
      <c r="ME83" s="33"/>
      <c r="MF83" s="33"/>
      <c r="MG83" s="33"/>
      <c r="MH83" s="33"/>
      <c r="MI83" s="33"/>
      <c r="MJ83" s="33"/>
      <c r="MK83" s="33"/>
      <c r="ML83" s="33"/>
      <c r="MM83" s="33"/>
      <c r="MN83" s="33"/>
      <c r="MO83" s="33"/>
      <c r="MP83" s="33"/>
      <c r="MQ83" s="33"/>
      <c r="MR83" s="33"/>
      <c r="MS83" s="33"/>
      <c r="MT83" s="33"/>
      <c r="MU83" s="33"/>
      <c r="MV83" s="33"/>
    </row>
    <row r="84" spans="1:360" ht="0.75" customHeight="1" x14ac:dyDescent="0.25">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33"/>
      <c r="CA84" s="33"/>
      <c r="CB84" s="33"/>
      <c r="CC84" s="33"/>
      <c r="CD84" s="33"/>
      <c r="CE84" s="33"/>
      <c r="CF84" s="33"/>
      <c r="CG84" s="33"/>
      <c r="CH84" s="33"/>
      <c r="CI84" s="33"/>
      <c r="CJ84" s="33"/>
      <c r="CK84" s="33"/>
      <c r="CL84" s="33"/>
      <c r="CM84" s="33"/>
      <c r="CN84" s="33"/>
      <c r="CO84" s="33"/>
      <c r="CP84" s="33"/>
      <c r="CQ84" s="33"/>
      <c r="CR84" s="33"/>
      <c r="CS84" s="33"/>
      <c r="CT84" s="33"/>
      <c r="CU84" s="33"/>
      <c r="CV84" s="33"/>
      <c r="CW84" s="33"/>
      <c r="CX84" s="33"/>
      <c r="CY84" s="33"/>
      <c r="CZ84" s="33"/>
      <c r="DA84" s="33"/>
      <c r="DB84" s="33"/>
      <c r="DC84" s="33"/>
      <c r="DD84" s="33"/>
      <c r="DE84" s="33"/>
      <c r="DF84" s="33"/>
      <c r="DG84" s="33"/>
      <c r="DH84" s="33"/>
      <c r="DI84" s="33"/>
      <c r="DJ84" s="33"/>
      <c r="DK84" s="33"/>
      <c r="DL84" s="33"/>
      <c r="DM84" s="33"/>
      <c r="DN84" s="33"/>
      <c r="DO84" s="33"/>
      <c r="DP84" s="33"/>
      <c r="DQ84" s="33"/>
      <c r="DR84" s="33"/>
      <c r="DS84" s="33"/>
      <c r="DT84" s="33"/>
      <c r="DU84" s="33"/>
      <c r="DV84" s="33"/>
      <c r="DW84" s="33"/>
      <c r="DX84" s="33"/>
      <c r="DY84" s="33"/>
      <c r="DZ84" s="33"/>
      <c r="EA84" s="33"/>
      <c r="EB84" s="33"/>
      <c r="EC84" s="33"/>
      <c r="ED84" s="33"/>
      <c r="EE84" s="33"/>
      <c r="EF84" s="33"/>
      <c r="EG84" s="33"/>
      <c r="EH84" s="33"/>
      <c r="EI84" s="33"/>
      <c r="EJ84" s="33"/>
      <c r="EK84" s="33"/>
      <c r="EL84" s="33"/>
      <c r="EM84" s="33"/>
      <c r="EN84" s="33"/>
      <c r="EO84" s="33"/>
      <c r="EP84" s="33"/>
      <c r="EQ84" s="33"/>
      <c r="ER84" s="33"/>
      <c r="ES84" s="33"/>
      <c r="ET84" s="33"/>
      <c r="EU84" s="33"/>
      <c r="EV84" s="33"/>
      <c r="EW84" s="33"/>
      <c r="EX84" s="33"/>
      <c r="EY84" s="33"/>
      <c r="EZ84" s="33"/>
      <c r="FA84" s="33"/>
      <c r="FB84" s="33"/>
      <c r="FC84" s="33"/>
      <c r="FD84" s="33"/>
      <c r="FE84" s="33"/>
      <c r="FF84" s="33"/>
      <c r="FG84" s="33"/>
      <c r="FH84" s="33"/>
      <c r="FI84" s="33"/>
      <c r="FJ84" s="33"/>
      <c r="FK84" s="33"/>
      <c r="FL84" s="33"/>
      <c r="FM84" s="33"/>
      <c r="FN84" s="33"/>
      <c r="FO84" s="33"/>
      <c r="FP84" s="33"/>
      <c r="FQ84" s="33"/>
      <c r="FR84" s="33"/>
      <c r="FS84" s="33"/>
      <c r="FT84" s="33"/>
      <c r="FU84" s="33"/>
      <c r="FV84" s="33"/>
      <c r="FW84" s="33"/>
      <c r="FX84" s="33"/>
      <c r="FY84" s="33"/>
      <c r="FZ84" s="33"/>
      <c r="GA84" s="33"/>
      <c r="GB84" s="33"/>
      <c r="GC84" s="33"/>
      <c r="GD84" s="33"/>
      <c r="GE84" s="33"/>
      <c r="GF84" s="33"/>
      <c r="GG84" s="33"/>
      <c r="GH84" s="33"/>
      <c r="GI84" s="33"/>
      <c r="GJ84" s="33"/>
      <c r="GK84" s="33"/>
      <c r="GL84" s="33"/>
      <c r="GM84" s="33"/>
      <c r="GN84" s="33"/>
      <c r="GO84" s="33"/>
      <c r="GP84" s="33"/>
      <c r="GQ84" s="33"/>
      <c r="GR84" s="33"/>
      <c r="GS84" s="33"/>
      <c r="GT84" s="33"/>
      <c r="GU84" s="33"/>
      <c r="GV84" s="33"/>
      <c r="GW84" s="33"/>
      <c r="GX84" s="33"/>
      <c r="GY84" s="33"/>
      <c r="GZ84" s="33"/>
      <c r="HA84" s="33"/>
      <c r="HB84" s="33"/>
      <c r="HC84" s="33"/>
      <c r="HD84" s="33"/>
      <c r="HE84" s="33"/>
      <c r="HF84" s="33"/>
      <c r="HG84" s="33"/>
      <c r="HH84" s="33"/>
      <c r="HI84" s="33"/>
      <c r="HJ84" s="33"/>
      <c r="HK84" s="33"/>
      <c r="HL84" s="33"/>
      <c r="HM84" s="33"/>
      <c r="HN84" s="33"/>
      <c r="HO84" s="33"/>
      <c r="HP84" s="33"/>
      <c r="HQ84" s="33"/>
      <c r="HR84" s="33"/>
      <c r="HS84" s="33"/>
      <c r="HT84" s="33"/>
      <c r="HU84" s="33"/>
      <c r="HV84" s="33"/>
      <c r="HW84" s="33"/>
      <c r="HX84" s="33"/>
      <c r="HY84" s="33"/>
      <c r="HZ84" s="33"/>
      <c r="IA84" s="33"/>
      <c r="IB84" s="33"/>
      <c r="IC84" s="33"/>
      <c r="ID84" s="33"/>
      <c r="IE84" s="33"/>
      <c r="IF84" s="33"/>
      <c r="IG84" s="33"/>
      <c r="IH84" s="33"/>
      <c r="II84" s="33"/>
      <c r="IJ84" s="33"/>
      <c r="IK84" s="33"/>
      <c r="IL84" s="33"/>
      <c r="IM84" s="33"/>
      <c r="IN84" s="33"/>
      <c r="IO84" s="33"/>
      <c r="IP84" s="33"/>
      <c r="IQ84" s="33"/>
      <c r="IR84" s="33"/>
      <c r="IS84" s="33"/>
      <c r="IT84" s="33"/>
      <c r="IU84" s="33"/>
      <c r="IV84" s="33"/>
      <c r="IW84" s="33"/>
      <c r="IX84" s="33"/>
      <c r="IY84" s="33"/>
      <c r="IZ84" s="33"/>
      <c r="JA84" s="33"/>
      <c r="JB84" s="33"/>
      <c r="JC84" s="33"/>
      <c r="JD84" s="33"/>
      <c r="JE84" s="33"/>
      <c r="JF84" s="33"/>
      <c r="JG84" s="33"/>
      <c r="JH84" s="33"/>
      <c r="JI84" s="33"/>
      <c r="JJ84" s="33"/>
      <c r="JK84" s="33"/>
      <c r="JL84" s="33"/>
      <c r="JM84" s="33"/>
      <c r="JN84" s="33"/>
      <c r="JO84" s="33"/>
      <c r="JP84" s="33"/>
      <c r="JQ84" s="33"/>
      <c r="JR84" s="33"/>
      <c r="JS84" s="33"/>
      <c r="JT84" s="33"/>
      <c r="JU84" s="33"/>
      <c r="JV84" s="33"/>
      <c r="JW84" s="33"/>
      <c r="JX84" s="33"/>
      <c r="JY84" s="33"/>
      <c r="JZ84" s="33"/>
      <c r="KA84" s="33"/>
      <c r="KB84" s="33"/>
      <c r="KC84" s="33"/>
      <c r="KD84" s="33"/>
      <c r="KE84" s="33"/>
      <c r="KF84" s="33"/>
      <c r="KG84" s="33"/>
      <c r="KH84" s="33"/>
      <c r="KI84" s="33"/>
      <c r="KJ84" s="33"/>
      <c r="KK84" s="33"/>
      <c r="KL84" s="33"/>
      <c r="KM84" s="33"/>
      <c r="KN84" s="33"/>
      <c r="KO84" s="33"/>
      <c r="KP84" s="33"/>
      <c r="KQ84" s="33"/>
      <c r="KR84" s="33"/>
      <c r="KS84" s="33"/>
      <c r="KT84" s="33"/>
      <c r="KU84" s="33"/>
      <c r="KV84" s="33"/>
      <c r="KW84" s="33"/>
      <c r="KX84" s="33"/>
      <c r="KY84" s="33"/>
      <c r="KZ84" s="33"/>
      <c r="LA84" s="33"/>
      <c r="LB84" s="33"/>
      <c r="LC84" s="33"/>
      <c r="LD84" s="33"/>
      <c r="LE84" s="33"/>
      <c r="LF84" s="33"/>
      <c r="LG84" s="33"/>
      <c r="LH84" s="33"/>
      <c r="LI84" s="33"/>
      <c r="LJ84" s="33"/>
      <c r="LK84" s="33"/>
      <c r="LL84" s="33"/>
      <c r="LM84" s="33"/>
      <c r="LN84" s="33"/>
      <c r="LO84" s="33"/>
      <c r="LP84" s="33"/>
      <c r="LQ84" s="33"/>
      <c r="LR84" s="33"/>
      <c r="LS84" s="33"/>
      <c r="LT84" s="33"/>
      <c r="LU84" s="33"/>
      <c r="LV84" s="33"/>
      <c r="LW84" s="33"/>
      <c r="LX84" s="33"/>
      <c r="LY84" s="33"/>
      <c r="LZ84" s="33"/>
      <c r="MA84" s="33"/>
      <c r="MB84" s="33"/>
      <c r="MC84" s="33"/>
      <c r="MD84" s="33"/>
      <c r="ME84" s="33"/>
      <c r="MF84" s="33"/>
      <c r="MG84" s="33"/>
      <c r="MH84" s="33"/>
      <c r="MI84" s="33"/>
      <c r="MJ84" s="33"/>
      <c r="MK84" s="33"/>
      <c r="ML84" s="33"/>
      <c r="MM84" s="33"/>
      <c r="MN84" s="33"/>
      <c r="MO84" s="33"/>
      <c r="MP84" s="33"/>
      <c r="MQ84" s="33"/>
      <c r="MR84" s="33"/>
      <c r="MS84" s="33"/>
      <c r="MT84" s="33"/>
      <c r="MU84" s="33"/>
      <c r="MV84" s="33"/>
    </row>
    <row r="85" spans="1:360" ht="0.75" customHeight="1" x14ac:dyDescent="0.25">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33"/>
      <c r="CA85" s="33"/>
      <c r="CB85" s="33"/>
      <c r="CC85" s="33"/>
      <c r="CD85" s="33"/>
      <c r="CE85" s="33"/>
      <c r="CF85" s="33"/>
      <c r="CG85" s="33"/>
      <c r="CH85" s="33"/>
      <c r="CI85" s="33"/>
      <c r="CJ85" s="33"/>
      <c r="CK85" s="33"/>
      <c r="CL85" s="33"/>
      <c r="CM85" s="33"/>
      <c r="CN85" s="33"/>
      <c r="CO85" s="33"/>
      <c r="CP85" s="33"/>
      <c r="CQ85" s="33"/>
      <c r="CR85" s="33"/>
      <c r="CS85" s="33"/>
      <c r="CT85" s="33"/>
      <c r="CU85" s="33"/>
      <c r="CV85" s="33"/>
      <c r="CW85" s="33"/>
      <c r="CX85" s="33"/>
      <c r="CY85" s="33"/>
      <c r="CZ85" s="33"/>
      <c r="DA85" s="33"/>
      <c r="DB85" s="33"/>
      <c r="DC85" s="33"/>
      <c r="DD85" s="33"/>
      <c r="DE85" s="33"/>
      <c r="DF85" s="33"/>
      <c r="DG85" s="33"/>
      <c r="DH85" s="33"/>
      <c r="DI85" s="33"/>
      <c r="DJ85" s="33"/>
      <c r="DK85" s="33"/>
      <c r="DL85" s="33"/>
      <c r="DM85" s="33"/>
      <c r="DN85" s="33"/>
      <c r="DO85" s="33"/>
      <c r="DP85" s="33"/>
      <c r="DQ85" s="33"/>
      <c r="DR85" s="33"/>
      <c r="DS85" s="33"/>
      <c r="DT85" s="33"/>
      <c r="DU85" s="33"/>
      <c r="DV85" s="33"/>
      <c r="DW85" s="33"/>
      <c r="DX85" s="33"/>
      <c r="DY85" s="33"/>
      <c r="DZ85" s="33"/>
      <c r="EA85" s="33"/>
      <c r="EB85" s="33"/>
      <c r="EC85" s="33"/>
      <c r="ED85" s="33"/>
      <c r="EE85" s="33"/>
      <c r="EF85" s="33"/>
      <c r="EG85" s="33"/>
      <c r="EH85" s="33"/>
      <c r="EI85" s="33"/>
      <c r="EJ85" s="33"/>
      <c r="EK85" s="33"/>
      <c r="EL85" s="33"/>
      <c r="EM85" s="33"/>
      <c r="EN85" s="33"/>
      <c r="EO85" s="33"/>
      <c r="EP85" s="33"/>
      <c r="EQ85" s="33"/>
      <c r="ER85" s="33"/>
      <c r="ES85" s="33"/>
      <c r="ET85" s="33"/>
      <c r="EU85" s="33"/>
      <c r="EV85" s="33"/>
      <c r="EW85" s="33"/>
      <c r="EX85" s="33"/>
      <c r="EY85" s="33"/>
      <c r="EZ85" s="33"/>
      <c r="FA85" s="33"/>
      <c r="FB85" s="33"/>
      <c r="FC85" s="33"/>
      <c r="FD85" s="33"/>
      <c r="FE85" s="33"/>
      <c r="FF85" s="33"/>
      <c r="FG85" s="33"/>
      <c r="FH85" s="33"/>
      <c r="FI85" s="33"/>
      <c r="FJ85" s="33"/>
      <c r="FK85" s="33"/>
      <c r="FL85" s="33"/>
      <c r="FM85" s="33"/>
      <c r="FN85" s="33"/>
      <c r="FO85" s="33"/>
      <c r="FP85" s="33"/>
      <c r="FQ85" s="33"/>
      <c r="FR85" s="33"/>
      <c r="FS85" s="33"/>
      <c r="FT85" s="33"/>
      <c r="FU85" s="33"/>
      <c r="FV85" s="33"/>
      <c r="FW85" s="33"/>
      <c r="FX85" s="33"/>
      <c r="FY85" s="33"/>
      <c r="FZ85" s="33"/>
      <c r="GA85" s="33"/>
      <c r="GB85" s="33"/>
      <c r="GC85" s="33"/>
      <c r="GD85" s="33"/>
      <c r="GE85" s="33"/>
      <c r="GF85" s="33"/>
      <c r="GG85" s="33"/>
      <c r="GH85" s="33"/>
      <c r="GI85" s="33"/>
      <c r="GJ85" s="33"/>
      <c r="GK85" s="33"/>
      <c r="GL85" s="33"/>
      <c r="GM85" s="33"/>
      <c r="GN85" s="33"/>
      <c r="GO85" s="33"/>
      <c r="GP85" s="33"/>
      <c r="GQ85" s="33"/>
      <c r="GR85" s="33"/>
      <c r="GS85" s="33"/>
      <c r="GT85" s="33"/>
      <c r="GU85" s="33"/>
      <c r="GV85" s="33"/>
      <c r="GW85" s="33"/>
      <c r="GX85" s="33"/>
      <c r="GY85" s="33"/>
      <c r="GZ85" s="33"/>
      <c r="HA85" s="33"/>
      <c r="HB85" s="33"/>
      <c r="HC85" s="33"/>
      <c r="HD85" s="33"/>
      <c r="HE85" s="33"/>
      <c r="HF85" s="33"/>
      <c r="HG85" s="33"/>
      <c r="HH85" s="33"/>
      <c r="HI85" s="33"/>
      <c r="HJ85" s="33"/>
      <c r="HK85" s="33"/>
      <c r="HL85" s="33"/>
      <c r="HM85" s="33"/>
      <c r="HN85" s="33"/>
      <c r="HO85" s="33"/>
      <c r="HP85" s="33"/>
      <c r="HQ85" s="33"/>
      <c r="HR85" s="33"/>
      <c r="HS85" s="33"/>
      <c r="HT85" s="33"/>
      <c r="HU85" s="33"/>
      <c r="HV85" s="33"/>
      <c r="HW85" s="33"/>
      <c r="HX85" s="33"/>
      <c r="HY85" s="33"/>
      <c r="HZ85" s="33"/>
      <c r="IA85" s="33"/>
      <c r="IB85" s="33"/>
      <c r="IC85" s="33"/>
      <c r="ID85" s="33"/>
      <c r="IE85" s="33"/>
      <c r="IF85" s="33"/>
      <c r="IG85" s="33"/>
      <c r="IH85" s="33"/>
      <c r="II85" s="33"/>
      <c r="IJ85" s="33"/>
      <c r="IK85" s="33"/>
      <c r="IL85" s="33"/>
      <c r="IM85" s="33"/>
      <c r="IN85" s="33"/>
      <c r="IO85" s="33"/>
      <c r="IP85" s="33"/>
      <c r="IQ85" s="33"/>
      <c r="IR85" s="33"/>
      <c r="IS85" s="33"/>
      <c r="IT85" s="33"/>
      <c r="IU85" s="33"/>
      <c r="IV85" s="33"/>
      <c r="IW85" s="33"/>
      <c r="IX85" s="33"/>
      <c r="IY85" s="33"/>
      <c r="IZ85" s="33"/>
      <c r="JA85" s="33"/>
      <c r="JB85" s="33"/>
      <c r="JC85" s="33"/>
      <c r="JD85" s="33"/>
      <c r="JE85" s="33"/>
      <c r="JF85" s="33"/>
      <c r="JG85" s="33"/>
      <c r="JH85" s="33"/>
      <c r="JI85" s="33"/>
      <c r="JJ85" s="33"/>
      <c r="JK85" s="33"/>
      <c r="JL85" s="33"/>
      <c r="JM85" s="33"/>
      <c r="JN85" s="33"/>
      <c r="JO85" s="33"/>
      <c r="JP85" s="33"/>
      <c r="JQ85" s="33"/>
      <c r="JR85" s="33"/>
      <c r="JS85" s="33"/>
      <c r="JT85" s="33"/>
      <c r="JU85" s="33"/>
      <c r="JV85" s="33"/>
      <c r="JW85" s="33"/>
      <c r="JX85" s="33"/>
      <c r="JY85" s="33"/>
      <c r="JZ85" s="33"/>
      <c r="KA85" s="33"/>
      <c r="KB85" s="33"/>
      <c r="KC85" s="33"/>
      <c r="KD85" s="33"/>
      <c r="KE85" s="33"/>
      <c r="KF85" s="33"/>
      <c r="KG85" s="33"/>
      <c r="KH85" s="33"/>
      <c r="KI85" s="33"/>
      <c r="KJ85" s="33"/>
      <c r="KK85" s="33"/>
      <c r="KL85" s="33"/>
      <c r="KM85" s="33"/>
      <c r="KN85" s="33"/>
      <c r="KO85" s="33"/>
      <c r="KP85" s="33"/>
      <c r="KQ85" s="33"/>
      <c r="KR85" s="33"/>
      <c r="KS85" s="33"/>
      <c r="KT85" s="33"/>
      <c r="KU85" s="33"/>
      <c r="KV85" s="33"/>
      <c r="KW85" s="33"/>
      <c r="KX85" s="33"/>
      <c r="KY85" s="33"/>
      <c r="KZ85" s="33"/>
      <c r="LA85" s="33"/>
      <c r="LB85" s="33"/>
      <c r="LC85" s="33"/>
      <c r="LD85" s="33"/>
      <c r="LE85" s="33"/>
      <c r="LF85" s="33"/>
      <c r="LG85" s="33"/>
      <c r="LH85" s="33"/>
      <c r="LI85" s="33"/>
      <c r="LJ85" s="33"/>
      <c r="LK85" s="33"/>
      <c r="LL85" s="33"/>
      <c r="LM85" s="33"/>
      <c r="LN85" s="33"/>
      <c r="LO85" s="33"/>
      <c r="LP85" s="33"/>
      <c r="LQ85" s="33"/>
      <c r="LR85" s="33"/>
      <c r="LS85" s="33"/>
      <c r="LT85" s="33"/>
      <c r="LU85" s="33"/>
      <c r="LV85" s="33"/>
      <c r="LW85" s="33"/>
      <c r="LX85" s="33"/>
      <c r="LY85" s="33"/>
      <c r="LZ85" s="33"/>
      <c r="MA85" s="33"/>
      <c r="MB85" s="33"/>
      <c r="MC85" s="33"/>
      <c r="MD85" s="33"/>
      <c r="ME85" s="33"/>
      <c r="MF85" s="33"/>
      <c r="MG85" s="33"/>
      <c r="MH85" s="33"/>
      <c r="MI85" s="33"/>
      <c r="MJ85" s="33"/>
      <c r="MK85" s="33"/>
      <c r="ML85" s="33"/>
      <c r="MM85" s="33"/>
      <c r="MN85" s="33"/>
      <c r="MO85" s="33"/>
      <c r="MP85" s="33"/>
      <c r="MQ85" s="33"/>
      <c r="MR85" s="33"/>
      <c r="MS85" s="33"/>
      <c r="MT85" s="33"/>
      <c r="MU85" s="33"/>
      <c r="MV85" s="33"/>
    </row>
    <row r="86" spans="1:360" ht="0.75" customHeight="1" x14ac:dyDescent="0.25">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c r="BZ86" s="33"/>
      <c r="CA86" s="33"/>
      <c r="CB86" s="33"/>
      <c r="CC86" s="33"/>
      <c r="CD86" s="33"/>
      <c r="CE86" s="33"/>
      <c r="CF86" s="33"/>
      <c r="CG86" s="33"/>
      <c r="CH86" s="33"/>
      <c r="CI86" s="33"/>
      <c r="CJ86" s="33"/>
      <c r="CK86" s="33"/>
      <c r="CL86" s="33"/>
      <c r="CM86" s="33"/>
      <c r="CN86" s="33"/>
      <c r="CO86" s="33"/>
      <c r="CP86" s="33"/>
      <c r="CQ86" s="33"/>
      <c r="CR86" s="33"/>
      <c r="CS86" s="33"/>
      <c r="CT86" s="33"/>
      <c r="CU86" s="33"/>
      <c r="CV86" s="33"/>
      <c r="CW86" s="33"/>
      <c r="CX86" s="33"/>
      <c r="CY86" s="33"/>
      <c r="CZ86" s="33"/>
      <c r="DA86" s="33"/>
      <c r="DB86" s="33"/>
      <c r="DC86" s="33"/>
      <c r="DD86" s="33"/>
      <c r="DE86" s="33"/>
      <c r="DF86" s="33"/>
      <c r="DG86" s="33"/>
      <c r="DH86" s="33"/>
      <c r="DI86" s="33"/>
      <c r="DJ86" s="33"/>
      <c r="DK86" s="33"/>
      <c r="DL86" s="33"/>
      <c r="DM86" s="33"/>
      <c r="DN86" s="33"/>
      <c r="DO86" s="33"/>
      <c r="DP86" s="33"/>
      <c r="DQ86" s="33"/>
      <c r="DR86" s="33"/>
      <c r="DS86" s="33"/>
      <c r="DT86" s="33"/>
      <c r="DU86" s="33"/>
      <c r="DV86" s="33"/>
      <c r="DW86" s="33"/>
      <c r="DX86" s="33"/>
      <c r="DY86" s="33"/>
      <c r="DZ86" s="33"/>
      <c r="EA86" s="33"/>
      <c r="EB86" s="33"/>
      <c r="EC86" s="33"/>
      <c r="ED86" s="33"/>
      <c r="EE86" s="33"/>
      <c r="EF86" s="33"/>
      <c r="EG86" s="33"/>
      <c r="EH86" s="33"/>
      <c r="EI86" s="33"/>
      <c r="EJ86" s="33"/>
      <c r="EK86" s="33"/>
      <c r="EL86" s="33"/>
      <c r="EM86" s="33"/>
      <c r="EN86" s="33"/>
      <c r="EO86" s="33"/>
      <c r="EP86" s="33"/>
      <c r="EQ86" s="33"/>
      <c r="ER86" s="33"/>
      <c r="ES86" s="33"/>
      <c r="ET86" s="33"/>
      <c r="EU86" s="33"/>
      <c r="EV86" s="33"/>
      <c r="EW86" s="33"/>
      <c r="EX86" s="33"/>
      <c r="EY86" s="33"/>
      <c r="EZ86" s="33"/>
      <c r="FA86" s="33"/>
      <c r="FB86" s="33"/>
      <c r="FC86" s="33"/>
      <c r="FD86" s="33"/>
      <c r="FE86" s="33"/>
      <c r="FF86" s="33"/>
      <c r="FG86" s="33"/>
      <c r="FH86" s="33"/>
      <c r="FI86" s="33"/>
      <c r="FJ86" s="33"/>
      <c r="FK86" s="33"/>
      <c r="FL86" s="33"/>
      <c r="FM86" s="33"/>
      <c r="FN86" s="33"/>
      <c r="FO86" s="33"/>
      <c r="FP86" s="33"/>
      <c r="FQ86" s="33"/>
      <c r="FR86" s="33"/>
      <c r="FS86" s="33"/>
      <c r="FT86" s="33"/>
      <c r="FU86" s="33"/>
      <c r="FV86" s="33"/>
      <c r="FW86" s="33"/>
      <c r="FX86" s="33"/>
      <c r="FY86" s="33"/>
      <c r="FZ86" s="33"/>
      <c r="GA86" s="33"/>
      <c r="GB86" s="33"/>
      <c r="GC86" s="33"/>
      <c r="GD86" s="33"/>
      <c r="GE86" s="33"/>
      <c r="GF86" s="33"/>
      <c r="GG86" s="33"/>
      <c r="GH86" s="33"/>
      <c r="GI86" s="33"/>
      <c r="GJ86" s="33"/>
      <c r="GK86" s="33"/>
      <c r="GL86" s="33"/>
      <c r="GM86" s="33"/>
      <c r="GN86" s="33"/>
      <c r="GO86" s="33"/>
      <c r="GP86" s="33"/>
      <c r="GQ86" s="33"/>
      <c r="GR86" s="33"/>
      <c r="GS86" s="33"/>
      <c r="GT86" s="33"/>
      <c r="GU86" s="33"/>
      <c r="GV86" s="33"/>
      <c r="GW86" s="33"/>
      <c r="GX86" s="33"/>
      <c r="GY86" s="33"/>
      <c r="GZ86" s="33"/>
      <c r="HA86" s="33"/>
      <c r="HB86" s="33"/>
      <c r="HC86" s="33"/>
      <c r="HD86" s="33"/>
      <c r="HE86" s="33"/>
      <c r="HF86" s="33"/>
      <c r="HG86" s="33"/>
      <c r="HH86" s="33"/>
      <c r="HI86" s="33"/>
      <c r="HJ86" s="33"/>
      <c r="HK86" s="33"/>
      <c r="HL86" s="33"/>
      <c r="HM86" s="33"/>
      <c r="HN86" s="33"/>
      <c r="HO86" s="33"/>
      <c r="HP86" s="33"/>
      <c r="HQ86" s="33"/>
      <c r="HR86" s="33"/>
      <c r="HS86" s="33"/>
      <c r="HT86" s="33"/>
      <c r="HU86" s="33"/>
      <c r="HV86" s="33"/>
      <c r="HW86" s="33"/>
      <c r="HX86" s="33"/>
      <c r="HY86" s="33"/>
      <c r="HZ86" s="33"/>
      <c r="IA86" s="33"/>
      <c r="IB86" s="33"/>
      <c r="IC86" s="33"/>
      <c r="ID86" s="33"/>
      <c r="IE86" s="33"/>
      <c r="IF86" s="33"/>
      <c r="IG86" s="33"/>
      <c r="IH86" s="33"/>
      <c r="II86" s="33"/>
      <c r="IJ86" s="33"/>
      <c r="IK86" s="33"/>
      <c r="IL86" s="33"/>
      <c r="IM86" s="33"/>
      <c r="IN86" s="33"/>
      <c r="IO86" s="33"/>
      <c r="IP86" s="33"/>
      <c r="IQ86" s="33"/>
      <c r="IR86" s="33"/>
      <c r="IS86" s="33"/>
      <c r="IT86" s="33"/>
      <c r="IU86" s="33"/>
      <c r="IV86" s="33"/>
      <c r="IW86" s="33"/>
      <c r="IX86" s="33"/>
      <c r="IY86" s="33"/>
      <c r="IZ86" s="33"/>
      <c r="JA86" s="33"/>
      <c r="JB86" s="33"/>
      <c r="JC86" s="33"/>
      <c r="JD86" s="33"/>
      <c r="JE86" s="33"/>
      <c r="JF86" s="33"/>
      <c r="JG86" s="33"/>
      <c r="JH86" s="33"/>
      <c r="JI86" s="33"/>
      <c r="JJ86" s="33"/>
      <c r="JK86" s="33"/>
      <c r="JL86" s="33"/>
      <c r="JM86" s="33"/>
      <c r="JN86" s="33"/>
      <c r="JO86" s="33"/>
      <c r="JP86" s="33"/>
      <c r="JQ86" s="33"/>
      <c r="JR86" s="33"/>
      <c r="JS86" s="33"/>
      <c r="JT86" s="33"/>
      <c r="JU86" s="33"/>
      <c r="JV86" s="33"/>
      <c r="JW86" s="33"/>
      <c r="JX86" s="33"/>
      <c r="JY86" s="33"/>
      <c r="JZ86" s="33"/>
      <c r="KA86" s="33"/>
      <c r="KB86" s="33"/>
      <c r="KC86" s="33"/>
      <c r="KD86" s="33"/>
      <c r="KE86" s="33"/>
      <c r="KF86" s="33"/>
      <c r="KG86" s="33"/>
      <c r="KH86" s="33"/>
      <c r="KI86" s="33"/>
      <c r="KJ86" s="33"/>
      <c r="KK86" s="33"/>
      <c r="KL86" s="33"/>
      <c r="KM86" s="33"/>
      <c r="KN86" s="33"/>
      <c r="KO86" s="33"/>
      <c r="KP86" s="33"/>
      <c r="KQ86" s="33"/>
      <c r="KR86" s="33"/>
      <c r="KS86" s="33"/>
      <c r="KT86" s="33"/>
      <c r="KU86" s="33"/>
      <c r="KV86" s="33"/>
      <c r="KW86" s="33"/>
      <c r="KX86" s="33"/>
      <c r="KY86" s="33"/>
      <c r="KZ86" s="33"/>
      <c r="LA86" s="33"/>
      <c r="LB86" s="33"/>
      <c r="LC86" s="33"/>
      <c r="LD86" s="33"/>
      <c r="LE86" s="33"/>
      <c r="LF86" s="33"/>
      <c r="LG86" s="33"/>
      <c r="LH86" s="33"/>
      <c r="LI86" s="33"/>
      <c r="LJ86" s="33"/>
      <c r="LK86" s="33"/>
      <c r="LL86" s="33"/>
      <c r="LM86" s="33"/>
      <c r="LN86" s="33"/>
      <c r="LO86" s="33"/>
      <c r="LP86" s="33"/>
      <c r="LQ86" s="33"/>
      <c r="LR86" s="33"/>
      <c r="LS86" s="33"/>
      <c r="LT86" s="33"/>
      <c r="LU86" s="33"/>
      <c r="LV86" s="33"/>
      <c r="LW86" s="33"/>
      <c r="LX86" s="33"/>
      <c r="LY86" s="33"/>
      <c r="LZ86" s="33"/>
      <c r="MA86" s="33"/>
      <c r="MB86" s="33"/>
      <c r="MC86" s="33"/>
      <c r="MD86" s="33"/>
      <c r="ME86" s="33"/>
      <c r="MF86" s="33"/>
      <c r="MG86" s="33"/>
      <c r="MH86" s="33"/>
      <c r="MI86" s="33"/>
      <c r="MJ86" s="33"/>
      <c r="MK86" s="33"/>
      <c r="ML86" s="33"/>
      <c r="MM86" s="33"/>
      <c r="MN86" s="33"/>
      <c r="MO86" s="33"/>
      <c r="MP86" s="33"/>
      <c r="MQ86" s="33"/>
      <c r="MR86" s="33"/>
      <c r="MS86" s="33"/>
      <c r="MT86" s="33"/>
      <c r="MU86" s="33"/>
      <c r="MV86" s="33"/>
    </row>
    <row r="87" spans="1:360" ht="0.75" customHeight="1" x14ac:dyDescent="0.25">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33"/>
      <c r="CA87" s="33"/>
      <c r="CB87" s="33"/>
      <c r="CC87" s="33"/>
      <c r="CD87" s="33"/>
      <c r="CE87" s="33"/>
      <c r="CF87" s="33"/>
      <c r="CG87" s="33"/>
      <c r="CH87" s="33"/>
      <c r="CI87" s="33"/>
      <c r="CJ87" s="33"/>
      <c r="CK87" s="33"/>
      <c r="CL87" s="33"/>
      <c r="CM87" s="33"/>
      <c r="CN87" s="33"/>
      <c r="CO87" s="33"/>
      <c r="CP87" s="33"/>
      <c r="CQ87" s="33"/>
      <c r="CR87" s="33"/>
      <c r="CS87" s="33"/>
      <c r="CT87" s="33"/>
      <c r="CU87" s="33"/>
      <c r="CV87" s="33"/>
      <c r="CW87" s="33"/>
      <c r="CX87" s="33"/>
      <c r="CY87" s="33"/>
      <c r="CZ87" s="33"/>
      <c r="DA87" s="33"/>
      <c r="DB87" s="33"/>
      <c r="DC87" s="33"/>
      <c r="DD87" s="33"/>
      <c r="DE87" s="33"/>
      <c r="DF87" s="33"/>
      <c r="DG87" s="33"/>
      <c r="DH87" s="33"/>
      <c r="DI87" s="33"/>
      <c r="DJ87" s="33"/>
      <c r="DK87" s="33"/>
      <c r="DL87" s="33"/>
      <c r="DM87" s="33"/>
      <c r="DN87" s="33"/>
      <c r="DO87" s="33"/>
      <c r="DP87" s="33"/>
      <c r="DQ87" s="33"/>
      <c r="DR87" s="33"/>
      <c r="DS87" s="33"/>
      <c r="DT87" s="33"/>
      <c r="DU87" s="33"/>
      <c r="DV87" s="33"/>
      <c r="DW87" s="33"/>
      <c r="DX87" s="33"/>
      <c r="DY87" s="33"/>
      <c r="DZ87" s="33"/>
      <c r="EA87" s="33"/>
      <c r="EB87" s="33"/>
      <c r="EC87" s="33"/>
      <c r="ED87" s="33"/>
      <c r="EE87" s="33"/>
      <c r="EF87" s="33"/>
      <c r="EG87" s="33"/>
      <c r="EH87" s="33"/>
      <c r="EI87" s="33"/>
      <c r="EJ87" s="33"/>
      <c r="EK87" s="33"/>
      <c r="EL87" s="33"/>
      <c r="EM87" s="33"/>
      <c r="EN87" s="33"/>
      <c r="EO87" s="33"/>
      <c r="EP87" s="33"/>
      <c r="EQ87" s="33"/>
      <c r="ER87" s="33"/>
      <c r="ES87" s="33"/>
      <c r="ET87" s="33"/>
      <c r="EU87" s="33"/>
      <c r="EV87" s="33"/>
      <c r="EW87" s="33"/>
      <c r="EX87" s="33"/>
      <c r="EY87" s="33"/>
      <c r="EZ87" s="33"/>
      <c r="FA87" s="33"/>
      <c r="FB87" s="33"/>
      <c r="FC87" s="33"/>
      <c r="FD87" s="33"/>
      <c r="FE87" s="33"/>
      <c r="FF87" s="33"/>
      <c r="FG87" s="33"/>
      <c r="FH87" s="33"/>
      <c r="FI87" s="33"/>
      <c r="FJ87" s="33"/>
      <c r="FK87" s="33"/>
      <c r="FL87" s="33"/>
      <c r="FM87" s="33"/>
      <c r="FN87" s="33"/>
      <c r="FO87" s="33"/>
      <c r="FP87" s="33"/>
      <c r="FQ87" s="33"/>
      <c r="FR87" s="33"/>
      <c r="FS87" s="33"/>
      <c r="FT87" s="33"/>
      <c r="FU87" s="33"/>
      <c r="FV87" s="33"/>
      <c r="FW87" s="33"/>
      <c r="FX87" s="33"/>
      <c r="FY87" s="33"/>
      <c r="FZ87" s="33"/>
      <c r="GA87" s="33"/>
      <c r="GB87" s="33"/>
      <c r="GC87" s="33"/>
      <c r="GD87" s="33"/>
      <c r="GE87" s="33"/>
      <c r="GF87" s="33"/>
      <c r="GG87" s="33"/>
      <c r="GH87" s="33"/>
      <c r="GI87" s="33"/>
      <c r="GJ87" s="33"/>
      <c r="GK87" s="33"/>
      <c r="GL87" s="33"/>
      <c r="GM87" s="33"/>
      <c r="GN87" s="33"/>
      <c r="GO87" s="33"/>
      <c r="GP87" s="33"/>
      <c r="GQ87" s="33"/>
      <c r="GR87" s="33"/>
      <c r="GS87" s="33"/>
      <c r="GT87" s="33"/>
      <c r="GU87" s="33"/>
      <c r="GV87" s="33"/>
      <c r="GW87" s="33"/>
      <c r="GX87" s="33"/>
      <c r="GY87" s="33"/>
      <c r="GZ87" s="33"/>
      <c r="HA87" s="33"/>
      <c r="HB87" s="33"/>
      <c r="HC87" s="33"/>
      <c r="HD87" s="33"/>
      <c r="HE87" s="33"/>
      <c r="HF87" s="33"/>
      <c r="HG87" s="33"/>
      <c r="HH87" s="33"/>
      <c r="HI87" s="33"/>
      <c r="HJ87" s="33"/>
      <c r="HK87" s="33"/>
      <c r="HL87" s="33"/>
      <c r="HM87" s="33"/>
      <c r="HN87" s="33"/>
      <c r="HO87" s="33"/>
      <c r="HP87" s="33"/>
      <c r="HQ87" s="33"/>
      <c r="HR87" s="33"/>
      <c r="HS87" s="33"/>
      <c r="HT87" s="33"/>
      <c r="HU87" s="33"/>
      <c r="HV87" s="33"/>
      <c r="HW87" s="33"/>
      <c r="HX87" s="33"/>
      <c r="HY87" s="33"/>
      <c r="HZ87" s="33"/>
      <c r="IA87" s="33"/>
      <c r="IB87" s="33"/>
      <c r="IC87" s="33"/>
      <c r="ID87" s="33"/>
      <c r="IE87" s="33"/>
      <c r="IF87" s="33"/>
      <c r="IG87" s="33"/>
      <c r="IH87" s="33"/>
      <c r="II87" s="33"/>
      <c r="IJ87" s="33"/>
      <c r="IK87" s="33"/>
      <c r="IL87" s="33"/>
      <c r="IM87" s="33"/>
      <c r="IN87" s="33"/>
      <c r="IO87" s="33"/>
      <c r="IP87" s="33"/>
      <c r="IQ87" s="33"/>
      <c r="IR87" s="33"/>
      <c r="IS87" s="33"/>
      <c r="IT87" s="33"/>
      <c r="IU87" s="33"/>
      <c r="IV87" s="33"/>
      <c r="IW87" s="33"/>
      <c r="IX87" s="33"/>
      <c r="IY87" s="33"/>
      <c r="IZ87" s="33"/>
      <c r="JA87" s="33"/>
      <c r="JB87" s="33"/>
      <c r="JC87" s="33"/>
      <c r="JD87" s="33"/>
      <c r="JE87" s="33"/>
      <c r="JF87" s="33"/>
      <c r="JG87" s="33"/>
      <c r="JH87" s="33"/>
      <c r="JI87" s="33"/>
      <c r="JJ87" s="33"/>
      <c r="JK87" s="33"/>
      <c r="JL87" s="33"/>
      <c r="JM87" s="33"/>
      <c r="JN87" s="33"/>
      <c r="JO87" s="33"/>
      <c r="JP87" s="33"/>
      <c r="JQ87" s="33"/>
      <c r="JR87" s="33"/>
      <c r="JS87" s="33"/>
      <c r="JT87" s="33"/>
      <c r="JU87" s="33"/>
      <c r="JV87" s="33"/>
      <c r="JW87" s="33"/>
      <c r="JX87" s="33"/>
      <c r="JY87" s="33"/>
      <c r="JZ87" s="33"/>
      <c r="KA87" s="33"/>
      <c r="KB87" s="33"/>
      <c r="KC87" s="33"/>
      <c r="KD87" s="33"/>
      <c r="KE87" s="33"/>
      <c r="KF87" s="33"/>
      <c r="KG87" s="33"/>
      <c r="KH87" s="33"/>
      <c r="KI87" s="33"/>
      <c r="KJ87" s="33"/>
      <c r="KK87" s="33"/>
      <c r="KL87" s="33"/>
      <c r="KM87" s="33"/>
      <c r="KN87" s="33"/>
      <c r="KO87" s="33"/>
      <c r="KP87" s="33"/>
      <c r="KQ87" s="33"/>
      <c r="KR87" s="33"/>
      <c r="KS87" s="33"/>
      <c r="KT87" s="33"/>
      <c r="KU87" s="33"/>
      <c r="KV87" s="33"/>
      <c r="KW87" s="33"/>
      <c r="KX87" s="33"/>
      <c r="KY87" s="33"/>
      <c r="KZ87" s="33"/>
      <c r="LA87" s="33"/>
      <c r="LB87" s="33"/>
      <c r="LC87" s="33"/>
      <c r="LD87" s="33"/>
      <c r="LE87" s="33"/>
      <c r="LF87" s="33"/>
      <c r="LG87" s="33"/>
      <c r="LH87" s="33"/>
      <c r="LI87" s="33"/>
      <c r="LJ87" s="33"/>
      <c r="LK87" s="33"/>
      <c r="LL87" s="33"/>
      <c r="LM87" s="33"/>
      <c r="LN87" s="33"/>
      <c r="LO87" s="33"/>
      <c r="LP87" s="33"/>
      <c r="LQ87" s="33"/>
      <c r="LR87" s="33"/>
      <c r="LS87" s="33"/>
      <c r="LT87" s="33"/>
      <c r="LU87" s="33"/>
      <c r="LV87" s="33"/>
      <c r="LW87" s="33"/>
      <c r="LX87" s="33"/>
      <c r="LY87" s="33"/>
      <c r="LZ87" s="33"/>
      <c r="MA87" s="33"/>
      <c r="MB87" s="33"/>
      <c r="MC87" s="33"/>
      <c r="MD87" s="33"/>
      <c r="ME87" s="33"/>
      <c r="MF87" s="33"/>
      <c r="MG87" s="33"/>
      <c r="MH87" s="33"/>
      <c r="MI87" s="33"/>
      <c r="MJ87" s="33"/>
      <c r="MK87" s="33"/>
      <c r="ML87" s="33"/>
      <c r="MM87" s="33"/>
      <c r="MN87" s="33"/>
      <c r="MO87" s="33"/>
      <c r="MP87" s="33"/>
      <c r="MQ87" s="33"/>
      <c r="MR87" s="33"/>
      <c r="MS87" s="33"/>
      <c r="MT87" s="33"/>
      <c r="MU87" s="33"/>
      <c r="MV87" s="33"/>
    </row>
    <row r="88" spans="1:360" ht="0.75" customHeight="1" x14ac:dyDescent="0.25">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33"/>
      <c r="CA88" s="33"/>
      <c r="CB88" s="33"/>
      <c r="CC88" s="33"/>
      <c r="CD88" s="33"/>
      <c r="CE88" s="33"/>
      <c r="CF88" s="33"/>
      <c r="CG88" s="33"/>
      <c r="CH88" s="33"/>
      <c r="CI88" s="33"/>
      <c r="CJ88" s="33"/>
      <c r="CK88" s="33"/>
      <c r="CL88" s="33"/>
      <c r="CM88" s="33"/>
      <c r="CN88" s="33"/>
      <c r="CO88" s="33"/>
      <c r="CP88" s="33"/>
      <c r="CQ88" s="33"/>
      <c r="CR88" s="33"/>
      <c r="CS88" s="33"/>
      <c r="CT88" s="33"/>
      <c r="CU88" s="33"/>
      <c r="CV88" s="33"/>
      <c r="CW88" s="33"/>
      <c r="CX88" s="33"/>
      <c r="CY88" s="33"/>
      <c r="CZ88" s="33"/>
      <c r="DA88" s="33"/>
      <c r="DB88" s="33"/>
      <c r="DC88" s="33"/>
      <c r="DD88" s="33"/>
      <c r="DE88" s="33"/>
      <c r="DF88" s="33"/>
      <c r="DG88" s="33"/>
      <c r="DH88" s="33"/>
      <c r="DI88" s="33"/>
      <c r="DJ88" s="33"/>
      <c r="DK88" s="33"/>
      <c r="DL88" s="33"/>
      <c r="DM88" s="33"/>
      <c r="DN88" s="33"/>
      <c r="DO88" s="33"/>
      <c r="DP88" s="33"/>
      <c r="DQ88" s="33"/>
      <c r="DR88" s="33"/>
      <c r="DS88" s="33"/>
      <c r="DT88" s="33"/>
      <c r="DU88" s="33"/>
      <c r="DV88" s="33"/>
      <c r="DW88" s="33"/>
      <c r="DX88" s="33"/>
      <c r="DY88" s="33"/>
      <c r="DZ88" s="33"/>
      <c r="EA88" s="33"/>
      <c r="EB88" s="33"/>
      <c r="EC88" s="33"/>
      <c r="ED88" s="33"/>
      <c r="EE88" s="33"/>
      <c r="EF88" s="33"/>
      <c r="EG88" s="33"/>
      <c r="EH88" s="33"/>
      <c r="EI88" s="33"/>
      <c r="EJ88" s="33"/>
      <c r="EK88" s="33"/>
      <c r="EL88" s="33"/>
      <c r="EM88" s="33"/>
      <c r="EN88" s="33"/>
      <c r="EO88" s="33"/>
      <c r="EP88" s="33"/>
      <c r="EQ88" s="33"/>
      <c r="ER88" s="33"/>
      <c r="ES88" s="33"/>
      <c r="ET88" s="33"/>
      <c r="EU88" s="33"/>
      <c r="EV88" s="33"/>
      <c r="EW88" s="33"/>
      <c r="EX88" s="33"/>
      <c r="EY88" s="33"/>
      <c r="EZ88" s="33"/>
      <c r="FA88" s="33"/>
      <c r="FB88" s="33"/>
      <c r="FC88" s="33"/>
      <c r="FD88" s="33"/>
      <c r="FE88" s="33"/>
      <c r="FF88" s="33"/>
      <c r="FG88" s="33"/>
      <c r="FH88" s="33"/>
      <c r="FI88" s="33"/>
      <c r="FJ88" s="33"/>
      <c r="FK88" s="33"/>
      <c r="FL88" s="33"/>
      <c r="FM88" s="33"/>
      <c r="FN88" s="33"/>
      <c r="FO88" s="33"/>
      <c r="FP88" s="33"/>
      <c r="FQ88" s="33"/>
      <c r="FR88" s="33"/>
      <c r="FS88" s="33"/>
      <c r="FT88" s="33"/>
      <c r="FU88" s="33"/>
      <c r="FV88" s="33"/>
      <c r="FW88" s="33"/>
      <c r="FX88" s="33"/>
      <c r="FY88" s="33"/>
      <c r="FZ88" s="33"/>
      <c r="GA88" s="33"/>
      <c r="GB88" s="33"/>
      <c r="GC88" s="33"/>
      <c r="GD88" s="33"/>
      <c r="GE88" s="33"/>
      <c r="GF88" s="33"/>
      <c r="GG88" s="33"/>
      <c r="GH88" s="33"/>
      <c r="GI88" s="33"/>
      <c r="GJ88" s="33"/>
      <c r="GK88" s="33"/>
      <c r="GL88" s="33"/>
      <c r="GM88" s="33"/>
      <c r="GN88" s="33"/>
      <c r="GO88" s="33"/>
      <c r="GP88" s="33"/>
      <c r="GQ88" s="33"/>
      <c r="GR88" s="33"/>
      <c r="GS88" s="33"/>
      <c r="GT88" s="33"/>
      <c r="GU88" s="33"/>
      <c r="GV88" s="33"/>
      <c r="GW88" s="33"/>
      <c r="GX88" s="33"/>
      <c r="GY88" s="33"/>
      <c r="GZ88" s="33"/>
      <c r="HA88" s="33"/>
      <c r="HB88" s="33"/>
      <c r="HC88" s="33"/>
      <c r="HD88" s="33"/>
      <c r="HE88" s="33"/>
      <c r="HF88" s="33"/>
      <c r="HG88" s="33"/>
      <c r="HH88" s="33"/>
      <c r="HI88" s="33"/>
      <c r="HJ88" s="33"/>
      <c r="HK88" s="33"/>
      <c r="HL88" s="33"/>
      <c r="HM88" s="33"/>
      <c r="HN88" s="33"/>
      <c r="HO88" s="33"/>
      <c r="HP88" s="33"/>
      <c r="HQ88" s="33"/>
      <c r="HR88" s="33"/>
      <c r="HS88" s="33"/>
      <c r="HT88" s="33"/>
      <c r="HU88" s="33"/>
      <c r="HV88" s="33"/>
      <c r="HW88" s="33"/>
      <c r="HX88" s="33"/>
      <c r="HY88" s="33"/>
      <c r="HZ88" s="33"/>
      <c r="IA88" s="33"/>
      <c r="IB88" s="33"/>
      <c r="IC88" s="33"/>
      <c r="ID88" s="33"/>
      <c r="IE88" s="33"/>
      <c r="IF88" s="33"/>
      <c r="IG88" s="33"/>
      <c r="IH88" s="33"/>
      <c r="II88" s="33"/>
      <c r="IJ88" s="33"/>
      <c r="IK88" s="33"/>
      <c r="IL88" s="33"/>
      <c r="IM88" s="33"/>
      <c r="IN88" s="33"/>
      <c r="IO88" s="33"/>
      <c r="IP88" s="33"/>
      <c r="IQ88" s="33"/>
      <c r="IR88" s="33"/>
      <c r="IS88" s="33"/>
      <c r="IT88" s="33"/>
      <c r="IU88" s="33"/>
      <c r="IV88" s="33"/>
      <c r="IW88" s="33"/>
      <c r="IX88" s="33"/>
      <c r="IY88" s="33"/>
      <c r="IZ88" s="33"/>
      <c r="JA88" s="33"/>
      <c r="JB88" s="33"/>
      <c r="JC88" s="33"/>
      <c r="JD88" s="33"/>
      <c r="JE88" s="33"/>
      <c r="JF88" s="33"/>
      <c r="JG88" s="33"/>
      <c r="JH88" s="33"/>
      <c r="JI88" s="33"/>
      <c r="JJ88" s="33"/>
      <c r="JK88" s="33"/>
      <c r="JL88" s="33"/>
      <c r="JM88" s="33"/>
      <c r="JN88" s="33"/>
      <c r="JO88" s="33"/>
      <c r="JP88" s="33"/>
      <c r="JQ88" s="33"/>
      <c r="JR88" s="33"/>
      <c r="JS88" s="33"/>
      <c r="JT88" s="33"/>
      <c r="JU88" s="33"/>
      <c r="JV88" s="33"/>
      <c r="JW88" s="33"/>
      <c r="JX88" s="33"/>
      <c r="JY88" s="33"/>
      <c r="JZ88" s="33"/>
      <c r="KA88" s="33"/>
      <c r="KB88" s="33"/>
      <c r="KC88" s="33"/>
      <c r="KD88" s="33"/>
      <c r="KE88" s="33"/>
      <c r="KF88" s="33"/>
      <c r="KG88" s="33"/>
      <c r="KH88" s="33"/>
      <c r="KI88" s="33"/>
      <c r="KJ88" s="33"/>
      <c r="KK88" s="33"/>
      <c r="KL88" s="33"/>
      <c r="KM88" s="33"/>
      <c r="KN88" s="33"/>
      <c r="KO88" s="33"/>
      <c r="KP88" s="33"/>
      <c r="KQ88" s="33"/>
      <c r="KR88" s="33"/>
      <c r="KS88" s="33"/>
      <c r="KT88" s="33"/>
      <c r="KU88" s="33"/>
      <c r="KV88" s="33"/>
      <c r="KW88" s="33"/>
      <c r="KX88" s="33"/>
      <c r="KY88" s="33"/>
      <c r="KZ88" s="33"/>
      <c r="LA88" s="33"/>
      <c r="LB88" s="33"/>
      <c r="LC88" s="33"/>
      <c r="LD88" s="33"/>
      <c r="LE88" s="33"/>
      <c r="LF88" s="33"/>
      <c r="LG88" s="33"/>
      <c r="LH88" s="33"/>
      <c r="LI88" s="33"/>
      <c r="LJ88" s="33"/>
      <c r="LK88" s="33"/>
      <c r="LL88" s="33"/>
      <c r="LM88" s="33"/>
      <c r="LN88" s="33"/>
      <c r="LO88" s="33"/>
      <c r="LP88" s="33"/>
      <c r="LQ88" s="33"/>
      <c r="LR88" s="33"/>
      <c r="LS88" s="33"/>
      <c r="LT88" s="33"/>
      <c r="LU88" s="33"/>
      <c r="LV88" s="33"/>
      <c r="LW88" s="33"/>
      <c r="LX88" s="33"/>
      <c r="LY88" s="33"/>
      <c r="LZ88" s="33"/>
      <c r="MA88" s="33"/>
      <c r="MB88" s="33"/>
      <c r="MC88" s="33"/>
      <c r="MD88" s="33"/>
      <c r="ME88" s="33"/>
      <c r="MF88" s="33"/>
      <c r="MG88" s="33"/>
      <c r="MH88" s="33"/>
      <c r="MI88" s="33"/>
      <c r="MJ88" s="33"/>
      <c r="MK88" s="33"/>
      <c r="ML88" s="33"/>
      <c r="MM88" s="33"/>
      <c r="MN88" s="33"/>
      <c r="MO88" s="33"/>
      <c r="MP88" s="33"/>
      <c r="MQ88" s="33"/>
      <c r="MR88" s="33"/>
      <c r="MS88" s="33"/>
      <c r="MT88" s="33"/>
      <c r="MU88" s="33"/>
      <c r="MV88" s="33"/>
    </row>
    <row r="89" spans="1:360" ht="0.75" customHeight="1" x14ac:dyDescent="0.25">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33"/>
      <c r="CA89" s="33"/>
      <c r="CB89" s="33"/>
      <c r="CC89" s="33"/>
      <c r="CD89" s="33"/>
      <c r="CE89" s="33"/>
      <c r="CF89" s="33"/>
      <c r="CG89" s="33"/>
      <c r="CH89" s="33"/>
      <c r="CI89" s="33"/>
      <c r="CJ89" s="33"/>
      <c r="CK89" s="33"/>
      <c r="CL89" s="33"/>
      <c r="CM89" s="33"/>
      <c r="CN89" s="33"/>
      <c r="CO89" s="33"/>
      <c r="CP89" s="33"/>
      <c r="CQ89" s="33"/>
      <c r="CR89" s="33"/>
      <c r="CS89" s="33"/>
      <c r="CT89" s="33"/>
      <c r="CU89" s="33"/>
      <c r="CV89" s="33"/>
      <c r="CW89" s="33"/>
      <c r="CX89" s="33"/>
      <c r="CY89" s="33"/>
      <c r="CZ89" s="33"/>
      <c r="DA89" s="33"/>
      <c r="DB89" s="33"/>
      <c r="DC89" s="33"/>
      <c r="DD89" s="33"/>
      <c r="DE89" s="33"/>
      <c r="DF89" s="33"/>
      <c r="DG89" s="33"/>
      <c r="DH89" s="33"/>
      <c r="DI89" s="33"/>
      <c r="DJ89" s="33"/>
      <c r="DK89" s="33"/>
      <c r="DL89" s="33"/>
      <c r="DM89" s="33"/>
      <c r="DN89" s="33"/>
      <c r="DO89" s="33"/>
      <c r="DP89" s="33"/>
      <c r="DQ89" s="33"/>
      <c r="DR89" s="33"/>
      <c r="DS89" s="33"/>
      <c r="DT89" s="33"/>
      <c r="DU89" s="33"/>
      <c r="DV89" s="33"/>
      <c r="DW89" s="33"/>
      <c r="DX89" s="33"/>
      <c r="DY89" s="33"/>
      <c r="DZ89" s="33"/>
      <c r="EA89" s="33"/>
      <c r="EB89" s="33"/>
      <c r="EC89" s="33"/>
      <c r="ED89" s="33"/>
      <c r="EE89" s="33"/>
      <c r="EF89" s="33"/>
      <c r="EG89" s="33"/>
      <c r="EH89" s="33"/>
      <c r="EI89" s="33"/>
      <c r="EJ89" s="33"/>
      <c r="EK89" s="33"/>
      <c r="EL89" s="33"/>
      <c r="EM89" s="33"/>
      <c r="EN89" s="33"/>
      <c r="EO89" s="33"/>
      <c r="EP89" s="33"/>
      <c r="EQ89" s="33"/>
      <c r="ER89" s="33"/>
      <c r="ES89" s="33"/>
      <c r="ET89" s="33"/>
      <c r="EU89" s="33"/>
      <c r="EV89" s="33"/>
      <c r="EW89" s="33"/>
      <c r="EX89" s="33"/>
      <c r="EY89" s="33"/>
      <c r="EZ89" s="33"/>
      <c r="FA89" s="33"/>
      <c r="FB89" s="33"/>
      <c r="FC89" s="33"/>
      <c r="FD89" s="33"/>
      <c r="FE89" s="33"/>
      <c r="FF89" s="33"/>
      <c r="FG89" s="33"/>
      <c r="FH89" s="33"/>
      <c r="FI89" s="33"/>
      <c r="FJ89" s="33"/>
      <c r="FK89" s="33"/>
      <c r="FL89" s="33"/>
      <c r="FM89" s="33"/>
      <c r="FN89" s="33"/>
      <c r="FO89" s="33"/>
      <c r="FP89" s="33"/>
      <c r="FQ89" s="33"/>
      <c r="FR89" s="33"/>
      <c r="FS89" s="33"/>
      <c r="FT89" s="33"/>
      <c r="FU89" s="33"/>
      <c r="FV89" s="33"/>
      <c r="FW89" s="33"/>
      <c r="FX89" s="33"/>
      <c r="FY89" s="33"/>
      <c r="FZ89" s="33"/>
      <c r="GA89" s="33"/>
      <c r="GB89" s="33"/>
      <c r="GC89" s="33"/>
      <c r="GD89" s="33"/>
      <c r="GE89" s="33"/>
      <c r="GF89" s="33"/>
      <c r="GG89" s="33"/>
      <c r="GH89" s="33"/>
      <c r="GI89" s="33"/>
      <c r="GJ89" s="33"/>
      <c r="GK89" s="33"/>
      <c r="GL89" s="33"/>
      <c r="GM89" s="33"/>
      <c r="GN89" s="33"/>
      <c r="GO89" s="33"/>
      <c r="GP89" s="33"/>
      <c r="GQ89" s="33"/>
      <c r="GR89" s="33"/>
      <c r="GS89" s="33"/>
      <c r="GT89" s="33"/>
      <c r="GU89" s="33"/>
      <c r="GV89" s="33"/>
      <c r="GW89" s="33"/>
      <c r="GX89" s="33"/>
      <c r="GY89" s="33"/>
      <c r="GZ89" s="33"/>
      <c r="HA89" s="33"/>
      <c r="HB89" s="33"/>
      <c r="HC89" s="33"/>
      <c r="HD89" s="33"/>
      <c r="HE89" s="33"/>
      <c r="HF89" s="33"/>
      <c r="HG89" s="33"/>
      <c r="HH89" s="33"/>
      <c r="HI89" s="33"/>
      <c r="HJ89" s="33"/>
      <c r="HK89" s="33"/>
      <c r="HL89" s="33"/>
      <c r="HM89" s="33"/>
      <c r="HN89" s="33"/>
      <c r="HO89" s="33"/>
      <c r="HP89" s="33"/>
      <c r="HQ89" s="33"/>
      <c r="HR89" s="33"/>
      <c r="HS89" s="33"/>
      <c r="HT89" s="33"/>
      <c r="HU89" s="33"/>
      <c r="HV89" s="33"/>
      <c r="HW89" s="33"/>
      <c r="HX89" s="33"/>
      <c r="HY89" s="33"/>
      <c r="HZ89" s="33"/>
      <c r="IA89" s="33"/>
      <c r="IB89" s="33"/>
      <c r="IC89" s="33"/>
      <c r="ID89" s="33"/>
      <c r="IE89" s="33"/>
      <c r="IF89" s="33"/>
      <c r="IG89" s="33"/>
      <c r="IH89" s="33"/>
      <c r="II89" s="33"/>
      <c r="IJ89" s="33"/>
      <c r="IK89" s="33"/>
      <c r="IL89" s="33"/>
      <c r="IM89" s="33"/>
      <c r="IN89" s="33"/>
      <c r="IO89" s="33"/>
      <c r="IP89" s="33"/>
      <c r="IQ89" s="33"/>
      <c r="IR89" s="33"/>
      <c r="IS89" s="33"/>
      <c r="IT89" s="33"/>
      <c r="IU89" s="33"/>
      <c r="IV89" s="33"/>
      <c r="IW89" s="33"/>
      <c r="IX89" s="33"/>
      <c r="IY89" s="33"/>
      <c r="IZ89" s="33"/>
      <c r="JA89" s="33"/>
      <c r="JB89" s="33"/>
      <c r="JC89" s="33"/>
      <c r="JD89" s="33"/>
      <c r="JE89" s="33"/>
      <c r="JF89" s="33"/>
      <c r="JG89" s="33"/>
      <c r="JH89" s="33"/>
      <c r="JI89" s="33"/>
      <c r="JJ89" s="33"/>
      <c r="JK89" s="33"/>
      <c r="JL89" s="33"/>
      <c r="JM89" s="33"/>
      <c r="JN89" s="33"/>
      <c r="JO89" s="33"/>
      <c r="JP89" s="33"/>
      <c r="JQ89" s="33"/>
      <c r="JR89" s="33"/>
      <c r="JS89" s="33"/>
      <c r="JT89" s="33"/>
      <c r="JU89" s="33"/>
      <c r="JV89" s="33"/>
      <c r="JW89" s="33"/>
      <c r="JX89" s="33"/>
      <c r="JY89" s="33"/>
      <c r="JZ89" s="33"/>
      <c r="KA89" s="33"/>
      <c r="KB89" s="33"/>
      <c r="KC89" s="33"/>
      <c r="KD89" s="33"/>
      <c r="KE89" s="33"/>
      <c r="KF89" s="33"/>
      <c r="KG89" s="33"/>
      <c r="KH89" s="33"/>
      <c r="KI89" s="33"/>
      <c r="KJ89" s="33"/>
      <c r="KK89" s="33"/>
      <c r="KL89" s="33"/>
      <c r="KM89" s="33"/>
      <c r="KN89" s="33"/>
      <c r="KO89" s="33"/>
      <c r="KP89" s="33"/>
      <c r="KQ89" s="33"/>
      <c r="KR89" s="33"/>
      <c r="KS89" s="33"/>
      <c r="KT89" s="33"/>
      <c r="KU89" s="33"/>
      <c r="KV89" s="33"/>
      <c r="KW89" s="33"/>
      <c r="KX89" s="33"/>
      <c r="KY89" s="33"/>
      <c r="KZ89" s="33"/>
      <c r="LA89" s="33"/>
      <c r="LB89" s="33"/>
      <c r="LC89" s="33"/>
      <c r="LD89" s="33"/>
      <c r="LE89" s="33"/>
      <c r="LF89" s="33"/>
      <c r="LG89" s="33"/>
      <c r="LH89" s="33"/>
      <c r="LI89" s="33"/>
      <c r="LJ89" s="33"/>
      <c r="LK89" s="33"/>
      <c r="LL89" s="33"/>
      <c r="LM89" s="33"/>
      <c r="LN89" s="33"/>
      <c r="LO89" s="33"/>
      <c r="LP89" s="33"/>
      <c r="LQ89" s="33"/>
      <c r="LR89" s="33"/>
      <c r="LS89" s="33"/>
      <c r="LT89" s="33"/>
      <c r="LU89" s="33"/>
      <c r="LV89" s="33"/>
      <c r="LW89" s="33"/>
      <c r="LX89" s="33"/>
      <c r="LY89" s="33"/>
      <c r="LZ89" s="33"/>
      <c r="MA89" s="33"/>
      <c r="MB89" s="33"/>
      <c r="MC89" s="33"/>
      <c r="MD89" s="33"/>
      <c r="ME89" s="33"/>
      <c r="MF89" s="33"/>
      <c r="MG89" s="33"/>
      <c r="MH89" s="33"/>
      <c r="MI89" s="33"/>
      <c r="MJ89" s="33"/>
      <c r="MK89" s="33"/>
      <c r="ML89" s="33"/>
      <c r="MM89" s="33"/>
      <c r="MN89" s="33"/>
      <c r="MO89" s="33"/>
      <c r="MP89" s="33"/>
      <c r="MQ89" s="33"/>
      <c r="MR89" s="33"/>
      <c r="MS89" s="33"/>
      <c r="MT89" s="33"/>
      <c r="MU89" s="33"/>
      <c r="MV89" s="33"/>
    </row>
    <row r="90" spans="1:360" ht="0.75" customHeight="1" x14ac:dyDescent="0.25">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33"/>
      <c r="CA90" s="33"/>
      <c r="CB90" s="33"/>
      <c r="CC90" s="33"/>
      <c r="CD90" s="33"/>
      <c r="CE90" s="33"/>
      <c r="CF90" s="33"/>
      <c r="CG90" s="33"/>
      <c r="CH90" s="33"/>
      <c r="CI90" s="33"/>
      <c r="CJ90" s="33"/>
      <c r="CK90" s="33"/>
      <c r="CL90" s="33"/>
      <c r="CM90" s="33"/>
      <c r="CN90" s="33"/>
      <c r="CO90" s="33"/>
      <c r="CP90" s="33"/>
      <c r="CQ90" s="33"/>
      <c r="CR90" s="33"/>
      <c r="CS90" s="33"/>
      <c r="CT90" s="33"/>
      <c r="CU90" s="33"/>
      <c r="CV90" s="33"/>
      <c r="CW90" s="33"/>
      <c r="CX90" s="33"/>
      <c r="CY90" s="33"/>
      <c r="CZ90" s="33"/>
      <c r="DA90" s="33"/>
      <c r="DB90" s="33"/>
      <c r="DC90" s="33"/>
      <c r="DD90" s="33"/>
      <c r="DE90" s="33"/>
      <c r="DF90" s="33"/>
      <c r="DG90" s="33"/>
      <c r="DH90" s="33"/>
      <c r="DI90" s="33"/>
      <c r="DJ90" s="33"/>
      <c r="DK90" s="33"/>
      <c r="DL90" s="33"/>
      <c r="DM90" s="33"/>
      <c r="DN90" s="33"/>
      <c r="DO90" s="33"/>
      <c r="DP90" s="33"/>
      <c r="DQ90" s="33"/>
      <c r="DR90" s="33"/>
      <c r="DS90" s="33"/>
      <c r="DT90" s="33"/>
      <c r="DU90" s="33"/>
      <c r="DV90" s="33"/>
      <c r="DW90" s="33"/>
      <c r="DX90" s="33"/>
      <c r="DY90" s="33"/>
      <c r="DZ90" s="33"/>
      <c r="EA90" s="33"/>
      <c r="EB90" s="33"/>
      <c r="EC90" s="33"/>
      <c r="ED90" s="33"/>
      <c r="EE90" s="33"/>
      <c r="EF90" s="33"/>
      <c r="EG90" s="33"/>
      <c r="EH90" s="33"/>
      <c r="EI90" s="33"/>
      <c r="EJ90" s="33"/>
      <c r="EK90" s="33"/>
      <c r="EL90" s="33"/>
      <c r="EM90" s="33"/>
      <c r="EN90" s="33"/>
      <c r="EO90" s="33"/>
      <c r="EP90" s="33"/>
      <c r="EQ90" s="33"/>
      <c r="ER90" s="33"/>
      <c r="ES90" s="33"/>
      <c r="ET90" s="33"/>
      <c r="EU90" s="33"/>
      <c r="EV90" s="33"/>
      <c r="EW90" s="33"/>
      <c r="EX90" s="33"/>
      <c r="EY90" s="33"/>
      <c r="EZ90" s="33"/>
      <c r="FA90" s="33"/>
      <c r="FB90" s="33"/>
      <c r="FC90" s="33"/>
      <c r="FD90" s="33"/>
      <c r="FE90" s="33"/>
      <c r="FF90" s="33"/>
      <c r="FG90" s="33"/>
      <c r="FH90" s="33"/>
      <c r="FI90" s="33"/>
      <c r="FJ90" s="33"/>
      <c r="FK90" s="33"/>
      <c r="FL90" s="33"/>
      <c r="FM90" s="33"/>
      <c r="FN90" s="33"/>
      <c r="FO90" s="33"/>
      <c r="FP90" s="33"/>
      <c r="FQ90" s="33"/>
      <c r="FR90" s="33"/>
      <c r="FS90" s="33"/>
      <c r="FT90" s="33"/>
      <c r="FU90" s="33"/>
      <c r="FV90" s="33"/>
      <c r="FW90" s="33"/>
      <c r="FX90" s="33"/>
      <c r="FY90" s="33"/>
      <c r="FZ90" s="33"/>
      <c r="GA90" s="33"/>
      <c r="GB90" s="33"/>
      <c r="GC90" s="33"/>
      <c r="GD90" s="33"/>
      <c r="GE90" s="33"/>
      <c r="GF90" s="33"/>
      <c r="GG90" s="33"/>
      <c r="GH90" s="33"/>
      <c r="GI90" s="33"/>
      <c r="GJ90" s="33"/>
      <c r="GK90" s="33"/>
      <c r="GL90" s="33"/>
      <c r="GM90" s="33"/>
      <c r="GN90" s="33"/>
      <c r="GO90" s="33"/>
      <c r="GP90" s="33"/>
      <c r="GQ90" s="33"/>
      <c r="GR90" s="33"/>
      <c r="GS90" s="33"/>
      <c r="GT90" s="33"/>
      <c r="GU90" s="33"/>
      <c r="GV90" s="33"/>
      <c r="GW90" s="33"/>
      <c r="GX90" s="33"/>
      <c r="GY90" s="33"/>
      <c r="GZ90" s="33"/>
      <c r="HA90" s="33"/>
      <c r="HB90" s="33"/>
      <c r="HC90" s="33"/>
      <c r="HD90" s="33"/>
      <c r="HE90" s="33"/>
      <c r="HF90" s="33"/>
      <c r="HG90" s="33"/>
      <c r="HH90" s="33"/>
      <c r="HI90" s="33"/>
      <c r="HJ90" s="33"/>
      <c r="HK90" s="33"/>
      <c r="HL90" s="33"/>
      <c r="HM90" s="33"/>
      <c r="HN90" s="33"/>
      <c r="HO90" s="33"/>
      <c r="HP90" s="33"/>
      <c r="HQ90" s="33"/>
      <c r="HR90" s="33"/>
      <c r="HS90" s="33"/>
      <c r="HT90" s="33"/>
      <c r="HU90" s="33"/>
      <c r="HV90" s="33"/>
      <c r="HW90" s="33"/>
      <c r="HX90" s="33"/>
      <c r="HY90" s="33"/>
      <c r="HZ90" s="33"/>
      <c r="IA90" s="33"/>
      <c r="IB90" s="33"/>
      <c r="IC90" s="33"/>
      <c r="ID90" s="33"/>
      <c r="IE90" s="33"/>
      <c r="IF90" s="33"/>
      <c r="IG90" s="33"/>
      <c r="IH90" s="33"/>
      <c r="II90" s="33"/>
      <c r="IJ90" s="33"/>
      <c r="IK90" s="33"/>
      <c r="IL90" s="33"/>
      <c r="IM90" s="33"/>
      <c r="IN90" s="33"/>
      <c r="IO90" s="33"/>
      <c r="IP90" s="33"/>
      <c r="IQ90" s="33"/>
      <c r="IR90" s="33"/>
      <c r="IS90" s="33"/>
      <c r="IT90" s="33"/>
      <c r="IU90" s="33"/>
      <c r="IV90" s="33"/>
      <c r="IW90" s="33"/>
      <c r="IX90" s="33"/>
      <c r="IY90" s="33"/>
      <c r="IZ90" s="33"/>
      <c r="JA90" s="33"/>
      <c r="JB90" s="33"/>
      <c r="JC90" s="33"/>
      <c r="JD90" s="33"/>
      <c r="JE90" s="33"/>
      <c r="JF90" s="33"/>
      <c r="JG90" s="33"/>
      <c r="JH90" s="33"/>
      <c r="JI90" s="33"/>
      <c r="JJ90" s="33"/>
      <c r="JK90" s="33"/>
      <c r="JL90" s="33"/>
      <c r="JM90" s="33"/>
      <c r="JN90" s="33"/>
      <c r="JO90" s="33"/>
      <c r="JP90" s="33"/>
      <c r="JQ90" s="33"/>
      <c r="JR90" s="33"/>
      <c r="JS90" s="33"/>
      <c r="JT90" s="33"/>
      <c r="JU90" s="33"/>
      <c r="JV90" s="33"/>
      <c r="JW90" s="33"/>
      <c r="JX90" s="33"/>
      <c r="JY90" s="33"/>
      <c r="JZ90" s="33"/>
      <c r="KA90" s="33"/>
      <c r="KB90" s="33"/>
      <c r="KC90" s="33"/>
      <c r="KD90" s="33"/>
      <c r="KE90" s="33"/>
      <c r="KF90" s="33"/>
      <c r="KG90" s="33"/>
      <c r="KH90" s="33"/>
      <c r="KI90" s="33"/>
      <c r="KJ90" s="33"/>
      <c r="KK90" s="33"/>
      <c r="KL90" s="33"/>
      <c r="KM90" s="33"/>
      <c r="KN90" s="33"/>
      <c r="KO90" s="33"/>
      <c r="KP90" s="33"/>
      <c r="KQ90" s="33"/>
      <c r="KR90" s="33"/>
      <c r="KS90" s="33"/>
      <c r="KT90" s="33"/>
      <c r="KU90" s="33"/>
      <c r="KV90" s="33"/>
      <c r="KW90" s="33"/>
      <c r="KX90" s="33"/>
      <c r="KY90" s="33"/>
      <c r="KZ90" s="33"/>
      <c r="LA90" s="33"/>
      <c r="LB90" s="33"/>
      <c r="LC90" s="33"/>
      <c r="LD90" s="33"/>
      <c r="LE90" s="33"/>
      <c r="LF90" s="33"/>
      <c r="LG90" s="33"/>
      <c r="LH90" s="33"/>
      <c r="LI90" s="33"/>
      <c r="LJ90" s="33"/>
      <c r="LK90" s="33"/>
      <c r="LL90" s="33"/>
      <c r="LM90" s="33"/>
      <c r="LN90" s="33"/>
      <c r="LO90" s="33"/>
      <c r="LP90" s="33"/>
      <c r="LQ90" s="33"/>
      <c r="LR90" s="33"/>
      <c r="LS90" s="33"/>
      <c r="LT90" s="33"/>
      <c r="LU90" s="33"/>
      <c r="LV90" s="33"/>
      <c r="LW90" s="33"/>
      <c r="LX90" s="33"/>
      <c r="LY90" s="33"/>
      <c r="LZ90" s="33"/>
      <c r="MA90" s="33"/>
      <c r="MB90" s="33"/>
      <c r="MC90" s="33"/>
      <c r="MD90" s="33"/>
      <c r="ME90" s="33"/>
      <c r="MF90" s="33"/>
      <c r="MG90" s="33"/>
      <c r="MH90" s="33"/>
      <c r="MI90" s="33"/>
      <c r="MJ90" s="33"/>
      <c r="MK90" s="33"/>
      <c r="ML90" s="33"/>
      <c r="MM90" s="33"/>
      <c r="MN90" s="33"/>
      <c r="MO90" s="33"/>
      <c r="MP90" s="33"/>
      <c r="MQ90" s="33"/>
      <c r="MR90" s="33"/>
      <c r="MS90" s="33"/>
      <c r="MT90" s="33"/>
      <c r="MU90" s="33"/>
      <c r="MV90" s="33"/>
    </row>
    <row r="91" spans="1:360" ht="0.75" customHeight="1" x14ac:dyDescent="0.25">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33"/>
      <c r="CA91" s="33"/>
      <c r="CB91" s="33"/>
      <c r="CC91" s="33"/>
      <c r="CD91" s="33"/>
      <c r="CE91" s="33"/>
      <c r="CF91" s="33"/>
      <c r="CG91" s="33"/>
      <c r="CH91" s="33"/>
      <c r="CI91" s="33"/>
      <c r="CJ91" s="33"/>
      <c r="CK91" s="33"/>
      <c r="CL91" s="33"/>
      <c r="CM91" s="33"/>
      <c r="CN91" s="33"/>
      <c r="CO91" s="33"/>
      <c r="CP91" s="33"/>
      <c r="CQ91" s="33"/>
      <c r="CR91" s="33"/>
      <c r="CS91" s="33"/>
      <c r="CT91" s="33"/>
      <c r="CU91" s="33"/>
      <c r="CV91" s="33"/>
      <c r="CW91" s="33"/>
      <c r="CX91" s="33"/>
      <c r="CY91" s="33"/>
      <c r="CZ91" s="33"/>
      <c r="DA91" s="33"/>
      <c r="DB91" s="33"/>
      <c r="DC91" s="33"/>
      <c r="DD91" s="33"/>
      <c r="DE91" s="33"/>
      <c r="DF91" s="33"/>
      <c r="DG91" s="33"/>
      <c r="DH91" s="33"/>
      <c r="DI91" s="33"/>
      <c r="DJ91" s="33"/>
      <c r="DK91" s="33"/>
      <c r="DL91" s="33"/>
      <c r="DM91" s="33"/>
      <c r="DN91" s="33"/>
      <c r="DO91" s="33"/>
      <c r="DP91" s="33"/>
      <c r="DQ91" s="33"/>
      <c r="DR91" s="33"/>
      <c r="DS91" s="33"/>
      <c r="DT91" s="33"/>
      <c r="DU91" s="33"/>
      <c r="DV91" s="33"/>
      <c r="DW91" s="33"/>
      <c r="DX91" s="33"/>
      <c r="DY91" s="33"/>
      <c r="DZ91" s="33"/>
      <c r="EA91" s="33"/>
      <c r="EB91" s="33"/>
      <c r="EC91" s="33"/>
      <c r="ED91" s="33"/>
      <c r="EE91" s="33"/>
      <c r="EF91" s="33"/>
      <c r="EG91" s="33"/>
      <c r="EH91" s="33"/>
      <c r="EI91" s="33"/>
      <c r="EJ91" s="33"/>
      <c r="EK91" s="33"/>
      <c r="EL91" s="33"/>
      <c r="EM91" s="33"/>
      <c r="EN91" s="33"/>
      <c r="EO91" s="33"/>
      <c r="EP91" s="33"/>
      <c r="EQ91" s="33"/>
      <c r="ER91" s="33"/>
      <c r="ES91" s="33"/>
      <c r="ET91" s="33"/>
      <c r="EU91" s="33"/>
      <c r="EV91" s="33"/>
      <c r="EW91" s="33"/>
      <c r="EX91" s="33"/>
      <c r="EY91" s="33"/>
      <c r="EZ91" s="33"/>
      <c r="FA91" s="33"/>
      <c r="FB91" s="33"/>
      <c r="FC91" s="33"/>
      <c r="FD91" s="33"/>
      <c r="FE91" s="33"/>
      <c r="FF91" s="33"/>
      <c r="FG91" s="33"/>
      <c r="FH91" s="33"/>
      <c r="FI91" s="33"/>
      <c r="FJ91" s="33"/>
      <c r="FK91" s="33"/>
      <c r="FL91" s="33"/>
      <c r="FM91" s="33"/>
      <c r="FN91" s="33"/>
      <c r="FO91" s="33"/>
      <c r="FP91" s="33"/>
      <c r="FQ91" s="33"/>
      <c r="FR91" s="33"/>
      <c r="FS91" s="33"/>
      <c r="FT91" s="33"/>
      <c r="FU91" s="33"/>
      <c r="FV91" s="33"/>
      <c r="FW91" s="33"/>
      <c r="FX91" s="33"/>
      <c r="FY91" s="33"/>
      <c r="FZ91" s="33"/>
      <c r="GA91" s="33"/>
      <c r="GB91" s="33"/>
      <c r="GC91" s="33"/>
      <c r="GD91" s="33"/>
      <c r="GE91" s="33"/>
      <c r="GF91" s="33"/>
      <c r="GG91" s="33"/>
      <c r="GH91" s="33"/>
      <c r="GI91" s="33"/>
      <c r="GJ91" s="33"/>
      <c r="GK91" s="33"/>
      <c r="GL91" s="33"/>
      <c r="GM91" s="33"/>
      <c r="GN91" s="33"/>
      <c r="GO91" s="33"/>
      <c r="GP91" s="33"/>
      <c r="GQ91" s="33"/>
      <c r="GR91" s="33"/>
      <c r="GS91" s="33"/>
      <c r="GT91" s="33"/>
      <c r="GU91" s="33"/>
      <c r="GV91" s="33"/>
      <c r="GW91" s="33"/>
      <c r="GX91" s="33"/>
      <c r="GY91" s="33"/>
      <c r="GZ91" s="33"/>
      <c r="HA91" s="33"/>
      <c r="HB91" s="33"/>
      <c r="HC91" s="33"/>
      <c r="HD91" s="33"/>
      <c r="HE91" s="33"/>
      <c r="HF91" s="33"/>
      <c r="HG91" s="33"/>
      <c r="HH91" s="33"/>
      <c r="HI91" s="33"/>
      <c r="HJ91" s="33"/>
      <c r="HK91" s="33"/>
      <c r="HL91" s="33"/>
      <c r="HM91" s="33"/>
      <c r="HN91" s="33"/>
      <c r="HO91" s="33"/>
      <c r="HP91" s="33"/>
      <c r="HQ91" s="33"/>
      <c r="HR91" s="33"/>
      <c r="HS91" s="33"/>
      <c r="HT91" s="33"/>
      <c r="HU91" s="33"/>
      <c r="HV91" s="33"/>
      <c r="HW91" s="33"/>
      <c r="HX91" s="33"/>
      <c r="HY91" s="33"/>
      <c r="HZ91" s="33"/>
      <c r="IA91" s="33"/>
      <c r="IB91" s="33"/>
      <c r="IC91" s="33"/>
      <c r="ID91" s="33"/>
      <c r="IE91" s="33"/>
      <c r="IF91" s="33"/>
      <c r="IG91" s="33"/>
      <c r="IH91" s="33"/>
      <c r="II91" s="33"/>
      <c r="IJ91" s="33"/>
      <c r="IK91" s="33"/>
      <c r="IL91" s="33"/>
      <c r="IM91" s="33"/>
      <c r="IN91" s="33"/>
      <c r="IO91" s="33"/>
      <c r="IP91" s="33"/>
      <c r="IQ91" s="33"/>
      <c r="IR91" s="33"/>
      <c r="IS91" s="33"/>
      <c r="IT91" s="33"/>
      <c r="IU91" s="33"/>
      <c r="IV91" s="33"/>
      <c r="IW91" s="33"/>
      <c r="IX91" s="33"/>
      <c r="IY91" s="33"/>
      <c r="IZ91" s="33"/>
      <c r="JA91" s="33"/>
      <c r="JB91" s="33"/>
      <c r="JC91" s="33"/>
      <c r="JD91" s="33"/>
      <c r="JE91" s="33"/>
      <c r="JF91" s="33"/>
      <c r="JG91" s="33"/>
      <c r="JH91" s="33"/>
      <c r="JI91" s="33"/>
      <c r="JJ91" s="33"/>
      <c r="JK91" s="33"/>
      <c r="JL91" s="33"/>
      <c r="JM91" s="33"/>
      <c r="JN91" s="33"/>
      <c r="JO91" s="33"/>
      <c r="JP91" s="33"/>
      <c r="JQ91" s="33"/>
      <c r="JR91" s="33"/>
      <c r="JS91" s="33"/>
      <c r="JT91" s="33"/>
      <c r="JU91" s="33"/>
      <c r="JV91" s="33"/>
      <c r="JW91" s="33"/>
      <c r="JX91" s="33"/>
      <c r="JY91" s="33"/>
      <c r="JZ91" s="33"/>
      <c r="KA91" s="33"/>
      <c r="KB91" s="33"/>
      <c r="KC91" s="33"/>
      <c r="KD91" s="33"/>
      <c r="KE91" s="33"/>
      <c r="KF91" s="33"/>
      <c r="KG91" s="33"/>
      <c r="KH91" s="33"/>
      <c r="KI91" s="33"/>
      <c r="KJ91" s="33"/>
      <c r="KK91" s="33"/>
      <c r="KL91" s="33"/>
      <c r="KM91" s="33"/>
      <c r="KN91" s="33"/>
      <c r="KO91" s="33"/>
      <c r="KP91" s="33"/>
      <c r="KQ91" s="33"/>
      <c r="KR91" s="33"/>
      <c r="KS91" s="33"/>
      <c r="KT91" s="33"/>
      <c r="KU91" s="33"/>
      <c r="KV91" s="33"/>
      <c r="KW91" s="33"/>
      <c r="KX91" s="33"/>
      <c r="KY91" s="33"/>
      <c r="KZ91" s="33"/>
      <c r="LA91" s="33"/>
      <c r="LB91" s="33"/>
      <c r="LC91" s="33"/>
      <c r="LD91" s="33"/>
      <c r="LE91" s="33"/>
      <c r="LF91" s="33"/>
      <c r="LG91" s="33"/>
      <c r="LH91" s="33"/>
      <c r="LI91" s="33"/>
      <c r="LJ91" s="33"/>
      <c r="LK91" s="33"/>
      <c r="LL91" s="33"/>
      <c r="LM91" s="33"/>
      <c r="LN91" s="33"/>
      <c r="LO91" s="33"/>
      <c r="LP91" s="33"/>
      <c r="LQ91" s="33"/>
      <c r="LR91" s="33"/>
      <c r="LS91" s="33"/>
      <c r="LT91" s="33"/>
      <c r="LU91" s="33"/>
      <c r="LV91" s="33"/>
      <c r="LW91" s="33"/>
      <c r="LX91" s="33"/>
      <c r="LY91" s="33"/>
      <c r="LZ91" s="33"/>
      <c r="MA91" s="33"/>
      <c r="MB91" s="33"/>
      <c r="MC91" s="33"/>
      <c r="MD91" s="33"/>
      <c r="ME91" s="33"/>
      <c r="MF91" s="33"/>
      <c r="MG91" s="33"/>
      <c r="MH91" s="33"/>
      <c r="MI91" s="33"/>
      <c r="MJ91" s="33"/>
      <c r="MK91" s="33"/>
      <c r="ML91" s="33"/>
      <c r="MM91" s="33"/>
      <c r="MN91" s="33"/>
      <c r="MO91" s="33"/>
      <c r="MP91" s="33"/>
      <c r="MQ91" s="33"/>
      <c r="MR91" s="33"/>
      <c r="MS91" s="33"/>
      <c r="MT91" s="33"/>
      <c r="MU91" s="33"/>
      <c r="MV91" s="33"/>
    </row>
    <row r="92" spans="1:360" ht="0.75" customHeight="1" x14ac:dyDescent="0.25">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c r="BZ92" s="33"/>
      <c r="CA92" s="33"/>
      <c r="CB92" s="33"/>
      <c r="CC92" s="33"/>
      <c r="CD92" s="33"/>
      <c r="CE92" s="33"/>
      <c r="CF92" s="33"/>
      <c r="CG92" s="33"/>
      <c r="CH92" s="33"/>
      <c r="CI92" s="33"/>
      <c r="CJ92" s="33"/>
      <c r="CK92" s="33"/>
      <c r="CL92" s="33"/>
      <c r="CM92" s="33"/>
      <c r="CN92" s="33"/>
      <c r="CO92" s="33"/>
      <c r="CP92" s="33"/>
      <c r="CQ92" s="33"/>
      <c r="CR92" s="33"/>
      <c r="CS92" s="33"/>
      <c r="CT92" s="33"/>
      <c r="CU92" s="33"/>
      <c r="CV92" s="33"/>
      <c r="CW92" s="33"/>
      <c r="CX92" s="33"/>
      <c r="CY92" s="33"/>
      <c r="CZ92" s="33"/>
      <c r="DA92" s="33"/>
      <c r="DB92" s="33"/>
      <c r="DC92" s="33"/>
      <c r="DD92" s="33"/>
      <c r="DE92" s="33"/>
      <c r="DF92" s="33"/>
      <c r="DG92" s="33"/>
      <c r="DH92" s="33"/>
      <c r="DI92" s="33"/>
      <c r="DJ92" s="33"/>
      <c r="DK92" s="33"/>
      <c r="DL92" s="33"/>
      <c r="DM92" s="33"/>
      <c r="DN92" s="33"/>
      <c r="DO92" s="33"/>
      <c r="DP92" s="33"/>
      <c r="DQ92" s="33"/>
      <c r="DR92" s="33"/>
      <c r="DS92" s="33"/>
      <c r="DT92" s="33"/>
      <c r="DU92" s="33"/>
      <c r="DV92" s="33"/>
      <c r="DW92" s="33"/>
      <c r="DX92" s="33"/>
      <c r="DY92" s="33"/>
      <c r="DZ92" s="33"/>
      <c r="EA92" s="33"/>
      <c r="EB92" s="33"/>
      <c r="EC92" s="33"/>
      <c r="ED92" s="33"/>
      <c r="EE92" s="33"/>
      <c r="EF92" s="33"/>
      <c r="EG92" s="33"/>
      <c r="EH92" s="33"/>
      <c r="EI92" s="33"/>
      <c r="EJ92" s="33"/>
      <c r="EK92" s="33"/>
      <c r="EL92" s="33"/>
      <c r="EM92" s="33"/>
      <c r="EN92" s="33"/>
      <c r="EO92" s="33"/>
      <c r="EP92" s="33"/>
      <c r="EQ92" s="33"/>
      <c r="ER92" s="33"/>
      <c r="ES92" s="33"/>
      <c r="ET92" s="33"/>
      <c r="EU92" s="33"/>
      <c r="EV92" s="33"/>
      <c r="EW92" s="33"/>
      <c r="EX92" s="33"/>
      <c r="EY92" s="33"/>
      <c r="EZ92" s="33"/>
      <c r="FA92" s="33"/>
      <c r="FB92" s="33"/>
      <c r="FC92" s="33"/>
      <c r="FD92" s="33"/>
      <c r="FE92" s="33"/>
      <c r="FF92" s="33"/>
      <c r="FG92" s="33"/>
      <c r="FH92" s="33"/>
      <c r="FI92" s="33"/>
      <c r="FJ92" s="33"/>
      <c r="FK92" s="33"/>
      <c r="FL92" s="33"/>
      <c r="FM92" s="33"/>
      <c r="FN92" s="33"/>
      <c r="FO92" s="33"/>
      <c r="FP92" s="33"/>
      <c r="FQ92" s="33"/>
      <c r="FR92" s="33"/>
      <c r="FS92" s="33"/>
      <c r="FT92" s="33"/>
      <c r="FU92" s="33"/>
      <c r="FV92" s="33"/>
      <c r="FW92" s="33"/>
      <c r="FX92" s="33"/>
      <c r="FY92" s="33"/>
      <c r="FZ92" s="33"/>
      <c r="GA92" s="33"/>
      <c r="GB92" s="33"/>
      <c r="GC92" s="33"/>
      <c r="GD92" s="33"/>
      <c r="GE92" s="33"/>
      <c r="GF92" s="33"/>
      <c r="GG92" s="33"/>
      <c r="GH92" s="33"/>
      <c r="GI92" s="33"/>
      <c r="GJ92" s="33"/>
      <c r="GK92" s="33"/>
      <c r="GL92" s="33"/>
      <c r="GM92" s="33"/>
      <c r="GN92" s="33"/>
      <c r="GO92" s="33"/>
      <c r="GP92" s="33"/>
      <c r="GQ92" s="33"/>
      <c r="GR92" s="33"/>
      <c r="GS92" s="33"/>
      <c r="GT92" s="33"/>
      <c r="GU92" s="33"/>
      <c r="GV92" s="33"/>
      <c r="GW92" s="33"/>
      <c r="GX92" s="33"/>
      <c r="GY92" s="33"/>
      <c r="GZ92" s="33"/>
      <c r="HA92" s="33"/>
      <c r="HB92" s="33"/>
      <c r="HC92" s="33"/>
      <c r="HD92" s="33"/>
      <c r="HE92" s="33"/>
      <c r="HF92" s="33"/>
      <c r="HG92" s="33"/>
      <c r="HH92" s="33"/>
      <c r="HI92" s="33"/>
      <c r="HJ92" s="33"/>
      <c r="HK92" s="33"/>
      <c r="HL92" s="33"/>
      <c r="HM92" s="33"/>
      <c r="HN92" s="33"/>
      <c r="HO92" s="33"/>
      <c r="HP92" s="33"/>
      <c r="HQ92" s="33"/>
      <c r="HR92" s="33"/>
      <c r="HS92" s="33"/>
      <c r="HT92" s="33"/>
      <c r="HU92" s="33"/>
      <c r="HV92" s="33"/>
      <c r="HW92" s="33"/>
      <c r="HX92" s="33"/>
      <c r="HY92" s="33"/>
      <c r="HZ92" s="33"/>
      <c r="IA92" s="33"/>
      <c r="IB92" s="33"/>
      <c r="IC92" s="33"/>
      <c r="ID92" s="33"/>
      <c r="IE92" s="33"/>
      <c r="IF92" s="33"/>
      <c r="IG92" s="33"/>
      <c r="IH92" s="33"/>
      <c r="II92" s="33"/>
      <c r="IJ92" s="33"/>
      <c r="IK92" s="33"/>
      <c r="IL92" s="33"/>
      <c r="IM92" s="33"/>
      <c r="IN92" s="33"/>
      <c r="IO92" s="33"/>
      <c r="IP92" s="33"/>
      <c r="IQ92" s="33"/>
      <c r="IR92" s="33"/>
      <c r="IS92" s="33"/>
      <c r="IT92" s="33"/>
      <c r="IU92" s="33"/>
      <c r="IV92" s="33"/>
      <c r="IW92" s="33"/>
      <c r="IX92" s="33"/>
      <c r="IY92" s="33"/>
      <c r="IZ92" s="33"/>
      <c r="JA92" s="33"/>
      <c r="JB92" s="33"/>
      <c r="JC92" s="33"/>
      <c r="JD92" s="33"/>
      <c r="JE92" s="33"/>
      <c r="JF92" s="33"/>
      <c r="JG92" s="33"/>
      <c r="JH92" s="33"/>
      <c r="JI92" s="33"/>
      <c r="JJ92" s="33"/>
      <c r="JK92" s="33"/>
      <c r="JL92" s="33"/>
      <c r="JM92" s="33"/>
      <c r="JN92" s="33"/>
      <c r="JO92" s="33"/>
      <c r="JP92" s="33"/>
      <c r="JQ92" s="33"/>
      <c r="JR92" s="33"/>
      <c r="JS92" s="33"/>
      <c r="JT92" s="33"/>
      <c r="JU92" s="33"/>
      <c r="JV92" s="33"/>
      <c r="JW92" s="33"/>
      <c r="JX92" s="33"/>
      <c r="JY92" s="33"/>
      <c r="JZ92" s="33"/>
      <c r="KA92" s="33"/>
      <c r="KB92" s="33"/>
      <c r="KC92" s="33"/>
      <c r="KD92" s="33"/>
      <c r="KE92" s="33"/>
      <c r="KF92" s="33"/>
      <c r="KG92" s="33"/>
      <c r="KH92" s="33"/>
      <c r="KI92" s="33"/>
      <c r="KJ92" s="33"/>
      <c r="KK92" s="33"/>
      <c r="KL92" s="33"/>
      <c r="KM92" s="33"/>
      <c r="KN92" s="33"/>
      <c r="KO92" s="33"/>
      <c r="KP92" s="33"/>
      <c r="KQ92" s="33"/>
      <c r="KR92" s="33"/>
      <c r="KS92" s="33"/>
      <c r="KT92" s="33"/>
      <c r="KU92" s="33"/>
      <c r="KV92" s="33"/>
      <c r="KW92" s="33"/>
      <c r="KX92" s="33"/>
      <c r="KY92" s="33"/>
      <c r="KZ92" s="33"/>
      <c r="LA92" s="33"/>
      <c r="LB92" s="33"/>
      <c r="LC92" s="33"/>
      <c r="LD92" s="33"/>
      <c r="LE92" s="33"/>
      <c r="LF92" s="33"/>
      <c r="LG92" s="33"/>
      <c r="LH92" s="33"/>
      <c r="LI92" s="33"/>
      <c r="LJ92" s="33"/>
      <c r="LK92" s="33"/>
      <c r="LL92" s="33"/>
      <c r="LM92" s="33"/>
      <c r="LN92" s="33"/>
      <c r="LO92" s="33"/>
      <c r="LP92" s="33"/>
      <c r="LQ92" s="33"/>
      <c r="LR92" s="33"/>
      <c r="LS92" s="33"/>
      <c r="LT92" s="33"/>
      <c r="LU92" s="33"/>
      <c r="LV92" s="33"/>
      <c r="LW92" s="33"/>
      <c r="LX92" s="33"/>
      <c r="LY92" s="33"/>
      <c r="LZ92" s="33"/>
      <c r="MA92" s="33"/>
      <c r="MB92" s="33"/>
      <c r="MC92" s="33"/>
      <c r="MD92" s="33"/>
      <c r="ME92" s="33"/>
      <c r="MF92" s="33"/>
      <c r="MG92" s="33"/>
      <c r="MH92" s="33"/>
      <c r="MI92" s="33"/>
      <c r="MJ92" s="33"/>
      <c r="MK92" s="33"/>
      <c r="ML92" s="33"/>
      <c r="MM92" s="33"/>
      <c r="MN92" s="33"/>
      <c r="MO92" s="33"/>
      <c r="MP92" s="33"/>
      <c r="MQ92" s="33"/>
      <c r="MR92" s="33"/>
      <c r="MS92" s="33"/>
      <c r="MT92" s="33"/>
      <c r="MU92" s="33"/>
      <c r="MV92" s="33"/>
    </row>
    <row r="93" spans="1:360" ht="0.75" customHeight="1" x14ac:dyDescent="0.25">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33"/>
      <c r="CA93" s="33"/>
      <c r="CB93" s="33"/>
      <c r="CC93" s="33"/>
      <c r="CD93" s="33"/>
      <c r="CE93" s="33"/>
      <c r="CF93" s="33"/>
      <c r="CG93" s="33"/>
      <c r="CH93" s="33"/>
      <c r="CI93" s="33"/>
      <c r="CJ93" s="33"/>
      <c r="CK93" s="33"/>
      <c r="CL93" s="33"/>
      <c r="CM93" s="33"/>
      <c r="CN93" s="33"/>
      <c r="CO93" s="33"/>
      <c r="CP93" s="33"/>
      <c r="CQ93" s="33"/>
      <c r="CR93" s="33"/>
      <c r="CS93" s="33"/>
      <c r="CT93" s="33"/>
      <c r="CU93" s="33"/>
      <c r="CV93" s="33"/>
      <c r="CW93" s="33"/>
      <c r="CX93" s="33"/>
      <c r="CY93" s="33"/>
      <c r="CZ93" s="33"/>
      <c r="DA93" s="33"/>
      <c r="DB93" s="33"/>
      <c r="DC93" s="33"/>
      <c r="DD93" s="33"/>
      <c r="DE93" s="33"/>
      <c r="DF93" s="33"/>
      <c r="DG93" s="33"/>
      <c r="DH93" s="33"/>
      <c r="DI93" s="33"/>
      <c r="DJ93" s="33"/>
      <c r="DK93" s="33"/>
      <c r="DL93" s="33"/>
      <c r="DM93" s="33"/>
      <c r="DN93" s="33"/>
      <c r="DO93" s="33"/>
      <c r="DP93" s="33"/>
      <c r="DQ93" s="33"/>
      <c r="DR93" s="33"/>
      <c r="DS93" s="33"/>
      <c r="DT93" s="33"/>
      <c r="DU93" s="33"/>
      <c r="DV93" s="33"/>
      <c r="DW93" s="33"/>
      <c r="DX93" s="33"/>
      <c r="DY93" s="33"/>
      <c r="DZ93" s="33"/>
      <c r="EA93" s="33"/>
      <c r="EB93" s="33"/>
      <c r="EC93" s="33"/>
      <c r="ED93" s="33"/>
      <c r="EE93" s="33"/>
      <c r="EF93" s="33"/>
      <c r="EG93" s="33"/>
      <c r="EH93" s="33"/>
      <c r="EI93" s="33"/>
      <c r="EJ93" s="33"/>
      <c r="EK93" s="33"/>
      <c r="EL93" s="33"/>
      <c r="EM93" s="33"/>
      <c r="EN93" s="33"/>
      <c r="EO93" s="33"/>
      <c r="EP93" s="33"/>
      <c r="EQ93" s="33"/>
      <c r="ER93" s="33"/>
      <c r="ES93" s="33"/>
      <c r="ET93" s="33"/>
      <c r="EU93" s="33"/>
      <c r="EV93" s="33"/>
      <c r="EW93" s="33"/>
      <c r="EX93" s="33"/>
      <c r="EY93" s="33"/>
      <c r="EZ93" s="33"/>
      <c r="FA93" s="33"/>
      <c r="FB93" s="33"/>
      <c r="FC93" s="33"/>
      <c r="FD93" s="33"/>
      <c r="FE93" s="33"/>
      <c r="FF93" s="33"/>
      <c r="FG93" s="33"/>
      <c r="FH93" s="33"/>
      <c r="FI93" s="33"/>
      <c r="FJ93" s="33"/>
      <c r="FK93" s="33"/>
      <c r="FL93" s="33"/>
      <c r="FM93" s="33"/>
      <c r="FN93" s="33"/>
      <c r="FO93" s="33"/>
      <c r="FP93" s="33"/>
      <c r="FQ93" s="33"/>
      <c r="FR93" s="33"/>
      <c r="FS93" s="33"/>
      <c r="FT93" s="33"/>
      <c r="FU93" s="33"/>
      <c r="FV93" s="33"/>
      <c r="FW93" s="33"/>
      <c r="FX93" s="33"/>
      <c r="FY93" s="33"/>
      <c r="FZ93" s="33"/>
      <c r="GA93" s="33"/>
      <c r="GB93" s="33"/>
      <c r="GC93" s="33"/>
      <c r="GD93" s="33"/>
      <c r="GE93" s="33"/>
      <c r="GF93" s="33"/>
      <c r="GG93" s="33"/>
      <c r="GH93" s="33"/>
      <c r="GI93" s="33"/>
      <c r="GJ93" s="33"/>
      <c r="GK93" s="33"/>
      <c r="GL93" s="33"/>
      <c r="GM93" s="33"/>
      <c r="GN93" s="33"/>
      <c r="GO93" s="33"/>
      <c r="GP93" s="33"/>
      <c r="GQ93" s="33"/>
      <c r="GR93" s="33"/>
      <c r="GS93" s="33"/>
      <c r="GT93" s="33"/>
      <c r="GU93" s="33"/>
      <c r="GV93" s="33"/>
      <c r="GW93" s="33"/>
      <c r="GX93" s="33"/>
      <c r="GY93" s="33"/>
      <c r="GZ93" s="33"/>
      <c r="HA93" s="33"/>
      <c r="HB93" s="33"/>
      <c r="HC93" s="33"/>
      <c r="HD93" s="33"/>
      <c r="HE93" s="33"/>
      <c r="HF93" s="33"/>
      <c r="HG93" s="33"/>
      <c r="HH93" s="33"/>
      <c r="HI93" s="33"/>
      <c r="HJ93" s="33"/>
      <c r="HK93" s="33"/>
      <c r="HL93" s="33"/>
      <c r="HM93" s="33"/>
      <c r="HN93" s="33"/>
      <c r="HO93" s="33"/>
      <c r="HP93" s="33"/>
      <c r="HQ93" s="33"/>
      <c r="HR93" s="33"/>
      <c r="HS93" s="33"/>
      <c r="HT93" s="33"/>
      <c r="HU93" s="33"/>
      <c r="HV93" s="33"/>
      <c r="HW93" s="33"/>
      <c r="HX93" s="33"/>
      <c r="HY93" s="33"/>
      <c r="HZ93" s="33"/>
      <c r="IA93" s="33"/>
      <c r="IB93" s="33"/>
      <c r="IC93" s="33"/>
      <c r="ID93" s="33"/>
      <c r="IE93" s="33"/>
      <c r="IF93" s="33"/>
      <c r="IG93" s="33"/>
      <c r="IH93" s="33"/>
      <c r="II93" s="33"/>
      <c r="IJ93" s="33"/>
      <c r="IK93" s="33"/>
      <c r="IL93" s="33"/>
      <c r="IM93" s="33"/>
      <c r="IN93" s="33"/>
      <c r="IO93" s="33"/>
      <c r="IP93" s="33"/>
      <c r="IQ93" s="33"/>
      <c r="IR93" s="33"/>
      <c r="IS93" s="33"/>
      <c r="IT93" s="33"/>
      <c r="IU93" s="33"/>
      <c r="IV93" s="33"/>
      <c r="IW93" s="33"/>
      <c r="IX93" s="33"/>
      <c r="IY93" s="33"/>
      <c r="IZ93" s="33"/>
      <c r="JA93" s="33"/>
      <c r="JB93" s="33"/>
      <c r="JC93" s="33"/>
      <c r="JD93" s="33"/>
      <c r="JE93" s="33"/>
      <c r="JF93" s="33"/>
      <c r="JG93" s="33"/>
      <c r="JH93" s="33"/>
      <c r="JI93" s="33"/>
      <c r="JJ93" s="33"/>
      <c r="JK93" s="33"/>
      <c r="JL93" s="33"/>
      <c r="JM93" s="33"/>
      <c r="JN93" s="33"/>
      <c r="JO93" s="33"/>
      <c r="JP93" s="33"/>
      <c r="JQ93" s="33"/>
      <c r="JR93" s="33"/>
      <c r="JS93" s="33"/>
      <c r="JT93" s="33"/>
      <c r="JU93" s="33"/>
      <c r="JV93" s="33"/>
      <c r="JW93" s="33"/>
      <c r="JX93" s="33"/>
      <c r="JY93" s="33"/>
      <c r="JZ93" s="33"/>
      <c r="KA93" s="33"/>
      <c r="KB93" s="33"/>
      <c r="KC93" s="33"/>
      <c r="KD93" s="33"/>
      <c r="KE93" s="33"/>
      <c r="KF93" s="33"/>
      <c r="KG93" s="33"/>
      <c r="KH93" s="33"/>
      <c r="KI93" s="33"/>
      <c r="KJ93" s="33"/>
      <c r="KK93" s="33"/>
      <c r="KL93" s="33"/>
      <c r="KM93" s="33"/>
      <c r="KN93" s="33"/>
      <c r="KO93" s="33"/>
      <c r="KP93" s="33"/>
      <c r="KQ93" s="33"/>
      <c r="KR93" s="33"/>
      <c r="KS93" s="33"/>
      <c r="KT93" s="33"/>
      <c r="KU93" s="33"/>
      <c r="KV93" s="33"/>
      <c r="KW93" s="33"/>
      <c r="KX93" s="33"/>
      <c r="KY93" s="33"/>
      <c r="KZ93" s="33"/>
      <c r="LA93" s="33"/>
      <c r="LB93" s="33"/>
      <c r="LC93" s="33"/>
      <c r="LD93" s="33"/>
      <c r="LE93" s="33"/>
      <c r="LF93" s="33"/>
      <c r="LG93" s="33"/>
      <c r="LH93" s="33"/>
      <c r="LI93" s="33"/>
      <c r="LJ93" s="33"/>
      <c r="LK93" s="33"/>
      <c r="LL93" s="33"/>
      <c r="LM93" s="33"/>
      <c r="LN93" s="33"/>
      <c r="LO93" s="33"/>
      <c r="LP93" s="33"/>
      <c r="LQ93" s="33"/>
      <c r="LR93" s="33"/>
      <c r="LS93" s="33"/>
      <c r="LT93" s="33"/>
      <c r="LU93" s="33"/>
      <c r="LV93" s="33"/>
      <c r="LW93" s="33"/>
      <c r="LX93" s="33"/>
      <c r="LY93" s="33"/>
      <c r="LZ93" s="33"/>
      <c r="MA93" s="33"/>
      <c r="MB93" s="33"/>
      <c r="MC93" s="33"/>
      <c r="MD93" s="33"/>
      <c r="ME93" s="33"/>
      <c r="MF93" s="33"/>
      <c r="MG93" s="33"/>
      <c r="MH93" s="33"/>
      <c r="MI93" s="33"/>
      <c r="MJ93" s="33"/>
      <c r="MK93" s="33"/>
      <c r="ML93" s="33"/>
      <c r="MM93" s="33"/>
      <c r="MN93" s="33"/>
      <c r="MO93" s="33"/>
      <c r="MP93" s="33"/>
      <c r="MQ93" s="33"/>
      <c r="MR93" s="33"/>
      <c r="MS93" s="33"/>
      <c r="MT93" s="33"/>
      <c r="MU93" s="33"/>
      <c r="MV93" s="33"/>
    </row>
    <row r="94" spans="1:360" ht="0.75" customHeight="1" x14ac:dyDescent="0.25">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33"/>
      <c r="CA94" s="33"/>
      <c r="CB94" s="33"/>
      <c r="CC94" s="33"/>
      <c r="CD94" s="33"/>
      <c r="CE94" s="33"/>
      <c r="CF94" s="33"/>
      <c r="CG94" s="33"/>
      <c r="CH94" s="33"/>
      <c r="CI94" s="33"/>
      <c r="CJ94" s="33"/>
      <c r="CK94" s="33"/>
      <c r="CL94" s="33"/>
      <c r="CM94" s="33"/>
      <c r="CN94" s="33"/>
      <c r="CO94" s="33"/>
      <c r="CP94" s="33"/>
      <c r="CQ94" s="33"/>
      <c r="CR94" s="33"/>
      <c r="CS94" s="33"/>
      <c r="CT94" s="33"/>
      <c r="CU94" s="33"/>
      <c r="CV94" s="33"/>
      <c r="CW94" s="33"/>
      <c r="CX94" s="33"/>
      <c r="CY94" s="33"/>
      <c r="CZ94" s="33"/>
      <c r="DA94" s="33"/>
      <c r="DB94" s="33"/>
      <c r="DC94" s="33"/>
      <c r="DD94" s="33"/>
      <c r="DE94" s="33"/>
      <c r="DF94" s="33"/>
      <c r="DG94" s="33"/>
      <c r="DH94" s="33"/>
      <c r="DI94" s="33"/>
      <c r="DJ94" s="33"/>
      <c r="DK94" s="33"/>
      <c r="DL94" s="33"/>
      <c r="DM94" s="33"/>
      <c r="DN94" s="33"/>
      <c r="DO94" s="33"/>
      <c r="DP94" s="33"/>
      <c r="DQ94" s="33"/>
      <c r="DR94" s="33"/>
      <c r="DS94" s="33"/>
      <c r="DT94" s="33"/>
      <c r="DU94" s="33"/>
      <c r="DV94" s="33"/>
      <c r="DW94" s="33"/>
      <c r="DX94" s="33"/>
      <c r="DY94" s="33"/>
      <c r="DZ94" s="33"/>
      <c r="EA94" s="33"/>
      <c r="EB94" s="33"/>
      <c r="EC94" s="33"/>
      <c r="ED94" s="33"/>
      <c r="EE94" s="33"/>
      <c r="EF94" s="33"/>
      <c r="EG94" s="33"/>
      <c r="EH94" s="33"/>
      <c r="EI94" s="33"/>
      <c r="EJ94" s="33"/>
      <c r="EK94" s="33"/>
      <c r="EL94" s="33"/>
      <c r="EM94" s="33"/>
      <c r="EN94" s="33"/>
      <c r="EO94" s="33"/>
      <c r="EP94" s="33"/>
      <c r="EQ94" s="33"/>
      <c r="ER94" s="33"/>
      <c r="ES94" s="33"/>
      <c r="ET94" s="33"/>
      <c r="EU94" s="33"/>
      <c r="EV94" s="33"/>
      <c r="EW94" s="33"/>
      <c r="EX94" s="33"/>
      <c r="EY94" s="33"/>
      <c r="EZ94" s="33"/>
      <c r="FA94" s="33"/>
      <c r="FB94" s="33"/>
      <c r="FC94" s="33"/>
      <c r="FD94" s="33"/>
      <c r="FE94" s="33"/>
      <c r="FF94" s="33"/>
      <c r="FG94" s="33"/>
      <c r="FH94" s="33"/>
      <c r="FI94" s="33"/>
      <c r="FJ94" s="33"/>
      <c r="FK94" s="33"/>
      <c r="FL94" s="33"/>
      <c r="FM94" s="33"/>
      <c r="FN94" s="33"/>
      <c r="FO94" s="33"/>
      <c r="FP94" s="33"/>
      <c r="FQ94" s="33"/>
      <c r="FR94" s="33"/>
      <c r="FS94" s="33"/>
      <c r="FT94" s="33"/>
      <c r="FU94" s="33"/>
      <c r="FV94" s="33"/>
      <c r="FW94" s="33"/>
      <c r="FX94" s="33"/>
      <c r="FY94" s="33"/>
      <c r="FZ94" s="33"/>
      <c r="GA94" s="33"/>
      <c r="GB94" s="33"/>
      <c r="GC94" s="33"/>
      <c r="GD94" s="33"/>
      <c r="GE94" s="33"/>
      <c r="GF94" s="33"/>
      <c r="GG94" s="33"/>
      <c r="GH94" s="33"/>
      <c r="GI94" s="33"/>
      <c r="GJ94" s="33"/>
      <c r="GK94" s="33"/>
      <c r="GL94" s="33"/>
      <c r="GM94" s="33"/>
      <c r="GN94" s="33"/>
      <c r="GO94" s="33"/>
      <c r="GP94" s="33"/>
      <c r="GQ94" s="33"/>
      <c r="GR94" s="33"/>
      <c r="GS94" s="33"/>
      <c r="GT94" s="33"/>
      <c r="GU94" s="33"/>
      <c r="GV94" s="33"/>
      <c r="GW94" s="33"/>
      <c r="GX94" s="33"/>
      <c r="GY94" s="33"/>
      <c r="GZ94" s="33"/>
      <c r="HA94" s="33"/>
      <c r="HB94" s="33"/>
      <c r="HC94" s="33"/>
      <c r="HD94" s="33"/>
      <c r="HE94" s="33"/>
      <c r="HF94" s="33"/>
      <c r="HG94" s="33"/>
      <c r="HH94" s="33"/>
      <c r="HI94" s="33"/>
      <c r="HJ94" s="33"/>
      <c r="HK94" s="33"/>
      <c r="HL94" s="33"/>
      <c r="HM94" s="33"/>
      <c r="HN94" s="33"/>
      <c r="HO94" s="33"/>
      <c r="HP94" s="33"/>
      <c r="HQ94" s="33"/>
      <c r="HR94" s="33"/>
      <c r="HS94" s="33"/>
      <c r="HT94" s="33"/>
      <c r="HU94" s="33"/>
      <c r="HV94" s="33"/>
      <c r="HW94" s="33"/>
      <c r="HX94" s="33"/>
      <c r="HY94" s="33"/>
      <c r="HZ94" s="33"/>
      <c r="IA94" s="33"/>
      <c r="IB94" s="33"/>
      <c r="IC94" s="33"/>
      <c r="ID94" s="33"/>
      <c r="IE94" s="33"/>
      <c r="IF94" s="33"/>
      <c r="IG94" s="33"/>
      <c r="IH94" s="33"/>
      <c r="II94" s="33"/>
      <c r="IJ94" s="33"/>
      <c r="IK94" s="33"/>
      <c r="IL94" s="33"/>
      <c r="IM94" s="33"/>
      <c r="IN94" s="33"/>
      <c r="IO94" s="33"/>
      <c r="IP94" s="33"/>
      <c r="IQ94" s="33"/>
      <c r="IR94" s="33"/>
      <c r="IS94" s="33"/>
      <c r="IT94" s="33"/>
      <c r="IU94" s="33"/>
      <c r="IV94" s="33"/>
      <c r="IW94" s="33"/>
      <c r="IX94" s="33"/>
      <c r="IY94" s="33"/>
      <c r="IZ94" s="33"/>
      <c r="JA94" s="33"/>
      <c r="JB94" s="33"/>
      <c r="JC94" s="33"/>
      <c r="JD94" s="33"/>
      <c r="JE94" s="33"/>
      <c r="JF94" s="33"/>
      <c r="JG94" s="33"/>
      <c r="JH94" s="33"/>
      <c r="JI94" s="33"/>
      <c r="JJ94" s="33"/>
      <c r="JK94" s="33"/>
      <c r="JL94" s="33"/>
      <c r="JM94" s="33"/>
      <c r="JN94" s="33"/>
      <c r="JO94" s="33"/>
      <c r="JP94" s="33"/>
      <c r="JQ94" s="33"/>
      <c r="JR94" s="33"/>
      <c r="JS94" s="33"/>
      <c r="JT94" s="33"/>
      <c r="JU94" s="33"/>
      <c r="JV94" s="33"/>
      <c r="JW94" s="33"/>
      <c r="JX94" s="33"/>
      <c r="JY94" s="33"/>
      <c r="JZ94" s="33"/>
      <c r="KA94" s="33"/>
      <c r="KB94" s="33"/>
      <c r="KC94" s="33"/>
      <c r="KD94" s="33"/>
      <c r="KE94" s="33"/>
      <c r="KF94" s="33"/>
      <c r="KG94" s="33"/>
      <c r="KH94" s="33"/>
      <c r="KI94" s="33"/>
      <c r="KJ94" s="33"/>
      <c r="KK94" s="33"/>
      <c r="KL94" s="33"/>
      <c r="KM94" s="33"/>
      <c r="KN94" s="33"/>
      <c r="KO94" s="33"/>
      <c r="KP94" s="33"/>
      <c r="KQ94" s="33"/>
      <c r="KR94" s="33"/>
      <c r="KS94" s="33"/>
      <c r="KT94" s="33"/>
      <c r="KU94" s="33"/>
      <c r="KV94" s="33"/>
      <c r="KW94" s="33"/>
      <c r="KX94" s="33"/>
      <c r="KY94" s="33"/>
      <c r="KZ94" s="33"/>
      <c r="LA94" s="33"/>
      <c r="LB94" s="33"/>
      <c r="LC94" s="33"/>
      <c r="LD94" s="33"/>
      <c r="LE94" s="33"/>
      <c r="LF94" s="33"/>
      <c r="LG94" s="33"/>
      <c r="LH94" s="33"/>
      <c r="LI94" s="33"/>
      <c r="LJ94" s="33"/>
      <c r="LK94" s="33"/>
      <c r="LL94" s="33"/>
      <c r="LM94" s="33"/>
      <c r="LN94" s="33"/>
      <c r="LO94" s="33"/>
      <c r="LP94" s="33"/>
      <c r="LQ94" s="33"/>
      <c r="LR94" s="33"/>
      <c r="LS94" s="33"/>
      <c r="LT94" s="33"/>
      <c r="LU94" s="33"/>
      <c r="LV94" s="33"/>
      <c r="LW94" s="33"/>
      <c r="LX94" s="33"/>
      <c r="LY94" s="33"/>
      <c r="LZ94" s="33"/>
      <c r="MA94" s="33"/>
      <c r="MB94" s="33"/>
      <c r="MC94" s="33"/>
      <c r="MD94" s="33"/>
      <c r="ME94" s="33"/>
      <c r="MF94" s="33"/>
      <c r="MG94" s="33"/>
      <c r="MH94" s="33"/>
      <c r="MI94" s="33"/>
      <c r="MJ94" s="33"/>
      <c r="MK94" s="33"/>
      <c r="ML94" s="33"/>
      <c r="MM94" s="33"/>
      <c r="MN94" s="33"/>
      <c r="MO94" s="33"/>
      <c r="MP94" s="33"/>
      <c r="MQ94" s="33"/>
      <c r="MR94" s="33"/>
      <c r="MS94" s="33"/>
      <c r="MT94" s="33"/>
      <c r="MU94" s="33"/>
      <c r="MV94" s="33"/>
    </row>
    <row r="95" spans="1:360" ht="0.75" customHeight="1" x14ac:dyDescent="0.25">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33"/>
      <c r="CA95" s="33"/>
      <c r="CB95" s="33"/>
      <c r="CC95" s="33"/>
      <c r="CD95" s="33"/>
      <c r="CE95" s="33"/>
      <c r="CF95" s="33"/>
      <c r="CG95" s="33"/>
      <c r="CH95" s="33"/>
      <c r="CI95" s="33"/>
      <c r="CJ95" s="33"/>
      <c r="CK95" s="33"/>
      <c r="CL95" s="33"/>
      <c r="CM95" s="33"/>
      <c r="CN95" s="33"/>
      <c r="CO95" s="33"/>
      <c r="CP95" s="33"/>
      <c r="CQ95" s="33"/>
      <c r="CR95" s="33"/>
      <c r="CS95" s="33"/>
      <c r="CT95" s="33"/>
      <c r="CU95" s="33"/>
      <c r="CV95" s="33"/>
      <c r="CW95" s="33"/>
      <c r="CX95" s="33"/>
      <c r="CY95" s="33"/>
      <c r="CZ95" s="33"/>
      <c r="DA95" s="33"/>
      <c r="DB95" s="33"/>
      <c r="DC95" s="33"/>
      <c r="DD95" s="33"/>
      <c r="DE95" s="33"/>
      <c r="DF95" s="33"/>
      <c r="DG95" s="33"/>
      <c r="DH95" s="33"/>
      <c r="DI95" s="33"/>
      <c r="DJ95" s="33"/>
      <c r="DK95" s="33"/>
      <c r="DL95" s="33"/>
      <c r="DM95" s="33"/>
      <c r="DN95" s="33"/>
      <c r="DO95" s="33"/>
      <c r="DP95" s="33"/>
      <c r="DQ95" s="33"/>
      <c r="DR95" s="33"/>
      <c r="DS95" s="33"/>
      <c r="DT95" s="33"/>
      <c r="DU95" s="33"/>
      <c r="DV95" s="33"/>
      <c r="DW95" s="33"/>
      <c r="DX95" s="33"/>
      <c r="DY95" s="33"/>
      <c r="DZ95" s="33"/>
      <c r="EA95" s="33"/>
      <c r="EB95" s="33"/>
      <c r="EC95" s="33"/>
      <c r="ED95" s="33"/>
      <c r="EE95" s="33"/>
      <c r="EF95" s="33"/>
      <c r="EG95" s="33"/>
      <c r="EH95" s="33"/>
      <c r="EI95" s="33"/>
      <c r="EJ95" s="33"/>
      <c r="EK95" s="33"/>
      <c r="EL95" s="33"/>
      <c r="EM95" s="33"/>
      <c r="EN95" s="33"/>
      <c r="EO95" s="33"/>
      <c r="EP95" s="33"/>
      <c r="EQ95" s="33"/>
      <c r="ER95" s="33"/>
      <c r="ES95" s="33"/>
      <c r="ET95" s="33"/>
      <c r="EU95" s="33"/>
      <c r="EV95" s="33"/>
      <c r="EW95" s="33"/>
      <c r="EX95" s="33"/>
      <c r="EY95" s="33"/>
      <c r="EZ95" s="33"/>
      <c r="FA95" s="33"/>
      <c r="FB95" s="33"/>
      <c r="FC95" s="33"/>
      <c r="FD95" s="33"/>
      <c r="FE95" s="33"/>
      <c r="FF95" s="33"/>
      <c r="FG95" s="33"/>
      <c r="FH95" s="33"/>
      <c r="FI95" s="33"/>
      <c r="FJ95" s="33"/>
      <c r="FK95" s="33"/>
      <c r="FL95" s="33"/>
      <c r="FM95" s="33"/>
      <c r="FN95" s="33"/>
      <c r="FO95" s="33"/>
      <c r="FP95" s="33"/>
      <c r="FQ95" s="33"/>
      <c r="FR95" s="33"/>
      <c r="FS95" s="33"/>
      <c r="FT95" s="33"/>
      <c r="FU95" s="33"/>
      <c r="FV95" s="33"/>
      <c r="FW95" s="33"/>
      <c r="FX95" s="33"/>
      <c r="FY95" s="33"/>
      <c r="FZ95" s="33"/>
      <c r="GA95" s="33"/>
      <c r="GB95" s="33"/>
      <c r="GC95" s="33"/>
      <c r="GD95" s="33"/>
      <c r="GE95" s="33"/>
      <c r="GF95" s="33"/>
      <c r="GG95" s="33"/>
      <c r="GH95" s="33"/>
      <c r="GI95" s="33"/>
      <c r="GJ95" s="33"/>
      <c r="GK95" s="33"/>
      <c r="GL95" s="33"/>
      <c r="GM95" s="33"/>
      <c r="GN95" s="33"/>
      <c r="GO95" s="33"/>
      <c r="GP95" s="33"/>
      <c r="GQ95" s="33"/>
      <c r="GR95" s="33"/>
      <c r="GS95" s="33"/>
      <c r="GT95" s="33"/>
      <c r="GU95" s="33"/>
      <c r="GV95" s="33"/>
      <c r="GW95" s="33"/>
      <c r="GX95" s="33"/>
      <c r="GY95" s="33"/>
      <c r="GZ95" s="33"/>
      <c r="HA95" s="33"/>
      <c r="HB95" s="33"/>
      <c r="HC95" s="33"/>
      <c r="HD95" s="33"/>
      <c r="HE95" s="33"/>
      <c r="HF95" s="33"/>
      <c r="HG95" s="33"/>
      <c r="HH95" s="33"/>
      <c r="HI95" s="33"/>
      <c r="HJ95" s="33"/>
      <c r="HK95" s="33"/>
      <c r="HL95" s="33"/>
      <c r="HM95" s="33"/>
      <c r="HN95" s="33"/>
      <c r="HO95" s="33"/>
      <c r="HP95" s="33"/>
      <c r="HQ95" s="33"/>
      <c r="HR95" s="33"/>
      <c r="HS95" s="33"/>
      <c r="HT95" s="33"/>
      <c r="HU95" s="33"/>
      <c r="HV95" s="33"/>
      <c r="HW95" s="33"/>
      <c r="HX95" s="33"/>
      <c r="HY95" s="33"/>
      <c r="HZ95" s="33"/>
      <c r="IA95" s="33"/>
      <c r="IB95" s="33"/>
      <c r="IC95" s="33"/>
      <c r="ID95" s="33"/>
      <c r="IE95" s="33"/>
      <c r="IF95" s="33"/>
      <c r="IG95" s="33"/>
      <c r="IH95" s="33"/>
      <c r="II95" s="33"/>
      <c r="IJ95" s="33"/>
      <c r="IK95" s="33"/>
      <c r="IL95" s="33"/>
      <c r="IM95" s="33"/>
      <c r="IN95" s="33"/>
      <c r="IO95" s="33"/>
      <c r="IP95" s="33"/>
      <c r="IQ95" s="33"/>
      <c r="IR95" s="33"/>
      <c r="IS95" s="33"/>
      <c r="IT95" s="33"/>
      <c r="IU95" s="33"/>
      <c r="IV95" s="33"/>
      <c r="IW95" s="33"/>
      <c r="IX95" s="33"/>
      <c r="IY95" s="33"/>
      <c r="IZ95" s="33"/>
      <c r="JA95" s="33"/>
      <c r="JB95" s="33"/>
      <c r="JC95" s="33"/>
      <c r="JD95" s="33"/>
      <c r="JE95" s="33"/>
      <c r="JF95" s="33"/>
      <c r="JG95" s="33"/>
      <c r="JH95" s="33"/>
      <c r="JI95" s="33"/>
      <c r="JJ95" s="33"/>
      <c r="JK95" s="33"/>
      <c r="JL95" s="33"/>
      <c r="JM95" s="33"/>
      <c r="JN95" s="33"/>
      <c r="JO95" s="33"/>
      <c r="JP95" s="33"/>
      <c r="JQ95" s="33"/>
      <c r="JR95" s="33"/>
      <c r="JS95" s="33"/>
      <c r="JT95" s="33"/>
      <c r="JU95" s="33"/>
      <c r="JV95" s="33"/>
      <c r="JW95" s="33"/>
      <c r="JX95" s="33"/>
      <c r="JY95" s="33"/>
      <c r="JZ95" s="33"/>
      <c r="KA95" s="33"/>
      <c r="KB95" s="33"/>
      <c r="KC95" s="33"/>
      <c r="KD95" s="33"/>
      <c r="KE95" s="33"/>
      <c r="KF95" s="33"/>
      <c r="KG95" s="33"/>
      <c r="KH95" s="33"/>
      <c r="KI95" s="33"/>
      <c r="KJ95" s="33"/>
      <c r="KK95" s="33"/>
      <c r="KL95" s="33"/>
      <c r="KM95" s="33"/>
      <c r="KN95" s="33"/>
      <c r="KO95" s="33"/>
      <c r="KP95" s="33"/>
      <c r="KQ95" s="33"/>
      <c r="KR95" s="33"/>
      <c r="KS95" s="33"/>
      <c r="KT95" s="33"/>
      <c r="KU95" s="33"/>
      <c r="KV95" s="33"/>
      <c r="KW95" s="33"/>
      <c r="KX95" s="33"/>
      <c r="KY95" s="33"/>
      <c r="KZ95" s="33"/>
      <c r="LA95" s="33"/>
      <c r="LB95" s="33"/>
      <c r="LC95" s="33"/>
      <c r="LD95" s="33"/>
      <c r="LE95" s="33"/>
      <c r="LF95" s="33"/>
      <c r="LG95" s="33"/>
      <c r="LH95" s="33"/>
      <c r="LI95" s="33"/>
      <c r="LJ95" s="33"/>
      <c r="LK95" s="33"/>
      <c r="LL95" s="33"/>
      <c r="LM95" s="33"/>
      <c r="LN95" s="33"/>
      <c r="LO95" s="33"/>
      <c r="LP95" s="33"/>
      <c r="LQ95" s="33"/>
      <c r="LR95" s="33"/>
      <c r="LS95" s="33"/>
      <c r="LT95" s="33"/>
      <c r="LU95" s="33"/>
      <c r="LV95" s="33"/>
      <c r="LW95" s="33"/>
      <c r="LX95" s="33"/>
      <c r="LY95" s="33"/>
      <c r="LZ95" s="33"/>
      <c r="MA95" s="33"/>
      <c r="MB95" s="33"/>
      <c r="MC95" s="33"/>
      <c r="MD95" s="33"/>
      <c r="ME95" s="33"/>
      <c r="MF95" s="33"/>
      <c r="MG95" s="33"/>
      <c r="MH95" s="33"/>
      <c r="MI95" s="33"/>
      <c r="MJ95" s="33"/>
      <c r="MK95" s="33"/>
      <c r="ML95" s="33"/>
      <c r="MM95" s="33"/>
      <c r="MN95" s="33"/>
      <c r="MO95" s="33"/>
      <c r="MP95" s="33"/>
      <c r="MQ95" s="33"/>
      <c r="MR95" s="33"/>
      <c r="MS95" s="33"/>
      <c r="MT95" s="33"/>
      <c r="MU95" s="33"/>
      <c r="MV95" s="33"/>
    </row>
    <row r="96" spans="1:360" ht="0.75" customHeight="1" x14ac:dyDescent="0.25">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33"/>
      <c r="CA96" s="33"/>
      <c r="CB96" s="33"/>
      <c r="CC96" s="33"/>
      <c r="CD96" s="33"/>
      <c r="CE96" s="33"/>
      <c r="CF96" s="33"/>
      <c r="CG96" s="33"/>
      <c r="CH96" s="33"/>
      <c r="CI96" s="33"/>
      <c r="CJ96" s="33"/>
      <c r="CK96" s="33"/>
      <c r="CL96" s="33"/>
      <c r="CM96" s="33"/>
      <c r="CN96" s="33"/>
      <c r="CO96" s="33"/>
      <c r="CP96" s="33"/>
      <c r="CQ96" s="33"/>
      <c r="CR96" s="33"/>
      <c r="CS96" s="33"/>
      <c r="CT96" s="33"/>
      <c r="CU96" s="33"/>
      <c r="CV96" s="33"/>
      <c r="CW96" s="33"/>
      <c r="CX96" s="33"/>
      <c r="CY96" s="33"/>
      <c r="CZ96" s="33"/>
      <c r="DA96" s="33"/>
      <c r="DB96" s="33"/>
      <c r="DC96" s="33"/>
      <c r="DD96" s="33"/>
      <c r="DE96" s="33"/>
      <c r="DF96" s="33"/>
      <c r="DG96" s="33"/>
      <c r="DH96" s="33"/>
      <c r="DI96" s="33"/>
      <c r="DJ96" s="33"/>
      <c r="DK96" s="33"/>
      <c r="DL96" s="33"/>
      <c r="DM96" s="33"/>
      <c r="DN96" s="33"/>
      <c r="DO96" s="33"/>
      <c r="DP96" s="33"/>
      <c r="DQ96" s="33"/>
      <c r="DR96" s="33"/>
      <c r="DS96" s="33"/>
      <c r="DT96" s="33"/>
      <c r="DU96" s="33"/>
      <c r="DV96" s="33"/>
      <c r="DW96" s="33"/>
      <c r="DX96" s="33"/>
      <c r="DY96" s="33"/>
      <c r="DZ96" s="33"/>
      <c r="EA96" s="33"/>
      <c r="EB96" s="33"/>
      <c r="EC96" s="33"/>
      <c r="ED96" s="33"/>
      <c r="EE96" s="33"/>
      <c r="EF96" s="33"/>
      <c r="EG96" s="33"/>
      <c r="EH96" s="33"/>
      <c r="EI96" s="33"/>
      <c r="EJ96" s="33"/>
      <c r="EK96" s="33"/>
      <c r="EL96" s="33"/>
      <c r="EM96" s="33"/>
      <c r="EN96" s="33"/>
      <c r="EO96" s="33"/>
      <c r="EP96" s="33"/>
      <c r="EQ96" s="33"/>
      <c r="ER96" s="33"/>
      <c r="ES96" s="33"/>
      <c r="ET96" s="33"/>
      <c r="EU96" s="33"/>
      <c r="EV96" s="33"/>
      <c r="EW96" s="33"/>
      <c r="EX96" s="33"/>
      <c r="EY96" s="33"/>
      <c r="EZ96" s="33"/>
      <c r="FA96" s="33"/>
      <c r="FB96" s="33"/>
      <c r="FC96" s="33"/>
      <c r="FD96" s="33"/>
      <c r="FE96" s="33"/>
      <c r="FF96" s="33"/>
      <c r="FG96" s="33"/>
      <c r="FH96" s="33"/>
      <c r="FI96" s="33"/>
      <c r="FJ96" s="33"/>
      <c r="FK96" s="33"/>
      <c r="FL96" s="33"/>
      <c r="FM96" s="33"/>
      <c r="FN96" s="33"/>
      <c r="FO96" s="33"/>
      <c r="FP96" s="33"/>
      <c r="FQ96" s="33"/>
      <c r="FR96" s="33"/>
      <c r="FS96" s="33"/>
      <c r="FT96" s="33"/>
      <c r="FU96" s="33"/>
      <c r="FV96" s="33"/>
      <c r="FW96" s="33"/>
      <c r="FX96" s="33"/>
      <c r="FY96" s="33"/>
      <c r="FZ96" s="33"/>
      <c r="GA96" s="33"/>
      <c r="GB96" s="33"/>
      <c r="GC96" s="33"/>
      <c r="GD96" s="33"/>
      <c r="GE96" s="33"/>
      <c r="GF96" s="33"/>
      <c r="GG96" s="33"/>
      <c r="GH96" s="33"/>
      <c r="GI96" s="33"/>
      <c r="GJ96" s="33"/>
      <c r="GK96" s="33"/>
      <c r="GL96" s="33"/>
      <c r="GM96" s="33"/>
      <c r="GN96" s="33"/>
      <c r="GO96" s="33"/>
      <c r="GP96" s="33"/>
      <c r="GQ96" s="33"/>
      <c r="GR96" s="33"/>
      <c r="GS96" s="33"/>
      <c r="GT96" s="33"/>
      <c r="GU96" s="33"/>
      <c r="GV96" s="33"/>
      <c r="GW96" s="33"/>
      <c r="GX96" s="33"/>
      <c r="GY96" s="33"/>
      <c r="GZ96" s="33"/>
      <c r="HA96" s="33"/>
      <c r="HB96" s="33"/>
      <c r="HC96" s="33"/>
      <c r="HD96" s="33"/>
      <c r="HE96" s="33"/>
      <c r="HF96" s="33"/>
      <c r="HG96" s="33"/>
      <c r="HH96" s="33"/>
      <c r="HI96" s="33"/>
      <c r="HJ96" s="33"/>
      <c r="HK96" s="33"/>
      <c r="HL96" s="33"/>
      <c r="HM96" s="33"/>
      <c r="HN96" s="33"/>
      <c r="HO96" s="33"/>
      <c r="HP96" s="33"/>
      <c r="HQ96" s="33"/>
      <c r="HR96" s="33"/>
      <c r="HS96" s="33"/>
      <c r="HT96" s="33"/>
      <c r="HU96" s="33"/>
      <c r="HV96" s="33"/>
      <c r="HW96" s="33"/>
      <c r="HX96" s="33"/>
      <c r="HY96" s="33"/>
      <c r="HZ96" s="33"/>
      <c r="IA96" s="33"/>
      <c r="IB96" s="33"/>
      <c r="IC96" s="33"/>
      <c r="ID96" s="33"/>
      <c r="IE96" s="33"/>
      <c r="IF96" s="33"/>
      <c r="IG96" s="33"/>
      <c r="IH96" s="33"/>
      <c r="II96" s="33"/>
      <c r="IJ96" s="33"/>
      <c r="IK96" s="33"/>
      <c r="IL96" s="33"/>
      <c r="IM96" s="33"/>
      <c r="IN96" s="33"/>
      <c r="IO96" s="33"/>
      <c r="IP96" s="33"/>
      <c r="IQ96" s="33"/>
      <c r="IR96" s="33"/>
      <c r="IS96" s="33"/>
      <c r="IT96" s="33"/>
      <c r="IU96" s="33"/>
      <c r="IV96" s="33"/>
      <c r="IW96" s="33"/>
      <c r="IX96" s="33"/>
      <c r="IY96" s="33"/>
      <c r="IZ96" s="33"/>
      <c r="JA96" s="33"/>
      <c r="JB96" s="33"/>
      <c r="JC96" s="33"/>
      <c r="JD96" s="33"/>
      <c r="JE96" s="33"/>
      <c r="JF96" s="33"/>
      <c r="JG96" s="33"/>
      <c r="JH96" s="33"/>
      <c r="JI96" s="33"/>
      <c r="JJ96" s="33"/>
      <c r="JK96" s="33"/>
      <c r="JL96" s="33"/>
      <c r="JM96" s="33"/>
      <c r="JN96" s="33"/>
      <c r="JO96" s="33"/>
      <c r="JP96" s="33"/>
      <c r="JQ96" s="33"/>
      <c r="JR96" s="33"/>
      <c r="JS96" s="33"/>
      <c r="JT96" s="33"/>
      <c r="JU96" s="33"/>
      <c r="JV96" s="33"/>
      <c r="JW96" s="33"/>
      <c r="JX96" s="33"/>
      <c r="JY96" s="33"/>
      <c r="JZ96" s="33"/>
      <c r="KA96" s="33"/>
      <c r="KB96" s="33"/>
      <c r="KC96" s="33"/>
      <c r="KD96" s="33"/>
      <c r="KE96" s="33"/>
      <c r="KF96" s="33"/>
      <c r="KG96" s="33"/>
      <c r="KH96" s="33"/>
      <c r="KI96" s="33"/>
      <c r="KJ96" s="33"/>
      <c r="KK96" s="33"/>
      <c r="KL96" s="33"/>
      <c r="KM96" s="33"/>
      <c r="KN96" s="33"/>
      <c r="KO96" s="33"/>
      <c r="KP96" s="33"/>
      <c r="KQ96" s="33"/>
      <c r="KR96" s="33"/>
      <c r="KS96" s="33"/>
      <c r="KT96" s="33"/>
      <c r="KU96" s="33"/>
      <c r="KV96" s="33"/>
      <c r="KW96" s="33"/>
      <c r="KX96" s="33"/>
      <c r="KY96" s="33"/>
      <c r="KZ96" s="33"/>
      <c r="LA96" s="33"/>
      <c r="LB96" s="33"/>
      <c r="LC96" s="33"/>
      <c r="LD96" s="33"/>
      <c r="LE96" s="33"/>
      <c r="LF96" s="33"/>
      <c r="LG96" s="33"/>
      <c r="LH96" s="33"/>
      <c r="LI96" s="33"/>
      <c r="LJ96" s="33"/>
      <c r="LK96" s="33"/>
      <c r="LL96" s="33"/>
      <c r="LM96" s="33"/>
      <c r="LN96" s="33"/>
      <c r="LO96" s="33"/>
      <c r="LP96" s="33"/>
      <c r="LQ96" s="33"/>
      <c r="LR96" s="33"/>
      <c r="LS96" s="33"/>
      <c r="LT96" s="33"/>
      <c r="LU96" s="33"/>
      <c r="LV96" s="33"/>
      <c r="LW96" s="33"/>
      <c r="LX96" s="33"/>
      <c r="LY96" s="33"/>
      <c r="LZ96" s="33"/>
      <c r="MA96" s="33"/>
      <c r="MB96" s="33"/>
      <c r="MC96" s="33"/>
      <c r="MD96" s="33"/>
      <c r="ME96" s="33"/>
      <c r="MF96" s="33"/>
      <c r="MG96" s="33"/>
      <c r="MH96" s="33"/>
      <c r="MI96" s="33"/>
      <c r="MJ96" s="33"/>
      <c r="MK96" s="33"/>
      <c r="ML96" s="33"/>
      <c r="MM96" s="33"/>
      <c r="MN96" s="33"/>
      <c r="MO96" s="33"/>
      <c r="MP96" s="33"/>
      <c r="MQ96" s="33"/>
      <c r="MR96" s="33"/>
      <c r="MS96" s="33"/>
      <c r="MT96" s="33"/>
      <c r="MU96" s="33"/>
      <c r="MV96" s="33"/>
    </row>
    <row r="97" spans="1:360" ht="0.75" customHeight="1" x14ac:dyDescent="0.25">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33"/>
      <c r="CA97" s="33"/>
      <c r="CB97" s="33"/>
      <c r="CC97" s="33"/>
      <c r="CD97" s="33"/>
      <c r="CE97" s="33"/>
      <c r="CF97" s="33"/>
      <c r="CG97" s="33"/>
      <c r="CH97" s="33"/>
      <c r="CI97" s="33"/>
      <c r="CJ97" s="33"/>
      <c r="CK97" s="33"/>
      <c r="CL97" s="33"/>
      <c r="CM97" s="33"/>
      <c r="CN97" s="33"/>
      <c r="CO97" s="33"/>
      <c r="CP97" s="33"/>
      <c r="CQ97" s="33"/>
      <c r="CR97" s="33"/>
      <c r="CS97" s="33"/>
      <c r="CT97" s="33"/>
      <c r="CU97" s="33"/>
      <c r="CV97" s="33"/>
      <c r="CW97" s="33"/>
      <c r="CX97" s="33"/>
      <c r="CY97" s="33"/>
      <c r="CZ97" s="33"/>
      <c r="DA97" s="33"/>
      <c r="DB97" s="33"/>
      <c r="DC97" s="33"/>
      <c r="DD97" s="33"/>
      <c r="DE97" s="33"/>
      <c r="DF97" s="33"/>
      <c r="DG97" s="33"/>
      <c r="DH97" s="33"/>
      <c r="DI97" s="33"/>
      <c r="DJ97" s="33"/>
      <c r="DK97" s="33"/>
      <c r="DL97" s="33"/>
      <c r="DM97" s="33"/>
      <c r="DN97" s="33"/>
      <c r="DO97" s="33"/>
      <c r="DP97" s="33"/>
      <c r="DQ97" s="33"/>
      <c r="DR97" s="33"/>
      <c r="DS97" s="33"/>
      <c r="DT97" s="33"/>
      <c r="DU97" s="33"/>
      <c r="DV97" s="33"/>
      <c r="DW97" s="33"/>
      <c r="DX97" s="33"/>
      <c r="DY97" s="33"/>
      <c r="DZ97" s="33"/>
      <c r="EA97" s="33"/>
      <c r="EB97" s="33"/>
      <c r="EC97" s="33"/>
      <c r="ED97" s="33"/>
      <c r="EE97" s="33"/>
      <c r="EF97" s="33"/>
      <c r="EG97" s="33"/>
      <c r="EH97" s="33"/>
      <c r="EI97" s="33"/>
      <c r="EJ97" s="33"/>
      <c r="EK97" s="33"/>
      <c r="EL97" s="33"/>
      <c r="EM97" s="33"/>
      <c r="EN97" s="33"/>
      <c r="EO97" s="33"/>
      <c r="EP97" s="33"/>
      <c r="EQ97" s="33"/>
      <c r="ER97" s="33"/>
      <c r="ES97" s="33"/>
      <c r="ET97" s="33"/>
      <c r="EU97" s="33"/>
      <c r="EV97" s="33"/>
      <c r="EW97" s="33"/>
      <c r="EX97" s="33"/>
      <c r="EY97" s="33"/>
      <c r="EZ97" s="33"/>
      <c r="FA97" s="33"/>
      <c r="FB97" s="33"/>
      <c r="FC97" s="33"/>
      <c r="FD97" s="33"/>
      <c r="FE97" s="33"/>
      <c r="FF97" s="33"/>
      <c r="FG97" s="33"/>
      <c r="FH97" s="33"/>
      <c r="FI97" s="33"/>
      <c r="FJ97" s="33"/>
      <c r="FK97" s="33"/>
      <c r="FL97" s="33"/>
      <c r="FM97" s="33"/>
      <c r="FN97" s="33"/>
      <c r="FO97" s="33"/>
      <c r="FP97" s="33"/>
      <c r="FQ97" s="33"/>
      <c r="FR97" s="33"/>
      <c r="FS97" s="33"/>
      <c r="FT97" s="33"/>
      <c r="FU97" s="33"/>
      <c r="FV97" s="33"/>
      <c r="FW97" s="33"/>
      <c r="FX97" s="33"/>
      <c r="FY97" s="33"/>
      <c r="FZ97" s="33"/>
      <c r="GA97" s="33"/>
      <c r="GB97" s="33"/>
      <c r="GC97" s="33"/>
      <c r="GD97" s="33"/>
      <c r="GE97" s="33"/>
      <c r="GF97" s="33"/>
      <c r="GG97" s="33"/>
      <c r="GH97" s="33"/>
      <c r="GI97" s="33"/>
      <c r="GJ97" s="33"/>
      <c r="GK97" s="33"/>
      <c r="GL97" s="33"/>
      <c r="GM97" s="33"/>
      <c r="GN97" s="33"/>
      <c r="GO97" s="33"/>
      <c r="GP97" s="33"/>
      <c r="GQ97" s="33"/>
      <c r="GR97" s="33"/>
      <c r="GS97" s="33"/>
      <c r="GT97" s="33"/>
      <c r="GU97" s="33"/>
      <c r="GV97" s="33"/>
      <c r="GW97" s="33"/>
      <c r="GX97" s="33"/>
      <c r="GY97" s="33"/>
      <c r="GZ97" s="33"/>
      <c r="HA97" s="33"/>
      <c r="HB97" s="33"/>
      <c r="HC97" s="33"/>
      <c r="HD97" s="33"/>
      <c r="HE97" s="33"/>
      <c r="HF97" s="33"/>
      <c r="HG97" s="33"/>
      <c r="HH97" s="33"/>
      <c r="HI97" s="33"/>
      <c r="HJ97" s="33"/>
      <c r="HK97" s="33"/>
      <c r="HL97" s="33"/>
      <c r="HM97" s="33"/>
      <c r="HN97" s="33"/>
      <c r="HO97" s="33"/>
      <c r="HP97" s="33"/>
      <c r="HQ97" s="33"/>
      <c r="HR97" s="33"/>
      <c r="HS97" s="33"/>
      <c r="HT97" s="33"/>
      <c r="HU97" s="33"/>
      <c r="HV97" s="33"/>
      <c r="HW97" s="33"/>
      <c r="HX97" s="33"/>
      <c r="HY97" s="33"/>
      <c r="HZ97" s="33"/>
      <c r="IA97" s="33"/>
      <c r="IB97" s="33"/>
      <c r="IC97" s="33"/>
      <c r="ID97" s="33"/>
      <c r="IE97" s="33"/>
      <c r="IF97" s="33"/>
      <c r="IG97" s="33"/>
      <c r="IH97" s="33"/>
      <c r="II97" s="33"/>
      <c r="IJ97" s="33"/>
      <c r="IK97" s="33"/>
      <c r="IL97" s="33"/>
      <c r="IM97" s="33"/>
      <c r="IN97" s="33"/>
      <c r="IO97" s="33"/>
      <c r="IP97" s="33"/>
      <c r="IQ97" s="33"/>
      <c r="IR97" s="33"/>
      <c r="IS97" s="33"/>
      <c r="IT97" s="33"/>
      <c r="IU97" s="33"/>
      <c r="IV97" s="33"/>
      <c r="IW97" s="33"/>
      <c r="IX97" s="33"/>
      <c r="IY97" s="33"/>
      <c r="IZ97" s="33"/>
      <c r="JA97" s="33"/>
      <c r="JB97" s="33"/>
      <c r="JC97" s="33"/>
      <c r="JD97" s="33"/>
      <c r="JE97" s="33"/>
      <c r="JF97" s="33"/>
      <c r="JG97" s="33"/>
      <c r="JH97" s="33"/>
      <c r="JI97" s="33"/>
      <c r="JJ97" s="33"/>
      <c r="JK97" s="33"/>
      <c r="JL97" s="33"/>
      <c r="JM97" s="33"/>
      <c r="JN97" s="33"/>
      <c r="JO97" s="33"/>
      <c r="JP97" s="33"/>
      <c r="JQ97" s="33"/>
      <c r="JR97" s="33"/>
      <c r="JS97" s="33"/>
      <c r="JT97" s="33"/>
      <c r="JU97" s="33"/>
      <c r="JV97" s="33"/>
      <c r="JW97" s="33"/>
      <c r="JX97" s="33"/>
      <c r="JY97" s="33"/>
      <c r="JZ97" s="33"/>
      <c r="KA97" s="33"/>
      <c r="KB97" s="33"/>
      <c r="KC97" s="33"/>
      <c r="KD97" s="33"/>
      <c r="KE97" s="33"/>
      <c r="KF97" s="33"/>
      <c r="KG97" s="33"/>
      <c r="KH97" s="33"/>
      <c r="KI97" s="33"/>
      <c r="KJ97" s="33"/>
      <c r="KK97" s="33"/>
      <c r="KL97" s="33"/>
      <c r="KM97" s="33"/>
      <c r="KN97" s="33"/>
      <c r="KO97" s="33"/>
      <c r="KP97" s="33"/>
      <c r="KQ97" s="33"/>
      <c r="KR97" s="33"/>
      <c r="KS97" s="33"/>
      <c r="KT97" s="33"/>
      <c r="KU97" s="33"/>
      <c r="KV97" s="33"/>
      <c r="KW97" s="33"/>
      <c r="KX97" s="33"/>
      <c r="KY97" s="33"/>
      <c r="KZ97" s="33"/>
      <c r="LA97" s="33"/>
      <c r="LB97" s="33"/>
      <c r="LC97" s="33"/>
      <c r="LD97" s="33"/>
      <c r="LE97" s="33"/>
      <c r="LF97" s="33"/>
      <c r="LG97" s="33"/>
      <c r="LH97" s="33"/>
      <c r="LI97" s="33"/>
      <c r="LJ97" s="33"/>
      <c r="LK97" s="33"/>
      <c r="LL97" s="33"/>
      <c r="LM97" s="33"/>
      <c r="LN97" s="33"/>
      <c r="LO97" s="33"/>
      <c r="LP97" s="33"/>
      <c r="LQ97" s="33"/>
      <c r="LR97" s="33"/>
      <c r="LS97" s="33"/>
      <c r="LT97" s="33"/>
      <c r="LU97" s="33"/>
      <c r="LV97" s="33"/>
      <c r="LW97" s="33"/>
      <c r="LX97" s="33"/>
      <c r="LY97" s="33"/>
      <c r="LZ97" s="33"/>
      <c r="MA97" s="33"/>
      <c r="MB97" s="33"/>
      <c r="MC97" s="33"/>
      <c r="MD97" s="33"/>
      <c r="ME97" s="33"/>
      <c r="MF97" s="33"/>
      <c r="MG97" s="33"/>
      <c r="MH97" s="33"/>
      <c r="MI97" s="33"/>
      <c r="MJ97" s="33"/>
      <c r="MK97" s="33"/>
      <c r="ML97" s="33"/>
      <c r="MM97" s="33"/>
      <c r="MN97" s="33"/>
      <c r="MO97" s="33"/>
      <c r="MP97" s="33"/>
      <c r="MQ97" s="33"/>
      <c r="MR97" s="33"/>
      <c r="MS97" s="33"/>
      <c r="MT97" s="33"/>
      <c r="MU97" s="33"/>
      <c r="MV97" s="33"/>
    </row>
    <row r="98" spans="1:360" ht="0.75" customHeight="1" x14ac:dyDescent="0.25">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c r="BZ98" s="33"/>
      <c r="CA98" s="33"/>
      <c r="CB98" s="33"/>
      <c r="CC98" s="33"/>
      <c r="CD98" s="33"/>
      <c r="CE98" s="33"/>
      <c r="CF98" s="33"/>
      <c r="CG98" s="33"/>
      <c r="CH98" s="33"/>
      <c r="CI98" s="33"/>
      <c r="CJ98" s="33"/>
      <c r="CK98" s="33"/>
      <c r="CL98" s="33"/>
      <c r="CM98" s="33"/>
      <c r="CN98" s="33"/>
      <c r="CO98" s="33"/>
      <c r="CP98" s="33"/>
      <c r="CQ98" s="33"/>
      <c r="CR98" s="33"/>
      <c r="CS98" s="33"/>
      <c r="CT98" s="33"/>
      <c r="CU98" s="33"/>
      <c r="CV98" s="33"/>
      <c r="CW98" s="33"/>
      <c r="CX98" s="33"/>
      <c r="CY98" s="33"/>
      <c r="CZ98" s="33"/>
      <c r="DA98" s="33"/>
      <c r="DB98" s="33"/>
      <c r="DC98" s="33"/>
      <c r="DD98" s="33"/>
      <c r="DE98" s="33"/>
      <c r="DF98" s="33"/>
      <c r="DG98" s="33"/>
      <c r="DH98" s="33"/>
      <c r="DI98" s="33"/>
      <c r="DJ98" s="33"/>
      <c r="DK98" s="33"/>
      <c r="DL98" s="33"/>
      <c r="DM98" s="33"/>
      <c r="DN98" s="33"/>
      <c r="DO98" s="33"/>
      <c r="DP98" s="33"/>
      <c r="DQ98" s="33"/>
      <c r="DR98" s="33"/>
      <c r="DS98" s="33"/>
      <c r="DT98" s="33"/>
      <c r="DU98" s="33"/>
      <c r="DV98" s="33"/>
      <c r="DW98" s="33"/>
      <c r="DX98" s="33"/>
      <c r="DY98" s="33"/>
      <c r="DZ98" s="33"/>
      <c r="EA98" s="33"/>
      <c r="EB98" s="33"/>
      <c r="EC98" s="33"/>
      <c r="ED98" s="33"/>
      <c r="EE98" s="33"/>
      <c r="EF98" s="33"/>
      <c r="EG98" s="33"/>
      <c r="EH98" s="33"/>
      <c r="EI98" s="33"/>
      <c r="EJ98" s="33"/>
      <c r="EK98" s="33"/>
      <c r="EL98" s="33"/>
      <c r="EM98" s="33"/>
      <c r="EN98" s="33"/>
      <c r="EO98" s="33"/>
      <c r="EP98" s="33"/>
      <c r="EQ98" s="33"/>
      <c r="ER98" s="33"/>
      <c r="ES98" s="33"/>
      <c r="ET98" s="33"/>
      <c r="EU98" s="33"/>
      <c r="EV98" s="33"/>
      <c r="EW98" s="33"/>
      <c r="EX98" s="33"/>
      <c r="EY98" s="33"/>
      <c r="EZ98" s="33"/>
      <c r="FA98" s="33"/>
      <c r="FB98" s="33"/>
      <c r="FC98" s="33"/>
      <c r="FD98" s="33"/>
      <c r="FE98" s="33"/>
      <c r="FF98" s="33"/>
      <c r="FG98" s="33"/>
      <c r="FH98" s="33"/>
      <c r="FI98" s="33"/>
      <c r="FJ98" s="33"/>
      <c r="FK98" s="33"/>
      <c r="FL98" s="33"/>
      <c r="FM98" s="33"/>
      <c r="FN98" s="33"/>
      <c r="FO98" s="33"/>
      <c r="FP98" s="33"/>
      <c r="FQ98" s="33"/>
      <c r="FR98" s="33"/>
      <c r="FS98" s="33"/>
      <c r="FT98" s="33"/>
      <c r="FU98" s="33"/>
      <c r="FV98" s="33"/>
      <c r="FW98" s="33"/>
      <c r="FX98" s="33"/>
      <c r="FY98" s="33"/>
      <c r="FZ98" s="33"/>
      <c r="GA98" s="33"/>
      <c r="GB98" s="33"/>
      <c r="GC98" s="33"/>
      <c r="GD98" s="33"/>
      <c r="GE98" s="33"/>
      <c r="GF98" s="33"/>
      <c r="GG98" s="33"/>
      <c r="GH98" s="33"/>
      <c r="GI98" s="33"/>
      <c r="GJ98" s="33"/>
      <c r="GK98" s="33"/>
      <c r="GL98" s="33"/>
      <c r="GM98" s="33"/>
      <c r="GN98" s="33"/>
      <c r="GO98" s="33"/>
      <c r="GP98" s="33"/>
      <c r="GQ98" s="33"/>
      <c r="GR98" s="33"/>
      <c r="GS98" s="33"/>
      <c r="GT98" s="33"/>
      <c r="GU98" s="33"/>
      <c r="GV98" s="33"/>
      <c r="GW98" s="33"/>
      <c r="GX98" s="33"/>
      <c r="GY98" s="33"/>
      <c r="GZ98" s="33"/>
      <c r="HA98" s="33"/>
      <c r="HB98" s="33"/>
      <c r="HC98" s="33"/>
      <c r="HD98" s="33"/>
      <c r="HE98" s="33"/>
      <c r="HF98" s="33"/>
      <c r="HG98" s="33"/>
      <c r="HH98" s="33"/>
      <c r="HI98" s="33"/>
      <c r="HJ98" s="33"/>
      <c r="HK98" s="33"/>
      <c r="HL98" s="33"/>
      <c r="HM98" s="33"/>
      <c r="HN98" s="33"/>
      <c r="HO98" s="33"/>
      <c r="HP98" s="33"/>
      <c r="HQ98" s="33"/>
      <c r="HR98" s="33"/>
      <c r="HS98" s="33"/>
      <c r="HT98" s="33"/>
      <c r="HU98" s="33"/>
      <c r="HV98" s="33"/>
      <c r="HW98" s="33"/>
      <c r="HX98" s="33"/>
      <c r="HY98" s="33"/>
      <c r="HZ98" s="33"/>
      <c r="IA98" s="33"/>
      <c r="IB98" s="33"/>
      <c r="IC98" s="33"/>
      <c r="ID98" s="33"/>
      <c r="IE98" s="33"/>
      <c r="IF98" s="33"/>
      <c r="IG98" s="33"/>
      <c r="IH98" s="33"/>
      <c r="II98" s="33"/>
      <c r="IJ98" s="33"/>
      <c r="IK98" s="33"/>
      <c r="IL98" s="33"/>
      <c r="IM98" s="33"/>
      <c r="IN98" s="33"/>
      <c r="IO98" s="33"/>
      <c r="IP98" s="33"/>
      <c r="IQ98" s="33"/>
      <c r="IR98" s="33"/>
      <c r="IS98" s="33"/>
      <c r="IT98" s="33"/>
      <c r="IU98" s="33"/>
      <c r="IV98" s="33"/>
      <c r="IW98" s="33"/>
      <c r="IX98" s="33"/>
      <c r="IY98" s="33"/>
      <c r="IZ98" s="33"/>
      <c r="JA98" s="33"/>
      <c r="JB98" s="33"/>
      <c r="JC98" s="33"/>
      <c r="JD98" s="33"/>
      <c r="JE98" s="33"/>
      <c r="JF98" s="33"/>
      <c r="JG98" s="33"/>
      <c r="JH98" s="33"/>
      <c r="JI98" s="33"/>
      <c r="JJ98" s="33"/>
      <c r="JK98" s="33"/>
      <c r="JL98" s="33"/>
      <c r="JM98" s="33"/>
      <c r="JN98" s="33"/>
      <c r="JO98" s="33"/>
      <c r="JP98" s="33"/>
      <c r="JQ98" s="33"/>
      <c r="JR98" s="33"/>
      <c r="JS98" s="33"/>
      <c r="JT98" s="33"/>
      <c r="JU98" s="33"/>
      <c r="JV98" s="33"/>
      <c r="JW98" s="33"/>
      <c r="JX98" s="33"/>
      <c r="JY98" s="33"/>
      <c r="JZ98" s="33"/>
      <c r="KA98" s="33"/>
      <c r="KB98" s="33"/>
      <c r="KC98" s="33"/>
      <c r="KD98" s="33"/>
      <c r="KE98" s="33"/>
      <c r="KF98" s="33"/>
      <c r="KG98" s="33"/>
      <c r="KH98" s="33"/>
      <c r="KI98" s="33"/>
      <c r="KJ98" s="33"/>
      <c r="KK98" s="33"/>
      <c r="KL98" s="33"/>
      <c r="KM98" s="33"/>
      <c r="KN98" s="33"/>
      <c r="KO98" s="33"/>
      <c r="KP98" s="33"/>
      <c r="KQ98" s="33"/>
      <c r="KR98" s="33"/>
      <c r="KS98" s="33"/>
      <c r="KT98" s="33"/>
      <c r="KU98" s="33"/>
      <c r="KV98" s="33"/>
      <c r="KW98" s="33"/>
      <c r="KX98" s="33"/>
      <c r="KY98" s="33"/>
      <c r="KZ98" s="33"/>
      <c r="LA98" s="33"/>
      <c r="LB98" s="33"/>
      <c r="LC98" s="33"/>
      <c r="LD98" s="33"/>
      <c r="LE98" s="33"/>
      <c r="LF98" s="33"/>
      <c r="LG98" s="33"/>
      <c r="LH98" s="33"/>
      <c r="LI98" s="33"/>
      <c r="LJ98" s="33"/>
      <c r="LK98" s="33"/>
      <c r="LL98" s="33"/>
      <c r="LM98" s="33"/>
      <c r="LN98" s="33"/>
      <c r="LO98" s="33"/>
      <c r="LP98" s="33"/>
      <c r="LQ98" s="33"/>
      <c r="LR98" s="33"/>
      <c r="LS98" s="33"/>
      <c r="LT98" s="33"/>
      <c r="LU98" s="33"/>
      <c r="LV98" s="33"/>
      <c r="LW98" s="33"/>
      <c r="LX98" s="33"/>
      <c r="LY98" s="33"/>
      <c r="LZ98" s="33"/>
      <c r="MA98" s="33"/>
      <c r="MB98" s="33"/>
      <c r="MC98" s="33"/>
      <c r="MD98" s="33"/>
      <c r="ME98" s="33"/>
      <c r="MF98" s="33"/>
      <c r="MG98" s="33"/>
      <c r="MH98" s="33"/>
      <c r="MI98" s="33"/>
      <c r="MJ98" s="33"/>
      <c r="MK98" s="33"/>
      <c r="ML98" s="33"/>
      <c r="MM98" s="33"/>
      <c r="MN98" s="33"/>
      <c r="MO98" s="33"/>
      <c r="MP98" s="33"/>
      <c r="MQ98" s="33"/>
      <c r="MR98" s="33"/>
      <c r="MS98" s="33"/>
      <c r="MT98" s="33"/>
      <c r="MU98" s="33"/>
      <c r="MV98" s="33"/>
    </row>
    <row r="99" spans="1:360" ht="0.75" customHeight="1" x14ac:dyDescent="0.25">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33"/>
      <c r="CA99" s="33"/>
      <c r="CB99" s="33"/>
      <c r="CC99" s="33"/>
      <c r="CD99" s="33"/>
      <c r="CE99" s="33"/>
      <c r="CF99" s="33"/>
      <c r="CG99" s="33"/>
      <c r="CH99" s="33"/>
      <c r="CI99" s="33"/>
      <c r="CJ99" s="33"/>
      <c r="CK99" s="33"/>
      <c r="CL99" s="33"/>
      <c r="CM99" s="33"/>
      <c r="CN99" s="33"/>
      <c r="CO99" s="33"/>
      <c r="CP99" s="33"/>
      <c r="CQ99" s="33"/>
      <c r="CR99" s="33"/>
      <c r="CS99" s="33"/>
      <c r="CT99" s="33"/>
      <c r="CU99" s="33"/>
      <c r="CV99" s="33"/>
      <c r="CW99" s="33"/>
      <c r="CX99" s="33"/>
      <c r="CY99" s="33"/>
      <c r="CZ99" s="33"/>
      <c r="DA99" s="33"/>
      <c r="DB99" s="33"/>
      <c r="DC99" s="33"/>
      <c r="DD99" s="33"/>
      <c r="DE99" s="33"/>
      <c r="DF99" s="33"/>
      <c r="DG99" s="33"/>
      <c r="DH99" s="33"/>
      <c r="DI99" s="33"/>
      <c r="DJ99" s="33"/>
      <c r="DK99" s="33"/>
      <c r="DL99" s="33"/>
      <c r="DM99" s="33"/>
      <c r="DN99" s="33"/>
      <c r="DO99" s="33"/>
      <c r="DP99" s="33"/>
      <c r="DQ99" s="33"/>
      <c r="DR99" s="33"/>
      <c r="DS99" s="33"/>
      <c r="DT99" s="33"/>
      <c r="DU99" s="33"/>
      <c r="DV99" s="33"/>
      <c r="DW99" s="33"/>
      <c r="DX99" s="33"/>
      <c r="DY99" s="33"/>
      <c r="DZ99" s="33"/>
      <c r="EA99" s="33"/>
      <c r="EB99" s="33"/>
      <c r="EC99" s="33"/>
      <c r="ED99" s="33"/>
      <c r="EE99" s="33"/>
      <c r="EF99" s="33"/>
      <c r="EG99" s="33"/>
      <c r="EH99" s="33"/>
      <c r="EI99" s="33"/>
      <c r="EJ99" s="33"/>
      <c r="EK99" s="33"/>
      <c r="EL99" s="33"/>
      <c r="EM99" s="33"/>
      <c r="EN99" s="33"/>
      <c r="EO99" s="33"/>
      <c r="EP99" s="33"/>
      <c r="EQ99" s="33"/>
      <c r="ER99" s="33"/>
      <c r="ES99" s="33"/>
      <c r="ET99" s="33"/>
      <c r="EU99" s="33"/>
      <c r="EV99" s="33"/>
      <c r="EW99" s="33"/>
      <c r="EX99" s="33"/>
      <c r="EY99" s="33"/>
      <c r="EZ99" s="33"/>
      <c r="FA99" s="33"/>
      <c r="FB99" s="33"/>
      <c r="FC99" s="33"/>
      <c r="FD99" s="33"/>
      <c r="FE99" s="33"/>
      <c r="FF99" s="33"/>
      <c r="FG99" s="33"/>
      <c r="FH99" s="33"/>
      <c r="FI99" s="33"/>
      <c r="FJ99" s="33"/>
      <c r="FK99" s="33"/>
      <c r="FL99" s="33"/>
      <c r="FM99" s="33"/>
      <c r="FN99" s="33"/>
      <c r="FO99" s="33"/>
      <c r="FP99" s="33"/>
      <c r="FQ99" s="33"/>
      <c r="FR99" s="33"/>
      <c r="FS99" s="33"/>
      <c r="FT99" s="33"/>
      <c r="FU99" s="33"/>
      <c r="FV99" s="33"/>
      <c r="FW99" s="33"/>
      <c r="FX99" s="33"/>
      <c r="FY99" s="33"/>
      <c r="FZ99" s="33"/>
      <c r="GA99" s="33"/>
      <c r="GB99" s="33"/>
      <c r="GC99" s="33"/>
      <c r="GD99" s="33"/>
      <c r="GE99" s="33"/>
      <c r="GF99" s="33"/>
      <c r="GG99" s="33"/>
      <c r="GH99" s="33"/>
      <c r="GI99" s="33"/>
      <c r="GJ99" s="33"/>
      <c r="GK99" s="33"/>
      <c r="GL99" s="33"/>
      <c r="GM99" s="33"/>
      <c r="GN99" s="33"/>
      <c r="GO99" s="33"/>
      <c r="GP99" s="33"/>
      <c r="GQ99" s="33"/>
      <c r="GR99" s="33"/>
      <c r="GS99" s="33"/>
      <c r="GT99" s="33"/>
      <c r="GU99" s="33"/>
      <c r="GV99" s="33"/>
      <c r="GW99" s="33"/>
      <c r="GX99" s="33"/>
      <c r="GY99" s="33"/>
      <c r="GZ99" s="33"/>
      <c r="HA99" s="33"/>
      <c r="HB99" s="33"/>
      <c r="HC99" s="33"/>
      <c r="HD99" s="33"/>
      <c r="HE99" s="33"/>
      <c r="HF99" s="33"/>
      <c r="HG99" s="33"/>
      <c r="HH99" s="33"/>
      <c r="HI99" s="33"/>
      <c r="HJ99" s="33"/>
      <c r="HK99" s="33"/>
      <c r="HL99" s="33"/>
      <c r="HM99" s="33"/>
      <c r="HN99" s="33"/>
      <c r="HO99" s="33"/>
      <c r="HP99" s="33"/>
      <c r="HQ99" s="33"/>
      <c r="HR99" s="33"/>
      <c r="HS99" s="33"/>
      <c r="HT99" s="33"/>
      <c r="HU99" s="33"/>
      <c r="HV99" s="33"/>
      <c r="HW99" s="33"/>
      <c r="HX99" s="33"/>
      <c r="HY99" s="33"/>
      <c r="HZ99" s="33"/>
      <c r="IA99" s="33"/>
      <c r="IB99" s="33"/>
      <c r="IC99" s="33"/>
      <c r="ID99" s="33"/>
      <c r="IE99" s="33"/>
      <c r="IF99" s="33"/>
      <c r="IG99" s="33"/>
      <c r="IH99" s="33"/>
      <c r="II99" s="33"/>
      <c r="IJ99" s="33"/>
      <c r="IK99" s="33"/>
      <c r="IL99" s="33"/>
      <c r="IM99" s="33"/>
      <c r="IN99" s="33"/>
      <c r="IO99" s="33"/>
      <c r="IP99" s="33"/>
      <c r="IQ99" s="33"/>
      <c r="IR99" s="33"/>
      <c r="IS99" s="33"/>
      <c r="IT99" s="33"/>
      <c r="IU99" s="33"/>
      <c r="IV99" s="33"/>
      <c r="IW99" s="33"/>
      <c r="IX99" s="33"/>
      <c r="IY99" s="33"/>
      <c r="IZ99" s="33"/>
      <c r="JA99" s="33"/>
      <c r="JB99" s="33"/>
      <c r="JC99" s="33"/>
      <c r="JD99" s="33"/>
      <c r="JE99" s="33"/>
      <c r="JF99" s="33"/>
      <c r="JG99" s="33"/>
      <c r="JH99" s="33"/>
      <c r="JI99" s="33"/>
      <c r="JJ99" s="33"/>
      <c r="JK99" s="33"/>
      <c r="JL99" s="33"/>
      <c r="JM99" s="33"/>
      <c r="JN99" s="33"/>
      <c r="JO99" s="33"/>
      <c r="JP99" s="33"/>
      <c r="JQ99" s="33"/>
      <c r="JR99" s="33"/>
      <c r="JS99" s="33"/>
      <c r="JT99" s="33"/>
      <c r="JU99" s="33"/>
      <c r="JV99" s="33"/>
      <c r="JW99" s="33"/>
      <c r="JX99" s="33"/>
      <c r="JY99" s="33"/>
      <c r="JZ99" s="33"/>
      <c r="KA99" s="33"/>
      <c r="KB99" s="33"/>
      <c r="KC99" s="33"/>
      <c r="KD99" s="33"/>
      <c r="KE99" s="33"/>
      <c r="KF99" s="33"/>
      <c r="KG99" s="33"/>
      <c r="KH99" s="33"/>
      <c r="KI99" s="33"/>
      <c r="KJ99" s="33"/>
      <c r="KK99" s="33"/>
      <c r="KL99" s="33"/>
      <c r="KM99" s="33"/>
      <c r="KN99" s="33"/>
      <c r="KO99" s="33"/>
      <c r="KP99" s="33"/>
      <c r="KQ99" s="33"/>
      <c r="KR99" s="33"/>
      <c r="KS99" s="33"/>
      <c r="KT99" s="33"/>
      <c r="KU99" s="33"/>
      <c r="KV99" s="33"/>
      <c r="KW99" s="33"/>
      <c r="KX99" s="33"/>
      <c r="KY99" s="33"/>
      <c r="KZ99" s="33"/>
      <c r="LA99" s="33"/>
      <c r="LB99" s="33"/>
      <c r="LC99" s="33"/>
      <c r="LD99" s="33"/>
      <c r="LE99" s="33"/>
      <c r="LF99" s="33"/>
      <c r="LG99" s="33"/>
      <c r="LH99" s="33"/>
      <c r="LI99" s="33"/>
      <c r="LJ99" s="33"/>
      <c r="LK99" s="33"/>
      <c r="LL99" s="33"/>
      <c r="LM99" s="33"/>
      <c r="LN99" s="33"/>
      <c r="LO99" s="33"/>
      <c r="LP99" s="33"/>
      <c r="LQ99" s="33"/>
      <c r="LR99" s="33"/>
      <c r="LS99" s="33"/>
      <c r="LT99" s="33"/>
      <c r="LU99" s="33"/>
      <c r="LV99" s="33"/>
      <c r="LW99" s="33"/>
      <c r="LX99" s="33"/>
      <c r="LY99" s="33"/>
      <c r="LZ99" s="33"/>
      <c r="MA99" s="33"/>
      <c r="MB99" s="33"/>
      <c r="MC99" s="33"/>
      <c r="MD99" s="33"/>
      <c r="ME99" s="33"/>
      <c r="MF99" s="33"/>
      <c r="MG99" s="33"/>
      <c r="MH99" s="33"/>
      <c r="MI99" s="33"/>
      <c r="MJ99" s="33"/>
      <c r="MK99" s="33"/>
      <c r="ML99" s="33"/>
      <c r="MM99" s="33"/>
      <c r="MN99" s="33"/>
      <c r="MO99" s="33"/>
      <c r="MP99" s="33"/>
      <c r="MQ99" s="33"/>
      <c r="MR99" s="33"/>
      <c r="MS99" s="33"/>
      <c r="MT99" s="33"/>
      <c r="MU99" s="33"/>
      <c r="MV99" s="33"/>
    </row>
    <row r="100" spans="1:360" ht="0.75" customHeight="1" x14ac:dyDescent="0.25">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33"/>
      <c r="CA100" s="33"/>
      <c r="CB100" s="33"/>
      <c r="CC100" s="33"/>
      <c r="CD100" s="33"/>
      <c r="CE100" s="33"/>
      <c r="CF100" s="33"/>
      <c r="CG100" s="33"/>
      <c r="CH100" s="33"/>
      <c r="CI100" s="33"/>
      <c r="CJ100" s="33"/>
      <c r="CK100" s="33"/>
      <c r="CL100" s="33"/>
      <c r="CM100" s="33"/>
      <c r="CN100" s="33"/>
      <c r="CO100" s="33"/>
      <c r="CP100" s="33"/>
      <c r="CQ100" s="33"/>
      <c r="CR100" s="33"/>
      <c r="CS100" s="33"/>
      <c r="CT100" s="33"/>
      <c r="CU100" s="33"/>
      <c r="CV100" s="33"/>
      <c r="CW100" s="33"/>
      <c r="CX100" s="33"/>
      <c r="CY100" s="33"/>
      <c r="CZ100" s="33"/>
      <c r="DA100" s="33"/>
      <c r="DB100" s="33"/>
      <c r="DC100" s="33"/>
      <c r="DD100" s="33"/>
      <c r="DE100" s="33"/>
      <c r="DF100" s="33"/>
      <c r="DG100" s="33"/>
      <c r="DH100" s="33"/>
      <c r="DI100" s="33"/>
      <c r="DJ100" s="33"/>
      <c r="DK100" s="33"/>
      <c r="DL100" s="33"/>
      <c r="DM100" s="33"/>
      <c r="DN100" s="33"/>
      <c r="DO100" s="33"/>
      <c r="DP100" s="33"/>
      <c r="DQ100" s="33"/>
      <c r="DR100" s="33"/>
      <c r="DS100" s="33"/>
      <c r="DT100" s="33"/>
      <c r="DU100" s="33"/>
      <c r="DV100" s="33"/>
      <c r="DW100" s="33"/>
      <c r="DX100" s="33"/>
      <c r="DY100" s="33"/>
      <c r="DZ100" s="33"/>
      <c r="EA100" s="33"/>
      <c r="EB100" s="33"/>
      <c r="EC100" s="33"/>
      <c r="ED100" s="33"/>
      <c r="EE100" s="33"/>
      <c r="EF100" s="33"/>
      <c r="EG100" s="33"/>
      <c r="EH100" s="33"/>
      <c r="EI100" s="33"/>
      <c r="EJ100" s="33"/>
      <c r="EK100" s="33"/>
      <c r="EL100" s="33"/>
      <c r="EM100" s="33"/>
      <c r="EN100" s="33"/>
      <c r="EO100" s="33"/>
      <c r="EP100" s="33"/>
      <c r="EQ100" s="33"/>
      <c r="ER100" s="33"/>
      <c r="ES100" s="33"/>
      <c r="ET100" s="33"/>
      <c r="EU100" s="33"/>
      <c r="EV100" s="33"/>
      <c r="EW100" s="33"/>
      <c r="EX100" s="33"/>
      <c r="EY100" s="33"/>
      <c r="EZ100" s="33"/>
      <c r="FA100" s="33"/>
      <c r="FB100" s="33"/>
      <c r="FC100" s="33"/>
      <c r="FD100" s="33"/>
      <c r="FE100" s="33"/>
      <c r="FF100" s="33"/>
      <c r="FG100" s="33"/>
      <c r="FH100" s="33"/>
      <c r="FI100" s="33"/>
      <c r="FJ100" s="33"/>
      <c r="FK100" s="33"/>
      <c r="FL100" s="33"/>
      <c r="FM100" s="33"/>
      <c r="FN100" s="33"/>
      <c r="FO100" s="33"/>
      <c r="FP100" s="33"/>
      <c r="FQ100" s="33"/>
      <c r="FR100" s="33"/>
      <c r="FS100" s="33"/>
      <c r="FT100" s="33"/>
      <c r="FU100" s="33"/>
      <c r="FV100" s="33"/>
      <c r="FW100" s="33"/>
      <c r="FX100" s="33"/>
      <c r="FY100" s="33"/>
      <c r="FZ100" s="33"/>
      <c r="GA100" s="33"/>
      <c r="GB100" s="33"/>
      <c r="GC100" s="33"/>
      <c r="GD100" s="33"/>
      <c r="GE100" s="33"/>
      <c r="GF100" s="33"/>
      <c r="GG100" s="33"/>
      <c r="GH100" s="33"/>
      <c r="GI100" s="33"/>
      <c r="GJ100" s="33"/>
      <c r="GK100" s="33"/>
      <c r="GL100" s="33"/>
      <c r="GM100" s="33"/>
      <c r="GN100" s="33"/>
      <c r="GO100" s="33"/>
      <c r="GP100" s="33"/>
      <c r="GQ100" s="33"/>
      <c r="GR100" s="33"/>
      <c r="GS100" s="33"/>
      <c r="GT100" s="33"/>
      <c r="GU100" s="33"/>
      <c r="GV100" s="33"/>
      <c r="GW100" s="33"/>
      <c r="GX100" s="33"/>
      <c r="GY100" s="33"/>
      <c r="GZ100" s="33"/>
      <c r="HA100" s="33"/>
      <c r="HB100" s="33"/>
      <c r="HC100" s="33"/>
      <c r="HD100" s="33"/>
      <c r="HE100" s="33"/>
      <c r="HF100" s="33"/>
      <c r="HG100" s="33"/>
      <c r="HH100" s="33"/>
      <c r="HI100" s="33"/>
      <c r="HJ100" s="33"/>
      <c r="HK100" s="33"/>
      <c r="HL100" s="33"/>
      <c r="HM100" s="33"/>
      <c r="HN100" s="33"/>
      <c r="HO100" s="33"/>
      <c r="HP100" s="33"/>
      <c r="HQ100" s="33"/>
      <c r="HR100" s="33"/>
      <c r="HS100" s="33"/>
      <c r="HT100" s="33"/>
      <c r="HU100" s="33"/>
      <c r="HV100" s="33"/>
      <c r="HW100" s="33"/>
      <c r="HX100" s="33"/>
      <c r="HY100" s="33"/>
      <c r="HZ100" s="33"/>
      <c r="IA100" s="33"/>
      <c r="IB100" s="33"/>
      <c r="IC100" s="33"/>
      <c r="ID100" s="33"/>
      <c r="IE100" s="33"/>
      <c r="IF100" s="33"/>
      <c r="IG100" s="33"/>
      <c r="IH100" s="33"/>
      <c r="II100" s="33"/>
      <c r="IJ100" s="33"/>
      <c r="IK100" s="33"/>
      <c r="IL100" s="33"/>
      <c r="IM100" s="33"/>
      <c r="IN100" s="33"/>
      <c r="IO100" s="33"/>
      <c r="IP100" s="33"/>
      <c r="IQ100" s="33"/>
      <c r="IR100" s="33"/>
      <c r="IS100" s="33"/>
      <c r="IT100" s="33"/>
      <c r="IU100" s="33"/>
      <c r="IV100" s="33"/>
      <c r="IW100" s="33"/>
      <c r="IX100" s="33"/>
      <c r="IY100" s="33"/>
      <c r="IZ100" s="33"/>
      <c r="JA100" s="33"/>
      <c r="JB100" s="33"/>
      <c r="JC100" s="33"/>
      <c r="JD100" s="33"/>
      <c r="JE100" s="33"/>
      <c r="JF100" s="33"/>
      <c r="JG100" s="33"/>
      <c r="JH100" s="33"/>
      <c r="JI100" s="33"/>
      <c r="JJ100" s="33"/>
      <c r="JK100" s="33"/>
      <c r="JL100" s="33"/>
      <c r="JM100" s="33"/>
      <c r="JN100" s="33"/>
      <c r="JO100" s="33"/>
      <c r="JP100" s="33"/>
      <c r="JQ100" s="33"/>
      <c r="JR100" s="33"/>
      <c r="JS100" s="33"/>
      <c r="JT100" s="33"/>
      <c r="JU100" s="33"/>
      <c r="JV100" s="33"/>
      <c r="JW100" s="33"/>
      <c r="JX100" s="33"/>
      <c r="JY100" s="33"/>
      <c r="JZ100" s="33"/>
      <c r="KA100" s="33"/>
      <c r="KB100" s="33"/>
      <c r="KC100" s="33"/>
      <c r="KD100" s="33"/>
      <c r="KE100" s="33"/>
      <c r="KF100" s="33"/>
      <c r="KG100" s="33"/>
      <c r="KH100" s="33"/>
      <c r="KI100" s="33"/>
      <c r="KJ100" s="33"/>
      <c r="KK100" s="33"/>
      <c r="KL100" s="33"/>
      <c r="KM100" s="33"/>
      <c r="KN100" s="33"/>
      <c r="KO100" s="33"/>
      <c r="KP100" s="33"/>
      <c r="KQ100" s="33"/>
      <c r="KR100" s="33"/>
      <c r="KS100" s="33"/>
      <c r="KT100" s="33"/>
      <c r="KU100" s="33"/>
      <c r="KV100" s="33"/>
      <c r="KW100" s="33"/>
      <c r="KX100" s="33"/>
      <c r="KY100" s="33"/>
      <c r="KZ100" s="33"/>
      <c r="LA100" s="33"/>
      <c r="LB100" s="33"/>
      <c r="LC100" s="33"/>
      <c r="LD100" s="33"/>
      <c r="LE100" s="33"/>
      <c r="LF100" s="33"/>
      <c r="LG100" s="33"/>
      <c r="LH100" s="33"/>
      <c r="LI100" s="33"/>
      <c r="LJ100" s="33"/>
      <c r="LK100" s="33"/>
      <c r="LL100" s="33"/>
      <c r="LM100" s="33"/>
      <c r="LN100" s="33"/>
      <c r="LO100" s="33"/>
      <c r="LP100" s="33"/>
      <c r="LQ100" s="33"/>
      <c r="LR100" s="33"/>
      <c r="LS100" s="33"/>
      <c r="LT100" s="33"/>
      <c r="LU100" s="33"/>
      <c r="LV100" s="33"/>
      <c r="LW100" s="33"/>
      <c r="LX100" s="33"/>
      <c r="LY100" s="33"/>
      <c r="LZ100" s="33"/>
      <c r="MA100" s="33"/>
      <c r="MB100" s="33"/>
      <c r="MC100" s="33"/>
      <c r="MD100" s="33"/>
      <c r="ME100" s="33"/>
      <c r="MF100" s="33"/>
      <c r="MG100" s="33"/>
      <c r="MH100" s="33"/>
      <c r="MI100" s="33"/>
      <c r="MJ100" s="33"/>
      <c r="MK100" s="33"/>
      <c r="ML100" s="33"/>
      <c r="MM100" s="33"/>
      <c r="MN100" s="33"/>
      <c r="MO100" s="33"/>
      <c r="MP100" s="33"/>
      <c r="MQ100" s="33"/>
      <c r="MR100" s="33"/>
      <c r="MS100" s="33"/>
      <c r="MT100" s="33"/>
      <c r="MU100" s="33"/>
      <c r="MV100" s="33"/>
    </row>
    <row r="101" spans="1:360" ht="0.75" customHeight="1" x14ac:dyDescent="0.25">
      <c r="A101" s="33"/>
      <c r="B101" s="33"/>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33"/>
      <c r="CA101" s="33"/>
      <c r="CB101" s="33"/>
      <c r="CC101" s="33"/>
      <c r="CD101" s="33"/>
      <c r="CE101" s="33"/>
      <c r="CF101" s="33"/>
      <c r="CG101" s="33"/>
      <c r="CH101" s="33"/>
      <c r="CI101" s="33"/>
      <c r="CJ101" s="33"/>
      <c r="CK101" s="33"/>
      <c r="CL101" s="33"/>
      <c r="CM101" s="33"/>
      <c r="CN101" s="33"/>
      <c r="CO101" s="33"/>
      <c r="CP101" s="33"/>
      <c r="CQ101" s="33"/>
      <c r="CR101" s="33"/>
      <c r="CS101" s="33"/>
      <c r="CT101" s="33"/>
      <c r="CU101" s="33"/>
      <c r="CV101" s="33"/>
      <c r="CW101" s="33"/>
      <c r="CX101" s="33"/>
      <c r="CY101" s="33"/>
      <c r="CZ101" s="33"/>
      <c r="DA101" s="33"/>
      <c r="DB101" s="33"/>
      <c r="DC101" s="33"/>
      <c r="DD101" s="33"/>
      <c r="DE101" s="33"/>
      <c r="DF101" s="33"/>
      <c r="DG101" s="33"/>
      <c r="DH101" s="33"/>
      <c r="DI101" s="33"/>
      <c r="DJ101" s="33"/>
      <c r="DK101" s="33"/>
      <c r="DL101" s="33"/>
      <c r="DM101" s="33"/>
      <c r="DN101" s="33"/>
      <c r="DO101" s="33"/>
      <c r="DP101" s="33"/>
      <c r="DQ101" s="33"/>
      <c r="DR101" s="33"/>
      <c r="DS101" s="33"/>
      <c r="DT101" s="33"/>
      <c r="DU101" s="33"/>
      <c r="DV101" s="33"/>
      <c r="DW101" s="33"/>
      <c r="DX101" s="33"/>
      <c r="DY101" s="33"/>
      <c r="DZ101" s="33"/>
      <c r="EA101" s="33"/>
      <c r="EB101" s="33"/>
      <c r="EC101" s="33"/>
      <c r="ED101" s="33"/>
      <c r="EE101" s="33"/>
      <c r="EF101" s="33"/>
      <c r="EG101" s="33"/>
      <c r="EH101" s="33"/>
      <c r="EI101" s="33"/>
      <c r="EJ101" s="33"/>
      <c r="EK101" s="33"/>
      <c r="EL101" s="33"/>
      <c r="EM101" s="33"/>
      <c r="EN101" s="33"/>
      <c r="EO101" s="33"/>
      <c r="EP101" s="33"/>
      <c r="EQ101" s="33"/>
      <c r="ER101" s="33"/>
      <c r="ES101" s="33"/>
      <c r="ET101" s="33"/>
      <c r="EU101" s="33"/>
      <c r="EV101" s="33"/>
      <c r="EW101" s="33"/>
      <c r="EX101" s="33"/>
      <c r="EY101" s="33"/>
      <c r="EZ101" s="33"/>
      <c r="FA101" s="33"/>
      <c r="FB101" s="33"/>
      <c r="FC101" s="33"/>
      <c r="FD101" s="33"/>
      <c r="FE101" s="33"/>
      <c r="FF101" s="33"/>
      <c r="FG101" s="33"/>
      <c r="FH101" s="33"/>
      <c r="FI101" s="33"/>
      <c r="FJ101" s="33"/>
      <c r="FK101" s="33"/>
      <c r="FL101" s="33"/>
      <c r="FM101" s="33"/>
      <c r="FN101" s="33"/>
      <c r="FO101" s="33"/>
      <c r="FP101" s="33"/>
      <c r="FQ101" s="33"/>
      <c r="FR101" s="33"/>
      <c r="FS101" s="33"/>
      <c r="FT101" s="33"/>
      <c r="FU101" s="33"/>
      <c r="FV101" s="33"/>
      <c r="FW101" s="33"/>
      <c r="FX101" s="33"/>
      <c r="FY101" s="33"/>
      <c r="FZ101" s="33"/>
      <c r="GA101" s="33"/>
      <c r="GB101" s="33"/>
      <c r="GC101" s="33"/>
      <c r="GD101" s="33"/>
      <c r="GE101" s="33"/>
      <c r="GF101" s="33"/>
      <c r="GG101" s="33"/>
      <c r="GH101" s="33"/>
      <c r="GI101" s="33"/>
      <c r="GJ101" s="33"/>
      <c r="GK101" s="33"/>
      <c r="GL101" s="33"/>
      <c r="GM101" s="33"/>
      <c r="GN101" s="33"/>
      <c r="GO101" s="33"/>
      <c r="GP101" s="33"/>
      <c r="GQ101" s="33"/>
      <c r="GR101" s="33"/>
      <c r="GS101" s="33"/>
      <c r="GT101" s="33"/>
      <c r="GU101" s="33"/>
      <c r="GV101" s="33"/>
      <c r="GW101" s="33"/>
      <c r="GX101" s="33"/>
      <c r="GY101" s="33"/>
      <c r="GZ101" s="33"/>
      <c r="HA101" s="33"/>
      <c r="HB101" s="33"/>
      <c r="HC101" s="33"/>
      <c r="HD101" s="33"/>
      <c r="HE101" s="33"/>
      <c r="HF101" s="33"/>
      <c r="HG101" s="33"/>
      <c r="HH101" s="33"/>
      <c r="HI101" s="33"/>
      <c r="HJ101" s="33"/>
      <c r="HK101" s="33"/>
      <c r="HL101" s="33"/>
      <c r="HM101" s="33"/>
      <c r="HN101" s="33"/>
      <c r="HO101" s="33"/>
      <c r="HP101" s="33"/>
      <c r="HQ101" s="33"/>
      <c r="HR101" s="33"/>
      <c r="HS101" s="33"/>
      <c r="HT101" s="33"/>
      <c r="HU101" s="33"/>
      <c r="HV101" s="33"/>
      <c r="HW101" s="33"/>
      <c r="HX101" s="33"/>
      <c r="HY101" s="33"/>
      <c r="HZ101" s="33"/>
      <c r="IA101" s="33"/>
      <c r="IB101" s="33"/>
      <c r="IC101" s="33"/>
      <c r="ID101" s="33"/>
      <c r="IE101" s="33"/>
      <c r="IF101" s="33"/>
      <c r="IG101" s="33"/>
      <c r="IH101" s="33"/>
      <c r="II101" s="33"/>
      <c r="IJ101" s="33"/>
      <c r="IK101" s="33"/>
      <c r="IL101" s="33"/>
      <c r="IM101" s="33"/>
      <c r="IN101" s="33"/>
      <c r="IO101" s="33"/>
      <c r="IP101" s="33"/>
      <c r="IQ101" s="33"/>
      <c r="IR101" s="33"/>
      <c r="IS101" s="33"/>
      <c r="IT101" s="33"/>
      <c r="IU101" s="33"/>
      <c r="IV101" s="33"/>
      <c r="IW101" s="33"/>
      <c r="IX101" s="33"/>
      <c r="IY101" s="33"/>
      <c r="IZ101" s="33"/>
      <c r="JA101" s="33"/>
      <c r="JB101" s="33"/>
      <c r="JC101" s="33"/>
      <c r="JD101" s="33"/>
      <c r="JE101" s="33"/>
      <c r="JF101" s="33"/>
      <c r="JG101" s="33"/>
      <c r="JH101" s="33"/>
      <c r="JI101" s="33"/>
      <c r="JJ101" s="33"/>
      <c r="JK101" s="33"/>
      <c r="JL101" s="33"/>
      <c r="JM101" s="33"/>
      <c r="JN101" s="33"/>
      <c r="JO101" s="33"/>
      <c r="JP101" s="33"/>
      <c r="JQ101" s="33"/>
      <c r="JR101" s="33"/>
      <c r="JS101" s="33"/>
      <c r="JT101" s="33"/>
      <c r="JU101" s="33"/>
      <c r="JV101" s="33"/>
      <c r="JW101" s="33"/>
      <c r="JX101" s="33"/>
      <c r="JY101" s="33"/>
      <c r="JZ101" s="33"/>
      <c r="KA101" s="33"/>
      <c r="KB101" s="33"/>
      <c r="KC101" s="33"/>
      <c r="KD101" s="33"/>
      <c r="KE101" s="33"/>
      <c r="KF101" s="33"/>
      <c r="KG101" s="33"/>
      <c r="KH101" s="33"/>
      <c r="KI101" s="33"/>
      <c r="KJ101" s="33"/>
      <c r="KK101" s="33"/>
      <c r="KL101" s="33"/>
      <c r="KM101" s="33"/>
      <c r="KN101" s="33"/>
      <c r="KO101" s="33"/>
      <c r="KP101" s="33"/>
      <c r="KQ101" s="33"/>
      <c r="KR101" s="33"/>
      <c r="KS101" s="33"/>
      <c r="KT101" s="33"/>
      <c r="KU101" s="33"/>
      <c r="KV101" s="33"/>
      <c r="KW101" s="33"/>
      <c r="KX101" s="33"/>
      <c r="KY101" s="33"/>
      <c r="KZ101" s="33"/>
      <c r="LA101" s="33"/>
      <c r="LB101" s="33"/>
      <c r="LC101" s="33"/>
      <c r="LD101" s="33"/>
      <c r="LE101" s="33"/>
      <c r="LF101" s="33"/>
      <c r="LG101" s="33"/>
      <c r="LH101" s="33"/>
      <c r="LI101" s="33"/>
      <c r="LJ101" s="33"/>
      <c r="LK101" s="33"/>
      <c r="LL101" s="33"/>
      <c r="LM101" s="33"/>
      <c r="LN101" s="33"/>
      <c r="LO101" s="33"/>
      <c r="LP101" s="33"/>
      <c r="LQ101" s="33"/>
      <c r="LR101" s="33"/>
      <c r="LS101" s="33"/>
      <c r="LT101" s="33"/>
      <c r="LU101" s="33"/>
      <c r="LV101" s="33"/>
      <c r="LW101" s="33"/>
      <c r="LX101" s="33"/>
      <c r="LY101" s="33"/>
      <c r="LZ101" s="33"/>
      <c r="MA101" s="33"/>
      <c r="MB101" s="33"/>
      <c r="MC101" s="33"/>
      <c r="MD101" s="33"/>
      <c r="ME101" s="33"/>
      <c r="MF101" s="33"/>
      <c r="MG101" s="33"/>
      <c r="MH101" s="33"/>
      <c r="MI101" s="33"/>
      <c r="MJ101" s="33"/>
      <c r="MK101" s="33"/>
      <c r="ML101" s="33"/>
      <c r="MM101" s="33"/>
      <c r="MN101" s="33"/>
      <c r="MO101" s="33"/>
      <c r="MP101" s="33"/>
      <c r="MQ101" s="33"/>
      <c r="MR101" s="33"/>
      <c r="MS101" s="33"/>
      <c r="MT101" s="33"/>
      <c r="MU101" s="33"/>
      <c r="MV101" s="33"/>
    </row>
    <row r="102" spans="1:360" ht="0.75" customHeight="1" x14ac:dyDescent="0.25">
      <c r="A102" s="33"/>
      <c r="B102" s="33"/>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33"/>
      <c r="CA102" s="33"/>
      <c r="CB102" s="33"/>
      <c r="CC102" s="33"/>
      <c r="CD102" s="33"/>
      <c r="CE102" s="33"/>
      <c r="CF102" s="33"/>
      <c r="CG102" s="33"/>
      <c r="CH102" s="33"/>
      <c r="CI102" s="33"/>
      <c r="CJ102" s="33"/>
      <c r="CK102" s="33"/>
      <c r="CL102" s="33"/>
      <c r="CM102" s="33"/>
      <c r="CN102" s="33"/>
      <c r="CO102" s="33"/>
      <c r="CP102" s="33"/>
      <c r="CQ102" s="33"/>
      <c r="CR102" s="33"/>
      <c r="CS102" s="33"/>
      <c r="CT102" s="33"/>
      <c r="CU102" s="33"/>
      <c r="CV102" s="33"/>
      <c r="CW102" s="33"/>
      <c r="CX102" s="33"/>
      <c r="CY102" s="33"/>
      <c r="CZ102" s="33"/>
      <c r="DA102" s="33"/>
      <c r="DB102" s="33"/>
      <c r="DC102" s="33"/>
      <c r="DD102" s="33"/>
      <c r="DE102" s="33"/>
      <c r="DF102" s="33"/>
      <c r="DG102" s="33"/>
      <c r="DH102" s="33"/>
      <c r="DI102" s="33"/>
      <c r="DJ102" s="33"/>
      <c r="DK102" s="33"/>
      <c r="DL102" s="33"/>
      <c r="DM102" s="33"/>
      <c r="DN102" s="33"/>
      <c r="DO102" s="33"/>
      <c r="DP102" s="33"/>
      <c r="DQ102" s="33"/>
      <c r="DR102" s="33"/>
      <c r="DS102" s="33"/>
      <c r="DT102" s="33"/>
      <c r="DU102" s="33"/>
      <c r="DV102" s="33"/>
      <c r="DW102" s="33"/>
      <c r="DX102" s="33"/>
      <c r="DY102" s="33"/>
      <c r="DZ102" s="33"/>
      <c r="EA102" s="33"/>
      <c r="EB102" s="33"/>
      <c r="EC102" s="33"/>
      <c r="ED102" s="33"/>
      <c r="EE102" s="33"/>
      <c r="EF102" s="33"/>
      <c r="EG102" s="33"/>
      <c r="EH102" s="33"/>
      <c r="EI102" s="33"/>
      <c r="EJ102" s="33"/>
      <c r="EK102" s="33"/>
      <c r="EL102" s="33"/>
      <c r="EM102" s="33"/>
      <c r="EN102" s="33"/>
      <c r="EO102" s="33"/>
      <c r="EP102" s="33"/>
      <c r="EQ102" s="33"/>
      <c r="ER102" s="33"/>
      <c r="ES102" s="33"/>
      <c r="ET102" s="33"/>
      <c r="EU102" s="33"/>
      <c r="EV102" s="33"/>
      <c r="EW102" s="33"/>
      <c r="EX102" s="33"/>
      <c r="EY102" s="33"/>
      <c r="EZ102" s="33"/>
      <c r="FA102" s="33"/>
      <c r="FB102" s="33"/>
      <c r="FC102" s="33"/>
      <c r="FD102" s="33"/>
      <c r="FE102" s="33"/>
      <c r="FF102" s="33"/>
      <c r="FG102" s="33"/>
      <c r="FH102" s="33"/>
      <c r="FI102" s="33"/>
      <c r="FJ102" s="33"/>
      <c r="FK102" s="33"/>
      <c r="FL102" s="33"/>
      <c r="FM102" s="33"/>
      <c r="FN102" s="33"/>
      <c r="FO102" s="33"/>
      <c r="FP102" s="33"/>
      <c r="FQ102" s="33"/>
      <c r="FR102" s="33"/>
      <c r="FS102" s="33"/>
      <c r="FT102" s="33"/>
      <c r="FU102" s="33"/>
      <c r="FV102" s="33"/>
      <c r="FW102" s="33"/>
      <c r="FX102" s="33"/>
      <c r="FY102" s="33"/>
      <c r="FZ102" s="33"/>
      <c r="GA102" s="33"/>
      <c r="GB102" s="33"/>
      <c r="GC102" s="33"/>
      <c r="GD102" s="33"/>
      <c r="GE102" s="33"/>
      <c r="GF102" s="33"/>
      <c r="GG102" s="33"/>
      <c r="GH102" s="33"/>
      <c r="GI102" s="33"/>
      <c r="GJ102" s="33"/>
      <c r="GK102" s="33"/>
      <c r="GL102" s="33"/>
      <c r="GM102" s="33"/>
      <c r="GN102" s="33"/>
      <c r="GO102" s="33"/>
      <c r="GP102" s="33"/>
      <c r="GQ102" s="33"/>
      <c r="GR102" s="33"/>
      <c r="GS102" s="33"/>
      <c r="GT102" s="33"/>
      <c r="GU102" s="33"/>
      <c r="GV102" s="33"/>
      <c r="GW102" s="33"/>
      <c r="GX102" s="33"/>
      <c r="GY102" s="33"/>
      <c r="GZ102" s="33"/>
      <c r="HA102" s="33"/>
      <c r="HB102" s="33"/>
      <c r="HC102" s="33"/>
      <c r="HD102" s="33"/>
      <c r="HE102" s="33"/>
      <c r="HF102" s="33"/>
      <c r="HG102" s="33"/>
      <c r="HH102" s="33"/>
      <c r="HI102" s="33"/>
      <c r="HJ102" s="33"/>
      <c r="HK102" s="33"/>
      <c r="HL102" s="33"/>
      <c r="HM102" s="33"/>
      <c r="HN102" s="33"/>
      <c r="HO102" s="33"/>
      <c r="HP102" s="33"/>
      <c r="HQ102" s="33"/>
      <c r="HR102" s="33"/>
      <c r="HS102" s="33"/>
      <c r="HT102" s="33"/>
      <c r="HU102" s="33"/>
      <c r="HV102" s="33"/>
      <c r="HW102" s="33"/>
      <c r="HX102" s="33"/>
      <c r="HY102" s="33"/>
      <c r="HZ102" s="33"/>
      <c r="IA102" s="33"/>
      <c r="IB102" s="33"/>
      <c r="IC102" s="33"/>
      <c r="ID102" s="33"/>
      <c r="IE102" s="33"/>
      <c r="IF102" s="33"/>
      <c r="IG102" s="33"/>
      <c r="IH102" s="33"/>
      <c r="II102" s="33"/>
      <c r="IJ102" s="33"/>
      <c r="IK102" s="33"/>
      <c r="IL102" s="33"/>
      <c r="IM102" s="33"/>
      <c r="IN102" s="33"/>
      <c r="IO102" s="33"/>
      <c r="IP102" s="33"/>
      <c r="IQ102" s="33"/>
      <c r="IR102" s="33"/>
      <c r="IS102" s="33"/>
      <c r="IT102" s="33"/>
      <c r="IU102" s="33"/>
      <c r="IV102" s="33"/>
      <c r="IW102" s="33"/>
      <c r="IX102" s="33"/>
      <c r="IY102" s="33"/>
      <c r="IZ102" s="33"/>
      <c r="JA102" s="33"/>
      <c r="JB102" s="33"/>
      <c r="JC102" s="33"/>
      <c r="JD102" s="33"/>
      <c r="JE102" s="33"/>
      <c r="JF102" s="33"/>
      <c r="JG102" s="33"/>
      <c r="JH102" s="33"/>
      <c r="JI102" s="33"/>
      <c r="JJ102" s="33"/>
      <c r="JK102" s="33"/>
      <c r="JL102" s="33"/>
      <c r="JM102" s="33"/>
      <c r="JN102" s="33"/>
      <c r="JO102" s="33"/>
      <c r="JP102" s="33"/>
      <c r="JQ102" s="33"/>
      <c r="JR102" s="33"/>
      <c r="JS102" s="33"/>
      <c r="JT102" s="33"/>
      <c r="JU102" s="33"/>
      <c r="JV102" s="33"/>
      <c r="JW102" s="33"/>
      <c r="JX102" s="33"/>
      <c r="JY102" s="33"/>
      <c r="JZ102" s="33"/>
      <c r="KA102" s="33"/>
      <c r="KB102" s="33"/>
      <c r="KC102" s="33"/>
      <c r="KD102" s="33"/>
      <c r="KE102" s="33"/>
      <c r="KF102" s="33"/>
      <c r="KG102" s="33"/>
      <c r="KH102" s="33"/>
      <c r="KI102" s="33"/>
      <c r="KJ102" s="33"/>
      <c r="KK102" s="33"/>
      <c r="KL102" s="33"/>
      <c r="KM102" s="33"/>
      <c r="KN102" s="33"/>
      <c r="KO102" s="33"/>
      <c r="KP102" s="33"/>
      <c r="KQ102" s="33"/>
      <c r="KR102" s="33"/>
      <c r="KS102" s="33"/>
      <c r="KT102" s="33"/>
      <c r="KU102" s="33"/>
      <c r="KV102" s="33"/>
      <c r="KW102" s="33"/>
      <c r="KX102" s="33"/>
      <c r="KY102" s="33"/>
      <c r="KZ102" s="33"/>
      <c r="LA102" s="33"/>
      <c r="LB102" s="33"/>
      <c r="LC102" s="33"/>
      <c r="LD102" s="33"/>
      <c r="LE102" s="33"/>
      <c r="LF102" s="33"/>
      <c r="LG102" s="33"/>
      <c r="LH102" s="33"/>
      <c r="LI102" s="33"/>
      <c r="LJ102" s="33"/>
      <c r="LK102" s="33"/>
      <c r="LL102" s="33"/>
      <c r="LM102" s="33"/>
      <c r="LN102" s="33"/>
      <c r="LO102" s="33"/>
      <c r="LP102" s="33"/>
      <c r="LQ102" s="33"/>
      <c r="LR102" s="33"/>
      <c r="LS102" s="33"/>
      <c r="LT102" s="33"/>
      <c r="LU102" s="33"/>
      <c r="LV102" s="33"/>
      <c r="LW102" s="33"/>
      <c r="LX102" s="33"/>
      <c r="LY102" s="33"/>
      <c r="LZ102" s="33"/>
      <c r="MA102" s="33"/>
      <c r="MB102" s="33"/>
      <c r="MC102" s="33"/>
      <c r="MD102" s="33"/>
      <c r="ME102" s="33"/>
      <c r="MF102" s="33"/>
      <c r="MG102" s="33"/>
      <c r="MH102" s="33"/>
      <c r="MI102" s="33"/>
      <c r="MJ102" s="33"/>
      <c r="MK102" s="33"/>
      <c r="ML102" s="33"/>
      <c r="MM102" s="33"/>
      <c r="MN102" s="33"/>
      <c r="MO102" s="33"/>
      <c r="MP102" s="33"/>
      <c r="MQ102" s="33"/>
      <c r="MR102" s="33"/>
      <c r="MS102" s="33"/>
      <c r="MT102" s="33"/>
      <c r="MU102" s="33"/>
      <c r="MV102" s="33"/>
    </row>
    <row r="103" spans="1:360" ht="0.75" customHeight="1" x14ac:dyDescent="0.25">
      <c r="A103" s="33"/>
      <c r="B103" s="33"/>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33"/>
      <c r="CA103" s="33"/>
      <c r="CB103" s="33"/>
      <c r="CC103" s="33"/>
      <c r="CD103" s="33"/>
      <c r="CE103" s="33"/>
      <c r="CF103" s="33"/>
      <c r="CG103" s="33"/>
      <c r="CH103" s="33"/>
      <c r="CI103" s="33"/>
      <c r="CJ103" s="33"/>
      <c r="CK103" s="33"/>
      <c r="CL103" s="33"/>
      <c r="CM103" s="33"/>
      <c r="CN103" s="33"/>
      <c r="CO103" s="33"/>
      <c r="CP103" s="33"/>
      <c r="CQ103" s="33"/>
      <c r="CR103" s="33"/>
      <c r="CS103" s="33"/>
      <c r="CT103" s="33"/>
      <c r="CU103" s="33"/>
      <c r="CV103" s="33"/>
      <c r="CW103" s="33"/>
      <c r="CX103" s="33"/>
      <c r="CY103" s="33"/>
      <c r="CZ103" s="33"/>
      <c r="DA103" s="33"/>
      <c r="DB103" s="33"/>
      <c r="DC103" s="33"/>
      <c r="DD103" s="33"/>
      <c r="DE103" s="33"/>
      <c r="DF103" s="33"/>
      <c r="DG103" s="33"/>
      <c r="DH103" s="33"/>
      <c r="DI103" s="33"/>
      <c r="DJ103" s="33"/>
      <c r="DK103" s="33"/>
      <c r="DL103" s="33"/>
      <c r="DM103" s="33"/>
      <c r="DN103" s="33"/>
      <c r="DO103" s="33"/>
      <c r="DP103" s="33"/>
      <c r="DQ103" s="33"/>
      <c r="DR103" s="33"/>
      <c r="DS103" s="33"/>
      <c r="DT103" s="33"/>
      <c r="DU103" s="33"/>
      <c r="DV103" s="33"/>
      <c r="DW103" s="33"/>
      <c r="DX103" s="33"/>
      <c r="DY103" s="33"/>
      <c r="DZ103" s="33"/>
      <c r="EA103" s="33"/>
      <c r="EB103" s="33"/>
      <c r="EC103" s="33"/>
      <c r="ED103" s="33"/>
      <c r="EE103" s="33"/>
      <c r="EF103" s="33"/>
      <c r="EG103" s="33"/>
      <c r="EH103" s="33"/>
      <c r="EI103" s="33"/>
      <c r="EJ103" s="33"/>
      <c r="EK103" s="33"/>
      <c r="EL103" s="33"/>
      <c r="EM103" s="33"/>
      <c r="EN103" s="33"/>
      <c r="EO103" s="33"/>
      <c r="EP103" s="33"/>
      <c r="EQ103" s="33"/>
      <c r="ER103" s="33"/>
      <c r="ES103" s="33"/>
      <c r="ET103" s="33"/>
      <c r="EU103" s="33"/>
      <c r="EV103" s="33"/>
      <c r="EW103" s="33"/>
      <c r="EX103" s="33"/>
      <c r="EY103" s="33"/>
      <c r="EZ103" s="33"/>
      <c r="FA103" s="33"/>
      <c r="FB103" s="33"/>
      <c r="FC103" s="33"/>
      <c r="FD103" s="33"/>
      <c r="FE103" s="33"/>
      <c r="FF103" s="33"/>
      <c r="FG103" s="33"/>
      <c r="FH103" s="33"/>
      <c r="FI103" s="33"/>
      <c r="FJ103" s="33"/>
      <c r="FK103" s="33"/>
      <c r="FL103" s="33"/>
      <c r="FM103" s="33"/>
      <c r="FN103" s="33"/>
      <c r="FO103" s="33"/>
      <c r="FP103" s="33"/>
      <c r="FQ103" s="33"/>
      <c r="FR103" s="33"/>
      <c r="FS103" s="33"/>
      <c r="FT103" s="33"/>
      <c r="FU103" s="33"/>
      <c r="FV103" s="33"/>
      <c r="FW103" s="33"/>
      <c r="FX103" s="33"/>
      <c r="FY103" s="33"/>
      <c r="FZ103" s="33"/>
      <c r="GA103" s="33"/>
      <c r="GB103" s="33"/>
      <c r="GC103" s="33"/>
      <c r="GD103" s="33"/>
      <c r="GE103" s="33"/>
      <c r="GF103" s="33"/>
      <c r="GG103" s="33"/>
      <c r="GH103" s="33"/>
      <c r="GI103" s="33"/>
      <c r="GJ103" s="33"/>
      <c r="GK103" s="33"/>
      <c r="GL103" s="33"/>
      <c r="GM103" s="33"/>
      <c r="GN103" s="33"/>
      <c r="GO103" s="33"/>
      <c r="GP103" s="33"/>
      <c r="GQ103" s="33"/>
      <c r="GR103" s="33"/>
      <c r="GS103" s="33"/>
      <c r="GT103" s="33"/>
      <c r="GU103" s="33"/>
      <c r="GV103" s="33"/>
      <c r="GW103" s="33"/>
      <c r="GX103" s="33"/>
      <c r="GY103" s="33"/>
      <c r="GZ103" s="33"/>
      <c r="HA103" s="33"/>
      <c r="HB103" s="33"/>
      <c r="HC103" s="33"/>
      <c r="HD103" s="33"/>
      <c r="HE103" s="33"/>
      <c r="HF103" s="33"/>
      <c r="HG103" s="33"/>
      <c r="HH103" s="33"/>
      <c r="HI103" s="33"/>
      <c r="HJ103" s="33"/>
      <c r="HK103" s="33"/>
      <c r="HL103" s="33"/>
      <c r="HM103" s="33"/>
      <c r="HN103" s="33"/>
      <c r="HO103" s="33"/>
      <c r="HP103" s="33"/>
      <c r="HQ103" s="33"/>
      <c r="HR103" s="33"/>
      <c r="HS103" s="33"/>
      <c r="HT103" s="33"/>
      <c r="HU103" s="33"/>
      <c r="HV103" s="33"/>
      <c r="HW103" s="33"/>
      <c r="HX103" s="33"/>
      <c r="HY103" s="33"/>
      <c r="HZ103" s="33"/>
      <c r="IA103" s="33"/>
      <c r="IB103" s="33"/>
      <c r="IC103" s="33"/>
      <c r="ID103" s="33"/>
      <c r="IE103" s="33"/>
      <c r="IF103" s="33"/>
      <c r="IG103" s="33"/>
      <c r="IH103" s="33"/>
      <c r="II103" s="33"/>
      <c r="IJ103" s="33"/>
      <c r="IK103" s="33"/>
      <c r="IL103" s="33"/>
      <c r="IM103" s="33"/>
      <c r="IN103" s="33"/>
      <c r="IO103" s="33"/>
      <c r="IP103" s="33"/>
      <c r="IQ103" s="33"/>
      <c r="IR103" s="33"/>
      <c r="IS103" s="33"/>
      <c r="IT103" s="33"/>
      <c r="IU103" s="33"/>
      <c r="IV103" s="33"/>
      <c r="IW103" s="33"/>
      <c r="IX103" s="33"/>
      <c r="IY103" s="33"/>
      <c r="IZ103" s="33"/>
      <c r="JA103" s="33"/>
      <c r="JB103" s="33"/>
      <c r="JC103" s="33"/>
      <c r="JD103" s="33"/>
      <c r="JE103" s="33"/>
      <c r="JF103" s="33"/>
      <c r="JG103" s="33"/>
      <c r="JH103" s="33"/>
      <c r="JI103" s="33"/>
      <c r="JJ103" s="33"/>
      <c r="JK103" s="33"/>
      <c r="JL103" s="33"/>
      <c r="JM103" s="33"/>
      <c r="JN103" s="33"/>
      <c r="JO103" s="33"/>
      <c r="JP103" s="33"/>
      <c r="JQ103" s="33"/>
      <c r="JR103" s="33"/>
      <c r="JS103" s="33"/>
      <c r="JT103" s="33"/>
      <c r="JU103" s="33"/>
      <c r="JV103" s="33"/>
      <c r="JW103" s="33"/>
      <c r="JX103" s="33"/>
      <c r="JY103" s="33"/>
      <c r="JZ103" s="33"/>
      <c r="KA103" s="33"/>
      <c r="KB103" s="33"/>
      <c r="KC103" s="33"/>
      <c r="KD103" s="33"/>
      <c r="KE103" s="33"/>
      <c r="KF103" s="33"/>
      <c r="KG103" s="33"/>
      <c r="KH103" s="33"/>
      <c r="KI103" s="33"/>
      <c r="KJ103" s="33"/>
      <c r="KK103" s="33"/>
      <c r="KL103" s="33"/>
      <c r="KM103" s="33"/>
      <c r="KN103" s="33"/>
      <c r="KO103" s="33"/>
      <c r="KP103" s="33"/>
      <c r="KQ103" s="33"/>
      <c r="KR103" s="33"/>
      <c r="KS103" s="33"/>
      <c r="KT103" s="33"/>
      <c r="KU103" s="33"/>
      <c r="KV103" s="33"/>
      <c r="KW103" s="33"/>
      <c r="KX103" s="33"/>
      <c r="KY103" s="33"/>
      <c r="KZ103" s="33"/>
      <c r="LA103" s="33"/>
      <c r="LB103" s="33"/>
      <c r="LC103" s="33"/>
      <c r="LD103" s="33"/>
      <c r="LE103" s="33"/>
      <c r="LF103" s="33"/>
      <c r="LG103" s="33"/>
      <c r="LH103" s="33"/>
      <c r="LI103" s="33"/>
      <c r="LJ103" s="33"/>
      <c r="LK103" s="33"/>
      <c r="LL103" s="33"/>
      <c r="LM103" s="33"/>
      <c r="LN103" s="33"/>
      <c r="LO103" s="33"/>
      <c r="LP103" s="33"/>
      <c r="LQ103" s="33"/>
      <c r="LR103" s="33"/>
      <c r="LS103" s="33"/>
      <c r="LT103" s="33"/>
      <c r="LU103" s="33"/>
      <c r="LV103" s="33"/>
      <c r="LW103" s="33"/>
      <c r="LX103" s="33"/>
      <c r="LY103" s="33"/>
      <c r="LZ103" s="33"/>
      <c r="MA103" s="33"/>
      <c r="MB103" s="33"/>
      <c r="MC103" s="33"/>
      <c r="MD103" s="33"/>
      <c r="ME103" s="33"/>
      <c r="MF103" s="33"/>
      <c r="MG103" s="33"/>
      <c r="MH103" s="33"/>
      <c r="MI103" s="33"/>
      <c r="MJ103" s="33"/>
      <c r="MK103" s="33"/>
      <c r="ML103" s="33"/>
      <c r="MM103" s="33"/>
      <c r="MN103" s="33"/>
      <c r="MO103" s="33"/>
      <c r="MP103" s="33"/>
      <c r="MQ103" s="33"/>
      <c r="MR103" s="33"/>
      <c r="MS103" s="33"/>
      <c r="MT103" s="33"/>
      <c r="MU103" s="33"/>
      <c r="MV103" s="33"/>
    </row>
    <row r="104" spans="1:360" ht="0.75" customHeight="1" x14ac:dyDescent="0.25">
      <c r="A104" s="33"/>
      <c r="B104" s="33"/>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c r="BZ104" s="33"/>
      <c r="CA104" s="33"/>
      <c r="CB104" s="33"/>
      <c r="CC104" s="33"/>
      <c r="CD104" s="33"/>
      <c r="CE104" s="33"/>
      <c r="CF104" s="33"/>
      <c r="CG104" s="33"/>
      <c r="CH104" s="33"/>
      <c r="CI104" s="33"/>
      <c r="CJ104" s="33"/>
      <c r="CK104" s="33"/>
      <c r="CL104" s="33"/>
      <c r="CM104" s="33"/>
      <c r="CN104" s="33"/>
      <c r="CO104" s="33"/>
      <c r="CP104" s="33"/>
      <c r="CQ104" s="33"/>
      <c r="CR104" s="33"/>
      <c r="CS104" s="33"/>
      <c r="CT104" s="33"/>
      <c r="CU104" s="33"/>
      <c r="CV104" s="33"/>
      <c r="CW104" s="33"/>
      <c r="CX104" s="33"/>
      <c r="CY104" s="33"/>
      <c r="CZ104" s="33"/>
      <c r="DA104" s="33"/>
      <c r="DB104" s="33"/>
      <c r="DC104" s="33"/>
      <c r="DD104" s="33"/>
      <c r="DE104" s="33"/>
      <c r="DF104" s="33"/>
      <c r="DG104" s="33"/>
      <c r="DH104" s="33"/>
      <c r="DI104" s="33"/>
      <c r="DJ104" s="33"/>
      <c r="DK104" s="33"/>
      <c r="DL104" s="33"/>
      <c r="DM104" s="33"/>
      <c r="DN104" s="33"/>
      <c r="DO104" s="33"/>
      <c r="DP104" s="33"/>
      <c r="DQ104" s="33"/>
      <c r="DR104" s="33"/>
      <c r="DS104" s="33"/>
      <c r="DT104" s="33"/>
      <c r="DU104" s="33"/>
      <c r="DV104" s="33"/>
      <c r="DW104" s="33"/>
      <c r="DX104" s="33"/>
      <c r="DY104" s="33"/>
      <c r="DZ104" s="33"/>
      <c r="EA104" s="33"/>
      <c r="EB104" s="33"/>
      <c r="EC104" s="33"/>
      <c r="ED104" s="33"/>
      <c r="EE104" s="33"/>
      <c r="EF104" s="33"/>
      <c r="EG104" s="33"/>
      <c r="EH104" s="33"/>
      <c r="EI104" s="33"/>
      <c r="EJ104" s="33"/>
      <c r="EK104" s="33"/>
      <c r="EL104" s="33"/>
      <c r="EM104" s="33"/>
      <c r="EN104" s="33"/>
      <c r="EO104" s="33"/>
      <c r="EP104" s="33"/>
      <c r="EQ104" s="33"/>
      <c r="ER104" s="33"/>
      <c r="ES104" s="33"/>
      <c r="ET104" s="33"/>
      <c r="EU104" s="33"/>
      <c r="EV104" s="33"/>
      <c r="EW104" s="33"/>
      <c r="EX104" s="33"/>
      <c r="EY104" s="33"/>
      <c r="EZ104" s="33"/>
      <c r="FA104" s="33"/>
      <c r="FB104" s="33"/>
      <c r="FC104" s="33"/>
      <c r="FD104" s="33"/>
      <c r="FE104" s="33"/>
      <c r="FF104" s="33"/>
      <c r="FG104" s="33"/>
      <c r="FH104" s="33"/>
      <c r="FI104" s="33"/>
      <c r="FJ104" s="33"/>
      <c r="FK104" s="33"/>
      <c r="FL104" s="33"/>
      <c r="FM104" s="33"/>
      <c r="FN104" s="33"/>
      <c r="FO104" s="33"/>
      <c r="FP104" s="33"/>
      <c r="FQ104" s="33"/>
      <c r="FR104" s="33"/>
      <c r="FS104" s="33"/>
      <c r="FT104" s="33"/>
      <c r="FU104" s="33"/>
      <c r="FV104" s="33"/>
      <c r="FW104" s="33"/>
      <c r="FX104" s="33"/>
      <c r="FY104" s="33"/>
      <c r="FZ104" s="33"/>
      <c r="GA104" s="33"/>
      <c r="GB104" s="33"/>
      <c r="GC104" s="33"/>
      <c r="GD104" s="33"/>
      <c r="GE104" s="33"/>
      <c r="GF104" s="33"/>
      <c r="GG104" s="33"/>
      <c r="GH104" s="33"/>
      <c r="GI104" s="33"/>
      <c r="GJ104" s="33"/>
      <c r="GK104" s="33"/>
      <c r="GL104" s="33"/>
      <c r="GM104" s="33"/>
      <c r="GN104" s="33"/>
      <c r="GO104" s="33"/>
      <c r="GP104" s="33"/>
      <c r="GQ104" s="33"/>
      <c r="GR104" s="33"/>
      <c r="GS104" s="33"/>
      <c r="GT104" s="33"/>
      <c r="GU104" s="33"/>
      <c r="GV104" s="33"/>
      <c r="GW104" s="33"/>
      <c r="GX104" s="33"/>
      <c r="GY104" s="33"/>
      <c r="GZ104" s="33"/>
      <c r="HA104" s="33"/>
      <c r="HB104" s="33"/>
      <c r="HC104" s="33"/>
      <c r="HD104" s="33"/>
      <c r="HE104" s="33"/>
      <c r="HF104" s="33"/>
      <c r="HG104" s="33"/>
      <c r="HH104" s="33"/>
      <c r="HI104" s="33"/>
      <c r="HJ104" s="33"/>
      <c r="HK104" s="33"/>
      <c r="HL104" s="33"/>
      <c r="HM104" s="33"/>
      <c r="HN104" s="33"/>
      <c r="HO104" s="33"/>
      <c r="HP104" s="33"/>
      <c r="HQ104" s="33"/>
      <c r="HR104" s="33"/>
      <c r="HS104" s="33"/>
      <c r="HT104" s="33"/>
      <c r="HU104" s="33"/>
      <c r="HV104" s="33"/>
      <c r="HW104" s="33"/>
      <c r="HX104" s="33"/>
      <c r="HY104" s="33"/>
      <c r="HZ104" s="33"/>
      <c r="IA104" s="33"/>
      <c r="IB104" s="33"/>
      <c r="IC104" s="33"/>
      <c r="ID104" s="33"/>
      <c r="IE104" s="33"/>
      <c r="IF104" s="33"/>
      <c r="IG104" s="33"/>
      <c r="IH104" s="33"/>
      <c r="II104" s="33"/>
      <c r="IJ104" s="33"/>
      <c r="IK104" s="33"/>
      <c r="IL104" s="33"/>
      <c r="IM104" s="33"/>
      <c r="IN104" s="33"/>
      <c r="IO104" s="33"/>
      <c r="IP104" s="33"/>
      <c r="IQ104" s="33"/>
      <c r="IR104" s="33"/>
      <c r="IS104" s="33"/>
      <c r="IT104" s="33"/>
      <c r="IU104" s="33"/>
      <c r="IV104" s="33"/>
      <c r="IW104" s="33"/>
      <c r="IX104" s="33"/>
      <c r="IY104" s="33"/>
      <c r="IZ104" s="33"/>
      <c r="JA104" s="33"/>
      <c r="JB104" s="33"/>
      <c r="JC104" s="33"/>
      <c r="JD104" s="33"/>
      <c r="JE104" s="33"/>
      <c r="JF104" s="33"/>
      <c r="JG104" s="33"/>
      <c r="JH104" s="33"/>
      <c r="JI104" s="33"/>
      <c r="JJ104" s="33"/>
      <c r="JK104" s="33"/>
      <c r="JL104" s="33"/>
      <c r="JM104" s="33"/>
      <c r="JN104" s="33"/>
      <c r="JO104" s="33"/>
      <c r="JP104" s="33"/>
      <c r="JQ104" s="33"/>
      <c r="JR104" s="33"/>
      <c r="JS104" s="33"/>
      <c r="JT104" s="33"/>
      <c r="JU104" s="33"/>
      <c r="JV104" s="33"/>
      <c r="JW104" s="33"/>
      <c r="JX104" s="33"/>
      <c r="JY104" s="33"/>
      <c r="JZ104" s="33"/>
      <c r="KA104" s="33"/>
      <c r="KB104" s="33"/>
      <c r="KC104" s="33"/>
      <c r="KD104" s="33"/>
      <c r="KE104" s="33"/>
      <c r="KF104" s="33"/>
      <c r="KG104" s="33"/>
      <c r="KH104" s="33"/>
      <c r="KI104" s="33"/>
      <c r="KJ104" s="33"/>
      <c r="KK104" s="33"/>
      <c r="KL104" s="33"/>
      <c r="KM104" s="33"/>
      <c r="KN104" s="33"/>
      <c r="KO104" s="33"/>
      <c r="KP104" s="33"/>
      <c r="KQ104" s="33"/>
      <c r="KR104" s="33"/>
      <c r="KS104" s="33"/>
      <c r="KT104" s="33"/>
      <c r="KU104" s="33"/>
      <c r="KV104" s="33"/>
      <c r="KW104" s="33"/>
      <c r="KX104" s="33"/>
      <c r="KY104" s="33"/>
      <c r="KZ104" s="33"/>
      <c r="LA104" s="33"/>
      <c r="LB104" s="33"/>
      <c r="LC104" s="33"/>
      <c r="LD104" s="33"/>
      <c r="LE104" s="33"/>
      <c r="LF104" s="33"/>
      <c r="LG104" s="33"/>
      <c r="LH104" s="33"/>
      <c r="LI104" s="33"/>
      <c r="LJ104" s="33"/>
      <c r="LK104" s="33"/>
      <c r="LL104" s="33"/>
      <c r="LM104" s="33"/>
      <c r="LN104" s="33"/>
      <c r="LO104" s="33"/>
      <c r="LP104" s="33"/>
      <c r="LQ104" s="33"/>
      <c r="LR104" s="33"/>
      <c r="LS104" s="33"/>
      <c r="LT104" s="33"/>
      <c r="LU104" s="33"/>
      <c r="LV104" s="33"/>
      <c r="LW104" s="33"/>
      <c r="LX104" s="33"/>
      <c r="LY104" s="33"/>
      <c r="LZ104" s="33"/>
      <c r="MA104" s="33"/>
      <c r="MB104" s="33"/>
      <c r="MC104" s="33"/>
      <c r="MD104" s="33"/>
      <c r="ME104" s="33"/>
      <c r="MF104" s="33"/>
      <c r="MG104" s="33"/>
      <c r="MH104" s="33"/>
      <c r="MI104" s="33"/>
      <c r="MJ104" s="33"/>
      <c r="MK104" s="33"/>
      <c r="ML104" s="33"/>
      <c r="MM104" s="33"/>
      <c r="MN104" s="33"/>
      <c r="MO104" s="33"/>
      <c r="MP104" s="33"/>
      <c r="MQ104" s="33"/>
      <c r="MR104" s="33"/>
      <c r="MS104" s="33"/>
      <c r="MT104" s="33"/>
      <c r="MU104" s="33"/>
      <c r="MV104" s="33"/>
    </row>
    <row r="105" spans="1:360" ht="0.75" customHeight="1" x14ac:dyDescent="0.25">
      <c r="A105" s="33"/>
      <c r="B105" s="33"/>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33"/>
      <c r="CA105" s="33"/>
      <c r="CB105" s="33"/>
      <c r="CC105" s="33"/>
      <c r="CD105" s="33"/>
      <c r="CE105" s="33"/>
      <c r="CF105" s="33"/>
      <c r="CG105" s="33"/>
      <c r="CH105" s="33"/>
      <c r="CI105" s="33"/>
      <c r="CJ105" s="33"/>
      <c r="CK105" s="33"/>
      <c r="CL105" s="33"/>
      <c r="CM105" s="33"/>
      <c r="CN105" s="33"/>
      <c r="CO105" s="33"/>
      <c r="CP105" s="33"/>
      <c r="CQ105" s="33"/>
      <c r="CR105" s="33"/>
      <c r="CS105" s="33"/>
      <c r="CT105" s="33"/>
      <c r="CU105" s="33"/>
      <c r="CV105" s="33"/>
      <c r="CW105" s="33"/>
      <c r="CX105" s="33"/>
      <c r="CY105" s="33"/>
      <c r="CZ105" s="33"/>
      <c r="DA105" s="33"/>
      <c r="DB105" s="33"/>
      <c r="DC105" s="33"/>
      <c r="DD105" s="33"/>
      <c r="DE105" s="33"/>
      <c r="DF105" s="33"/>
      <c r="DG105" s="33"/>
      <c r="DH105" s="33"/>
      <c r="DI105" s="33"/>
      <c r="DJ105" s="33"/>
      <c r="DK105" s="33"/>
      <c r="DL105" s="33"/>
      <c r="DM105" s="33"/>
      <c r="DN105" s="33"/>
      <c r="DO105" s="33"/>
      <c r="DP105" s="33"/>
      <c r="DQ105" s="33"/>
      <c r="DR105" s="33"/>
      <c r="DS105" s="33"/>
      <c r="DT105" s="33"/>
      <c r="DU105" s="33"/>
      <c r="DV105" s="33"/>
      <c r="DW105" s="33"/>
      <c r="DX105" s="33"/>
      <c r="DY105" s="33"/>
      <c r="DZ105" s="33"/>
      <c r="EA105" s="33"/>
      <c r="EB105" s="33"/>
      <c r="EC105" s="33"/>
      <c r="ED105" s="33"/>
      <c r="EE105" s="33"/>
      <c r="EF105" s="33"/>
      <c r="EG105" s="33"/>
      <c r="EH105" s="33"/>
      <c r="EI105" s="33"/>
      <c r="EJ105" s="33"/>
      <c r="EK105" s="33"/>
      <c r="EL105" s="33"/>
      <c r="EM105" s="33"/>
      <c r="EN105" s="33"/>
      <c r="EO105" s="33"/>
      <c r="EP105" s="33"/>
      <c r="EQ105" s="33"/>
      <c r="ER105" s="33"/>
      <c r="ES105" s="33"/>
      <c r="ET105" s="33"/>
      <c r="EU105" s="33"/>
      <c r="EV105" s="33"/>
      <c r="EW105" s="33"/>
      <c r="EX105" s="33"/>
      <c r="EY105" s="33"/>
      <c r="EZ105" s="33"/>
      <c r="FA105" s="33"/>
      <c r="FB105" s="33"/>
      <c r="FC105" s="33"/>
      <c r="FD105" s="33"/>
      <c r="FE105" s="33"/>
      <c r="FF105" s="33"/>
      <c r="FG105" s="33"/>
      <c r="FH105" s="33"/>
      <c r="FI105" s="33"/>
      <c r="FJ105" s="33"/>
      <c r="FK105" s="33"/>
      <c r="FL105" s="33"/>
      <c r="FM105" s="33"/>
      <c r="FN105" s="33"/>
      <c r="FO105" s="33"/>
      <c r="FP105" s="33"/>
      <c r="FQ105" s="33"/>
      <c r="FR105" s="33"/>
      <c r="FS105" s="33"/>
      <c r="FT105" s="33"/>
      <c r="FU105" s="33"/>
      <c r="FV105" s="33"/>
      <c r="FW105" s="33"/>
      <c r="FX105" s="33"/>
      <c r="FY105" s="33"/>
      <c r="FZ105" s="33"/>
      <c r="GA105" s="33"/>
      <c r="GB105" s="33"/>
      <c r="GC105" s="33"/>
      <c r="GD105" s="33"/>
      <c r="GE105" s="33"/>
      <c r="GF105" s="33"/>
      <c r="GG105" s="33"/>
      <c r="GH105" s="33"/>
      <c r="GI105" s="33"/>
      <c r="GJ105" s="33"/>
      <c r="GK105" s="33"/>
      <c r="GL105" s="33"/>
      <c r="GM105" s="33"/>
      <c r="GN105" s="33"/>
      <c r="GO105" s="33"/>
      <c r="GP105" s="33"/>
      <c r="GQ105" s="33"/>
      <c r="GR105" s="33"/>
      <c r="GS105" s="33"/>
      <c r="GT105" s="33"/>
      <c r="GU105" s="33"/>
      <c r="GV105" s="33"/>
      <c r="GW105" s="33"/>
      <c r="GX105" s="33"/>
      <c r="GY105" s="33"/>
      <c r="GZ105" s="33"/>
      <c r="HA105" s="33"/>
      <c r="HB105" s="33"/>
      <c r="HC105" s="33"/>
      <c r="HD105" s="33"/>
      <c r="HE105" s="33"/>
      <c r="HF105" s="33"/>
      <c r="HG105" s="33"/>
      <c r="HH105" s="33"/>
      <c r="HI105" s="33"/>
      <c r="HJ105" s="33"/>
      <c r="HK105" s="33"/>
      <c r="HL105" s="33"/>
      <c r="HM105" s="33"/>
      <c r="HN105" s="33"/>
      <c r="HO105" s="33"/>
      <c r="HP105" s="33"/>
      <c r="HQ105" s="33"/>
      <c r="HR105" s="33"/>
      <c r="HS105" s="33"/>
      <c r="HT105" s="33"/>
      <c r="HU105" s="33"/>
      <c r="HV105" s="33"/>
      <c r="HW105" s="33"/>
      <c r="HX105" s="33"/>
      <c r="HY105" s="33"/>
      <c r="HZ105" s="33"/>
      <c r="IA105" s="33"/>
      <c r="IB105" s="33"/>
      <c r="IC105" s="33"/>
      <c r="ID105" s="33"/>
      <c r="IE105" s="33"/>
      <c r="IF105" s="33"/>
      <c r="IG105" s="33"/>
      <c r="IH105" s="33"/>
      <c r="II105" s="33"/>
      <c r="IJ105" s="33"/>
      <c r="IK105" s="33"/>
      <c r="IL105" s="33"/>
      <c r="IM105" s="33"/>
      <c r="IN105" s="33"/>
      <c r="IO105" s="33"/>
      <c r="IP105" s="33"/>
      <c r="IQ105" s="33"/>
      <c r="IR105" s="33"/>
      <c r="IS105" s="33"/>
      <c r="IT105" s="33"/>
      <c r="IU105" s="33"/>
      <c r="IV105" s="33"/>
      <c r="IW105" s="33"/>
      <c r="IX105" s="33"/>
      <c r="IY105" s="33"/>
      <c r="IZ105" s="33"/>
      <c r="JA105" s="33"/>
      <c r="JB105" s="33"/>
      <c r="JC105" s="33"/>
      <c r="JD105" s="33"/>
      <c r="JE105" s="33"/>
      <c r="JF105" s="33"/>
      <c r="JG105" s="33"/>
      <c r="JH105" s="33"/>
      <c r="JI105" s="33"/>
      <c r="JJ105" s="33"/>
      <c r="JK105" s="33"/>
      <c r="JL105" s="33"/>
      <c r="JM105" s="33"/>
      <c r="JN105" s="33"/>
      <c r="JO105" s="33"/>
      <c r="JP105" s="33"/>
      <c r="JQ105" s="33"/>
      <c r="JR105" s="33"/>
      <c r="JS105" s="33"/>
      <c r="JT105" s="33"/>
      <c r="JU105" s="33"/>
      <c r="JV105" s="33"/>
      <c r="JW105" s="33"/>
      <c r="JX105" s="33"/>
      <c r="JY105" s="33"/>
      <c r="JZ105" s="33"/>
      <c r="KA105" s="33"/>
      <c r="KB105" s="33"/>
      <c r="KC105" s="33"/>
      <c r="KD105" s="33"/>
      <c r="KE105" s="33"/>
      <c r="KF105" s="33"/>
      <c r="KG105" s="33"/>
      <c r="KH105" s="33"/>
      <c r="KI105" s="33"/>
      <c r="KJ105" s="33"/>
      <c r="KK105" s="33"/>
      <c r="KL105" s="33"/>
      <c r="KM105" s="33"/>
      <c r="KN105" s="33"/>
      <c r="KO105" s="33"/>
      <c r="KP105" s="33"/>
      <c r="KQ105" s="33"/>
      <c r="KR105" s="33"/>
      <c r="KS105" s="33"/>
      <c r="KT105" s="33"/>
      <c r="KU105" s="33"/>
      <c r="KV105" s="33"/>
      <c r="KW105" s="33"/>
      <c r="KX105" s="33"/>
      <c r="KY105" s="33"/>
      <c r="KZ105" s="33"/>
      <c r="LA105" s="33"/>
      <c r="LB105" s="33"/>
      <c r="LC105" s="33"/>
      <c r="LD105" s="33"/>
      <c r="LE105" s="33"/>
      <c r="LF105" s="33"/>
      <c r="LG105" s="33"/>
      <c r="LH105" s="33"/>
      <c r="LI105" s="33"/>
      <c r="LJ105" s="33"/>
      <c r="LK105" s="33"/>
      <c r="LL105" s="33"/>
      <c r="LM105" s="33"/>
      <c r="LN105" s="33"/>
      <c r="LO105" s="33"/>
      <c r="LP105" s="33"/>
      <c r="LQ105" s="33"/>
      <c r="LR105" s="33"/>
      <c r="LS105" s="33"/>
      <c r="LT105" s="33"/>
      <c r="LU105" s="33"/>
      <c r="LV105" s="33"/>
      <c r="LW105" s="33"/>
      <c r="LX105" s="33"/>
      <c r="LY105" s="33"/>
      <c r="LZ105" s="33"/>
      <c r="MA105" s="33"/>
      <c r="MB105" s="33"/>
      <c r="MC105" s="33"/>
      <c r="MD105" s="33"/>
      <c r="ME105" s="33"/>
      <c r="MF105" s="33"/>
      <c r="MG105" s="33"/>
      <c r="MH105" s="33"/>
      <c r="MI105" s="33"/>
      <c r="MJ105" s="33"/>
      <c r="MK105" s="33"/>
      <c r="ML105" s="33"/>
      <c r="MM105" s="33"/>
      <c r="MN105" s="33"/>
      <c r="MO105" s="33"/>
      <c r="MP105" s="33"/>
      <c r="MQ105" s="33"/>
      <c r="MR105" s="33"/>
      <c r="MS105" s="33"/>
      <c r="MT105" s="33"/>
      <c r="MU105" s="33"/>
      <c r="MV105" s="33"/>
    </row>
    <row r="106" spans="1:360" ht="0.75" customHeight="1" x14ac:dyDescent="0.25">
      <c r="A106" s="33"/>
      <c r="B106" s="33"/>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33"/>
      <c r="CA106" s="33"/>
      <c r="CB106" s="33"/>
      <c r="CC106" s="33"/>
      <c r="CD106" s="33"/>
      <c r="CE106" s="33"/>
      <c r="CF106" s="33"/>
      <c r="CG106" s="33"/>
      <c r="CH106" s="33"/>
      <c r="CI106" s="33"/>
      <c r="CJ106" s="33"/>
      <c r="CK106" s="33"/>
      <c r="CL106" s="33"/>
      <c r="CM106" s="33"/>
      <c r="CN106" s="33"/>
      <c r="CO106" s="33"/>
      <c r="CP106" s="33"/>
      <c r="CQ106" s="33"/>
      <c r="CR106" s="33"/>
      <c r="CS106" s="33"/>
      <c r="CT106" s="33"/>
      <c r="CU106" s="33"/>
      <c r="CV106" s="33"/>
      <c r="CW106" s="33"/>
      <c r="CX106" s="33"/>
      <c r="CY106" s="33"/>
      <c r="CZ106" s="33"/>
      <c r="DA106" s="33"/>
      <c r="DB106" s="33"/>
      <c r="DC106" s="33"/>
      <c r="DD106" s="33"/>
      <c r="DE106" s="33"/>
      <c r="DF106" s="33"/>
      <c r="DG106" s="33"/>
      <c r="DH106" s="33"/>
      <c r="DI106" s="33"/>
      <c r="DJ106" s="33"/>
      <c r="DK106" s="33"/>
      <c r="DL106" s="33"/>
      <c r="DM106" s="33"/>
      <c r="DN106" s="33"/>
      <c r="DO106" s="33"/>
      <c r="DP106" s="33"/>
      <c r="DQ106" s="33"/>
      <c r="DR106" s="33"/>
      <c r="DS106" s="33"/>
      <c r="DT106" s="33"/>
      <c r="DU106" s="33"/>
      <c r="DV106" s="33"/>
      <c r="DW106" s="33"/>
      <c r="DX106" s="33"/>
      <c r="DY106" s="33"/>
      <c r="DZ106" s="33"/>
      <c r="EA106" s="33"/>
      <c r="EB106" s="33"/>
      <c r="EC106" s="33"/>
      <c r="ED106" s="33"/>
      <c r="EE106" s="33"/>
      <c r="EF106" s="33"/>
      <c r="EG106" s="33"/>
      <c r="EH106" s="33"/>
      <c r="EI106" s="33"/>
      <c r="EJ106" s="33"/>
      <c r="EK106" s="33"/>
      <c r="EL106" s="33"/>
      <c r="EM106" s="33"/>
      <c r="EN106" s="33"/>
      <c r="EO106" s="33"/>
      <c r="EP106" s="33"/>
      <c r="EQ106" s="33"/>
      <c r="ER106" s="33"/>
      <c r="ES106" s="33"/>
      <c r="ET106" s="33"/>
      <c r="EU106" s="33"/>
      <c r="EV106" s="33"/>
      <c r="EW106" s="33"/>
      <c r="EX106" s="33"/>
      <c r="EY106" s="33"/>
      <c r="EZ106" s="33"/>
      <c r="FA106" s="33"/>
      <c r="FB106" s="33"/>
      <c r="FC106" s="33"/>
      <c r="FD106" s="33"/>
      <c r="FE106" s="33"/>
      <c r="FF106" s="33"/>
      <c r="FG106" s="33"/>
      <c r="FH106" s="33"/>
      <c r="FI106" s="33"/>
      <c r="FJ106" s="33"/>
      <c r="FK106" s="33"/>
      <c r="FL106" s="33"/>
      <c r="FM106" s="33"/>
      <c r="FN106" s="33"/>
      <c r="FO106" s="33"/>
      <c r="FP106" s="33"/>
      <c r="FQ106" s="33"/>
      <c r="FR106" s="33"/>
      <c r="FS106" s="33"/>
      <c r="FT106" s="33"/>
      <c r="FU106" s="33"/>
      <c r="FV106" s="33"/>
      <c r="FW106" s="33"/>
      <c r="FX106" s="33"/>
      <c r="FY106" s="33"/>
      <c r="FZ106" s="33"/>
      <c r="GA106" s="33"/>
      <c r="GB106" s="33"/>
      <c r="GC106" s="33"/>
      <c r="GD106" s="33"/>
      <c r="GE106" s="33"/>
      <c r="GF106" s="33"/>
      <c r="GG106" s="33"/>
      <c r="GH106" s="33"/>
      <c r="GI106" s="33"/>
      <c r="GJ106" s="33"/>
      <c r="GK106" s="33"/>
      <c r="GL106" s="33"/>
      <c r="GM106" s="33"/>
      <c r="GN106" s="33"/>
      <c r="GO106" s="33"/>
      <c r="GP106" s="33"/>
      <c r="GQ106" s="33"/>
      <c r="GR106" s="33"/>
      <c r="GS106" s="33"/>
      <c r="GT106" s="33"/>
      <c r="GU106" s="33"/>
      <c r="GV106" s="33"/>
      <c r="GW106" s="33"/>
      <c r="GX106" s="33"/>
      <c r="GY106" s="33"/>
      <c r="GZ106" s="33"/>
      <c r="HA106" s="33"/>
      <c r="HB106" s="33"/>
      <c r="HC106" s="33"/>
      <c r="HD106" s="33"/>
      <c r="HE106" s="33"/>
      <c r="HF106" s="33"/>
      <c r="HG106" s="33"/>
      <c r="HH106" s="33"/>
      <c r="HI106" s="33"/>
      <c r="HJ106" s="33"/>
      <c r="HK106" s="33"/>
      <c r="HL106" s="33"/>
      <c r="HM106" s="33"/>
      <c r="HN106" s="33"/>
      <c r="HO106" s="33"/>
      <c r="HP106" s="33"/>
      <c r="HQ106" s="33"/>
      <c r="HR106" s="33"/>
      <c r="HS106" s="33"/>
      <c r="HT106" s="33"/>
      <c r="HU106" s="33"/>
      <c r="HV106" s="33"/>
      <c r="HW106" s="33"/>
      <c r="HX106" s="33"/>
      <c r="HY106" s="33"/>
      <c r="HZ106" s="33"/>
      <c r="IA106" s="33"/>
      <c r="IB106" s="33"/>
      <c r="IC106" s="33"/>
      <c r="ID106" s="33"/>
      <c r="IE106" s="33"/>
      <c r="IF106" s="33"/>
      <c r="IG106" s="33"/>
      <c r="IH106" s="33"/>
      <c r="II106" s="33"/>
      <c r="IJ106" s="33"/>
      <c r="IK106" s="33"/>
      <c r="IL106" s="33"/>
      <c r="IM106" s="33"/>
      <c r="IN106" s="33"/>
      <c r="IO106" s="33"/>
      <c r="IP106" s="33"/>
      <c r="IQ106" s="33"/>
      <c r="IR106" s="33"/>
      <c r="IS106" s="33"/>
      <c r="IT106" s="33"/>
      <c r="IU106" s="33"/>
      <c r="IV106" s="33"/>
      <c r="IW106" s="33"/>
      <c r="IX106" s="33"/>
      <c r="IY106" s="33"/>
      <c r="IZ106" s="33"/>
      <c r="JA106" s="33"/>
      <c r="JB106" s="33"/>
      <c r="JC106" s="33"/>
      <c r="JD106" s="33"/>
      <c r="JE106" s="33"/>
      <c r="JF106" s="33"/>
      <c r="JG106" s="33"/>
      <c r="JH106" s="33"/>
      <c r="JI106" s="33"/>
      <c r="JJ106" s="33"/>
      <c r="JK106" s="33"/>
      <c r="JL106" s="33"/>
      <c r="JM106" s="33"/>
      <c r="JN106" s="33"/>
      <c r="JO106" s="33"/>
      <c r="JP106" s="33"/>
      <c r="JQ106" s="33"/>
      <c r="JR106" s="33"/>
      <c r="JS106" s="33"/>
      <c r="JT106" s="33"/>
      <c r="JU106" s="33"/>
      <c r="JV106" s="33"/>
      <c r="JW106" s="33"/>
      <c r="JX106" s="33"/>
      <c r="JY106" s="33"/>
      <c r="JZ106" s="33"/>
      <c r="KA106" s="33"/>
      <c r="KB106" s="33"/>
      <c r="KC106" s="33"/>
      <c r="KD106" s="33"/>
      <c r="KE106" s="33"/>
      <c r="KF106" s="33"/>
      <c r="KG106" s="33"/>
      <c r="KH106" s="33"/>
      <c r="KI106" s="33"/>
      <c r="KJ106" s="33"/>
      <c r="KK106" s="33"/>
      <c r="KL106" s="33"/>
      <c r="KM106" s="33"/>
      <c r="KN106" s="33"/>
      <c r="KO106" s="33"/>
      <c r="KP106" s="33"/>
      <c r="KQ106" s="33"/>
      <c r="KR106" s="33"/>
      <c r="KS106" s="33"/>
      <c r="KT106" s="33"/>
      <c r="KU106" s="33"/>
      <c r="KV106" s="33"/>
      <c r="KW106" s="33"/>
      <c r="KX106" s="33"/>
      <c r="KY106" s="33"/>
      <c r="KZ106" s="33"/>
      <c r="LA106" s="33"/>
      <c r="LB106" s="33"/>
      <c r="LC106" s="33"/>
      <c r="LD106" s="33"/>
      <c r="LE106" s="33"/>
      <c r="LF106" s="33"/>
      <c r="LG106" s="33"/>
      <c r="LH106" s="33"/>
      <c r="LI106" s="33"/>
      <c r="LJ106" s="33"/>
      <c r="LK106" s="33"/>
      <c r="LL106" s="33"/>
      <c r="LM106" s="33"/>
      <c r="LN106" s="33"/>
      <c r="LO106" s="33"/>
      <c r="LP106" s="33"/>
      <c r="LQ106" s="33"/>
      <c r="LR106" s="33"/>
      <c r="LS106" s="33"/>
      <c r="LT106" s="33"/>
      <c r="LU106" s="33"/>
      <c r="LV106" s="33"/>
      <c r="LW106" s="33"/>
      <c r="LX106" s="33"/>
      <c r="LY106" s="33"/>
      <c r="LZ106" s="33"/>
      <c r="MA106" s="33"/>
      <c r="MB106" s="33"/>
      <c r="MC106" s="33"/>
      <c r="MD106" s="33"/>
      <c r="ME106" s="33"/>
      <c r="MF106" s="33"/>
      <c r="MG106" s="33"/>
      <c r="MH106" s="33"/>
      <c r="MI106" s="33"/>
      <c r="MJ106" s="33"/>
      <c r="MK106" s="33"/>
      <c r="ML106" s="33"/>
      <c r="MM106" s="33"/>
      <c r="MN106" s="33"/>
      <c r="MO106" s="33"/>
      <c r="MP106" s="33"/>
      <c r="MQ106" s="33"/>
      <c r="MR106" s="33"/>
      <c r="MS106" s="33"/>
      <c r="MT106" s="33"/>
      <c r="MU106" s="33"/>
      <c r="MV106" s="33"/>
    </row>
    <row r="107" spans="1:360" ht="0.75" customHeight="1" x14ac:dyDescent="0.25">
      <c r="A107" s="33"/>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33"/>
      <c r="CA107" s="33"/>
      <c r="CB107" s="33"/>
      <c r="CC107" s="33"/>
      <c r="CD107" s="33"/>
      <c r="CE107" s="33"/>
      <c r="CF107" s="33"/>
      <c r="CG107" s="33"/>
      <c r="CH107" s="33"/>
      <c r="CI107" s="33"/>
      <c r="CJ107" s="33"/>
      <c r="CK107" s="33"/>
      <c r="CL107" s="33"/>
      <c r="CM107" s="33"/>
      <c r="CN107" s="33"/>
      <c r="CO107" s="33"/>
      <c r="CP107" s="33"/>
      <c r="CQ107" s="33"/>
      <c r="CR107" s="33"/>
      <c r="CS107" s="33"/>
      <c r="CT107" s="33"/>
      <c r="CU107" s="33"/>
      <c r="CV107" s="33"/>
      <c r="CW107" s="33"/>
      <c r="CX107" s="33"/>
      <c r="CY107" s="33"/>
      <c r="CZ107" s="33"/>
      <c r="DA107" s="33"/>
      <c r="DB107" s="33"/>
      <c r="DC107" s="33"/>
      <c r="DD107" s="33"/>
      <c r="DE107" s="33"/>
      <c r="DF107" s="33"/>
      <c r="DG107" s="33"/>
      <c r="DH107" s="33"/>
      <c r="DI107" s="33"/>
      <c r="DJ107" s="33"/>
      <c r="DK107" s="33"/>
      <c r="DL107" s="33"/>
      <c r="DM107" s="33"/>
      <c r="DN107" s="33"/>
      <c r="DO107" s="33"/>
      <c r="DP107" s="33"/>
      <c r="DQ107" s="33"/>
      <c r="DR107" s="33"/>
      <c r="DS107" s="33"/>
      <c r="DT107" s="33"/>
      <c r="DU107" s="33"/>
      <c r="DV107" s="33"/>
      <c r="DW107" s="33"/>
      <c r="DX107" s="33"/>
      <c r="DY107" s="33"/>
      <c r="DZ107" s="33"/>
      <c r="EA107" s="33"/>
      <c r="EB107" s="33"/>
      <c r="EC107" s="33"/>
      <c r="ED107" s="33"/>
      <c r="EE107" s="33"/>
      <c r="EF107" s="33"/>
      <c r="EG107" s="33"/>
      <c r="EH107" s="33"/>
      <c r="EI107" s="33"/>
      <c r="EJ107" s="33"/>
      <c r="EK107" s="33"/>
      <c r="EL107" s="33"/>
      <c r="EM107" s="33"/>
      <c r="EN107" s="33"/>
      <c r="EO107" s="33"/>
      <c r="EP107" s="33"/>
      <c r="EQ107" s="33"/>
      <c r="ER107" s="33"/>
      <c r="ES107" s="33"/>
      <c r="ET107" s="33"/>
      <c r="EU107" s="33"/>
      <c r="EV107" s="33"/>
      <c r="EW107" s="33"/>
      <c r="EX107" s="33"/>
      <c r="EY107" s="33"/>
      <c r="EZ107" s="33"/>
      <c r="FA107" s="33"/>
      <c r="FB107" s="33"/>
      <c r="FC107" s="33"/>
      <c r="FD107" s="33"/>
      <c r="FE107" s="33"/>
      <c r="FF107" s="33"/>
      <c r="FG107" s="33"/>
      <c r="FH107" s="33"/>
      <c r="FI107" s="33"/>
      <c r="FJ107" s="33"/>
      <c r="FK107" s="33"/>
      <c r="FL107" s="33"/>
      <c r="FM107" s="33"/>
      <c r="FN107" s="33"/>
      <c r="FO107" s="33"/>
      <c r="FP107" s="33"/>
      <c r="FQ107" s="33"/>
      <c r="FR107" s="33"/>
      <c r="FS107" s="33"/>
      <c r="FT107" s="33"/>
      <c r="FU107" s="33"/>
      <c r="FV107" s="33"/>
      <c r="FW107" s="33"/>
      <c r="FX107" s="33"/>
      <c r="FY107" s="33"/>
      <c r="FZ107" s="33"/>
      <c r="GA107" s="33"/>
      <c r="GB107" s="33"/>
      <c r="GC107" s="33"/>
      <c r="GD107" s="33"/>
      <c r="GE107" s="33"/>
      <c r="GF107" s="33"/>
      <c r="GG107" s="33"/>
      <c r="GH107" s="33"/>
      <c r="GI107" s="33"/>
      <c r="GJ107" s="33"/>
      <c r="GK107" s="33"/>
      <c r="GL107" s="33"/>
      <c r="GM107" s="33"/>
      <c r="GN107" s="33"/>
      <c r="GO107" s="33"/>
      <c r="GP107" s="33"/>
      <c r="GQ107" s="33"/>
      <c r="GR107" s="33"/>
      <c r="GS107" s="33"/>
      <c r="GT107" s="33"/>
      <c r="GU107" s="33"/>
      <c r="GV107" s="33"/>
      <c r="GW107" s="33"/>
      <c r="GX107" s="33"/>
      <c r="GY107" s="33"/>
      <c r="GZ107" s="33"/>
      <c r="HA107" s="33"/>
      <c r="HB107" s="33"/>
      <c r="HC107" s="33"/>
      <c r="HD107" s="33"/>
      <c r="HE107" s="33"/>
      <c r="HF107" s="33"/>
      <c r="HG107" s="33"/>
      <c r="HH107" s="33"/>
      <c r="HI107" s="33"/>
      <c r="HJ107" s="33"/>
      <c r="HK107" s="33"/>
      <c r="HL107" s="33"/>
      <c r="HM107" s="33"/>
      <c r="HN107" s="33"/>
      <c r="HO107" s="33"/>
      <c r="HP107" s="33"/>
      <c r="HQ107" s="33"/>
      <c r="HR107" s="33"/>
      <c r="HS107" s="33"/>
      <c r="HT107" s="33"/>
      <c r="HU107" s="33"/>
      <c r="HV107" s="33"/>
      <c r="HW107" s="33"/>
      <c r="HX107" s="33"/>
      <c r="HY107" s="33"/>
      <c r="HZ107" s="33"/>
      <c r="IA107" s="33"/>
      <c r="IB107" s="33"/>
      <c r="IC107" s="33"/>
      <c r="ID107" s="33"/>
      <c r="IE107" s="33"/>
      <c r="IF107" s="33"/>
      <c r="IG107" s="33"/>
      <c r="IH107" s="33"/>
      <c r="II107" s="33"/>
      <c r="IJ107" s="33"/>
      <c r="IK107" s="33"/>
      <c r="IL107" s="33"/>
      <c r="IM107" s="33"/>
      <c r="IN107" s="33"/>
      <c r="IO107" s="33"/>
      <c r="IP107" s="33"/>
      <c r="IQ107" s="33"/>
      <c r="IR107" s="33"/>
      <c r="IS107" s="33"/>
      <c r="IT107" s="33"/>
      <c r="IU107" s="33"/>
      <c r="IV107" s="33"/>
      <c r="IW107" s="33"/>
      <c r="IX107" s="33"/>
      <c r="IY107" s="33"/>
      <c r="IZ107" s="33"/>
      <c r="JA107" s="33"/>
      <c r="JB107" s="33"/>
      <c r="JC107" s="33"/>
      <c r="JD107" s="33"/>
      <c r="JE107" s="33"/>
      <c r="JF107" s="33"/>
      <c r="JG107" s="33"/>
      <c r="JH107" s="33"/>
      <c r="JI107" s="33"/>
      <c r="JJ107" s="33"/>
      <c r="JK107" s="33"/>
      <c r="JL107" s="33"/>
      <c r="JM107" s="33"/>
      <c r="JN107" s="33"/>
      <c r="JO107" s="33"/>
      <c r="JP107" s="33"/>
      <c r="JQ107" s="33"/>
      <c r="JR107" s="33"/>
      <c r="JS107" s="33"/>
      <c r="JT107" s="33"/>
      <c r="JU107" s="33"/>
      <c r="JV107" s="33"/>
      <c r="JW107" s="33"/>
      <c r="JX107" s="33"/>
      <c r="JY107" s="33"/>
      <c r="JZ107" s="33"/>
      <c r="KA107" s="33"/>
      <c r="KB107" s="33"/>
      <c r="KC107" s="33"/>
      <c r="KD107" s="33"/>
      <c r="KE107" s="33"/>
      <c r="KF107" s="33"/>
      <c r="KG107" s="33"/>
      <c r="KH107" s="33"/>
      <c r="KI107" s="33"/>
      <c r="KJ107" s="33"/>
      <c r="KK107" s="33"/>
      <c r="KL107" s="33"/>
      <c r="KM107" s="33"/>
      <c r="KN107" s="33"/>
      <c r="KO107" s="33"/>
      <c r="KP107" s="33"/>
      <c r="KQ107" s="33"/>
      <c r="KR107" s="33"/>
      <c r="KS107" s="33"/>
      <c r="KT107" s="33"/>
      <c r="KU107" s="33"/>
      <c r="KV107" s="33"/>
      <c r="KW107" s="33"/>
      <c r="KX107" s="33"/>
      <c r="KY107" s="33"/>
      <c r="KZ107" s="33"/>
      <c r="LA107" s="33"/>
      <c r="LB107" s="33"/>
      <c r="LC107" s="33"/>
      <c r="LD107" s="33"/>
      <c r="LE107" s="33"/>
      <c r="LF107" s="33"/>
      <c r="LG107" s="33"/>
      <c r="LH107" s="33"/>
      <c r="LI107" s="33"/>
      <c r="LJ107" s="33"/>
      <c r="LK107" s="33"/>
      <c r="LL107" s="33"/>
      <c r="LM107" s="33"/>
      <c r="LN107" s="33"/>
      <c r="LO107" s="33"/>
      <c r="LP107" s="33"/>
      <c r="LQ107" s="33"/>
      <c r="LR107" s="33"/>
      <c r="LS107" s="33"/>
      <c r="LT107" s="33"/>
      <c r="LU107" s="33"/>
      <c r="LV107" s="33"/>
      <c r="LW107" s="33"/>
      <c r="LX107" s="33"/>
      <c r="LY107" s="33"/>
      <c r="LZ107" s="33"/>
      <c r="MA107" s="33"/>
      <c r="MB107" s="33"/>
      <c r="MC107" s="33"/>
      <c r="MD107" s="33"/>
      <c r="ME107" s="33"/>
      <c r="MF107" s="33"/>
      <c r="MG107" s="33"/>
      <c r="MH107" s="33"/>
      <c r="MI107" s="33"/>
      <c r="MJ107" s="33"/>
      <c r="MK107" s="33"/>
      <c r="ML107" s="33"/>
      <c r="MM107" s="33"/>
      <c r="MN107" s="33"/>
      <c r="MO107" s="33"/>
      <c r="MP107" s="33"/>
      <c r="MQ107" s="33"/>
      <c r="MR107" s="33"/>
      <c r="MS107" s="33"/>
      <c r="MT107" s="33"/>
      <c r="MU107" s="33"/>
      <c r="MV107" s="33"/>
    </row>
    <row r="108" spans="1:360" ht="0.75" customHeight="1" x14ac:dyDescent="0.25">
      <c r="A108" s="33"/>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33"/>
      <c r="CA108" s="33"/>
      <c r="CB108" s="33"/>
      <c r="CC108" s="33"/>
      <c r="CD108" s="33"/>
      <c r="CE108" s="33"/>
      <c r="CF108" s="33"/>
      <c r="CG108" s="33"/>
      <c r="CH108" s="33"/>
      <c r="CI108" s="33"/>
      <c r="CJ108" s="33"/>
      <c r="CK108" s="33"/>
      <c r="CL108" s="33"/>
      <c r="CM108" s="33"/>
      <c r="CN108" s="33"/>
      <c r="CO108" s="33"/>
      <c r="CP108" s="33"/>
      <c r="CQ108" s="33"/>
      <c r="CR108" s="33"/>
      <c r="CS108" s="33"/>
      <c r="CT108" s="33"/>
      <c r="CU108" s="33"/>
      <c r="CV108" s="33"/>
      <c r="CW108" s="33"/>
      <c r="CX108" s="33"/>
      <c r="CY108" s="33"/>
      <c r="CZ108" s="33"/>
      <c r="DA108" s="33"/>
      <c r="DB108" s="33"/>
      <c r="DC108" s="33"/>
      <c r="DD108" s="33"/>
      <c r="DE108" s="33"/>
      <c r="DF108" s="33"/>
      <c r="DG108" s="33"/>
      <c r="DH108" s="33"/>
      <c r="DI108" s="33"/>
      <c r="DJ108" s="33"/>
      <c r="DK108" s="33"/>
      <c r="DL108" s="33"/>
      <c r="DM108" s="33"/>
      <c r="DN108" s="33"/>
      <c r="DO108" s="33"/>
      <c r="DP108" s="33"/>
      <c r="DQ108" s="33"/>
      <c r="DR108" s="33"/>
      <c r="DS108" s="33"/>
      <c r="DT108" s="33"/>
      <c r="DU108" s="33"/>
      <c r="DV108" s="33"/>
      <c r="DW108" s="33"/>
      <c r="DX108" s="33"/>
      <c r="DY108" s="33"/>
      <c r="DZ108" s="33"/>
      <c r="EA108" s="33"/>
      <c r="EB108" s="33"/>
      <c r="EC108" s="33"/>
      <c r="ED108" s="33"/>
      <c r="EE108" s="33"/>
      <c r="EF108" s="33"/>
      <c r="EG108" s="33"/>
      <c r="EH108" s="33"/>
      <c r="EI108" s="33"/>
      <c r="EJ108" s="33"/>
      <c r="EK108" s="33"/>
      <c r="EL108" s="33"/>
      <c r="EM108" s="33"/>
      <c r="EN108" s="33"/>
      <c r="EO108" s="33"/>
      <c r="EP108" s="33"/>
      <c r="EQ108" s="33"/>
      <c r="ER108" s="33"/>
      <c r="ES108" s="33"/>
      <c r="ET108" s="33"/>
      <c r="EU108" s="33"/>
      <c r="EV108" s="33"/>
      <c r="EW108" s="33"/>
      <c r="EX108" s="33"/>
      <c r="EY108" s="33"/>
      <c r="EZ108" s="33"/>
      <c r="FA108" s="33"/>
      <c r="FB108" s="33"/>
      <c r="FC108" s="33"/>
      <c r="FD108" s="33"/>
      <c r="FE108" s="33"/>
      <c r="FF108" s="33"/>
      <c r="FG108" s="33"/>
      <c r="FH108" s="33"/>
      <c r="FI108" s="33"/>
      <c r="FJ108" s="33"/>
      <c r="FK108" s="33"/>
      <c r="FL108" s="33"/>
      <c r="FM108" s="33"/>
      <c r="FN108" s="33"/>
      <c r="FO108" s="33"/>
      <c r="FP108" s="33"/>
      <c r="FQ108" s="33"/>
      <c r="FR108" s="33"/>
      <c r="FS108" s="33"/>
      <c r="FT108" s="33"/>
      <c r="FU108" s="33"/>
      <c r="FV108" s="33"/>
      <c r="FW108" s="33"/>
      <c r="FX108" s="33"/>
      <c r="FY108" s="33"/>
      <c r="FZ108" s="33"/>
      <c r="GA108" s="33"/>
      <c r="GB108" s="33"/>
      <c r="GC108" s="33"/>
      <c r="GD108" s="33"/>
      <c r="GE108" s="33"/>
      <c r="GF108" s="33"/>
      <c r="GG108" s="33"/>
      <c r="GH108" s="33"/>
      <c r="GI108" s="33"/>
      <c r="GJ108" s="33"/>
      <c r="GK108" s="33"/>
      <c r="GL108" s="33"/>
      <c r="GM108" s="33"/>
      <c r="GN108" s="33"/>
      <c r="GO108" s="33"/>
      <c r="GP108" s="33"/>
      <c r="GQ108" s="33"/>
      <c r="GR108" s="33"/>
      <c r="GS108" s="33"/>
      <c r="GT108" s="33"/>
      <c r="GU108" s="33"/>
      <c r="GV108" s="33"/>
      <c r="GW108" s="33"/>
      <c r="GX108" s="33"/>
      <c r="GY108" s="33"/>
      <c r="GZ108" s="33"/>
      <c r="HA108" s="33"/>
      <c r="HB108" s="33"/>
      <c r="HC108" s="33"/>
      <c r="HD108" s="33"/>
      <c r="HE108" s="33"/>
      <c r="HF108" s="33"/>
      <c r="HG108" s="33"/>
      <c r="HH108" s="33"/>
      <c r="HI108" s="33"/>
      <c r="HJ108" s="33"/>
      <c r="HK108" s="33"/>
      <c r="HL108" s="33"/>
      <c r="HM108" s="33"/>
      <c r="HN108" s="33"/>
      <c r="HO108" s="33"/>
      <c r="HP108" s="33"/>
      <c r="HQ108" s="33"/>
      <c r="HR108" s="33"/>
      <c r="HS108" s="33"/>
      <c r="HT108" s="33"/>
      <c r="HU108" s="33"/>
      <c r="HV108" s="33"/>
      <c r="HW108" s="33"/>
      <c r="HX108" s="33"/>
      <c r="HY108" s="33"/>
      <c r="HZ108" s="33"/>
      <c r="IA108" s="33"/>
      <c r="IB108" s="33"/>
      <c r="IC108" s="33"/>
      <c r="ID108" s="33"/>
      <c r="IE108" s="33"/>
      <c r="IF108" s="33"/>
      <c r="IG108" s="33"/>
      <c r="IH108" s="33"/>
      <c r="II108" s="33"/>
      <c r="IJ108" s="33"/>
      <c r="IK108" s="33"/>
      <c r="IL108" s="33"/>
      <c r="IM108" s="33"/>
      <c r="IN108" s="33"/>
      <c r="IO108" s="33"/>
      <c r="IP108" s="33"/>
      <c r="IQ108" s="33"/>
      <c r="IR108" s="33"/>
      <c r="IS108" s="33"/>
      <c r="IT108" s="33"/>
      <c r="IU108" s="33"/>
      <c r="IV108" s="33"/>
      <c r="IW108" s="33"/>
      <c r="IX108" s="33"/>
      <c r="IY108" s="33"/>
      <c r="IZ108" s="33"/>
      <c r="JA108" s="33"/>
      <c r="JB108" s="33"/>
      <c r="JC108" s="33"/>
      <c r="JD108" s="33"/>
      <c r="JE108" s="33"/>
      <c r="JF108" s="33"/>
      <c r="JG108" s="33"/>
      <c r="JH108" s="33"/>
      <c r="JI108" s="33"/>
      <c r="JJ108" s="33"/>
      <c r="JK108" s="33"/>
      <c r="JL108" s="33"/>
      <c r="JM108" s="33"/>
      <c r="JN108" s="33"/>
      <c r="JO108" s="33"/>
      <c r="JP108" s="33"/>
      <c r="JQ108" s="33"/>
      <c r="JR108" s="33"/>
      <c r="JS108" s="33"/>
      <c r="JT108" s="33"/>
      <c r="JU108" s="33"/>
      <c r="JV108" s="33"/>
      <c r="JW108" s="33"/>
      <c r="JX108" s="33"/>
      <c r="JY108" s="33"/>
      <c r="JZ108" s="33"/>
      <c r="KA108" s="33"/>
      <c r="KB108" s="33"/>
      <c r="KC108" s="33"/>
      <c r="KD108" s="33"/>
      <c r="KE108" s="33"/>
      <c r="KF108" s="33"/>
      <c r="KG108" s="33"/>
      <c r="KH108" s="33"/>
      <c r="KI108" s="33"/>
      <c r="KJ108" s="33"/>
      <c r="KK108" s="33"/>
      <c r="KL108" s="33"/>
      <c r="KM108" s="33"/>
      <c r="KN108" s="33"/>
      <c r="KO108" s="33"/>
      <c r="KP108" s="33"/>
      <c r="KQ108" s="33"/>
      <c r="KR108" s="33"/>
      <c r="KS108" s="33"/>
      <c r="KT108" s="33"/>
      <c r="KU108" s="33"/>
      <c r="KV108" s="33"/>
      <c r="KW108" s="33"/>
      <c r="KX108" s="33"/>
      <c r="KY108" s="33"/>
      <c r="KZ108" s="33"/>
      <c r="LA108" s="33"/>
      <c r="LB108" s="33"/>
      <c r="LC108" s="33"/>
      <c r="LD108" s="33"/>
      <c r="LE108" s="33"/>
      <c r="LF108" s="33"/>
      <c r="LG108" s="33"/>
      <c r="LH108" s="33"/>
      <c r="LI108" s="33"/>
      <c r="LJ108" s="33"/>
      <c r="LK108" s="33"/>
      <c r="LL108" s="33"/>
      <c r="LM108" s="33"/>
      <c r="LN108" s="33"/>
      <c r="LO108" s="33"/>
      <c r="LP108" s="33"/>
      <c r="LQ108" s="33"/>
      <c r="LR108" s="33"/>
      <c r="LS108" s="33"/>
      <c r="LT108" s="33"/>
      <c r="LU108" s="33"/>
      <c r="LV108" s="33"/>
      <c r="LW108" s="33"/>
      <c r="LX108" s="33"/>
      <c r="LY108" s="33"/>
      <c r="LZ108" s="33"/>
      <c r="MA108" s="33"/>
      <c r="MB108" s="33"/>
      <c r="MC108" s="33"/>
      <c r="MD108" s="33"/>
      <c r="ME108" s="33"/>
      <c r="MF108" s="33"/>
      <c r="MG108" s="33"/>
      <c r="MH108" s="33"/>
      <c r="MI108" s="33"/>
      <c r="MJ108" s="33"/>
      <c r="MK108" s="33"/>
      <c r="ML108" s="33"/>
      <c r="MM108" s="33"/>
      <c r="MN108" s="33"/>
      <c r="MO108" s="33"/>
      <c r="MP108" s="33"/>
      <c r="MQ108" s="33"/>
      <c r="MR108" s="33"/>
      <c r="MS108" s="33"/>
      <c r="MT108" s="33"/>
      <c r="MU108" s="33"/>
      <c r="MV108" s="33"/>
    </row>
    <row r="109" spans="1:360" ht="0.75" customHeight="1" x14ac:dyDescent="0.25">
      <c r="A109" s="33"/>
      <c r="B109" s="33"/>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33"/>
      <c r="CA109" s="33"/>
      <c r="CB109" s="33"/>
      <c r="CC109" s="33"/>
      <c r="CD109" s="33"/>
      <c r="CE109" s="33"/>
      <c r="CF109" s="33"/>
      <c r="CG109" s="33"/>
      <c r="CH109" s="33"/>
      <c r="CI109" s="33"/>
      <c r="CJ109" s="33"/>
      <c r="CK109" s="33"/>
      <c r="CL109" s="33"/>
      <c r="CM109" s="33"/>
      <c r="CN109" s="33"/>
      <c r="CO109" s="33"/>
      <c r="CP109" s="33"/>
      <c r="CQ109" s="33"/>
      <c r="CR109" s="33"/>
      <c r="CS109" s="33"/>
      <c r="CT109" s="33"/>
      <c r="CU109" s="33"/>
      <c r="CV109" s="33"/>
      <c r="CW109" s="33"/>
      <c r="CX109" s="33"/>
      <c r="CY109" s="33"/>
      <c r="CZ109" s="33"/>
      <c r="DA109" s="33"/>
      <c r="DB109" s="33"/>
      <c r="DC109" s="33"/>
      <c r="DD109" s="33"/>
      <c r="DE109" s="33"/>
      <c r="DF109" s="33"/>
      <c r="DG109" s="33"/>
      <c r="DH109" s="33"/>
      <c r="DI109" s="33"/>
      <c r="DJ109" s="33"/>
      <c r="DK109" s="33"/>
      <c r="DL109" s="33"/>
      <c r="DM109" s="33"/>
      <c r="DN109" s="33"/>
      <c r="DO109" s="33"/>
      <c r="DP109" s="33"/>
      <c r="DQ109" s="33"/>
      <c r="DR109" s="33"/>
      <c r="DS109" s="33"/>
      <c r="DT109" s="33"/>
      <c r="DU109" s="33"/>
      <c r="DV109" s="33"/>
      <c r="DW109" s="33"/>
      <c r="DX109" s="33"/>
      <c r="DY109" s="33"/>
      <c r="DZ109" s="33"/>
      <c r="EA109" s="33"/>
      <c r="EB109" s="33"/>
      <c r="EC109" s="33"/>
      <c r="ED109" s="33"/>
      <c r="EE109" s="33"/>
      <c r="EF109" s="33"/>
      <c r="EG109" s="33"/>
      <c r="EH109" s="33"/>
      <c r="EI109" s="33"/>
      <c r="EJ109" s="33"/>
      <c r="EK109" s="33"/>
      <c r="EL109" s="33"/>
      <c r="EM109" s="33"/>
      <c r="EN109" s="33"/>
      <c r="EO109" s="33"/>
      <c r="EP109" s="33"/>
      <c r="EQ109" s="33"/>
      <c r="ER109" s="33"/>
      <c r="ES109" s="33"/>
      <c r="ET109" s="33"/>
      <c r="EU109" s="33"/>
      <c r="EV109" s="33"/>
      <c r="EW109" s="33"/>
      <c r="EX109" s="33"/>
      <c r="EY109" s="33"/>
      <c r="EZ109" s="33"/>
      <c r="FA109" s="33"/>
      <c r="FB109" s="33"/>
      <c r="FC109" s="33"/>
      <c r="FD109" s="33"/>
      <c r="FE109" s="33"/>
      <c r="FF109" s="33"/>
      <c r="FG109" s="33"/>
      <c r="FH109" s="33"/>
      <c r="FI109" s="33"/>
      <c r="FJ109" s="33"/>
      <c r="FK109" s="33"/>
      <c r="FL109" s="33"/>
      <c r="FM109" s="33"/>
      <c r="FN109" s="33"/>
      <c r="FO109" s="33"/>
      <c r="FP109" s="33"/>
      <c r="FQ109" s="33"/>
      <c r="FR109" s="33"/>
      <c r="FS109" s="33"/>
      <c r="FT109" s="33"/>
      <c r="FU109" s="33"/>
      <c r="FV109" s="33"/>
      <c r="FW109" s="33"/>
      <c r="FX109" s="33"/>
      <c r="FY109" s="33"/>
      <c r="FZ109" s="33"/>
      <c r="GA109" s="33"/>
      <c r="GB109" s="33"/>
      <c r="GC109" s="33"/>
      <c r="GD109" s="33"/>
      <c r="GE109" s="33"/>
      <c r="GF109" s="33"/>
      <c r="GG109" s="33"/>
      <c r="GH109" s="33"/>
      <c r="GI109" s="33"/>
      <c r="GJ109" s="33"/>
      <c r="GK109" s="33"/>
      <c r="GL109" s="33"/>
      <c r="GM109" s="33"/>
      <c r="GN109" s="33"/>
      <c r="GO109" s="33"/>
      <c r="GP109" s="33"/>
      <c r="GQ109" s="33"/>
      <c r="GR109" s="33"/>
      <c r="GS109" s="33"/>
      <c r="GT109" s="33"/>
      <c r="GU109" s="33"/>
      <c r="GV109" s="33"/>
      <c r="GW109" s="33"/>
      <c r="GX109" s="33"/>
      <c r="GY109" s="33"/>
      <c r="GZ109" s="33"/>
      <c r="HA109" s="33"/>
      <c r="HB109" s="33"/>
      <c r="HC109" s="33"/>
      <c r="HD109" s="33"/>
      <c r="HE109" s="33"/>
      <c r="HF109" s="33"/>
      <c r="HG109" s="33"/>
      <c r="HH109" s="33"/>
      <c r="HI109" s="33"/>
      <c r="HJ109" s="33"/>
      <c r="HK109" s="33"/>
      <c r="HL109" s="33"/>
      <c r="HM109" s="33"/>
      <c r="HN109" s="33"/>
      <c r="HO109" s="33"/>
      <c r="HP109" s="33"/>
      <c r="HQ109" s="33"/>
      <c r="HR109" s="33"/>
      <c r="HS109" s="33"/>
      <c r="HT109" s="33"/>
      <c r="HU109" s="33"/>
      <c r="HV109" s="33"/>
      <c r="HW109" s="33"/>
      <c r="HX109" s="33"/>
      <c r="HY109" s="33"/>
      <c r="HZ109" s="33"/>
      <c r="IA109" s="33"/>
      <c r="IB109" s="33"/>
      <c r="IC109" s="33"/>
      <c r="ID109" s="33"/>
      <c r="IE109" s="33"/>
      <c r="IF109" s="33"/>
      <c r="IG109" s="33"/>
      <c r="IH109" s="33"/>
      <c r="II109" s="33"/>
      <c r="IJ109" s="33"/>
      <c r="IK109" s="33"/>
      <c r="IL109" s="33"/>
      <c r="IM109" s="33"/>
      <c r="IN109" s="33"/>
      <c r="IO109" s="33"/>
      <c r="IP109" s="33"/>
      <c r="IQ109" s="33"/>
      <c r="IR109" s="33"/>
      <c r="IS109" s="33"/>
      <c r="IT109" s="33"/>
      <c r="IU109" s="33"/>
      <c r="IV109" s="33"/>
      <c r="IW109" s="33"/>
      <c r="IX109" s="33"/>
      <c r="IY109" s="33"/>
      <c r="IZ109" s="33"/>
      <c r="JA109" s="33"/>
      <c r="JB109" s="33"/>
      <c r="JC109" s="33"/>
      <c r="JD109" s="33"/>
      <c r="JE109" s="33"/>
      <c r="JF109" s="33"/>
      <c r="JG109" s="33"/>
      <c r="JH109" s="33"/>
      <c r="JI109" s="33"/>
      <c r="JJ109" s="33"/>
      <c r="JK109" s="33"/>
      <c r="JL109" s="33"/>
      <c r="JM109" s="33"/>
      <c r="JN109" s="33"/>
      <c r="JO109" s="33"/>
      <c r="JP109" s="33"/>
      <c r="JQ109" s="33"/>
      <c r="JR109" s="33"/>
      <c r="JS109" s="33"/>
      <c r="JT109" s="33"/>
      <c r="JU109" s="33"/>
      <c r="JV109" s="33"/>
      <c r="JW109" s="33"/>
      <c r="JX109" s="33"/>
      <c r="JY109" s="33"/>
      <c r="JZ109" s="33"/>
      <c r="KA109" s="33"/>
      <c r="KB109" s="33"/>
      <c r="KC109" s="33"/>
      <c r="KD109" s="33"/>
      <c r="KE109" s="33"/>
      <c r="KF109" s="33"/>
      <c r="KG109" s="33"/>
      <c r="KH109" s="33"/>
      <c r="KI109" s="33"/>
      <c r="KJ109" s="33"/>
      <c r="KK109" s="33"/>
      <c r="KL109" s="33"/>
      <c r="KM109" s="33"/>
      <c r="KN109" s="33"/>
      <c r="KO109" s="33"/>
      <c r="KP109" s="33"/>
      <c r="KQ109" s="33"/>
      <c r="KR109" s="33"/>
      <c r="KS109" s="33"/>
      <c r="KT109" s="33"/>
      <c r="KU109" s="33"/>
      <c r="KV109" s="33"/>
      <c r="KW109" s="33"/>
      <c r="KX109" s="33"/>
      <c r="KY109" s="33"/>
      <c r="KZ109" s="33"/>
      <c r="LA109" s="33"/>
      <c r="LB109" s="33"/>
      <c r="LC109" s="33"/>
      <c r="LD109" s="33"/>
      <c r="LE109" s="33"/>
      <c r="LF109" s="33"/>
      <c r="LG109" s="33"/>
      <c r="LH109" s="33"/>
      <c r="LI109" s="33"/>
      <c r="LJ109" s="33"/>
      <c r="LK109" s="33"/>
      <c r="LL109" s="33"/>
      <c r="LM109" s="33"/>
      <c r="LN109" s="33"/>
      <c r="LO109" s="33"/>
      <c r="LP109" s="33"/>
      <c r="LQ109" s="33"/>
      <c r="LR109" s="33"/>
      <c r="LS109" s="33"/>
      <c r="LT109" s="33"/>
      <c r="LU109" s="33"/>
      <c r="LV109" s="33"/>
      <c r="LW109" s="33"/>
      <c r="LX109" s="33"/>
      <c r="LY109" s="33"/>
      <c r="LZ109" s="33"/>
      <c r="MA109" s="33"/>
      <c r="MB109" s="33"/>
      <c r="MC109" s="33"/>
      <c r="MD109" s="33"/>
      <c r="ME109" s="33"/>
      <c r="MF109" s="33"/>
      <c r="MG109" s="33"/>
      <c r="MH109" s="33"/>
      <c r="MI109" s="33"/>
      <c r="MJ109" s="33"/>
      <c r="MK109" s="33"/>
      <c r="ML109" s="33"/>
      <c r="MM109" s="33"/>
      <c r="MN109" s="33"/>
      <c r="MO109" s="33"/>
      <c r="MP109" s="33"/>
      <c r="MQ109" s="33"/>
      <c r="MR109" s="33"/>
      <c r="MS109" s="33"/>
      <c r="MT109" s="33"/>
      <c r="MU109" s="33"/>
      <c r="MV109" s="33"/>
    </row>
    <row r="110" spans="1:360" ht="0.75" customHeight="1" x14ac:dyDescent="0.25">
      <c r="A110" s="33"/>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c r="BZ110" s="33"/>
      <c r="CA110" s="33"/>
      <c r="CB110" s="33"/>
      <c r="CC110" s="33"/>
      <c r="CD110" s="33"/>
      <c r="CE110" s="33"/>
      <c r="CF110" s="33"/>
      <c r="CG110" s="33"/>
      <c r="CH110" s="33"/>
      <c r="CI110" s="33"/>
      <c r="CJ110" s="33"/>
      <c r="CK110" s="33"/>
      <c r="CL110" s="33"/>
      <c r="CM110" s="33"/>
      <c r="CN110" s="33"/>
      <c r="CO110" s="33"/>
      <c r="CP110" s="33"/>
      <c r="CQ110" s="33"/>
      <c r="CR110" s="33"/>
      <c r="CS110" s="33"/>
      <c r="CT110" s="33"/>
      <c r="CU110" s="33"/>
      <c r="CV110" s="33"/>
      <c r="CW110" s="33"/>
      <c r="CX110" s="33"/>
      <c r="CY110" s="33"/>
      <c r="CZ110" s="33"/>
      <c r="DA110" s="33"/>
      <c r="DB110" s="33"/>
      <c r="DC110" s="33"/>
      <c r="DD110" s="33"/>
      <c r="DE110" s="33"/>
      <c r="DF110" s="33"/>
      <c r="DG110" s="33"/>
      <c r="DH110" s="33"/>
      <c r="DI110" s="33"/>
      <c r="DJ110" s="33"/>
      <c r="DK110" s="33"/>
      <c r="DL110" s="33"/>
      <c r="DM110" s="33"/>
      <c r="DN110" s="33"/>
      <c r="DO110" s="33"/>
      <c r="DP110" s="33"/>
      <c r="DQ110" s="33"/>
      <c r="DR110" s="33"/>
      <c r="DS110" s="33"/>
      <c r="DT110" s="33"/>
      <c r="DU110" s="33"/>
      <c r="DV110" s="33"/>
      <c r="DW110" s="33"/>
      <c r="DX110" s="33"/>
      <c r="DY110" s="33"/>
      <c r="DZ110" s="33"/>
      <c r="EA110" s="33"/>
      <c r="EB110" s="33"/>
      <c r="EC110" s="33"/>
      <c r="ED110" s="33"/>
      <c r="EE110" s="33"/>
      <c r="EF110" s="33"/>
      <c r="EG110" s="33"/>
      <c r="EH110" s="33"/>
      <c r="EI110" s="33"/>
      <c r="EJ110" s="33"/>
      <c r="EK110" s="33"/>
      <c r="EL110" s="33"/>
      <c r="EM110" s="33"/>
      <c r="EN110" s="33"/>
      <c r="EO110" s="33"/>
      <c r="EP110" s="33"/>
      <c r="EQ110" s="33"/>
      <c r="ER110" s="33"/>
      <c r="ES110" s="33"/>
      <c r="ET110" s="33"/>
      <c r="EU110" s="33"/>
      <c r="EV110" s="33"/>
      <c r="EW110" s="33"/>
      <c r="EX110" s="33"/>
      <c r="EY110" s="33"/>
      <c r="EZ110" s="33"/>
      <c r="FA110" s="33"/>
      <c r="FB110" s="33"/>
      <c r="FC110" s="33"/>
      <c r="FD110" s="33"/>
      <c r="FE110" s="33"/>
      <c r="FF110" s="33"/>
      <c r="FG110" s="33"/>
      <c r="FH110" s="33"/>
      <c r="FI110" s="33"/>
      <c r="FJ110" s="33"/>
      <c r="FK110" s="33"/>
      <c r="FL110" s="33"/>
      <c r="FM110" s="33"/>
      <c r="FN110" s="33"/>
      <c r="FO110" s="33"/>
      <c r="FP110" s="33"/>
      <c r="FQ110" s="33"/>
      <c r="FR110" s="33"/>
      <c r="FS110" s="33"/>
      <c r="FT110" s="33"/>
      <c r="FU110" s="33"/>
      <c r="FV110" s="33"/>
      <c r="FW110" s="33"/>
      <c r="FX110" s="33"/>
      <c r="FY110" s="33"/>
      <c r="FZ110" s="33"/>
      <c r="GA110" s="33"/>
      <c r="GB110" s="33"/>
      <c r="GC110" s="33"/>
      <c r="GD110" s="33"/>
      <c r="GE110" s="33"/>
      <c r="GF110" s="33"/>
      <c r="GG110" s="33"/>
      <c r="GH110" s="33"/>
      <c r="GI110" s="33"/>
      <c r="GJ110" s="33"/>
      <c r="GK110" s="33"/>
      <c r="GL110" s="33"/>
      <c r="GM110" s="33"/>
      <c r="GN110" s="33"/>
      <c r="GO110" s="33"/>
      <c r="GP110" s="33"/>
      <c r="GQ110" s="33"/>
      <c r="GR110" s="33"/>
      <c r="GS110" s="33"/>
      <c r="GT110" s="33"/>
      <c r="GU110" s="33"/>
      <c r="GV110" s="33"/>
      <c r="GW110" s="33"/>
      <c r="GX110" s="33"/>
      <c r="GY110" s="33"/>
      <c r="GZ110" s="33"/>
      <c r="HA110" s="33"/>
      <c r="HB110" s="33"/>
      <c r="HC110" s="33"/>
      <c r="HD110" s="33"/>
      <c r="HE110" s="33"/>
      <c r="HF110" s="33"/>
      <c r="HG110" s="33"/>
      <c r="HH110" s="33"/>
      <c r="HI110" s="33"/>
      <c r="HJ110" s="33"/>
      <c r="HK110" s="33"/>
      <c r="HL110" s="33"/>
      <c r="HM110" s="33"/>
      <c r="HN110" s="33"/>
      <c r="HO110" s="33"/>
      <c r="HP110" s="33"/>
      <c r="HQ110" s="33"/>
      <c r="HR110" s="33"/>
      <c r="HS110" s="33"/>
      <c r="HT110" s="33"/>
      <c r="HU110" s="33"/>
      <c r="HV110" s="33"/>
      <c r="HW110" s="33"/>
      <c r="HX110" s="33"/>
      <c r="HY110" s="33"/>
      <c r="HZ110" s="33"/>
      <c r="IA110" s="33"/>
      <c r="IB110" s="33"/>
      <c r="IC110" s="33"/>
      <c r="ID110" s="33"/>
      <c r="IE110" s="33"/>
      <c r="IF110" s="33"/>
      <c r="IG110" s="33"/>
      <c r="IH110" s="33"/>
      <c r="II110" s="33"/>
      <c r="IJ110" s="33"/>
      <c r="IK110" s="33"/>
      <c r="IL110" s="33"/>
      <c r="IM110" s="33"/>
      <c r="IN110" s="33"/>
      <c r="IO110" s="33"/>
      <c r="IP110" s="33"/>
      <c r="IQ110" s="33"/>
      <c r="IR110" s="33"/>
      <c r="IS110" s="33"/>
      <c r="IT110" s="33"/>
      <c r="IU110" s="33"/>
      <c r="IV110" s="33"/>
      <c r="IW110" s="33"/>
      <c r="IX110" s="33"/>
      <c r="IY110" s="33"/>
      <c r="IZ110" s="33"/>
      <c r="JA110" s="33"/>
      <c r="JB110" s="33"/>
      <c r="JC110" s="33"/>
      <c r="JD110" s="33"/>
      <c r="JE110" s="33"/>
      <c r="JF110" s="33"/>
      <c r="JG110" s="33"/>
      <c r="JH110" s="33"/>
      <c r="JI110" s="33"/>
      <c r="JJ110" s="33"/>
      <c r="JK110" s="33"/>
      <c r="JL110" s="33"/>
      <c r="JM110" s="33"/>
      <c r="JN110" s="33"/>
      <c r="JO110" s="33"/>
      <c r="JP110" s="33"/>
      <c r="JQ110" s="33"/>
      <c r="JR110" s="33"/>
      <c r="JS110" s="33"/>
      <c r="JT110" s="33"/>
      <c r="JU110" s="33"/>
      <c r="JV110" s="33"/>
      <c r="JW110" s="33"/>
      <c r="JX110" s="33"/>
      <c r="JY110" s="33"/>
      <c r="JZ110" s="33"/>
      <c r="KA110" s="33"/>
      <c r="KB110" s="33"/>
      <c r="KC110" s="33"/>
      <c r="KD110" s="33"/>
      <c r="KE110" s="33"/>
      <c r="KF110" s="33"/>
      <c r="KG110" s="33"/>
      <c r="KH110" s="33"/>
      <c r="KI110" s="33"/>
      <c r="KJ110" s="33"/>
      <c r="KK110" s="33"/>
      <c r="KL110" s="33"/>
      <c r="KM110" s="33"/>
      <c r="KN110" s="33"/>
      <c r="KO110" s="33"/>
      <c r="KP110" s="33"/>
      <c r="KQ110" s="33"/>
      <c r="KR110" s="33"/>
      <c r="KS110" s="33"/>
      <c r="KT110" s="33"/>
      <c r="KU110" s="33"/>
      <c r="KV110" s="33"/>
      <c r="KW110" s="33"/>
      <c r="KX110" s="33"/>
      <c r="KY110" s="33"/>
      <c r="KZ110" s="33"/>
      <c r="LA110" s="33"/>
      <c r="LB110" s="33"/>
      <c r="LC110" s="33"/>
      <c r="LD110" s="33"/>
      <c r="LE110" s="33"/>
      <c r="LF110" s="33"/>
      <c r="LG110" s="33"/>
      <c r="LH110" s="33"/>
      <c r="LI110" s="33"/>
      <c r="LJ110" s="33"/>
      <c r="LK110" s="33"/>
      <c r="LL110" s="33"/>
      <c r="LM110" s="33"/>
      <c r="LN110" s="33"/>
      <c r="LO110" s="33"/>
      <c r="LP110" s="33"/>
      <c r="LQ110" s="33"/>
      <c r="LR110" s="33"/>
      <c r="LS110" s="33"/>
      <c r="LT110" s="33"/>
      <c r="LU110" s="33"/>
      <c r="LV110" s="33"/>
      <c r="LW110" s="33"/>
      <c r="LX110" s="33"/>
      <c r="LY110" s="33"/>
      <c r="LZ110" s="33"/>
      <c r="MA110" s="33"/>
      <c r="MB110" s="33"/>
      <c r="MC110" s="33"/>
      <c r="MD110" s="33"/>
      <c r="ME110" s="33"/>
      <c r="MF110" s="33"/>
      <c r="MG110" s="33"/>
      <c r="MH110" s="33"/>
      <c r="MI110" s="33"/>
      <c r="MJ110" s="33"/>
      <c r="MK110" s="33"/>
      <c r="ML110" s="33"/>
      <c r="MM110" s="33"/>
      <c r="MN110" s="33"/>
      <c r="MO110" s="33"/>
      <c r="MP110" s="33"/>
      <c r="MQ110" s="33"/>
      <c r="MR110" s="33"/>
      <c r="MS110" s="33"/>
      <c r="MT110" s="33"/>
      <c r="MU110" s="33"/>
      <c r="MV110" s="33"/>
    </row>
    <row r="111" spans="1:360" ht="0.75" customHeight="1" x14ac:dyDescent="0.25">
      <c r="A111" s="33"/>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33"/>
      <c r="BT111" s="33"/>
      <c r="BU111" s="33"/>
      <c r="BV111" s="33"/>
      <c r="BW111" s="33"/>
      <c r="BX111" s="33"/>
      <c r="BY111" s="33"/>
      <c r="BZ111" s="33"/>
      <c r="CA111" s="33"/>
      <c r="CB111" s="33"/>
      <c r="CC111" s="33"/>
      <c r="CD111" s="33"/>
      <c r="CE111" s="33"/>
      <c r="CF111" s="33"/>
      <c r="CG111" s="33"/>
      <c r="CH111" s="33"/>
      <c r="CI111" s="33"/>
      <c r="CJ111" s="33"/>
      <c r="CK111" s="33"/>
      <c r="CL111" s="33"/>
      <c r="CM111" s="33"/>
      <c r="CN111" s="33"/>
      <c r="CO111" s="33"/>
      <c r="CP111" s="33"/>
      <c r="CQ111" s="33"/>
      <c r="CR111" s="33"/>
      <c r="CS111" s="33"/>
      <c r="CT111" s="33"/>
      <c r="CU111" s="33"/>
      <c r="CV111" s="33"/>
      <c r="CW111" s="33"/>
      <c r="CX111" s="33"/>
      <c r="CY111" s="33"/>
      <c r="CZ111" s="33"/>
      <c r="DA111" s="33"/>
      <c r="DB111" s="33"/>
      <c r="DC111" s="33"/>
      <c r="DD111" s="33"/>
      <c r="DE111" s="33"/>
      <c r="DF111" s="33"/>
      <c r="DG111" s="33"/>
      <c r="DH111" s="33"/>
      <c r="DI111" s="33"/>
      <c r="DJ111" s="33"/>
      <c r="DK111" s="33"/>
      <c r="DL111" s="33"/>
      <c r="DM111" s="33"/>
      <c r="DN111" s="33"/>
      <c r="DO111" s="33"/>
      <c r="DP111" s="33"/>
      <c r="DQ111" s="33"/>
      <c r="DR111" s="33"/>
      <c r="DS111" s="33"/>
      <c r="DT111" s="33"/>
      <c r="DU111" s="33"/>
      <c r="DV111" s="33"/>
      <c r="DW111" s="33"/>
      <c r="DX111" s="33"/>
      <c r="DY111" s="33"/>
      <c r="DZ111" s="33"/>
      <c r="EA111" s="33"/>
      <c r="EB111" s="33"/>
      <c r="EC111" s="33"/>
      <c r="ED111" s="33"/>
      <c r="EE111" s="33"/>
      <c r="EF111" s="33"/>
      <c r="EG111" s="33"/>
      <c r="EH111" s="33"/>
      <c r="EI111" s="33"/>
      <c r="EJ111" s="33"/>
      <c r="EK111" s="33"/>
      <c r="EL111" s="33"/>
      <c r="EM111" s="33"/>
      <c r="EN111" s="33"/>
      <c r="EO111" s="33"/>
      <c r="EP111" s="33"/>
      <c r="EQ111" s="33"/>
      <c r="ER111" s="33"/>
      <c r="ES111" s="33"/>
      <c r="ET111" s="33"/>
      <c r="EU111" s="33"/>
      <c r="EV111" s="33"/>
      <c r="EW111" s="33"/>
      <c r="EX111" s="33"/>
      <c r="EY111" s="33"/>
      <c r="EZ111" s="33"/>
      <c r="FA111" s="33"/>
      <c r="FB111" s="33"/>
      <c r="FC111" s="33"/>
      <c r="FD111" s="33"/>
      <c r="FE111" s="33"/>
      <c r="FF111" s="33"/>
      <c r="FG111" s="33"/>
      <c r="FH111" s="33"/>
      <c r="FI111" s="33"/>
      <c r="FJ111" s="33"/>
      <c r="FK111" s="33"/>
      <c r="FL111" s="33"/>
      <c r="FM111" s="33"/>
      <c r="FN111" s="33"/>
      <c r="FO111" s="33"/>
      <c r="FP111" s="33"/>
      <c r="FQ111" s="33"/>
      <c r="FR111" s="33"/>
      <c r="FS111" s="33"/>
      <c r="FT111" s="33"/>
      <c r="FU111" s="33"/>
      <c r="FV111" s="33"/>
      <c r="FW111" s="33"/>
      <c r="FX111" s="33"/>
      <c r="FY111" s="33"/>
      <c r="FZ111" s="33"/>
      <c r="GA111" s="33"/>
      <c r="GB111" s="33"/>
      <c r="GC111" s="33"/>
      <c r="GD111" s="33"/>
      <c r="GE111" s="33"/>
      <c r="GF111" s="33"/>
      <c r="GG111" s="33"/>
      <c r="GH111" s="33"/>
      <c r="GI111" s="33"/>
      <c r="GJ111" s="33"/>
      <c r="GK111" s="33"/>
      <c r="GL111" s="33"/>
      <c r="GM111" s="33"/>
      <c r="GN111" s="33"/>
      <c r="GO111" s="33"/>
      <c r="GP111" s="33"/>
      <c r="GQ111" s="33"/>
      <c r="GR111" s="33"/>
      <c r="GS111" s="33"/>
      <c r="GT111" s="33"/>
      <c r="GU111" s="33"/>
      <c r="GV111" s="33"/>
      <c r="GW111" s="33"/>
      <c r="GX111" s="33"/>
      <c r="GY111" s="33"/>
      <c r="GZ111" s="33"/>
      <c r="HA111" s="33"/>
      <c r="HB111" s="33"/>
      <c r="HC111" s="33"/>
      <c r="HD111" s="33"/>
      <c r="HE111" s="33"/>
      <c r="HF111" s="33"/>
      <c r="HG111" s="33"/>
      <c r="HH111" s="33"/>
      <c r="HI111" s="33"/>
      <c r="HJ111" s="33"/>
      <c r="HK111" s="33"/>
      <c r="HL111" s="33"/>
      <c r="HM111" s="33"/>
      <c r="HN111" s="33"/>
      <c r="HO111" s="33"/>
      <c r="HP111" s="33"/>
      <c r="HQ111" s="33"/>
      <c r="HR111" s="33"/>
      <c r="HS111" s="33"/>
      <c r="HT111" s="33"/>
      <c r="HU111" s="33"/>
      <c r="HV111" s="33"/>
      <c r="HW111" s="33"/>
      <c r="HX111" s="33"/>
      <c r="HY111" s="33"/>
      <c r="HZ111" s="33"/>
      <c r="IA111" s="33"/>
      <c r="IB111" s="33"/>
      <c r="IC111" s="33"/>
      <c r="ID111" s="33"/>
      <c r="IE111" s="33"/>
      <c r="IF111" s="33"/>
      <c r="IG111" s="33"/>
      <c r="IH111" s="33"/>
      <c r="II111" s="33"/>
      <c r="IJ111" s="33"/>
      <c r="IK111" s="33"/>
      <c r="IL111" s="33"/>
      <c r="IM111" s="33"/>
      <c r="IN111" s="33"/>
      <c r="IO111" s="33"/>
      <c r="IP111" s="33"/>
      <c r="IQ111" s="33"/>
      <c r="IR111" s="33"/>
      <c r="IS111" s="33"/>
      <c r="IT111" s="33"/>
      <c r="IU111" s="33"/>
      <c r="IV111" s="33"/>
      <c r="IW111" s="33"/>
      <c r="IX111" s="33"/>
      <c r="IY111" s="33"/>
      <c r="IZ111" s="33"/>
      <c r="JA111" s="33"/>
      <c r="JB111" s="33"/>
      <c r="JC111" s="33"/>
      <c r="JD111" s="33"/>
      <c r="JE111" s="33"/>
      <c r="JF111" s="33"/>
      <c r="JG111" s="33"/>
      <c r="JH111" s="33"/>
      <c r="JI111" s="33"/>
      <c r="JJ111" s="33"/>
      <c r="JK111" s="33"/>
      <c r="JL111" s="33"/>
      <c r="JM111" s="33"/>
      <c r="JN111" s="33"/>
      <c r="JO111" s="33"/>
      <c r="JP111" s="33"/>
      <c r="JQ111" s="33"/>
      <c r="JR111" s="33"/>
      <c r="JS111" s="33"/>
      <c r="JT111" s="33"/>
      <c r="JU111" s="33"/>
      <c r="JV111" s="33"/>
      <c r="JW111" s="33"/>
      <c r="JX111" s="33"/>
      <c r="JY111" s="33"/>
      <c r="JZ111" s="33"/>
      <c r="KA111" s="33"/>
      <c r="KB111" s="33"/>
      <c r="KC111" s="33"/>
      <c r="KD111" s="33"/>
      <c r="KE111" s="33"/>
      <c r="KF111" s="33"/>
      <c r="KG111" s="33"/>
      <c r="KH111" s="33"/>
      <c r="KI111" s="33"/>
      <c r="KJ111" s="33"/>
      <c r="KK111" s="33"/>
      <c r="KL111" s="33"/>
      <c r="KM111" s="33"/>
      <c r="KN111" s="33"/>
      <c r="KO111" s="33"/>
      <c r="KP111" s="33"/>
      <c r="KQ111" s="33"/>
      <c r="KR111" s="33"/>
      <c r="KS111" s="33"/>
      <c r="KT111" s="33"/>
      <c r="KU111" s="33"/>
      <c r="KV111" s="33"/>
      <c r="KW111" s="33"/>
      <c r="KX111" s="33"/>
      <c r="KY111" s="33"/>
      <c r="KZ111" s="33"/>
      <c r="LA111" s="33"/>
      <c r="LB111" s="33"/>
      <c r="LC111" s="33"/>
      <c r="LD111" s="33"/>
      <c r="LE111" s="33"/>
      <c r="LF111" s="33"/>
      <c r="LG111" s="33"/>
      <c r="LH111" s="33"/>
      <c r="LI111" s="33"/>
      <c r="LJ111" s="33"/>
      <c r="LK111" s="33"/>
      <c r="LL111" s="33"/>
      <c r="LM111" s="33"/>
      <c r="LN111" s="33"/>
      <c r="LO111" s="33"/>
      <c r="LP111" s="33"/>
      <c r="LQ111" s="33"/>
      <c r="LR111" s="33"/>
      <c r="LS111" s="33"/>
      <c r="LT111" s="33"/>
      <c r="LU111" s="33"/>
      <c r="LV111" s="33"/>
      <c r="LW111" s="33"/>
      <c r="LX111" s="33"/>
      <c r="LY111" s="33"/>
      <c r="LZ111" s="33"/>
      <c r="MA111" s="33"/>
      <c r="MB111" s="33"/>
      <c r="MC111" s="33"/>
      <c r="MD111" s="33"/>
      <c r="ME111" s="33"/>
      <c r="MF111" s="33"/>
      <c r="MG111" s="33"/>
      <c r="MH111" s="33"/>
      <c r="MI111" s="33"/>
      <c r="MJ111" s="33"/>
      <c r="MK111" s="33"/>
      <c r="ML111" s="33"/>
      <c r="MM111" s="33"/>
      <c r="MN111" s="33"/>
      <c r="MO111" s="33"/>
      <c r="MP111" s="33"/>
      <c r="MQ111" s="33"/>
      <c r="MR111" s="33"/>
      <c r="MS111" s="33"/>
      <c r="MT111" s="33"/>
      <c r="MU111" s="33"/>
      <c r="MV111" s="33"/>
    </row>
    <row r="112" spans="1:360" ht="0.75" customHeight="1" x14ac:dyDescent="0.25">
      <c r="A112" s="33"/>
      <c r="B112" s="33"/>
      <c r="C112" s="33"/>
      <c r="D112" s="33"/>
      <c r="E112" s="33"/>
      <c r="F112" s="33"/>
      <c r="G112" s="33"/>
      <c r="H112" s="33"/>
      <c r="I112" s="33"/>
      <c r="J112" s="33"/>
      <c r="K112" s="33"/>
      <c r="L112" s="33"/>
      <c r="M112" s="33"/>
      <c r="N112" s="33"/>
      <c r="O112" s="33"/>
      <c r="P112" s="33"/>
      <c r="Q112" s="33"/>
      <c r="R112" s="33"/>
      <c r="S112" s="33"/>
      <c r="T112" s="33"/>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33"/>
      <c r="BT112" s="33"/>
      <c r="BU112" s="33"/>
      <c r="BV112" s="33"/>
      <c r="BW112" s="33"/>
      <c r="BX112" s="33"/>
      <c r="BY112" s="33"/>
      <c r="BZ112" s="33"/>
      <c r="CA112" s="33"/>
      <c r="CB112" s="33"/>
      <c r="CC112" s="33"/>
      <c r="CD112" s="33"/>
      <c r="CE112" s="33"/>
      <c r="CF112" s="33"/>
      <c r="CG112" s="33"/>
      <c r="CH112" s="33"/>
      <c r="CI112" s="33"/>
      <c r="CJ112" s="33"/>
      <c r="CK112" s="33"/>
      <c r="CL112" s="33"/>
      <c r="CM112" s="33"/>
      <c r="CN112" s="33"/>
      <c r="CO112" s="33"/>
      <c r="CP112" s="33"/>
      <c r="CQ112" s="33"/>
      <c r="CR112" s="33"/>
      <c r="CS112" s="33"/>
      <c r="CT112" s="33"/>
      <c r="CU112" s="33"/>
      <c r="CV112" s="33"/>
      <c r="CW112" s="33"/>
      <c r="CX112" s="33"/>
      <c r="CY112" s="33"/>
      <c r="CZ112" s="33"/>
      <c r="DA112" s="33"/>
      <c r="DB112" s="33"/>
      <c r="DC112" s="33"/>
      <c r="DD112" s="33"/>
      <c r="DE112" s="33"/>
      <c r="DF112" s="33"/>
      <c r="DG112" s="33"/>
      <c r="DH112" s="33"/>
      <c r="DI112" s="33"/>
      <c r="DJ112" s="33"/>
      <c r="DK112" s="33"/>
      <c r="DL112" s="33"/>
      <c r="DM112" s="33"/>
      <c r="DN112" s="33"/>
      <c r="DO112" s="33"/>
      <c r="DP112" s="33"/>
      <c r="DQ112" s="33"/>
      <c r="DR112" s="33"/>
      <c r="DS112" s="33"/>
      <c r="DT112" s="33"/>
      <c r="DU112" s="33"/>
      <c r="DV112" s="33"/>
      <c r="DW112" s="33"/>
      <c r="DX112" s="33"/>
      <c r="DY112" s="33"/>
      <c r="DZ112" s="33"/>
      <c r="EA112" s="33"/>
      <c r="EB112" s="33"/>
      <c r="EC112" s="33"/>
      <c r="ED112" s="33"/>
      <c r="EE112" s="33"/>
      <c r="EF112" s="33"/>
      <c r="EG112" s="33"/>
      <c r="EH112" s="33"/>
      <c r="EI112" s="33"/>
      <c r="EJ112" s="33"/>
      <c r="EK112" s="33"/>
      <c r="EL112" s="33"/>
      <c r="EM112" s="33"/>
      <c r="EN112" s="33"/>
      <c r="EO112" s="33"/>
      <c r="EP112" s="33"/>
      <c r="EQ112" s="33"/>
      <c r="ER112" s="33"/>
      <c r="ES112" s="33"/>
      <c r="ET112" s="33"/>
      <c r="EU112" s="33"/>
      <c r="EV112" s="33"/>
      <c r="EW112" s="33"/>
      <c r="EX112" s="33"/>
      <c r="EY112" s="33"/>
      <c r="EZ112" s="33"/>
      <c r="FA112" s="33"/>
      <c r="FB112" s="33"/>
      <c r="FC112" s="33"/>
      <c r="FD112" s="33"/>
      <c r="FE112" s="33"/>
      <c r="FF112" s="33"/>
      <c r="FG112" s="33"/>
      <c r="FH112" s="33"/>
      <c r="FI112" s="33"/>
      <c r="FJ112" s="33"/>
      <c r="FK112" s="33"/>
      <c r="FL112" s="33"/>
      <c r="FM112" s="33"/>
      <c r="FN112" s="33"/>
      <c r="FO112" s="33"/>
      <c r="FP112" s="33"/>
      <c r="FQ112" s="33"/>
      <c r="FR112" s="33"/>
      <c r="FS112" s="33"/>
      <c r="FT112" s="33"/>
      <c r="FU112" s="33"/>
      <c r="FV112" s="33"/>
      <c r="FW112" s="33"/>
      <c r="FX112" s="33"/>
      <c r="FY112" s="33"/>
      <c r="FZ112" s="33"/>
      <c r="GA112" s="33"/>
      <c r="GB112" s="33"/>
      <c r="GC112" s="33"/>
      <c r="GD112" s="33"/>
      <c r="GE112" s="33"/>
      <c r="GF112" s="33"/>
      <c r="GG112" s="33"/>
      <c r="GH112" s="33"/>
      <c r="GI112" s="33"/>
      <c r="GJ112" s="33"/>
      <c r="GK112" s="33"/>
      <c r="GL112" s="33"/>
      <c r="GM112" s="33"/>
      <c r="GN112" s="33"/>
      <c r="GO112" s="33"/>
      <c r="GP112" s="33"/>
      <c r="GQ112" s="33"/>
      <c r="GR112" s="33"/>
      <c r="GS112" s="33"/>
      <c r="GT112" s="33"/>
      <c r="GU112" s="33"/>
      <c r="GV112" s="33"/>
      <c r="GW112" s="33"/>
      <c r="GX112" s="33"/>
      <c r="GY112" s="33"/>
      <c r="GZ112" s="33"/>
      <c r="HA112" s="33"/>
      <c r="HB112" s="33"/>
      <c r="HC112" s="33"/>
      <c r="HD112" s="33"/>
      <c r="HE112" s="33"/>
      <c r="HF112" s="33"/>
      <c r="HG112" s="33"/>
      <c r="HH112" s="33"/>
      <c r="HI112" s="33"/>
      <c r="HJ112" s="33"/>
      <c r="HK112" s="33"/>
      <c r="HL112" s="33"/>
      <c r="HM112" s="33"/>
      <c r="HN112" s="33"/>
      <c r="HO112" s="33"/>
      <c r="HP112" s="33"/>
      <c r="HQ112" s="33"/>
      <c r="HR112" s="33"/>
      <c r="HS112" s="33"/>
      <c r="HT112" s="33"/>
      <c r="HU112" s="33"/>
      <c r="HV112" s="33"/>
      <c r="HW112" s="33"/>
      <c r="HX112" s="33"/>
      <c r="HY112" s="33"/>
      <c r="HZ112" s="33"/>
      <c r="IA112" s="33"/>
      <c r="IB112" s="33"/>
      <c r="IC112" s="33"/>
      <c r="ID112" s="33"/>
      <c r="IE112" s="33"/>
      <c r="IF112" s="33"/>
      <c r="IG112" s="33"/>
      <c r="IH112" s="33"/>
      <c r="II112" s="33"/>
      <c r="IJ112" s="33"/>
      <c r="IK112" s="33"/>
      <c r="IL112" s="33"/>
      <c r="IM112" s="33"/>
      <c r="IN112" s="33"/>
      <c r="IO112" s="33"/>
      <c r="IP112" s="33"/>
      <c r="IQ112" s="33"/>
      <c r="IR112" s="33"/>
      <c r="IS112" s="33"/>
      <c r="IT112" s="33"/>
      <c r="IU112" s="33"/>
      <c r="IV112" s="33"/>
      <c r="IW112" s="33"/>
      <c r="IX112" s="33"/>
      <c r="IY112" s="33"/>
      <c r="IZ112" s="33"/>
      <c r="JA112" s="33"/>
      <c r="JB112" s="33"/>
      <c r="JC112" s="33"/>
      <c r="JD112" s="33"/>
      <c r="JE112" s="33"/>
      <c r="JF112" s="33"/>
      <c r="JG112" s="33"/>
      <c r="JH112" s="33"/>
      <c r="JI112" s="33"/>
      <c r="JJ112" s="33"/>
      <c r="JK112" s="33"/>
      <c r="JL112" s="33"/>
      <c r="JM112" s="33"/>
      <c r="JN112" s="33"/>
      <c r="JO112" s="33"/>
      <c r="JP112" s="33"/>
      <c r="JQ112" s="33"/>
      <c r="JR112" s="33"/>
      <c r="JS112" s="33"/>
      <c r="JT112" s="33"/>
      <c r="JU112" s="33"/>
      <c r="JV112" s="33"/>
      <c r="JW112" s="33"/>
      <c r="JX112" s="33"/>
      <c r="JY112" s="33"/>
      <c r="JZ112" s="33"/>
      <c r="KA112" s="33"/>
      <c r="KB112" s="33"/>
      <c r="KC112" s="33"/>
      <c r="KD112" s="33"/>
      <c r="KE112" s="33"/>
      <c r="KF112" s="33"/>
      <c r="KG112" s="33"/>
      <c r="KH112" s="33"/>
      <c r="KI112" s="33"/>
      <c r="KJ112" s="33"/>
      <c r="KK112" s="33"/>
      <c r="KL112" s="33"/>
      <c r="KM112" s="33"/>
      <c r="KN112" s="33"/>
      <c r="KO112" s="33"/>
      <c r="KP112" s="33"/>
      <c r="KQ112" s="33"/>
      <c r="KR112" s="33"/>
      <c r="KS112" s="33"/>
      <c r="KT112" s="33"/>
      <c r="KU112" s="33"/>
      <c r="KV112" s="33"/>
      <c r="KW112" s="33"/>
      <c r="KX112" s="33"/>
      <c r="KY112" s="33"/>
      <c r="KZ112" s="33"/>
      <c r="LA112" s="33"/>
      <c r="LB112" s="33"/>
      <c r="LC112" s="33"/>
      <c r="LD112" s="33"/>
      <c r="LE112" s="33"/>
      <c r="LF112" s="33"/>
      <c r="LG112" s="33"/>
      <c r="LH112" s="33"/>
      <c r="LI112" s="33"/>
      <c r="LJ112" s="33"/>
      <c r="LK112" s="33"/>
      <c r="LL112" s="33"/>
      <c r="LM112" s="33"/>
      <c r="LN112" s="33"/>
      <c r="LO112" s="33"/>
      <c r="LP112" s="33"/>
      <c r="LQ112" s="33"/>
      <c r="LR112" s="33"/>
      <c r="LS112" s="33"/>
      <c r="LT112" s="33"/>
      <c r="LU112" s="33"/>
      <c r="LV112" s="33"/>
      <c r="LW112" s="33"/>
      <c r="LX112" s="33"/>
      <c r="LY112" s="33"/>
      <c r="LZ112" s="33"/>
      <c r="MA112" s="33"/>
      <c r="MB112" s="33"/>
      <c r="MC112" s="33"/>
      <c r="MD112" s="33"/>
      <c r="ME112" s="33"/>
      <c r="MF112" s="33"/>
      <c r="MG112" s="33"/>
      <c r="MH112" s="33"/>
      <c r="MI112" s="33"/>
      <c r="MJ112" s="33"/>
      <c r="MK112" s="33"/>
      <c r="ML112" s="33"/>
      <c r="MM112" s="33"/>
      <c r="MN112" s="33"/>
      <c r="MO112" s="33"/>
      <c r="MP112" s="33"/>
      <c r="MQ112" s="33"/>
      <c r="MR112" s="33"/>
      <c r="MS112" s="33"/>
      <c r="MT112" s="33"/>
      <c r="MU112" s="33"/>
      <c r="MV112" s="33"/>
    </row>
    <row r="113" spans="1:360" ht="0.75" customHeight="1" x14ac:dyDescent="0.25">
      <c r="A113" s="33"/>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33"/>
      <c r="BT113" s="33"/>
      <c r="BU113" s="33"/>
      <c r="BV113" s="33"/>
      <c r="BW113" s="33"/>
      <c r="BX113" s="33"/>
      <c r="BY113" s="33"/>
      <c r="BZ113" s="33"/>
      <c r="CA113" s="33"/>
      <c r="CB113" s="33"/>
      <c r="CC113" s="33"/>
      <c r="CD113" s="33"/>
      <c r="CE113" s="33"/>
      <c r="CF113" s="33"/>
      <c r="CG113" s="33"/>
      <c r="CH113" s="33"/>
      <c r="CI113" s="33"/>
      <c r="CJ113" s="33"/>
      <c r="CK113" s="33"/>
      <c r="CL113" s="33"/>
      <c r="CM113" s="33"/>
      <c r="CN113" s="33"/>
      <c r="CO113" s="33"/>
      <c r="CP113" s="33"/>
      <c r="CQ113" s="33"/>
      <c r="CR113" s="33"/>
      <c r="CS113" s="33"/>
      <c r="CT113" s="33"/>
      <c r="CU113" s="33"/>
      <c r="CV113" s="33"/>
      <c r="CW113" s="33"/>
      <c r="CX113" s="33"/>
      <c r="CY113" s="33"/>
      <c r="CZ113" s="33"/>
      <c r="DA113" s="33"/>
      <c r="DB113" s="33"/>
      <c r="DC113" s="33"/>
      <c r="DD113" s="33"/>
      <c r="DE113" s="33"/>
      <c r="DF113" s="33"/>
      <c r="DG113" s="33"/>
      <c r="DH113" s="33"/>
      <c r="DI113" s="33"/>
      <c r="DJ113" s="33"/>
      <c r="DK113" s="33"/>
      <c r="DL113" s="33"/>
      <c r="DM113" s="33"/>
      <c r="DN113" s="33"/>
      <c r="DO113" s="33"/>
      <c r="DP113" s="33"/>
      <c r="DQ113" s="33"/>
      <c r="DR113" s="33"/>
      <c r="DS113" s="33"/>
      <c r="DT113" s="33"/>
      <c r="DU113" s="33"/>
      <c r="DV113" s="33"/>
      <c r="DW113" s="33"/>
      <c r="DX113" s="33"/>
      <c r="DY113" s="33"/>
      <c r="DZ113" s="33"/>
      <c r="EA113" s="33"/>
      <c r="EB113" s="33"/>
      <c r="EC113" s="33"/>
      <c r="ED113" s="33"/>
      <c r="EE113" s="33"/>
      <c r="EF113" s="33"/>
      <c r="EG113" s="33"/>
      <c r="EH113" s="33"/>
      <c r="EI113" s="33"/>
      <c r="EJ113" s="33"/>
      <c r="EK113" s="33"/>
      <c r="EL113" s="33"/>
      <c r="EM113" s="33"/>
      <c r="EN113" s="33"/>
      <c r="EO113" s="33"/>
      <c r="EP113" s="33"/>
      <c r="EQ113" s="33"/>
      <c r="ER113" s="33"/>
      <c r="ES113" s="33"/>
      <c r="ET113" s="33"/>
      <c r="EU113" s="33"/>
      <c r="EV113" s="33"/>
      <c r="EW113" s="33"/>
      <c r="EX113" s="33"/>
      <c r="EY113" s="33"/>
      <c r="EZ113" s="33"/>
      <c r="FA113" s="33"/>
      <c r="FB113" s="33"/>
      <c r="FC113" s="33"/>
      <c r="FD113" s="33"/>
      <c r="FE113" s="33"/>
      <c r="FF113" s="33"/>
      <c r="FG113" s="33"/>
      <c r="FH113" s="33"/>
      <c r="FI113" s="33"/>
      <c r="FJ113" s="33"/>
      <c r="FK113" s="33"/>
      <c r="FL113" s="33"/>
      <c r="FM113" s="33"/>
      <c r="FN113" s="33"/>
      <c r="FO113" s="33"/>
      <c r="FP113" s="33"/>
      <c r="FQ113" s="33"/>
      <c r="FR113" s="33"/>
      <c r="FS113" s="33"/>
      <c r="FT113" s="33"/>
      <c r="FU113" s="33"/>
      <c r="FV113" s="33"/>
      <c r="FW113" s="33"/>
      <c r="FX113" s="33"/>
      <c r="FY113" s="33"/>
      <c r="FZ113" s="33"/>
      <c r="GA113" s="33"/>
      <c r="GB113" s="33"/>
      <c r="GC113" s="33"/>
      <c r="GD113" s="33"/>
      <c r="GE113" s="33"/>
      <c r="GF113" s="33"/>
      <c r="GG113" s="33"/>
      <c r="GH113" s="33"/>
      <c r="GI113" s="33"/>
      <c r="GJ113" s="33"/>
      <c r="GK113" s="33"/>
      <c r="GL113" s="33"/>
      <c r="GM113" s="33"/>
      <c r="GN113" s="33"/>
      <c r="GO113" s="33"/>
      <c r="GP113" s="33"/>
      <c r="GQ113" s="33"/>
      <c r="GR113" s="33"/>
      <c r="GS113" s="33"/>
      <c r="GT113" s="33"/>
      <c r="GU113" s="33"/>
      <c r="GV113" s="33"/>
      <c r="GW113" s="33"/>
      <c r="GX113" s="33"/>
      <c r="GY113" s="33"/>
      <c r="GZ113" s="33"/>
      <c r="HA113" s="33"/>
      <c r="HB113" s="33"/>
      <c r="HC113" s="33"/>
      <c r="HD113" s="33"/>
      <c r="HE113" s="33"/>
      <c r="HF113" s="33"/>
      <c r="HG113" s="33"/>
      <c r="HH113" s="33"/>
      <c r="HI113" s="33"/>
      <c r="HJ113" s="33"/>
      <c r="HK113" s="33"/>
      <c r="HL113" s="33"/>
      <c r="HM113" s="33"/>
      <c r="HN113" s="33"/>
      <c r="HO113" s="33"/>
      <c r="HP113" s="33"/>
      <c r="HQ113" s="33"/>
      <c r="HR113" s="33"/>
      <c r="HS113" s="33"/>
      <c r="HT113" s="33"/>
      <c r="HU113" s="33"/>
      <c r="HV113" s="33"/>
      <c r="HW113" s="33"/>
      <c r="HX113" s="33"/>
      <c r="HY113" s="33"/>
      <c r="HZ113" s="33"/>
      <c r="IA113" s="33"/>
      <c r="IB113" s="33"/>
      <c r="IC113" s="33"/>
      <c r="ID113" s="33"/>
      <c r="IE113" s="33"/>
      <c r="IF113" s="33"/>
      <c r="IG113" s="33"/>
      <c r="IH113" s="33"/>
      <c r="II113" s="33"/>
      <c r="IJ113" s="33"/>
      <c r="IK113" s="33"/>
      <c r="IL113" s="33"/>
      <c r="IM113" s="33"/>
      <c r="IN113" s="33"/>
      <c r="IO113" s="33"/>
      <c r="IP113" s="33"/>
      <c r="IQ113" s="33"/>
      <c r="IR113" s="33"/>
      <c r="IS113" s="33"/>
      <c r="IT113" s="33"/>
      <c r="IU113" s="33"/>
      <c r="IV113" s="33"/>
      <c r="IW113" s="33"/>
      <c r="IX113" s="33"/>
      <c r="IY113" s="33"/>
      <c r="IZ113" s="33"/>
      <c r="JA113" s="33"/>
      <c r="JB113" s="33"/>
      <c r="JC113" s="33"/>
      <c r="JD113" s="33"/>
      <c r="JE113" s="33"/>
      <c r="JF113" s="33"/>
      <c r="JG113" s="33"/>
      <c r="JH113" s="33"/>
      <c r="JI113" s="33"/>
      <c r="JJ113" s="33"/>
      <c r="JK113" s="33"/>
      <c r="JL113" s="33"/>
      <c r="JM113" s="33"/>
      <c r="JN113" s="33"/>
      <c r="JO113" s="33"/>
      <c r="JP113" s="33"/>
      <c r="JQ113" s="33"/>
      <c r="JR113" s="33"/>
      <c r="JS113" s="33"/>
      <c r="JT113" s="33"/>
      <c r="JU113" s="33"/>
      <c r="JV113" s="33"/>
      <c r="JW113" s="33"/>
      <c r="JX113" s="33"/>
      <c r="JY113" s="33"/>
      <c r="JZ113" s="33"/>
      <c r="KA113" s="33"/>
      <c r="KB113" s="33"/>
      <c r="KC113" s="33"/>
      <c r="KD113" s="33"/>
      <c r="KE113" s="33"/>
      <c r="KF113" s="33"/>
      <c r="KG113" s="33"/>
      <c r="KH113" s="33"/>
      <c r="KI113" s="33"/>
      <c r="KJ113" s="33"/>
      <c r="KK113" s="33"/>
      <c r="KL113" s="33"/>
      <c r="KM113" s="33"/>
      <c r="KN113" s="33"/>
      <c r="KO113" s="33"/>
      <c r="KP113" s="33"/>
      <c r="KQ113" s="33"/>
      <c r="KR113" s="33"/>
      <c r="KS113" s="33"/>
      <c r="KT113" s="33"/>
      <c r="KU113" s="33"/>
      <c r="KV113" s="33"/>
      <c r="KW113" s="33"/>
      <c r="KX113" s="33"/>
      <c r="KY113" s="33"/>
      <c r="KZ113" s="33"/>
      <c r="LA113" s="33"/>
      <c r="LB113" s="33"/>
      <c r="LC113" s="33"/>
      <c r="LD113" s="33"/>
      <c r="LE113" s="33"/>
      <c r="LF113" s="33"/>
      <c r="LG113" s="33"/>
      <c r="LH113" s="33"/>
      <c r="LI113" s="33"/>
      <c r="LJ113" s="33"/>
      <c r="LK113" s="33"/>
      <c r="LL113" s="33"/>
      <c r="LM113" s="33"/>
      <c r="LN113" s="33"/>
      <c r="LO113" s="33"/>
      <c r="LP113" s="33"/>
      <c r="LQ113" s="33"/>
      <c r="LR113" s="33"/>
      <c r="LS113" s="33"/>
      <c r="LT113" s="33"/>
      <c r="LU113" s="33"/>
      <c r="LV113" s="33"/>
      <c r="LW113" s="33"/>
      <c r="LX113" s="33"/>
      <c r="LY113" s="33"/>
      <c r="LZ113" s="33"/>
      <c r="MA113" s="33"/>
      <c r="MB113" s="33"/>
      <c r="MC113" s="33"/>
      <c r="MD113" s="33"/>
      <c r="ME113" s="33"/>
      <c r="MF113" s="33"/>
      <c r="MG113" s="33"/>
      <c r="MH113" s="33"/>
      <c r="MI113" s="33"/>
      <c r="MJ113" s="33"/>
      <c r="MK113" s="33"/>
      <c r="ML113" s="33"/>
      <c r="MM113" s="33"/>
      <c r="MN113" s="33"/>
      <c r="MO113" s="33"/>
      <c r="MP113" s="33"/>
      <c r="MQ113" s="33"/>
      <c r="MR113" s="33"/>
      <c r="MS113" s="33"/>
      <c r="MT113" s="33"/>
      <c r="MU113" s="33"/>
      <c r="MV113" s="33"/>
    </row>
    <row r="114" spans="1:360" ht="0.75" customHeight="1" x14ac:dyDescent="0.25">
      <c r="A114" s="33"/>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33"/>
      <c r="BT114" s="33"/>
      <c r="BU114" s="33"/>
      <c r="BV114" s="33"/>
      <c r="BW114" s="33"/>
      <c r="BX114" s="33"/>
      <c r="BY114" s="33"/>
      <c r="BZ114" s="33"/>
      <c r="CA114" s="33"/>
      <c r="CB114" s="33"/>
      <c r="CC114" s="33"/>
      <c r="CD114" s="33"/>
      <c r="CE114" s="33"/>
      <c r="CF114" s="33"/>
      <c r="CG114" s="33"/>
      <c r="CH114" s="33"/>
      <c r="CI114" s="33"/>
      <c r="CJ114" s="33"/>
      <c r="CK114" s="33"/>
      <c r="CL114" s="33"/>
      <c r="CM114" s="33"/>
      <c r="CN114" s="33"/>
      <c r="CO114" s="33"/>
      <c r="CP114" s="33"/>
      <c r="CQ114" s="33"/>
      <c r="CR114" s="33"/>
      <c r="CS114" s="33"/>
      <c r="CT114" s="33"/>
      <c r="CU114" s="33"/>
      <c r="CV114" s="33"/>
      <c r="CW114" s="33"/>
      <c r="CX114" s="33"/>
      <c r="CY114" s="33"/>
      <c r="CZ114" s="33"/>
      <c r="DA114" s="33"/>
      <c r="DB114" s="33"/>
      <c r="DC114" s="33"/>
      <c r="DD114" s="33"/>
      <c r="DE114" s="33"/>
      <c r="DF114" s="33"/>
      <c r="DG114" s="33"/>
      <c r="DH114" s="33"/>
      <c r="DI114" s="33"/>
      <c r="DJ114" s="33"/>
      <c r="DK114" s="33"/>
      <c r="DL114" s="33"/>
      <c r="DM114" s="33"/>
      <c r="DN114" s="33"/>
      <c r="DO114" s="33"/>
      <c r="DP114" s="33"/>
      <c r="DQ114" s="33"/>
      <c r="DR114" s="33"/>
      <c r="DS114" s="33"/>
      <c r="DT114" s="33"/>
      <c r="DU114" s="33"/>
      <c r="DV114" s="33"/>
      <c r="DW114" s="33"/>
      <c r="DX114" s="33"/>
      <c r="DY114" s="33"/>
      <c r="DZ114" s="33"/>
      <c r="EA114" s="33"/>
      <c r="EB114" s="33"/>
      <c r="EC114" s="33"/>
      <c r="ED114" s="33"/>
      <c r="EE114" s="33"/>
      <c r="EF114" s="33"/>
      <c r="EG114" s="33"/>
      <c r="EH114" s="33"/>
      <c r="EI114" s="33"/>
      <c r="EJ114" s="33"/>
      <c r="EK114" s="33"/>
      <c r="EL114" s="33"/>
      <c r="EM114" s="33"/>
      <c r="EN114" s="33"/>
      <c r="EO114" s="33"/>
      <c r="EP114" s="33"/>
      <c r="EQ114" s="33"/>
      <c r="ER114" s="33"/>
      <c r="ES114" s="33"/>
      <c r="ET114" s="33"/>
      <c r="EU114" s="33"/>
      <c r="EV114" s="33"/>
      <c r="EW114" s="33"/>
      <c r="EX114" s="33"/>
      <c r="EY114" s="33"/>
      <c r="EZ114" s="33"/>
      <c r="FA114" s="33"/>
      <c r="FB114" s="33"/>
      <c r="FC114" s="33"/>
      <c r="FD114" s="33"/>
      <c r="FE114" s="33"/>
      <c r="FF114" s="33"/>
      <c r="FG114" s="33"/>
      <c r="FH114" s="33"/>
      <c r="FI114" s="33"/>
      <c r="FJ114" s="33"/>
      <c r="FK114" s="33"/>
      <c r="FL114" s="33"/>
      <c r="FM114" s="33"/>
      <c r="FN114" s="33"/>
      <c r="FO114" s="33"/>
      <c r="FP114" s="33"/>
      <c r="FQ114" s="33"/>
      <c r="FR114" s="33"/>
      <c r="FS114" s="33"/>
      <c r="FT114" s="33"/>
      <c r="FU114" s="33"/>
      <c r="FV114" s="33"/>
      <c r="FW114" s="33"/>
      <c r="FX114" s="33"/>
      <c r="FY114" s="33"/>
      <c r="FZ114" s="33"/>
      <c r="GA114" s="33"/>
      <c r="GB114" s="33"/>
      <c r="GC114" s="33"/>
      <c r="GD114" s="33"/>
      <c r="GE114" s="33"/>
      <c r="GF114" s="33"/>
      <c r="GG114" s="33"/>
      <c r="GH114" s="33"/>
      <c r="GI114" s="33"/>
      <c r="GJ114" s="33"/>
      <c r="GK114" s="33"/>
      <c r="GL114" s="33"/>
      <c r="GM114" s="33"/>
      <c r="GN114" s="33"/>
      <c r="GO114" s="33"/>
      <c r="GP114" s="33"/>
      <c r="GQ114" s="33"/>
      <c r="GR114" s="33"/>
      <c r="GS114" s="33"/>
      <c r="GT114" s="33"/>
      <c r="GU114" s="33"/>
      <c r="GV114" s="33"/>
      <c r="GW114" s="33"/>
      <c r="GX114" s="33"/>
      <c r="GY114" s="33"/>
      <c r="GZ114" s="33"/>
      <c r="HA114" s="33"/>
      <c r="HB114" s="33"/>
      <c r="HC114" s="33"/>
      <c r="HD114" s="33"/>
      <c r="HE114" s="33"/>
      <c r="HF114" s="33"/>
      <c r="HG114" s="33"/>
      <c r="HH114" s="33"/>
      <c r="HI114" s="33"/>
      <c r="HJ114" s="33"/>
      <c r="HK114" s="33"/>
      <c r="HL114" s="33"/>
      <c r="HM114" s="33"/>
      <c r="HN114" s="33"/>
      <c r="HO114" s="33"/>
      <c r="HP114" s="33"/>
      <c r="HQ114" s="33"/>
      <c r="HR114" s="33"/>
      <c r="HS114" s="33"/>
      <c r="HT114" s="33"/>
      <c r="HU114" s="33"/>
      <c r="HV114" s="33"/>
      <c r="HW114" s="33"/>
      <c r="HX114" s="33"/>
      <c r="HY114" s="33"/>
      <c r="HZ114" s="33"/>
      <c r="IA114" s="33"/>
      <c r="IB114" s="33"/>
      <c r="IC114" s="33"/>
      <c r="ID114" s="33"/>
      <c r="IE114" s="33"/>
      <c r="IF114" s="33"/>
      <c r="IG114" s="33"/>
      <c r="IH114" s="33"/>
      <c r="II114" s="33"/>
      <c r="IJ114" s="33"/>
      <c r="IK114" s="33"/>
      <c r="IL114" s="33"/>
      <c r="IM114" s="33"/>
      <c r="IN114" s="33"/>
      <c r="IO114" s="33"/>
      <c r="IP114" s="33"/>
      <c r="IQ114" s="33"/>
      <c r="IR114" s="33"/>
      <c r="IS114" s="33"/>
      <c r="IT114" s="33"/>
      <c r="IU114" s="33"/>
      <c r="IV114" s="33"/>
      <c r="IW114" s="33"/>
      <c r="IX114" s="33"/>
      <c r="IY114" s="33"/>
      <c r="IZ114" s="33"/>
      <c r="JA114" s="33"/>
      <c r="JB114" s="33"/>
      <c r="JC114" s="33"/>
      <c r="JD114" s="33"/>
      <c r="JE114" s="33"/>
      <c r="JF114" s="33"/>
      <c r="JG114" s="33"/>
      <c r="JH114" s="33"/>
      <c r="JI114" s="33"/>
      <c r="JJ114" s="33"/>
      <c r="JK114" s="33"/>
      <c r="JL114" s="33"/>
      <c r="JM114" s="33"/>
      <c r="JN114" s="33"/>
      <c r="JO114" s="33"/>
      <c r="JP114" s="33"/>
      <c r="JQ114" s="33"/>
      <c r="JR114" s="33"/>
      <c r="JS114" s="33"/>
      <c r="JT114" s="33"/>
      <c r="JU114" s="33"/>
      <c r="JV114" s="33"/>
      <c r="JW114" s="33"/>
      <c r="JX114" s="33"/>
      <c r="JY114" s="33"/>
      <c r="JZ114" s="33"/>
      <c r="KA114" s="33"/>
      <c r="KB114" s="33"/>
      <c r="KC114" s="33"/>
      <c r="KD114" s="33"/>
      <c r="KE114" s="33"/>
      <c r="KF114" s="33"/>
      <c r="KG114" s="33"/>
      <c r="KH114" s="33"/>
      <c r="KI114" s="33"/>
      <c r="KJ114" s="33"/>
      <c r="KK114" s="33"/>
      <c r="KL114" s="33"/>
      <c r="KM114" s="33"/>
      <c r="KN114" s="33"/>
      <c r="KO114" s="33"/>
      <c r="KP114" s="33"/>
      <c r="KQ114" s="33"/>
      <c r="KR114" s="33"/>
      <c r="KS114" s="33"/>
      <c r="KT114" s="33"/>
      <c r="KU114" s="33"/>
      <c r="KV114" s="33"/>
      <c r="KW114" s="33"/>
      <c r="KX114" s="33"/>
      <c r="KY114" s="33"/>
      <c r="KZ114" s="33"/>
      <c r="LA114" s="33"/>
      <c r="LB114" s="33"/>
      <c r="LC114" s="33"/>
      <c r="LD114" s="33"/>
      <c r="LE114" s="33"/>
      <c r="LF114" s="33"/>
      <c r="LG114" s="33"/>
      <c r="LH114" s="33"/>
      <c r="LI114" s="33"/>
      <c r="LJ114" s="33"/>
      <c r="LK114" s="33"/>
      <c r="LL114" s="33"/>
      <c r="LM114" s="33"/>
      <c r="LN114" s="33"/>
      <c r="LO114" s="33"/>
      <c r="LP114" s="33"/>
      <c r="LQ114" s="33"/>
      <c r="LR114" s="33"/>
      <c r="LS114" s="33"/>
      <c r="LT114" s="33"/>
      <c r="LU114" s="33"/>
      <c r="LV114" s="33"/>
      <c r="LW114" s="33"/>
      <c r="LX114" s="33"/>
      <c r="LY114" s="33"/>
      <c r="LZ114" s="33"/>
      <c r="MA114" s="33"/>
      <c r="MB114" s="33"/>
      <c r="MC114" s="33"/>
      <c r="MD114" s="33"/>
      <c r="ME114" s="33"/>
      <c r="MF114" s="33"/>
      <c r="MG114" s="33"/>
      <c r="MH114" s="33"/>
      <c r="MI114" s="33"/>
      <c r="MJ114" s="33"/>
      <c r="MK114" s="33"/>
      <c r="ML114" s="33"/>
      <c r="MM114" s="33"/>
      <c r="MN114" s="33"/>
      <c r="MO114" s="33"/>
      <c r="MP114" s="33"/>
      <c r="MQ114" s="33"/>
      <c r="MR114" s="33"/>
      <c r="MS114" s="33"/>
      <c r="MT114" s="33"/>
      <c r="MU114" s="33"/>
      <c r="MV114" s="33"/>
    </row>
    <row r="115" spans="1:360" ht="0.75" customHeight="1" x14ac:dyDescent="0.25">
      <c r="A115" s="33"/>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33"/>
      <c r="BT115" s="33"/>
      <c r="BU115" s="33"/>
      <c r="BV115" s="33"/>
      <c r="BW115" s="33"/>
      <c r="BX115" s="33"/>
      <c r="BY115" s="33"/>
      <c r="BZ115" s="33"/>
      <c r="CA115" s="33"/>
      <c r="CB115" s="33"/>
      <c r="CC115" s="33"/>
      <c r="CD115" s="33"/>
      <c r="CE115" s="33"/>
      <c r="CF115" s="33"/>
      <c r="CG115" s="33"/>
      <c r="CH115" s="33"/>
      <c r="CI115" s="33"/>
      <c r="CJ115" s="33"/>
      <c r="CK115" s="33"/>
      <c r="CL115" s="33"/>
      <c r="CM115" s="33"/>
      <c r="CN115" s="33"/>
      <c r="CO115" s="33"/>
      <c r="CP115" s="33"/>
      <c r="CQ115" s="33"/>
      <c r="CR115" s="33"/>
      <c r="CS115" s="33"/>
      <c r="CT115" s="33"/>
      <c r="CU115" s="33"/>
      <c r="CV115" s="33"/>
      <c r="CW115" s="33"/>
      <c r="CX115" s="33"/>
      <c r="CY115" s="33"/>
      <c r="CZ115" s="33"/>
      <c r="DA115" s="33"/>
      <c r="DB115" s="33"/>
      <c r="DC115" s="33"/>
      <c r="DD115" s="33"/>
      <c r="DE115" s="33"/>
      <c r="DF115" s="33"/>
      <c r="DG115" s="33"/>
      <c r="DH115" s="33"/>
      <c r="DI115" s="33"/>
      <c r="DJ115" s="33"/>
      <c r="DK115" s="33"/>
      <c r="DL115" s="33"/>
      <c r="DM115" s="33"/>
      <c r="DN115" s="33"/>
      <c r="DO115" s="33"/>
      <c r="DP115" s="33"/>
      <c r="DQ115" s="33"/>
      <c r="DR115" s="33"/>
      <c r="DS115" s="33"/>
      <c r="DT115" s="33"/>
      <c r="DU115" s="33"/>
      <c r="DV115" s="33"/>
      <c r="DW115" s="33"/>
      <c r="DX115" s="33"/>
      <c r="DY115" s="33"/>
      <c r="DZ115" s="33"/>
      <c r="EA115" s="33"/>
      <c r="EB115" s="33"/>
      <c r="EC115" s="33"/>
      <c r="ED115" s="33"/>
      <c r="EE115" s="33"/>
      <c r="EF115" s="33"/>
      <c r="EG115" s="33"/>
      <c r="EH115" s="33"/>
      <c r="EI115" s="33"/>
      <c r="EJ115" s="33"/>
      <c r="EK115" s="33"/>
      <c r="EL115" s="33"/>
      <c r="EM115" s="33"/>
      <c r="EN115" s="33"/>
      <c r="EO115" s="33"/>
      <c r="EP115" s="33"/>
      <c r="EQ115" s="33"/>
      <c r="ER115" s="33"/>
      <c r="ES115" s="33"/>
      <c r="ET115" s="33"/>
      <c r="EU115" s="33"/>
      <c r="EV115" s="33"/>
      <c r="EW115" s="33"/>
      <c r="EX115" s="33"/>
      <c r="EY115" s="33"/>
      <c r="EZ115" s="33"/>
      <c r="FA115" s="33"/>
      <c r="FB115" s="33"/>
      <c r="FC115" s="33"/>
      <c r="FD115" s="33"/>
      <c r="FE115" s="33"/>
      <c r="FF115" s="33"/>
      <c r="FG115" s="33"/>
      <c r="FH115" s="33"/>
      <c r="FI115" s="33"/>
      <c r="FJ115" s="33"/>
      <c r="FK115" s="33"/>
      <c r="FL115" s="33"/>
      <c r="FM115" s="33"/>
      <c r="FN115" s="33"/>
      <c r="FO115" s="33"/>
      <c r="FP115" s="33"/>
      <c r="FQ115" s="33"/>
      <c r="FR115" s="33"/>
      <c r="FS115" s="33"/>
      <c r="FT115" s="33"/>
      <c r="FU115" s="33"/>
      <c r="FV115" s="33"/>
      <c r="FW115" s="33"/>
      <c r="FX115" s="33"/>
      <c r="FY115" s="33"/>
      <c r="FZ115" s="33"/>
      <c r="GA115" s="33"/>
      <c r="GB115" s="33"/>
      <c r="GC115" s="33"/>
      <c r="GD115" s="33"/>
      <c r="GE115" s="33"/>
      <c r="GF115" s="33"/>
      <c r="GG115" s="33"/>
      <c r="GH115" s="33"/>
      <c r="GI115" s="33"/>
      <c r="GJ115" s="33"/>
      <c r="GK115" s="33"/>
      <c r="GL115" s="33"/>
      <c r="GM115" s="33"/>
      <c r="GN115" s="33"/>
      <c r="GO115" s="33"/>
      <c r="GP115" s="33"/>
      <c r="GQ115" s="33"/>
      <c r="GR115" s="33"/>
      <c r="GS115" s="33"/>
      <c r="GT115" s="33"/>
      <c r="GU115" s="33"/>
      <c r="GV115" s="33"/>
      <c r="GW115" s="33"/>
      <c r="GX115" s="33"/>
      <c r="GY115" s="33"/>
      <c r="GZ115" s="33"/>
      <c r="HA115" s="33"/>
      <c r="HB115" s="33"/>
      <c r="HC115" s="33"/>
      <c r="HD115" s="33"/>
      <c r="HE115" s="33"/>
      <c r="HF115" s="33"/>
      <c r="HG115" s="33"/>
      <c r="HH115" s="33"/>
      <c r="HI115" s="33"/>
      <c r="HJ115" s="33"/>
      <c r="HK115" s="33"/>
      <c r="HL115" s="33"/>
      <c r="HM115" s="33"/>
      <c r="HN115" s="33"/>
      <c r="HO115" s="33"/>
      <c r="HP115" s="33"/>
      <c r="HQ115" s="33"/>
      <c r="HR115" s="33"/>
      <c r="HS115" s="33"/>
      <c r="HT115" s="33"/>
      <c r="HU115" s="33"/>
      <c r="HV115" s="33"/>
      <c r="HW115" s="33"/>
      <c r="HX115" s="33"/>
      <c r="HY115" s="33"/>
      <c r="HZ115" s="33"/>
      <c r="IA115" s="33"/>
      <c r="IB115" s="33"/>
      <c r="IC115" s="33"/>
      <c r="ID115" s="33"/>
      <c r="IE115" s="33"/>
      <c r="IF115" s="33"/>
      <c r="IG115" s="33"/>
      <c r="IH115" s="33"/>
      <c r="II115" s="33"/>
      <c r="IJ115" s="33"/>
      <c r="IK115" s="33"/>
      <c r="IL115" s="33"/>
      <c r="IM115" s="33"/>
      <c r="IN115" s="33"/>
      <c r="IO115" s="33"/>
      <c r="IP115" s="33"/>
      <c r="IQ115" s="33"/>
      <c r="IR115" s="33"/>
      <c r="IS115" s="33"/>
      <c r="IT115" s="33"/>
      <c r="IU115" s="33"/>
      <c r="IV115" s="33"/>
      <c r="IW115" s="33"/>
      <c r="IX115" s="33"/>
      <c r="IY115" s="33"/>
      <c r="IZ115" s="33"/>
      <c r="JA115" s="33"/>
      <c r="JB115" s="33"/>
      <c r="JC115" s="33"/>
      <c r="JD115" s="33"/>
      <c r="JE115" s="33"/>
      <c r="JF115" s="33"/>
      <c r="JG115" s="33"/>
      <c r="JH115" s="33"/>
      <c r="JI115" s="33"/>
      <c r="JJ115" s="33"/>
      <c r="JK115" s="33"/>
      <c r="JL115" s="33"/>
      <c r="JM115" s="33"/>
      <c r="JN115" s="33"/>
      <c r="JO115" s="33"/>
      <c r="JP115" s="33"/>
      <c r="JQ115" s="33"/>
      <c r="JR115" s="33"/>
      <c r="JS115" s="33"/>
      <c r="JT115" s="33"/>
      <c r="JU115" s="33"/>
      <c r="JV115" s="33"/>
      <c r="JW115" s="33"/>
      <c r="JX115" s="33"/>
      <c r="JY115" s="33"/>
      <c r="JZ115" s="33"/>
      <c r="KA115" s="33"/>
      <c r="KB115" s="33"/>
      <c r="KC115" s="33"/>
      <c r="KD115" s="33"/>
      <c r="KE115" s="33"/>
      <c r="KF115" s="33"/>
      <c r="KG115" s="33"/>
      <c r="KH115" s="33"/>
      <c r="KI115" s="33"/>
      <c r="KJ115" s="33"/>
      <c r="KK115" s="33"/>
      <c r="KL115" s="33"/>
      <c r="KM115" s="33"/>
      <c r="KN115" s="33"/>
      <c r="KO115" s="33"/>
      <c r="KP115" s="33"/>
      <c r="KQ115" s="33"/>
      <c r="KR115" s="33"/>
      <c r="KS115" s="33"/>
      <c r="KT115" s="33"/>
      <c r="KU115" s="33"/>
      <c r="KV115" s="33"/>
      <c r="KW115" s="33"/>
      <c r="KX115" s="33"/>
      <c r="KY115" s="33"/>
      <c r="KZ115" s="33"/>
      <c r="LA115" s="33"/>
      <c r="LB115" s="33"/>
      <c r="LC115" s="33"/>
      <c r="LD115" s="33"/>
      <c r="LE115" s="33"/>
      <c r="LF115" s="33"/>
      <c r="LG115" s="33"/>
      <c r="LH115" s="33"/>
      <c r="LI115" s="33"/>
      <c r="LJ115" s="33"/>
      <c r="LK115" s="33"/>
      <c r="LL115" s="33"/>
      <c r="LM115" s="33"/>
      <c r="LN115" s="33"/>
      <c r="LO115" s="33"/>
      <c r="LP115" s="33"/>
      <c r="LQ115" s="33"/>
      <c r="LR115" s="33"/>
      <c r="LS115" s="33"/>
      <c r="LT115" s="33"/>
      <c r="LU115" s="33"/>
      <c r="LV115" s="33"/>
      <c r="LW115" s="33"/>
      <c r="LX115" s="33"/>
      <c r="LY115" s="33"/>
      <c r="LZ115" s="33"/>
      <c r="MA115" s="33"/>
      <c r="MB115" s="33"/>
      <c r="MC115" s="33"/>
      <c r="MD115" s="33"/>
      <c r="ME115" s="33"/>
      <c r="MF115" s="33"/>
      <c r="MG115" s="33"/>
      <c r="MH115" s="33"/>
      <c r="MI115" s="33"/>
      <c r="MJ115" s="33"/>
      <c r="MK115" s="33"/>
      <c r="ML115" s="33"/>
      <c r="MM115" s="33"/>
      <c r="MN115" s="33"/>
      <c r="MO115" s="33"/>
      <c r="MP115" s="33"/>
      <c r="MQ115" s="33"/>
      <c r="MR115" s="33"/>
      <c r="MS115" s="33"/>
      <c r="MT115" s="33"/>
      <c r="MU115" s="33"/>
      <c r="MV115" s="33"/>
    </row>
    <row r="116" spans="1:360" ht="0.75" customHeight="1" x14ac:dyDescent="0.25">
      <c r="A116" s="33"/>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c r="BS116" s="33"/>
      <c r="BT116" s="33"/>
      <c r="BU116" s="33"/>
      <c r="BV116" s="33"/>
      <c r="BW116" s="33"/>
      <c r="BX116" s="33"/>
      <c r="BY116" s="33"/>
      <c r="BZ116" s="33"/>
      <c r="CA116" s="33"/>
      <c r="CB116" s="33"/>
      <c r="CC116" s="33"/>
      <c r="CD116" s="33"/>
      <c r="CE116" s="33"/>
      <c r="CF116" s="33"/>
      <c r="CG116" s="33"/>
      <c r="CH116" s="33"/>
      <c r="CI116" s="33"/>
      <c r="CJ116" s="33"/>
      <c r="CK116" s="33"/>
      <c r="CL116" s="33"/>
      <c r="CM116" s="33"/>
      <c r="CN116" s="33"/>
      <c r="CO116" s="33"/>
      <c r="CP116" s="33"/>
      <c r="CQ116" s="33"/>
      <c r="CR116" s="33"/>
      <c r="CS116" s="33"/>
      <c r="CT116" s="33"/>
      <c r="CU116" s="33"/>
      <c r="CV116" s="33"/>
      <c r="CW116" s="33"/>
      <c r="CX116" s="33"/>
      <c r="CY116" s="33"/>
      <c r="CZ116" s="33"/>
      <c r="DA116" s="33"/>
      <c r="DB116" s="33"/>
      <c r="DC116" s="33"/>
      <c r="DD116" s="33"/>
      <c r="DE116" s="33"/>
      <c r="DF116" s="33"/>
      <c r="DG116" s="33"/>
      <c r="DH116" s="33"/>
      <c r="DI116" s="33"/>
      <c r="DJ116" s="33"/>
      <c r="DK116" s="33"/>
      <c r="DL116" s="33"/>
      <c r="DM116" s="33"/>
      <c r="DN116" s="33"/>
      <c r="DO116" s="33"/>
      <c r="DP116" s="33"/>
      <c r="DQ116" s="33"/>
      <c r="DR116" s="33"/>
      <c r="DS116" s="33"/>
      <c r="DT116" s="33"/>
      <c r="DU116" s="33"/>
      <c r="DV116" s="33"/>
      <c r="DW116" s="33"/>
      <c r="DX116" s="33"/>
      <c r="DY116" s="33"/>
      <c r="DZ116" s="33"/>
      <c r="EA116" s="33"/>
      <c r="EB116" s="33"/>
      <c r="EC116" s="33"/>
      <c r="ED116" s="33"/>
      <c r="EE116" s="33"/>
      <c r="EF116" s="33"/>
      <c r="EG116" s="33"/>
      <c r="EH116" s="33"/>
      <c r="EI116" s="33"/>
      <c r="EJ116" s="33"/>
      <c r="EK116" s="33"/>
      <c r="EL116" s="33"/>
      <c r="EM116" s="33"/>
      <c r="EN116" s="33"/>
      <c r="EO116" s="33"/>
      <c r="EP116" s="33"/>
      <c r="EQ116" s="33"/>
      <c r="ER116" s="33"/>
      <c r="ES116" s="33"/>
      <c r="ET116" s="33"/>
      <c r="EU116" s="33"/>
      <c r="EV116" s="33"/>
      <c r="EW116" s="33"/>
      <c r="EX116" s="33"/>
      <c r="EY116" s="33"/>
      <c r="EZ116" s="33"/>
      <c r="FA116" s="33"/>
      <c r="FB116" s="33"/>
      <c r="FC116" s="33"/>
      <c r="FD116" s="33"/>
      <c r="FE116" s="33"/>
      <c r="FF116" s="33"/>
      <c r="FG116" s="33"/>
      <c r="FH116" s="33"/>
      <c r="FI116" s="33"/>
      <c r="FJ116" s="33"/>
      <c r="FK116" s="33"/>
      <c r="FL116" s="33"/>
      <c r="FM116" s="33"/>
      <c r="FN116" s="33"/>
      <c r="FO116" s="33"/>
      <c r="FP116" s="33"/>
      <c r="FQ116" s="33"/>
      <c r="FR116" s="33"/>
      <c r="FS116" s="33"/>
      <c r="FT116" s="33"/>
      <c r="FU116" s="33"/>
      <c r="FV116" s="33"/>
      <c r="FW116" s="33"/>
      <c r="FX116" s="33"/>
      <c r="FY116" s="33"/>
      <c r="FZ116" s="33"/>
      <c r="GA116" s="33"/>
      <c r="GB116" s="33"/>
      <c r="GC116" s="33"/>
      <c r="GD116" s="33"/>
      <c r="GE116" s="33"/>
      <c r="GF116" s="33"/>
      <c r="GG116" s="33"/>
      <c r="GH116" s="33"/>
      <c r="GI116" s="33"/>
      <c r="GJ116" s="33"/>
      <c r="GK116" s="33"/>
      <c r="GL116" s="33"/>
      <c r="GM116" s="33"/>
      <c r="GN116" s="33"/>
      <c r="GO116" s="33"/>
      <c r="GP116" s="33"/>
      <c r="GQ116" s="33"/>
      <c r="GR116" s="33"/>
      <c r="GS116" s="33"/>
      <c r="GT116" s="33"/>
      <c r="GU116" s="33"/>
      <c r="GV116" s="33"/>
      <c r="GW116" s="33"/>
      <c r="GX116" s="33"/>
      <c r="GY116" s="33"/>
      <c r="GZ116" s="33"/>
      <c r="HA116" s="33"/>
      <c r="HB116" s="33"/>
      <c r="HC116" s="33"/>
      <c r="HD116" s="33"/>
      <c r="HE116" s="33"/>
      <c r="HF116" s="33"/>
      <c r="HG116" s="33"/>
      <c r="HH116" s="33"/>
      <c r="HI116" s="33"/>
      <c r="HJ116" s="33"/>
      <c r="HK116" s="33"/>
      <c r="HL116" s="33"/>
      <c r="HM116" s="33"/>
      <c r="HN116" s="33"/>
      <c r="HO116" s="33"/>
      <c r="HP116" s="33"/>
      <c r="HQ116" s="33"/>
      <c r="HR116" s="33"/>
      <c r="HS116" s="33"/>
      <c r="HT116" s="33"/>
      <c r="HU116" s="33"/>
      <c r="HV116" s="33"/>
      <c r="HW116" s="33"/>
      <c r="HX116" s="33"/>
      <c r="HY116" s="33"/>
      <c r="HZ116" s="33"/>
      <c r="IA116" s="33"/>
      <c r="IB116" s="33"/>
      <c r="IC116" s="33"/>
      <c r="ID116" s="33"/>
      <c r="IE116" s="33"/>
      <c r="IF116" s="33"/>
      <c r="IG116" s="33"/>
      <c r="IH116" s="33"/>
      <c r="II116" s="33"/>
      <c r="IJ116" s="33"/>
      <c r="IK116" s="33"/>
      <c r="IL116" s="33"/>
      <c r="IM116" s="33"/>
      <c r="IN116" s="33"/>
      <c r="IO116" s="33"/>
      <c r="IP116" s="33"/>
      <c r="IQ116" s="33"/>
      <c r="IR116" s="33"/>
      <c r="IS116" s="33"/>
      <c r="IT116" s="33"/>
      <c r="IU116" s="33"/>
      <c r="IV116" s="33"/>
      <c r="IW116" s="33"/>
      <c r="IX116" s="33"/>
      <c r="IY116" s="33"/>
      <c r="IZ116" s="33"/>
      <c r="JA116" s="33"/>
      <c r="JB116" s="33"/>
      <c r="JC116" s="33"/>
      <c r="JD116" s="33"/>
      <c r="JE116" s="33"/>
      <c r="JF116" s="33"/>
      <c r="JG116" s="33"/>
      <c r="JH116" s="33"/>
      <c r="JI116" s="33"/>
      <c r="JJ116" s="33"/>
      <c r="JK116" s="33"/>
      <c r="JL116" s="33"/>
      <c r="JM116" s="33"/>
      <c r="JN116" s="33"/>
      <c r="JO116" s="33"/>
      <c r="JP116" s="33"/>
      <c r="JQ116" s="33"/>
      <c r="JR116" s="33"/>
      <c r="JS116" s="33"/>
      <c r="JT116" s="33"/>
      <c r="JU116" s="33"/>
      <c r="JV116" s="33"/>
      <c r="JW116" s="33"/>
      <c r="JX116" s="33"/>
      <c r="JY116" s="33"/>
      <c r="JZ116" s="33"/>
      <c r="KA116" s="33"/>
      <c r="KB116" s="33"/>
      <c r="KC116" s="33"/>
      <c r="KD116" s="33"/>
      <c r="KE116" s="33"/>
      <c r="KF116" s="33"/>
      <c r="KG116" s="33"/>
      <c r="KH116" s="33"/>
      <c r="KI116" s="33"/>
      <c r="KJ116" s="33"/>
      <c r="KK116" s="33"/>
      <c r="KL116" s="33"/>
      <c r="KM116" s="33"/>
      <c r="KN116" s="33"/>
      <c r="KO116" s="33"/>
      <c r="KP116" s="33"/>
      <c r="KQ116" s="33"/>
      <c r="KR116" s="33"/>
      <c r="KS116" s="33"/>
      <c r="KT116" s="33"/>
      <c r="KU116" s="33"/>
      <c r="KV116" s="33"/>
      <c r="KW116" s="33"/>
      <c r="KX116" s="33"/>
      <c r="KY116" s="33"/>
      <c r="KZ116" s="33"/>
      <c r="LA116" s="33"/>
      <c r="LB116" s="33"/>
      <c r="LC116" s="33"/>
      <c r="LD116" s="33"/>
      <c r="LE116" s="33"/>
      <c r="LF116" s="33"/>
      <c r="LG116" s="33"/>
      <c r="LH116" s="33"/>
      <c r="LI116" s="33"/>
      <c r="LJ116" s="33"/>
      <c r="LK116" s="33"/>
      <c r="LL116" s="33"/>
      <c r="LM116" s="33"/>
      <c r="LN116" s="33"/>
      <c r="LO116" s="33"/>
      <c r="LP116" s="33"/>
      <c r="LQ116" s="33"/>
      <c r="LR116" s="33"/>
      <c r="LS116" s="33"/>
      <c r="LT116" s="33"/>
      <c r="LU116" s="33"/>
      <c r="LV116" s="33"/>
      <c r="LW116" s="33"/>
      <c r="LX116" s="33"/>
      <c r="LY116" s="33"/>
      <c r="LZ116" s="33"/>
      <c r="MA116" s="33"/>
      <c r="MB116" s="33"/>
      <c r="MC116" s="33"/>
      <c r="MD116" s="33"/>
      <c r="ME116" s="33"/>
      <c r="MF116" s="33"/>
      <c r="MG116" s="33"/>
      <c r="MH116" s="33"/>
      <c r="MI116" s="33"/>
      <c r="MJ116" s="33"/>
      <c r="MK116" s="33"/>
      <c r="ML116" s="33"/>
      <c r="MM116" s="33"/>
      <c r="MN116" s="33"/>
      <c r="MO116" s="33"/>
      <c r="MP116" s="33"/>
      <c r="MQ116" s="33"/>
      <c r="MR116" s="33"/>
      <c r="MS116" s="33"/>
      <c r="MT116" s="33"/>
      <c r="MU116" s="33"/>
      <c r="MV116" s="33"/>
    </row>
    <row r="117" spans="1:360" ht="0.75" customHeight="1" x14ac:dyDescent="0.25">
      <c r="A117" s="33"/>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33"/>
      <c r="BT117" s="33"/>
      <c r="BU117" s="33"/>
      <c r="BV117" s="33"/>
      <c r="BW117" s="33"/>
      <c r="BX117" s="33"/>
      <c r="BY117" s="33"/>
      <c r="BZ117" s="33"/>
      <c r="CA117" s="33"/>
      <c r="CB117" s="33"/>
      <c r="CC117" s="33"/>
      <c r="CD117" s="33"/>
      <c r="CE117" s="33"/>
      <c r="CF117" s="33"/>
      <c r="CG117" s="33"/>
      <c r="CH117" s="33"/>
      <c r="CI117" s="33"/>
      <c r="CJ117" s="33"/>
      <c r="CK117" s="33"/>
      <c r="CL117" s="33"/>
      <c r="CM117" s="33"/>
      <c r="CN117" s="33"/>
      <c r="CO117" s="33"/>
      <c r="CP117" s="33"/>
      <c r="CQ117" s="33"/>
      <c r="CR117" s="33"/>
      <c r="CS117" s="33"/>
      <c r="CT117" s="33"/>
      <c r="CU117" s="33"/>
      <c r="CV117" s="33"/>
      <c r="CW117" s="33"/>
      <c r="CX117" s="33"/>
      <c r="CY117" s="33"/>
      <c r="CZ117" s="33"/>
      <c r="DA117" s="33"/>
      <c r="DB117" s="33"/>
      <c r="DC117" s="33"/>
      <c r="DD117" s="33"/>
      <c r="DE117" s="33"/>
      <c r="DF117" s="33"/>
      <c r="DG117" s="33"/>
      <c r="DH117" s="33"/>
      <c r="DI117" s="33"/>
      <c r="DJ117" s="33"/>
      <c r="DK117" s="33"/>
      <c r="DL117" s="33"/>
      <c r="DM117" s="33"/>
      <c r="DN117" s="33"/>
      <c r="DO117" s="33"/>
      <c r="DP117" s="33"/>
      <c r="DQ117" s="33"/>
      <c r="DR117" s="33"/>
      <c r="DS117" s="33"/>
      <c r="DT117" s="33"/>
      <c r="DU117" s="33"/>
      <c r="DV117" s="33"/>
      <c r="DW117" s="33"/>
      <c r="DX117" s="33"/>
      <c r="DY117" s="33"/>
      <c r="DZ117" s="33"/>
      <c r="EA117" s="33"/>
      <c r="EB117" s="33"/>
      <c r="EC117" s="33"/>
      <c r="ED117" s="33"/>
      <c r="EE117" s="33"/>
      <c r="EF117" s="33"/>
      <c r="EG117" s="33"/>
      <c r="EH117" s="33"/>
      <c r="EI117" s="33"/>
      <c r="EJ117" s="33"/>
      <c r="EK117" s="33"/>
      <c r="EL117" s="33"/>
      <c r="EM117" s="33"/>
      <c r="EN117" s="33"/>
      <c r="EO117" s="33"/>
      <c r="EP117" s="33"/>
      <c r="EQ117" s="33"/>
      <c r="ER117" s="33"/>
      <c r="ES117" s="33"/>
      <c r="ET117" s="33"/>
      <c r="EU117" s="33"/>
      <c r="EV117" s="33"/>
      <c r="EW117" s="33"/>
      <c r="EX117" s="33"/>
      <c r="EY117" s="33"/>
      <c r="EZ117" s="33"/>
      <c r="FA117" s="33"/>
      <c r="FB117" s="33"/>
      <c r="FC117" s="33"/>
      <c r="FD117" s="33"/>
      <c r="FE117" s="33"/>
      <c r="FF117" s="33"/>
      <c r="FG117" s="33"/>
      <c r="FH117" s="33"/>
      <c r="FI117" s="33"/>
      <c r="FJ117" s="33"/>
      <c r="FK117" s="33"/>
      <c r="FL117" s="33"/>
      <c r="FM117" s="33"/>
      <c r="FN117" s="33"/>
      <c r="FO117" s="33"/>
      <c r="FP117" s="33"/>
      <c r="FQ117" s="33"/>
      <c r="FR117" s="33"/>
      <c r="FS117" s="33"/>
      <c r="FT117" s="33"/>
      <c r="FU117" s="33"/>
      <c r="FV117" s="33"/>
      <c r="FW117" s="33"/>
      <c r="FX117" s="33"/>
      <c r="FY117" s="33"/>
      <c r="FZ117" s="33"/>
      <c r="GA117" s="33"/>
      <c r="GB117" s="33"/>
      <c r="GC117" s="33"/>
      <c r="GD117" s="33"/>
      <c r="GE117" s="33"/>
      <c r="GF117" s="33"/>
      <c r="GG117" s="33"/>
      <c r="GH117" s="33"/>
      <c r="GI117" s="33"/>
      <c r="GJ117" s="33"/>
      <c r="GK117" s="33"/>
      <c r="GL117" s="33"/>
      <c r="GM117" s="33"/>
      <c r="GN117" s="33"/>
      <c r="GO117" s="33"/>
      <c r="GP117" s="33"/>
      <c r="GQ117" s="33"/>
      <c r="GR117" s="33"/>
      <c r="GS117" s="33"/>
      <c r="GT117" s="33"/>
      <c r="GU117" s="33"/>
      <c r="GV117" s="33"/>
      <c r="GW117" s="33"/>
      <c r="GX117" s="33"/>
      <c r="GY117" s="33"/>
      <c r="GZ117" s="33"/>
      <c r="HA117" s="33"/>
      <c r="HB117" s="33"/>
      <c r="HC117" s="33"/>
      <c r="HD117" s="33"/>
      <c r="HE117" s="33"/>
      <c r="HF117" s="33"/>
      <c r="HG117" s="33"/>
      <c r="HH117" s="33"/>
      <c r="HI117" s="33"/>
      <c r="HJ117" s="33"/>
      <c r="HK117" s="33"/>
      <c r="HL117" s="33"/>
      <c r="HM117" s="33"/>
      <c r="HN117" s="33"/>
      <c r="HO117" s="33"/>
      <c r="HP117" s="33"/>
      <c r="HQ117" s="33"/>
      <c r="HR117" s="33"/>
      <c r="HS117" s="33"/>
      <c r="HT117" s="33"/>
      <c r="HU117" s="33"/>
      <c r="HV117" s="33"/>
      <c r="HW117" s="33"/>
      <c r="HX117" s="33"/>
      <c r="HY117" s="33"/>
      <c r="HZ117" s="33"/>
      <c r="IA117" s="33"/>
      <c r="IB117" s="33"/>
      <c r="IC117" s="33"/>
      <c r="ID117" s="33"/>
      <c r="IE117" s="33"/>
      <c r="IF117" s="33"/>
      <c r="IG117" s="33"/>
      <c r="IH117" s="33"/>
      <c r="II117" s="33"/>
      <c r="IJ117" s="33"/>
      <c r="IK117" s="33"/>
      <c r="IL117" s="33"/>
      <c r="IM117" s="33"/>
      <c r="IN117" s="33"/>
      <c r="IO117" s="33"/>
      <c r="IP117" s="33"/>
      <c r="IQ117" s="33"/>
      <c r="IR117" s="33"/>
      <c r="IS117" s="33"/>
      <c r="IT117" s="33"/>
      <c r="IU117" s="33"/>
      <c r="IV117" s="33"/>
      <c r="IW117" s="33"/>
      <c r="IX117" s="33"/>
      <c r="IY117" s="33"/>
      <c r="IZ117" s="33"/>
      <c r="JA117" s="33"/>
      <c r="JB117" s="33"/>
      <c r="JC117" s="33"/>
      <c r="JD117" s="33"/>
      <c r="JE117" s="33"/>
      <c r="JF117" s="33"/>
      <c r="JG117" s="33"/>
      <c r="JH117" s="33"/>
      <c r="JI117" s="33"/>
      <c r="JJ117" s="33"/>
      <c r="JK117" s="33"/>
      <c r="JL117" s="33"/>
      <c r="JM117" s="33"/>
      <c r="JN117" s="33"/>
      <c r="JO117" s="33"/>
      <c r="JP117" s="33"/>
      <c r="JQ117" s="33"/>
      <c r="JR117" s="33"/>
      <c r="JS117" s="33"/>
      <c r="JT117" s="33"/>
      <c r="JU117" s="33"/>
      <c r="JV117" s="33"/>
      <c r="JW117" s="33"/>
      <c r="JX117" s="33"/>
      <c r="JY117" s="33"/>
      <c r="JZ117" s="33"/>
      <c r="KA117" s="33"/>
      <c r="KB117" s="33"/>
      <c r="KC117" s="33"/>
      <c r="KD117" s="33"/>
      <c r="KE117" s="33"/>
      <c r="KF117" s="33"/>
      <c r="KG117" s="33"/>
      <c r="KH117" s="33"/>
      <c r="KI117" s="33"/>
      <c r="KJ117" s="33"/>
      <c r="KK117" s="33"/>
      <c r="KL117" s="33"/>
      <c r="KM117" s="33"/>
      <c r="KN117" s="33"/>
      <c r="KO117" s="33"/>
      <c r="KP117" s="33"/>
      <c r="KQ117" s="33"/>
      <c r="KR117" s="33"/>
      <c r="KS117" s="33"/>
      <c r="KT117" s="33"/>
      <c r="KU117" s="33"/>
      <c r="KV117" s="33"/>
      <c r="KW117" s="33"/>
      <c r="KX117" s="33"/>
      <c r="KY117" s="33"/>
      <c r="KZ117" s="33"/>
      <c r="LA117" s="33"/>
      <c r="LB117" s="33"/>
      <c r="LC117" s="33"/>
      <c r="LD117" s="33"/>
      <c r="LE117" s="33"/>
      <c r="LF117" s="33"/>
      <c r="LG117" s="33"/>
      <c r="LH117" s="33"/>
      <c r="LI117" s="33"/>
      <c r="LJ117" s="33"/>
      <c r="LK117" s="33"/>
      <c r="LL117" s="33"/>
      <c r="LM117" s="33"/>
      <c r="LN117" s="33"/>
      <c r="LO117" s="33"/>
      <c r="LP117" s="33"/>
      <c r="LQ117" s="33"/>
      <c r="LR117" s="33"/>
      <c r="LS117" s="33"/>
      <c r="LT117" s="33"/>
      <c r="LU117" s="33"/>
      <c r="LV117" s="33"/>
      <c r="LW117" s="33"/>
      <c r="LX117" s="33"/>
      <c r="LY117" s="33"/>
      <c r="LZ117" s="33"/>
      <c r="MA117" s="33"/>
      <c r="MB117" s="33"/>
      <c r="MC117" s="33"/>
      <c r="MD117" s="33"/>
      <c r="ME117" s="33"/>
      <c r="MF117" s="33"/>
      <c r="MG117" s="33"/>
      <c r="MH117" s="33"/>
      <c r="MI117" s="33"/>
      <c r="MJ117" s="33"/>
      <c r="MK117" s="33"/>
      <c r="ML117" s="33"/>
      <c r="MM117" s="33"/>
      <c r="MN117" s="33"/>
      <c r="MO117" s="33"/>
      <c r="MP117" s="33"/>
      <c r="MQ117" s="33"/>
      <c r="MR117" s="33"/>
      <c r="MS117" s="33"/>
      <c r="MT117" s="33"/>
      <c r="MU117" s="33"/>
      <c r="MV117" s="33"/>
    </row>
    <row r="118" spans="1:360" ht="0.75" customHeight="1" x14ac:dyDescent="0.25">
      <c r="A118" s="33"/>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33"/>
      <c r="BT118" s="33"/>
      <c r="BU118" s="33"/>
      <c r="BV118" s="33"/>
      <c r="BW118" s="33"/>
      <c r="BX118" s="33"/>
      <c r="BY118" s="33"/>
      <c r="BZ118" s="33"/>
      <c r="CA118" s="33"/>
      <c r="CB118" s="33"/>
      <c r="CC118" s="33"/>
      <c r="CD118" s="33"/>
      <c r="CE118" s="33"/>
      <c r="CF118" s="33"/>
      <c r="CG118" s="33"/>
      <c r="CH118" s="33"/>
      <c r="CI118" s="33"/>
      <c r="CJ118" s="33"/>
      <c r="CK118" s="33"/>
      <c r="CL118" s="33"/>
      <c r="CM118" s="33"/>
      <c r="CN118" s="33"/>
      <c r="CO118" s="33"/>
      <c r="CP118" s="33"/>
      <c r="CQ118" s="33"/>
      <c r="CR118" s="33"/>
      <c r="CS118" s="33"/>
      <c r="CT118" s="33"/>
      <c r="CU118" s="33"/>
      <c r="CV118" s="33"/>
      <c r="CW118" s="33"/>
      <c r="CX118" s="33"/>
      <c r="CY118" s="33"/>
      <c r="CZ118" s="33"/>
      <c r="DA118" s="33"/>
      <c r="DB118" s="33"/>
      <c r="DC118" s="33"/>
      <c r="DD118" s="33"/>
      <c r="DE118" s="33"/>
      <c r="DF118" s="33"/>
      <c r="DG118" s="33"/>
      <c r="DH118" s="33"/>
      <c r="DI118" s="33"/>
      <c r="DJ118" s="33"/>
      <c r="DK118" s="33"/>
      <c r="DL118" s="33"/>
      <c r="DM118" s="33"/>
      <c r="DN118" s="33"/>
      <c r="DO118" s="33"/>
      <c r="DP118" s="33"/>
      <c r="DQ118" s="33"/>
      <c r="DR118" s="33"/>
      <c r="DS118" s="33"/>
      <c r="DT118" s="33"/>
      <c r="DU118" s="33"/>
      <c r="DV118" s="33"/>
      <c r="DW118" s="33"/>
      <c r="DX118" s="33"/>
      <c r="DY118" s="33"/>
      <c r="DZ118" s="33"/>
      <c r="EA118" s="33"/>
      <c r="EB118" s="33"/>
      <c r="EC118" s="33"/>
      <c r="ED118" s="33"/>
      <c r="EE118" s="33"/>
      <c r="EF118" s="33"/>
      <c r="EG118" s="33"/>
      <c r="EH118" s="33"/>
      <c r="EI118" s="33"/>
      <c r="EJ118" s="33"/>
      <c r="EK118" s="33"/>
      <c r="EL118" s="33"/>
      <c r="EM118" s="33"/>
      <c r="EN118" s="33"/>
      <c r="EO118" s="33"/>
      <c r="EP118" s="33"/>
      <c r="EQ118" s="33"/>
      <c r="ER118" s="33"/>
      <c r="ES118" s="33"/>
      <c r="ET118" s="33"/>
      <c r="EU118" s="33"/>
      <c r="EV118" s="33"/>
      <c r="EW118" s="33"/>
      <c r="EX118" s="33"/>
      <c r="EY118" s="33"/>
      <c r="EZ118" s="33"/>
      <c r="FA118" s="33"/>
      <c r="FB118" s="33"/>
      <c r="FC118" s="33"/>
      <c r="FD118" s="33"/>
      <c r="FE118" s="33"/>
      <c r="FF118" s="33"/>
      <c r="FG118" s="33"/>
      <c r="FH118" s="33"/>
      <c r="FI118" s="33"/>
      <c r="FJ118" s="33"/>
      <c r="FK118" s="33"/>
      <c r="FL118" s="33"/>
      <c r="FM118" s="33"/>
      <c r="FN118" s="33"/>
      <c r="FO118" s="33"/>
      <c r="FP118" s="33"/>
      <c r="FQ118" s="33"/>
      <c r="FR118" s="33"/>
      <c r="FS118" s="33"/>
      <c r="FT118" s="33"/>
      <c r="FU118" s="33"/>
      <c r="FV118" s="33"/>
      <c r="FW118" s="33"/>
      <c r="FX118" s="33"/>
      <c r="FY118" s="33"/>
      <c r="FZ118" s="33"/>
      <c r="GA118" s="33"/>
      <c r="GB118" s="33"/>
      <c r="GC118" s="33"/>
      <c r="GD118" s="33"/>
      <c r="GE118" s="33"/>
      <c r="GF118" s="33"/>
      <c r="GG118" s="33"/>
      <c r="GH118" s="33"/>
      <c r="GI118" s="33"/>
      <c r="GJ118" s="33"/>
      <c r="GK118" s="33"/>
      <c r="GL118" s="33"/>
      <c r="GM118" s="33"/>
      <c r="GN118" s="33"/>
      <c r="GO118" s="33"/>
      <c r="GP118" s="33"/>
      <c r="GQ118" s="33"/>
      <c r="GR118" s="33"/>
      <c r="GS118" s="33"/>
      <c r="GT118" s="33"/>
      <c r="GU118" s="33"/>
      <c r="GV118" s="33"/>
      <c r="GW118" s="33"/>
      <c r="GX118" s="33"/>
      <c r="GY118" s="33"/>
      <c r="GZ118" s="33"/>
      <c r="HA118" s="33"/>
      <c r="HB118" s="33"/>
      <c r="HC118" s="33"/>
      <c r="HD118" s="33"/>
      <c r="HE118" s="33"/>
      <c r="HF118" s="33"/>
      <c r="HG118" s="33"/>
      <c r="HH118" s="33"/>
      <c r="HI118" s="33"/>
      <c r="HJ118" s="33"/>
      <c r="HK118" s="33"/>
      <c r="HL118" s="33"/>
      <c r="HM118" s="33"/>
      <c r="HN118" s="33"/>
      <c r="HO118" s="33"/>
      <c r="HP118" s="33"/>
      <c r="HQ118" s="33"/>
      <c r="HR118" s="33"/>
      <c r="HS118" s="33"/>
      <c r="HT118" s="33"/>
      <c r="HU118" s="33"/>
      <c r="HV118" s="33"/>
      <c r="HW118" s="33"/>
      <c r="HX118" s="33"/>
      <c r="HY118" s="33"/>
      <c r="HZ118" s="33"/>
      <c r="IA118" s="33"/>
      <c r="IB118" s="33"/>
      <c r="IC118" s="33"/>
      <c r="ID118" s="33"/>
      <c r="IE118" s="33"/>
      <c r="IF118" s="33"/>
      <c r="IG118" s="33"/>
      <c r="IH118" s="33"/>
      <c r="II118" s="33"/>
      <c r="IJ118" s="33"/>
      <c r="IK118" s="33"/>
      <c r="IL118" s="33"/>
      <c r="IM118" s="33"/>
      <c r="IN118" s="33"/>
      <c r="IO118" s="33"/>
      <c r="IP118" s="33"/>
      <c r="IQ118" s="33"/>
      <c r="IR118" s="33"/>
      <c r="IS118" s="33"/>
      <c r="IT118" s="33"/>
      <c r="IU118" s="33"/>
      <c r="IV118" s="33"/>
      <c r="IW118" s="33"/>
      <c r="IX118" s="33"/>
      <c r="IY118" s="33"/>
      <c r="IZ118" s="33"/>
      <c r="JA118" s="33"/>
      <c r="JB118" s="33"/>
      <c r="JC118" s="33"/>
      <c r="JD118" s="33"/>
      <c r="JE118" s="33"/>
      <c r="JF118" s="33"/>
      <c r="JG118" s="33"/>
      <c r="JH118" s="33"/>
      <c r="JI118" s="33"/>
      <c r="JJ118" s="33"/>
      <c r="JK118" s="33"/>
      <c r="JL118" s="33"/>
      <c r="JM118" s="33"/>
      <c r="JN118" s="33"/>
      <c r="JO118" s="33"/>
      <c r="JP118" s="33"/>
      <c r="JQ118" s="33"/>
      <c r="JR118" s="33"/>
      <c r="JS118" s="33"/>
      <c r="JT118" s="33"/>
      <c r="JU118" s="33"/>
      <c r="JV118" s="33"/>
      <c r="JW118" s="33"/>
      <c r="JX118" s="33"/>
      <c r="JY118" s="33"/>
      <c r="JZ118" s="33"/>
      <c r="KA118" s="33"/>
      <c r="KB118" s="33"/>
      <c r="KC118" s="33"/>
      <c r="KD118" s="33"/>
      <c r="KE118" s="33"/>
      <c r="KF118" s="33"/>
      <c r="KG118" s="33"/>
      <c r="KH118" s="33"/>
      <c r="KI118" s="33"/>
      <c r="KJ118" s="33"/>
      <c r="KK118" s="33"/>
      <c r="KL118" s="33"/>
      <c r="KM118" s="33"/>
      <c r="KN118" s="33"/>
      <c r="KO118" s="33"/>
      <c r="KP118" s="33"/>
      <c r="KQ118" s="33"/>
      <c r="KR118" s="33"/>
      <c r="KS118" s="33"/>
      <c r="KT118" s="33"/>
      <c r="KU118" s="33"/>
      <c r="KV118" s="33"/>
      <c r="KW118" s="33"/>
      <c r="KX118" s="33"/>
      <c r="KY118" s="33"/>
      <c r="KZ118" s="33"/>
      <c r="LA118" s="33"/>
      <c r="LB118" s="33"/>
      <c r="LC118" s="33"/>
      <c r="LD118" s="33"/>
      <c r="LE118" s="33"/>
      <c r="LF118" s="33"/>
      <c r="LG118" s="33"/>
      <c r="LH118" s="33"/>
      <c r="LI118" s="33"/>
      <c r="LJ118" s="33"/>
      <c r="LK118" s="33"/>
      <c r="LL118" s="33"/>
      <c r="LM118" s="33"/>
      <c r="LN118" s="33"/>
      <c r="LO118" s="33"/>
      <c r="LP118" s="33"/>
      <c r="LQ118" s="33"/>
      <c r="LR118" s="33"/>
      <c r="LS118" s="33"/>
      <c r="LT118" s="33"/>
      <c r="LU118" s="33"/>
      <c r="LV118" s="33"/>
      <c r="LW118" s="33"/>
      <c r="LX118" s="33"/>
      <c r="LY118" s="33"/>
      <c r="LZ118" s="33"/>
      <c r="MA118" s="33"/>
      <c r="MB118" s="33"/>
      <c r="MC118" s="33"/>
      <c r="MD118" s="33"/>
      <c r="ME118" s="33"/>
      <c r="MF118" s="33"/>
      <c r="MG118" s="33"/>
      <c r="MH118" s="33"/>
      <c r="MI118" s="33"/>
      <c r="MJ118" s="33"/>
      <c r="MK118" s="33"/>
      <c r="ML118" s="33"/>
      <c r="MM118" s="33"/>
      <c r="MN118" s="33"/>
      <c r="MO118" s="33"/>
      <c r="MP118" s="33"/>
      <c r="MQ118" s="33"/>
      <c r="MR118" s="33"/>
      <c r="MS118" s="33"/>
      <c r="MT118" s="33"/>
      <c r="MU118" s="33"/>
      <c r="MV118" s="33"/>
    </row>
    <row r="119" spans="1:360" ht="0.75" customHeight="1" x14ac:dyDescent="0.25">
      <c r="A119" s="33"/>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33"/>
      <c r="BT119" s="33"/>
      <c r="BU119" s="33"/>
      <c r="BV119" s="33"/>
      <c r="BW119" s="33"/>
      <c r="BX119" s="33"/>
      <c r="BY119" s="33"/>
      <c r="BZ119" s="33"/>
      <c r="CA119" s="33"/>
      <c r="CB119" s="33"/>
      <c r="CC119" s="33"/>
      <c r="CD119" s="33"/>
      <c r="CE119" s="33"/>
      <c r="CF119" s="33"/>
      <c r="CG119" s="33"/>
      <c r="CH119" s="33"/>
      <c r="CI119" s="33"/>
      <c r="CJ119" s="33"/>
      <c r="CK119" s="33"/>
      <c r="CL119" s="33"/>
      <c r="CM119" s="33"/>
      <c r="CN119" s="33"/>
      <c r="CO119" s="33"/>
      <c r="CP119" s="33"/>
      <c r="CQ119" s="33"/>
      <c r="CR119" s="33"/>
      <c r="CS119" s="33"/>
      <c r="CT119" s="33"/>
      <c r="CU119" s="33"/>
      <c r="CV119" s="33"/>
      <c r="CW119" s="33"/>
      <c r="CX119" s="33"/>
      <c r="CY119" s="33"/>
      <c r="CZ119" s="33"/>
      <c r="DA119" s="33"/>
      <c r="DB119" s="33"/>
      <c r="DC119" s="33"/>
      <c r="DD119" s="33"/>
      <c r="DE119" s="33"/>
      <c r="DF119" s="33"/>
      <c r="DG119" s="33"/>
      <c r="DH119" s="33"/>
      <c r="DI119" s="33"/>
      <c r="DJ119" s="33"/>
      <c r="DK119" s="33"/>
      <c r="DL119" s="33"/>
      <c r="DM119" s="33"/>
      <c r="DN119" s="33"/>
      <c r="DO119" s="33"/>
      <c r="DP119" s="33"/>
      <c r="DQ119" s="33"/>
      <c r="DR119" s="33"/>
      <c r="DS119" s="33"/>
      <c r="DT119" s="33"/>
      <c r="DU119" s="33"/>
      <c r="DV119" s="33"/>
      <c r="DW119" s="33"/>
      <c r="DX119" s="33"/>
      <c r="DY119" s="33"/>
      <c r="DZ119" s="33"/>
      <c r="EA119" s="33"/>
      <c r="EB119" s="33"/>
      <c r="EC119" s="33"/>
      <c r="ED119" s="33"/>
      <c r="EE119" s="33"/>
      <c r="EF119" s="33"/>
      <c r="EG119" s="33"/>
      <c r="EH119" s="33"/>
      <c r="EI119" s="33"/>
      <c r="EJ119" s="33"/>
      <c r="EK119" s="33"/>
      <c r="EL119" s="33"/>
      <c r="EM119" s="33"/>
      <c r="EN119" s="33"/>
      <c r="EO119" s="33"/>
      <c r="EP119" s="33"/>
      <c r="EQ119" s="33"/>
      <c r="ER119" s="33"/>
      <c r="ES119" s="33"/>
      <c r="ET119" s="33"/>
      <c r="EU119" s="33"/>
      <c r="EV119" s="33"/>
      <c r="EW119" s="33"/>
      <c r="EX119" s="33"/>
      <c r="EY119" s="33"/>
      <c r="EZ119" s="33"/>
      <c r="FA119" s="33"/>
      <c r="FB119" s="33"/>
      <c r="FC119" s="33"/>
      <c r="FD119" s="33"/>
      <c r="FE119" s="33"/>
      <c r="FF119" s="33"/>
      <c r="FG119" s="33"/>
      <c r="FH119" s="33"/>
      <c r="FI119" s="33"/>
      <c r="FJ119" s="33"/>
      <c r="FK119" s="33"/>
      <c r="FL119" s="33"/>
      <c r="FM119" s="33"/>
      <c r="FN119" s="33"/>
      <c r="FO119" s="33"/>
      <c r="FP119" s="33"/>
      <c r="FQ119" s="33"/>
      <c r="FR119" s="33"/>
      <c r="FS119" s="33"/>
      <c r="FT119" s="33"/>
      <c r="FU119" s="33"/>
      <c r="FV119" s="33"/>
      <c r="FW119" s="33"/>
      <c r="FX119" s="33"/>
      <c r="FY119" s="33"/>
      <c r="FZ119" s="33"/>
      <c r="GA119" s="33"/>
      <c r="GB119" s="33"/>
      <c r="GC119" s="33"/>
      <c r="GD119" s="33"/>
      <c r="GE119" s="33"/>
      <c r="GF119" s="33"/>
      <c r="GG119" s="33"/>
      <c r="GH119" s="33"/>
      <c r="GI119" s="33"/>
      <c r="GJ119" s="33"/>
      <c r="GK119" s="33"/>
      <c r="GL119" s="33"/>
      <c r="GM119" s="33"/>
      <c r="GN119" s="33"/>
      <c r="GO119" s="33"/>
      <c r="GP119" s="33"/>
      <c r="GQ119" s="33"/>
      <c r="GR119" s="33"/>
      <c r="GS119" s="33"/>
      <c r="GT119" s="33"/>
      <c r="GU119" s="33"/>
      <c r="GV119" s="33"/>
      <c r="GW119" s="33"/>
      <c r="GX119" s="33"/>
      <c r="GY119" s="33"/>
      <c r="GZ119" s="33"/>
      <c r="HA119" s="33"/>
      <c r="HB119" s="33"/>
      <c r="HC119" s="33"/>
      <c r="HD119" s="33"/>
      <c r="HE119" s="33"/>
      <c r="HF119" s="33"/>
      <c r="HG119" s="33"/>
      <c r="HH119" s="33"/>
      <c r="HI119" s="33"/>
      <c r="HJ119" s="33"/>
      <c r="HK119" s="33"/>
      <c r="HL119" s="33"/>
      <c r="HM119" s="33"/>
      <c r="HN119" s="33"/>
      <c r="HO119" s="33"/>
      <c r="HP119" s="33"/>
      <c r="HQ119" s="33"/>
      <c r="HR119" s="33"/>
      <c r="HS119" s="33"/>
      <c r="HT119" s="33"/>
      <c r="HU119" s="33"/>
      <c r="HV119" s="33"/>
      <c r="HW119" s="33"/>
      <c r="HX119" s="33"/>
      <c r="HY119" s="33"/>
      <c r="HZ119" s="33"/>
      <c r="IA119" s="33"/>
      <c r="IB119" s="33"/>
      <c r="IC119" s="33"/>
      <c r="ID119" s="33"/>
      <c r="IE119" s="33"/>
      <c r="IF119" s="33"/>
      <c r="IG119" s="33"/>
      <c r="IH119" s="33"/>
      <c r="II119" s="33"/>
      <c r="IJ119" s="33"/>
      <c r="IK119" s="33"/>
      <c r="IL119" s="33"/>
      <c r="IM119" s="33"/>
      <c r="IN119" s="33"/>
      <c r="IO119" s="33"/>
      <c r="IP119" s="33"/>
      <c r="IQ119" s="33"/>
      <c r="IR119" s="33"/>
      <c r="IS119" s="33"/>
      <c r="IT119" s="33"/>
      <c r="IU119" s="33"/>
      <c r="IV119" s="33"/>
      <c r="IW119" s="33"/>
      <c r="IX119" s="33"/>
      <c r="IY119" s="33"/>
      <c r="IZ119" s="33"/>
      <c r="JA119" s="33"/>
      <c r="JB119" s="33"/>
      <c r="JC119" s="33"/>
      <c r="JD119" s="33"/>
      <c r="JE119" s="33"/>
      <c r="JF119" s="33"/>
      <c r="JG119" s="33"/>
      <c r="JH119" s="33"/>
      <c r="JI119" s="33"/>
      <c r="JJ119" s="33"/>
      <c r="JK119" s="33"/>
      <c r="JL119" s="33"/>
      <c r="JM119" s="33"/>
      <c r="JN119" s="33"/>
      <c r="JO119" s="33"/>
      <c r="JP119" s="33"/>
      <c r="JQ119" s="33"/>
      <c r="JR119" s="33"/>
      <c r="JS119" s="33"/>
      <c r="JT119" s="33"/>
      <c r="JU119" s="33"/>
      <c r="JV119" s="33"/>
      <c r="JW119" s="33"/>
      <c r="JX119" s="33"/>
      <c r="JY119" s="33"/>
      <c r="JZ119" s="33"/>
      <c r="KA119" s="33"/>
      <c r="KB119" s="33"/>
      <c r="KC119" s="33"/>
      <c r="KD119" s="33"/>
      <c r="KE119" s="33"/>
      <c r="KF119" s="33"/>
      <c r="KG119" s="33"/>
      <c r="KH119" s="33"/>
      <c r="KI119" s="33"/>
      <c r="KJ119" s="33"/>
      <c r="KK119" s="33"/>
      <c r="KL119" s="33"/>
      <c r="KM119" s="33"/>
      <c r="KN119" s="33"/>
      <c r="KO119" s="33"/>
      <c r="KP119" s="33"/>
      <c r="KQ119" s="33"/>
      <c r="KR119" s="33"/>
      <c r="KS119" s="33"/>
      <c r="KT119" s="33"/>
      <c r="KU119" s="33"/>
      <c r="KV119" s="33"/>
      <c r="KW119" s="33"/>
      <c r="KX119" s="33"/>
      <c r="KY119" s="33"/>
      <c r="KZ119" s="33"/>
      <c r="LA119" s="33"/>
      <c r="LB119" s="33"/>
      <c r="LC119" s="33"/>
      <c r="LD119" s="33"/>
      <c r="LE119" s="33"/>
      <c r="LF119" s="33"/>
      <c r="LG119" s="33"/>
      <c r="LH119" s="33"/>
      <c r="LI119" s="33"/>
      <c r="LJ119" s="33"/>
      <c r="LK119" s="33"/>
      <c r="LL119" s="33"/>
      <c r="LM119" s="33"/>
      <c r="LN119" s="33"/>
      <c r="LO119" s="33"/>
      <c r="LP119" s="33"/>
      <c r="LQ119" s="33"/>
      <c r="LR119" s="33"/>
      <c r="LS119" s="33"/>
      <c r="LT119" s="33"/>
      <c r="LU119" s="33"/>
      <c r="LV119" s="33"/>
      <c r="LW119" s="33"/>
      <c r="LX119" s="33"/>
      <c r="LY119" s="33"/>
      <c r="LZ119" s="33"/>
      <c r="MA119" s="33"/>
      <c r="MB119" s="33"/>
      <c r="MC119" s="33"/>
      <c r="MD119" s="33"/>
      <c r="ME119" s="33"/>
      <c r="MF119" s="33"/>
      <c r="MG119" s="33"/>
      <c r="MH119" s="33"/>
      <c r="MI119" s="33"/>
      <c r="MJ119" s="33"/>
      <c r="MK119" s="33"/>
      <c r="ML119" s="33"/>
      <c r="MM119" s="33"/>
      <c r="MN119" s="33"/>
      <c r="MO119" s="33"/>
      <c r="MP119" s="33"/>
      <c r="MQ119" s="33"/>
      <c r="MR119" s="33"/>
      <c r="MS119" s="33"/>
      <c r="MT119" s="33"/>
      <c r="MU119" s="33"/>
      <c r="MV119" s="33"/>
    </row>
    <row r="120" spans="1:360" ht="0.75" customHeight="1" x14ac:dyDescent="0.25">
      <c r="A120" s="33"/>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33"/>
      <c r="BT120" s="33"/>
      <c r="BU120" s="33"/>
      <c r="BV120" s="33"/>
      <c r="BW120" s="33"/>
      <c r="BX120" s="33"/>
      <c r="BY120" s="33"/>
      <c r="BZ120" s="33"/>
      <c r="CA120" s="33"/>
      <c r="CB120" s="33"/>
      <c r="CC120" s="33"/>
      <c r="CD120" s="33"/>
      <c r="CE120" s="33"/>
      <c r="CF120" s="33"/>
      <c r="CG120" s="33"/>
      <c r="CH120" s="33"/>
      <c r="CI120" s="33"/>
      <c r="CJ120" s="33"/>
      <c r="CK120" s="33"/>
      <c r="CL120" s="33"/>
      <c r="CM120" s="33"/>
      <c r="CN120" s="33"/>
      <c r="CO120" s="33"/>
      <c r="CP120" s="33"/>
      <c r="CQ120" s="33"/>
      <c r="CR120" s="33"/>
      <c r="CS120" s="33"/>
      <c r="CT120" s="33"/>
      <c r="CU120" s="33"/>
      <c r="CV120" s="33"/>
      <c r="CW120" s="33"/>
      <c r="CX120" s="33"/>
      <c r="CY120" s="33"/>
      <c r="CZ120" s="33"/>
      <c r="DA120" s="33"/>
      <c r="DB120" s="33"/>
      <c r="DC120" s="33"/>
      <c r="DD120" s="33"/>
      <c r="DE120" s="33"/>
      <c r="DF120" s="33"/>
      <c r="DG120" s="33"/>
      <c r="DH120" s="33"/>
      <c r="DI120" s="33"/>
      <c r="DJ120" s="33"/>
      <c r="DK120" s="33"/>
      <c r="DL120" s="33"/>
      <c r="DM120" s="33"/>
      <c r="DN120" s="33"/>
      <c r="DO120" s="33"/>
      <c r="DP120" s="33"/>
      <c r="DQ120" s="33"/>
      <c r="DR120" s="33"/>
      <c r="DS120" s="33"/>
      <c r="DT120" s="33"/>
      <c r="DU120" s="33"/>
      <c r="DV120" s="33"/>
      <c r="DW120" s="33"/>
      <c r="DX120" s="33"/>
      <c r="DY120" s="33"/>
      <c r="DZ120" s="33"/>
      <c r="EA120" s="33"/>
      <c r="EB120" s="33"/>
      <c r="EC120" s="33"/>
      <c r="ED120" s="33"/>
      <c r="EE120" s="33"/>
      <c r="EF120" s="33"/>
      <c r="EG120" s="33"/>
      <c r="EH120" s="33"/>
      <c r="EI120" s="33"/>
      <c r="EJ120" s="33"/>
      <c r="EK120" s="33"/>
      <c r="EL120" s="33"/>
      <c r="EM120" s="33"/>
      <c r="EN120" s="33"/>
      <c r="EO120" s="33"/>
      <c r="EP120" s="33"/>
      <c r="EQ120" s="33"/>
      <c r="ER120" s="33"/>
      <c r="ES120" s="33"/>
      <c r="ET120" s="33"/>
      <c r="EU120" s="33"/>
      <c r="EV120" s="33"/>
      <c r="EW120" s="33"/>
      <c r="EX120" s="33"/>
      <c r="EY120" s="33"/>
      <c r="EZ120" s="33"/>
      <c r="FA120" s="33"/>
      <c r="FB120" s="33"/>
      <c r="FC120" s="33"/>
      <c r="FD120" s="33"/>
      <c r="FE120" s="33"/>
      <c r="FF120" s="33"/>
      <c r="FG120" s="33"/>
      <c r="FH120" s="33"/>
      <c r="FI120" s="33"/>
      <c r="FJ120" s="33"/>
      <c r="FK120" s="33"/>
      <c r="FL120" s="33"/>
      <c r="FM120" s="33"/>
      <c r="FN120" s="33"/>
      <c r="FO120" s="33"/>
      <c r="FP120" s="33"/>
      <c r="FQ120" s="33"/>
      <c r="FR120" s="33"/>
      <c r="FS120" s="33"/>
      <c r="FT120" s="33"/>
      <c r="FU120" s="33"/>
      <c r="FV120" s="33"/>
      <c r="FW120" s="33"/>
      <c r="FX120" s="33"/>
      <c r="FY120" s="33"/>
      <c r="FZ120" s="33"/>
      <c r="GA120" s="33"/>
      <c r="GB120" s="33"/>
      <c r="GC120" s="33"/>
      <c r="GD120" s="33"/>
      <c r="GE120" s="33"/>
      <c r="GF120" s="33"/>
      <c r="GG120" s="33"/>
      <c r="GH120" s="33"/>
      <c r="GI120" s="33"/>
      <c r="GJ120" s="33"/>
      <c r="GK120" s="33"/>
      <c r="GL120" s="33"/>
      <c r="GM120" s="33"/>
      <c r="GN120" s="33"/>
      <c r="GO120" s="33"/>
      <c r="GP120" s="33"/>
      <c r="GQ120" s="33"/>
      <c r="GR120" s="33"/>
      <c r="GS120" s="33"/>
      <c r="GT120" s="33"/>
      <c r="GU120" s="33"/>
      <c r="GV120" s="33"/>
      <c r="GW120" s="33"/>
      <c r="GX120" s="33"/>
      <c r="GY120" s="33"/>
      <c r="GZ120" s="33"/>
      <c r="HA120" s="33"/>
      <c r="HB120" s="33"/>
      <c r="HC120" s="33"/>
      <c r="HD120" s="33"/>
      <c r="HE120" s="33"/>
      <c r="HF120" s="33"/>
      <c r="HG120" s="33"/>
      <c r="HH120" s="33"/>
      <c r="HI120" s="33"/>
      <c r="HJ120" s="33"/>
      <c r="HK120" s="33"/>
      <c r="HL120" s="33"/>
      <c r="HM120" s="33"/>
      <c r="HN120" s="33"/>
      <c r="HO120" s="33"/>
      <c r="HP120" s="33"/>
      <c r="HQ120" s="33"/>
      <c r="HR120" s="33"/>
      <c r="HS120" s="33"/>
      <c r="HT120" s="33"/>
      <c r="HU120" s="33"/>
      <c r="HV120" s="33"/>
      <c r="HW120" s="33"/>
      <c r="HX120" s="33"/>
      <c r="HY120" s="33"/>
      <c r="HZ120" s="33"/>
      <c r="IA120" s="33"/>
      <c r="IB120" s="33"/>
      <c r="IC120" s="33"/>
      <c r="ID120" s="33"/>
      <c r="IE120" s="33"/>
      <c r="IF120" s="33"/>
      <c r="IG120" s="33"/>
      <c r="IH120" s="33"/>
      <c r="II120" s="33"/>
      <c r="IJ120" s="33"/>
      <c r="IK120" s="33"/>
      <c r="IL120" s="33"/>
      <c r="IM120" s="33"/>
      <c r="IN120" s="33"/>
      <c r="IO120" s="33"/>
      <c r="IP120" s="33"/>
      <c r="IQ120" s="33"/>
      <c r="IR120" s="33"/>
      <c r="IS120" s="33"/>
      <c r="IT120" s="33"/>
      <c r="IU120" s="33"/>
      <c r="IV120" s="33"/>
      <c r="IW120" s="33"/>
      <c r="IX120" s="33"/>
      <c r="IY120" s="33"/>
      <c r="IZ120" s="33"/>
      <c r="JA120" s="33"/>
      <c r="JB120" s="33"/>
      <c r="JC120" s="33"/>
      <c r="JD120" s="33"/>
      <c r="JE120" s="33"/>
      <c r="JF120" s="33"/>
      <c r="JG120" s="33"/>
      <c r="JH120" s="33"/>
      <c r="JI120" s="33"/>
      <c r="JJ120" s="33"/>
      <c r="JK120" s="33"/>
      <c r="JL120" s="33"/>
      <c r="JM120" s="33"/>
      <c r="JN120" s="33"/>
      <c r="JO120" s="33"/>
      <c r="JP120" s="33"/>
      <c r="JQ120" s="33"/>
      <c r="JR120" s="33"/>
      <c r="JS120" s="33"/>
      <c r="JT120" s="33"/>
      <c r="JU120" s="33"/>
      <c r="JV120" s="33"/>
      <c r="JW120" s="33"/>
      <c r="JX120" s="33"/>
      <c r="JY120" s="33"/>
      <c r="JZ120" s="33"/>
      <c r="KA120" s="33"/>
      <c r="KB120" s="33"/>
      <c r="KC120" s="33"/>
      <c r="KD120" s="33"/>
      <c r="KE120" s="33"/>
      <c r="KF120" s="33"/>
      <c r="KG120" s="33"/>
      <c r="KH120" s="33"/>
      <c r="KI120" s="33"/>
      <c r="KJ120" s="33"/>
      <c r="KK120" s="33"/>
      <c r="KL120" s="33"/>
      <c r="KM120" s="33"/>
      <c r="KN120" s="33"/>
      <c r="KO120" s="33"/>
      <c r="KP120" s="33"/>
      <c r="KQ120" s="33"/>
      <c r="KR120" s="33"/>
      <c r="KS120" s="33"/>
      <c r="KT120" s="33"/>
      <c r="KU120" s="33"/>
      <c r="KV120" s="33"/>
      <c r="KW120" s="33"/>
      <c r="KX120" s="33"/>
      <c r="KY120" s="33"/>
      <c r="KZ120" s="33"/>
      <c r="LA120" s="33"/>
      <c r="LB120" s="33"/>
      <c r="LC120" s="33"/>
      <c r="LD120" s="33"/>
      <c r="LE120" s="33"/>
      <c r="LF120" s="33"/>
      <c r="LG120" s="33"/>
      <c r="LH120" s="33"/>
      <c r="LI120" s="33"/>
      <c r="LJ120" s="33"/>
      <c r="LK120" s="33"/>
      <c r="LL120" s="33"/>
      <c r="LM120" s="33"/>
      <c r="LN120" s="33"/>
      <c r="LO120" s="33"/>
      <c r="LP120" s="33"/>
      <c r="LQ120" s="33"/>
      <c r="LR120" s="33"/>
      <c r="LS120" s="33"/>
      <c r="LT120" s="33"/>
      <c r="LU120" s="33"/>
      <c r="LV120" s="33"/>
      <c r="LW120" s="33"/>
      <c r="LX120" s="33"/>
      <c r="LY120" s="33"/>
      <c r="LZ120" s="33"/>
      <c r="MA120" s="33"/>
      <c r="MB120" s="33"/>
      <c r="MC120" s="33"/>
      <c r="MD120" s="33"/>
      <c r="ME120" s="33"/>
      <c r="MF120" s="33"/>
      <c r="MG120" s="33"/>
      <c r="MH120" s="33"/>
      <c r="MI120" s="33"/>
      <c r="MJ120" s="33"/>
      <c r="MK120" s="33"/>
      <c r="ML120" s="33"/>
      <c r="MM120" s="33"/>
      <c r="MN120" s="33"/>
      <c r="MO120" s="33"/>
      <c r="MP120" s="33"/>
      <c r="MQ120" s="33"/>
      <c r="MR120" s="33"/>
      <c r="MS120" s="33"/>
      <c r="MT120" s="33"/>
      <c r="MU120" s="33"/>
      <c r="MV120" s="33"/>
    </row>
    <row r="121" spans="1:360" ht="0.75" customHeight="1" x14ac:dyDescent="0.25">
      <c r="A121" s="33"/>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33"/>
      <c r="BT121" s="33"/>
      <c r="BU121" s="33"/>
      <c r="BV121" s="33"/>
      <c r="BW121" s="33"/>
      <c r="BX121" s="33"/>
      <c r="BY121" s="33"/>
      <c r="BZ121" s="33"/>
      <c r="CA121" s="33"/>
      <c r="CB121" s="33"/>
      <c r="CC121" s="33"/>
      <c r="CD121" s="33"/>
      <c r="CE121" s="33"/>
      <c r="CF121" s="33"/>
      <c r="CG121" s="33"/>
      <c r="CH121" s="33"/>
      <c r="CI121" s="33"/>
      <c r="CJ121" s="33"/>
      <c r="CK121" s="33"/>
      <c r="CL121" s="33"/>
      <c r="CM121" s="33"/>
      <c r="CN121" s="33"/>
      <c r="CO121" s="33"/>
      <c r="CP121" s="33"/>
      <c r="CQ121" s="33"/>
      <c r="CR121" s="33"/>
      <c r="CS121" s="33"/>
      <c r="CT121" s="33"/>
      <c r="CU121" s="33"/>
      <c r="CV121" s="33"/>
      <c r="CW121" s="33"/>
      <c r="CX121" s="33"/>
      <c r="CY121" s="33"/>
      <c r="CZ121" s="33"/>
      <c r="DA121" s="33"/>
      <c r="DB121" s="33"/>
      <c r="DC121" s="33"/>
      <c r="DD121" s="33"/>
      <c r="DE121" s="33"/>
      <c r="DF121" s="33"/>
      <c r="DG121" s="33"/>
      <c r="DH121" s="33"/>
      <c r="DI121" s="33"/>
      <c r="DJ121" s="33"/>
      <c r="DK121" s="33"/>
      <c r="DL121" s="33"/>
      <c r="DM121" s="33"/>
      <c r="DN121" s="33"/>
      <c r="DO121" s="33"/>
      <c r="DP121" s="33"/>
      <c r="DQ121" s="33"/>
      <c r="DR121" s="33"/>
      <c r="DS121" s="33"/>
      <c r="DT121" s="33"/>
      <c r="DU121" s="33"/>
      <c r="DV121" s="33"/>
      <c r="DW121" s="33"/>
      <c r="DX121" s="33"/>
      <c r="DY121" s="33"/>
      <c r="DZ121" s="33"/>
      <c r="EA121" s="33"/>
      <c r="EB121" s="33"/>
      <c r="EC121" s="33"/>
      <c r="ED121" s="33"/>
      <c r="EE121" s="33"/>
      <c r="EF121" s="33"/>
      <c r="EG121" s="33"/>
      <c r="EH121" s="33"/>
      <c r="EI121" s="33"/>
      <c r="EJ121" s="33"/>
      <c r="EK121" s="33"/>
      <c r="EL121" s="33"/>
      <c r="EM121" s="33"/>
      <c r="EN121" s="33"/>
      <c r="EO121" s="33"/>
      <c r="EP121" s="33"/>
      <c r="EQ121" s="33"/>
      <c r="ER121" s="33"/>
      <c r="ES121" s="33"/>
      <c r="ET121" s="33"/>
      <c r="EU121" s="33"/>
      <c r="EV121" s="33"/>
      <c r="EW121" s="33"/>
      <c r="EX121" s="33"/>
      <c r="EY121" s="33"/>
      <c r="EZ121" s="33"/>
      <c r="FA121" s="33"/>
      <c r="FB121" s="33"/>
      <c r="FC121" s="33"/>
      <c r="FD121" s="33"/>
      <c r="FE121" s="33"/>
      <c r="FF121" s="33"/>
      <c r="FG121" s="33"/>
      <c r="FH121" s="33"/>
      <c r="FI121" s="33"/>
      <c r="FJ121" s="33"/>
      <c r="FK121" s="33"/>
      <c r="FL121" s="33"/>
      <c r="FM121" s="33"/>
      <c r="FN121" s="33"/>
      <c r="FO121" s="33"/>
      <c r="FP121" s="33"/>
      <c r="FQ121" s="33"/>
      <c r="FR121" s="33"/>
      <c r="FS121" s="33"/>
      <c r="FT121" s="33"/>
      <c r="FU121" s="33"/>
      <c r="FV121" s="33"/>
      <c r="FW121" s="33"/>
      <c r="FX121" s="33"/>
      <c r="FY121" s="33"/>
      <c r="FZ121" s="33"/>
      <c r="GA121" s="33"/>
      <c r="GB121" s="33"/>
      <c r="GC121" s="33"/>
      <c r="GD121" s="33"/>
      <c r="GE121" s="33"/>
      <c r="GF121" s="33"/>
      <c r="GG121" s="33"/>
      <c r="GH121" s="33"/>
      <c r="GI121" s="33"/>
      <c r="GJ121" s="33"/>
      <c r="GK121" s="33"/>
      <c r="GL121" s="33"/>
      <c r="GM121" s="33"/>
      <c r="GN121" s="33"/>
      <c r="GO121" s="33"/>
      <c r="GP121" s="33"/>
      <c r="GQ121" s="33"/>
      <c r="GR121" s="33"/>
      <c r="GS121" s="33"/>
      <c r="GT121" s="33"/>
      <c r="GU121" s="33"/>
      <c r="GV121" s="33"/>
      <c r="GW121" s="33"/>
      <c r="GX121" s="33"/>
      <c r="GY121" s="33"/>
      <c r="GZ121" s="33"/>
      <c r="HA121" s="33"/>
      <c r="HB121" s="33"/>
      <c r="HC121" s="33"/>
      <c r="HD121" s="33"/>
      <c r="HE121" s="33"/>
      <c r="HF121" s="33"/>
      <c r="HG121" s="33"/>
      <c r="HH121" s="33"/>
      <c r="HI121" s="33"/>
      <c r="HJ121" s="33"/>
      <c r="HK121" s="33"/>
      <c r="HL121" s="33"/>
      <c r="HM121" s="33"/>
      <c r="HN121" s="33"/>
      <c r="HO121" s="33"/>
      <c r="HP121" s="33"/>
      <c r="HQ121" s="33"/>
      <c r="HR121" s="33"/>
      <c r="HS121" s="33"/>
      <c r="HT121" s="33"/>
      <c r="HU121" s="33"/>
      <c r="HV121" s="33"/>
      <c r="HW121" s="33"/>
      <c r="HX121" s="33"/>
      <c r="HY121" s="33"/>
      <c r="HZ121" s="33"/>
      <c r="IA121" s="33"/>
      <c r="IB121" s="33"/>
      <c r="IC121" s="33"/>
      <c r="ID121" s="33"/>
      <c r="IE121" s="33"/>
      <c r="IF121" s="33"/>
      <c r="IG121" s="33"/>
      <c r="IH121" s="33"/>
      <c r="II121" s="33"/>
      <c r="IJ121" s="33"/>
      <c r="IK121" s="33"/>
      <c r="IL121" s="33"/>
      <c r="IM121" s="33"/>
      <c r="IN121" s="33"/>
      <c r="IO121" s="33"/>
      <c r="IP121" s="33"/>
      <c r="IQ121" s="33"/>
      <c r="IR121" s="33"/>
      <c r="IS121" s="33"/>
      <c r="IT121" s="33"/>
      <c r="IU121" s="33"/>
      <c r="IV121" s="33"/>
      <c r="IW121" s="33"/>
      <c r="IX121" s="33"/>
      <c r="IY121" s="33"/>
      <c r="IZ121" s="33"/>
      <c r="JA121" s="33"/>
      <c r="JB121" s="33"/>
      <c r="JC121" s="33"/>
      <c r="JD121" s="33"/>
      <c r="JE121" s="33"/>
      <c r="JF121" s="33"/>
      <c r="JG121" s="33"/>
      <c r="JH121" s="33"/>
      <c r="JI121" s="33"/>
      <c r="JJ121" s="33"/>
      <c r="JK121" s="33"/>
      <c r="JL121" s="33"/>
      <c r="JM121" s="33"/>
      <c r="JN121" s="33"/>
      <c r="JO121" s="33"/>
      <c r="JP121" s="33"/>
      <c r="JQ121" s="33"/>
      <c r="JR121" s="33"/>
      <c r="JS121" s="33"/>
      <c r="JT121" s="33"/>
      <c r="JU121" s="33"/>
      <c r="JV121" s="33"/>
      <c r="JW121" s="33"/>
      <c r="JX121" s="33"/>
      <c r="JY121" s="33"/>
      <c r="JZ121" s="33"/>
      <c r="KA121" s="33"/>
      <c r="KB121" s="33"/>
      <c r="KC121" s="33"/>
      <c r="KD121" s="33"/>
      <c r="KE121" s="33"/>
      <c r="KF121" s="33"/>
      <c r="KG121" s="33"/>
      <c r="KH121" s="33"/>
      <c r="KI121" s="33"/>
      <c r="KJ121" s="33"/>
      <c r="KK121" s="33"/>
      <c r="KL121" s="33"/>
      <c r="KM121" s="33"/>
      <c r="KN121" s="33"/>
      <c r="KO121" s="33"/>
      <c r="KP121" s="33"/>
      <c r="KQ121" s="33"/>
      <c r="KR121" s="33"/>
      <c r="KS121" s="33"/>
      <c r="KT121" s="33"/>
      <c r="KU121" s="33"/>
      <c r="KV121" s="33"/>
      <c r="KW121" s="33"/>
      <c r="KX121" s="33"/>
      <c r="KY121" s="33"/>
      <c r="KZ121" s="33"/>
      <c r="LA121" s="33"/>
      <c r="LB121" s="33"/>
      <c r="LC121" s="33"/>
      <c r="LD121" s="33"/>
      <c r="LE121" s="33"/>
      <c r="LF121" s="33"/>
      <c r="LG121" s="33"/>
      <c r="LH121" s="33"/>
      <c r="LI121" s="33"/>
      <c r="LJ121" s="33"/>
      <c r="LK121" s="33"/>
      <c r="LL121" s="33"/>
      <c r="LM121" s="33"/>
      <c r="LN121" s="33"/>
      <c r="LO121" s="33"/>
      <c r="LP121" s="33"/>
      <c r="LQ121" s="33"/>
      <c r="LR121" s="33"/>
      <c r="LS121" s="33"/>
      <c r="LT121" s="33"/>
      <c r="LU121" s="33"/>
      <c r="LV121" s="33"/>
      <c r="LW121" s="33"/>
      <c r="LX121" s="33"/>
      <c r="LY121" s="33"/>
      <c r="LZ121" s="33"/>
      <c r="MA121" s="33"/>
      <c r="MB121" s="33"/>
      <c r="MC121" s="33"/>
      <c r="MD121" s="33"/>
      <c r="ME121" s="33"/>
      <c r="MF121" s="33"/>
      <c r="MG121" s="33"/>
      <c r="MH121" s="33"/>
      <c r="MI121" s="33"/>
      <c r="MJ121" s="33"/>
      <c r="MK121" s="33"/>
      <c r="ML121" s="33"/>
      <c r="MM121" s="33"/>
      <c r="MN121" s="33"/>
      <c r="MO121" s="33"/>
      <c r="MP121" s="33"/>
      <c r="MQ121" s="33"/>
      <c r="MR121" s="33"/>
      <c r="MS121" s="33"/>
      <c r="MT121" s="33"/>
      <c r="MU121" s="33"/>
      <c r="MV121" s="33"/>
    </row>
    <row r="122" spans="1:360" ht="0.75" customHeight="1" x14ac:dyDescent="0.25">
      <c r="A122" s="33"/>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c r="BS122" s="33"/>
      <c r="BT122" s="33"/>
      <c r="BU122" s="33"/>
      <c r="BV122" s="33"/>
      <c r="BW122" s="33"/>
      <c r="BX122" s="33"/>
      <c r="BY122" s="33"/>
      <c r="BZ122" s="33"/>
      <c r="CA122" s="33"/>
      <c r="CB122" s="33"/>
      <c r="CC122" s="33"/>
      <c r="CD122" s="33"/>
      <c r="CE122" s="33"/>
      <c r="CF122" s="33"/>
      <c r="CG122" s="33"/>
      <c r="CH122" s="33"/>
      <c r="CI122" s="33"/>
      <c r="CJ122" s="33"/>
      <c r="CK122" s="33"/>
      <c r="CL122" s="33"/>
      <c r="CM122" s="33"/>
      <c r="CN122" s="33"/>
      <c r="CO122" s="33"/>
      <c r="CP122" s="33"/>
      <c r="CQ122" s="33"/>
      <c r="CR122" s="33"/>
      <c r="CS122" s="33"/>
      <c r="CT122" s="33"/>
      <c r="CU122" s="33"/>
      <c r="CV122" s="33"/>
      <c r="CW122" s="33"/>
      <c r="CX122" s="33"/>
      <c r="CY122" s="33"/>
      <c r="CZ122" s="33"/>
      <c r="DA122" s="33"/>
      <c r="DB122" s="33"/>
      <c r="DC122" s="33"/>
      <c r="DD122" s="33"/>
      <c r="DE122" s="33"/>
      <c r="DF122" s="33"/>
      <c r="DG122" s="33"/>
      <c r="DH122" s="33"/>
      <c r="DI122" s="33"/>
      <c r="DJ122" s="33"/>
      <c r="DK122" s="33"/>
      <c r="DL122" s="33"/>
      <c r="DM122" s="33"/>
      <c r="DN122" s="33"/>
      <c r="DO122" s="33"/>
      <c r="DP122" s="33"/>
      <c r="DQ122" s="33"/>
      <c r="DR122" s="33"/>
      <c r="DS122" s="33"/>
      <c r="DT122" s="33"/>
      <c r="DU122" s="33"/>
      <c r="DV122" s="33"/>
      <c r="DW122" s="33"/>
      <c r="DX122" s="33"/>
      <c r="DY122" s="33"/>
      <c r="DZ122" s="33"/>
      <c r="EA122" s="33"/>
      <c r="EB122" s="33"/>
      <c r="EC122" s="33"/>
      <c r="ED122" s="33"/>
      <c r="EE122" s="33"/>
      <c r="EF122" s="33"/>
      <c r="EG122" s="33"/>
      <c r="EH122" s="33"/>
      <c r="EI122" s="33"/>
      <c r="EJ122" s="33"/>
      <c r="EK122" s="33"/>
      <c r="EL122" s="33"/>
      <c r="EM122" s="33"/>
      <c r="EN122" s="33"/>
      <c r="EO122" s="33"/>
      <c r="EP122" s="33"/>
      <c r="EQ122" s="33"/>
      <c r="ER122" s="33"/>
      <c r="ES122" s="33"/>
      <c r="ET122" s="33"/>
      <c r="EU122" s="33"/>
      <c r="EV122" s="33"/>
      <c r="EW122" s="33"/>
      <c r="EX122" s="33"/>
      <c r="EY122" s="33"/>
      <c r="EZ122" s="33"/>
      <c r="FA122" s="33"/>
      <c r="FB122" s="33"/>
      <c r="FC122" s="33"/>
      <c r="FD122" s="33"/>
      <c r="FE122" s="33"/>
      <c r="FF122" s="33"/>
      <c r="FG122" s="33"/>
      <c r="FH122" s="33"/>
      <c r="FI122" s="33"/>
      <c r="FJ122" s="33"/>
      <c r="FK122" s="33"/>
      <c r="FL122" s="33"/>
      <c r="FM122" s="33"/>
      <c r="FN122" s="33"/>
      <c r="FO122" s="33"/>
      <c r="FP122" s="33"/>
      <c r="FQ122" s="33"/>
      <c r="FR122" s="33"/>
      <c r="FS122" s="33"/>
      <c r="FT122" s="33"/>
      <c r="FU122" s="33"/>
      <c r="FV122" s="33"/>
      <c r="FW122" s="33"/>
      <c r="FX122" s="33"/>
      <c r="FY122" s="33"/>
      <c r="FZ122" s="33"/>
      <c r="GA122" s="33"/>
      <c r="GB122" s="33"/>
      <c r="GC122" s="33"/>
      <c r="GD122" s="33"/>
      <c r="GE122" s="33"/>
      <c r="GF122" s="33"/>
      <c r="GG122" s="33"/>
      <c r="GH122" s="33"/>
      <c r="GI122" s="33"/>
      <c r="GJ122" s="33"/>
      <c r="GK122" s="33"/>
      <c r="GL122" s="33"/>
      <c r="GM122" s="33"/>
      <c r="GN122" s="33"/>
      <c r="GO122" s="33"/>
      <c r="GP122" s="33"/>
      <c r="GQ122" s="33"/>
      <c r="GR122" s="33"/>
      <c r="GS122" s="33"/>
      <c r="GT122" s="33"/>
      <c r="GU122" s="33"/>
      <c r="GV122" s="33"/>
      <c r="GW122" s="33"/>
      <c r="GX122" s="33"/>
      <c r="GY122" s="33"/>
      <c r="GZ122" s="33"/>
      <c r="HA122" s="33"/>
      <c r="HB122" s="33"/>
      <c r="HC122" s="33"/>
      <c r="HD122" s="33"/>
      <c r="HE122" s="33"/>
      <c r="HF122" s="33"/>
      <c r="HG122" s="33"/>
      <c r="HH122" s="33"/>
      <c r="HI122" s="33"/>
      <c r="HJ122" s="33"/>
      <c r="HK122" s="33"/>
      <c r="HL122" s="33"/>
      <c r="HM122" s="33"/>
      <c r="HN122" s="33"/>
      <c r="HO122" s="33"/>
      <c r="HP122" s="33"/>
      <c r="HQ122" s="33"/>
      <c r="HR122" s="33"/>
      <c r="HS122" s="33"/>
      <c r="HT122" s="33"/>
      <c r="HU122" s="33"/>
      <c r="HV122" s="33"/>
      <c r="HW122" s="33"/>
      <c r="HX122" s="33"/>
      <c r="HY122" s="33"/>
      <c r="HZ122" s="33"/>
      <c r="IA122" s="33"/>
      <c r="IB122" s="33"/>
      <c r="IC122" s="33"/>
      <c r="ID122" s="33"/>
      <c r="IE122" s="33"/>
      <c r="IF122" s="33"/>
      <c r="IG122" s="33"/>
      <c r="IH122" s="33"/>
      <c r="II122" s="33"/>
      <c r="IJ122" s="33"/>
      <c r="IK122" s="33"/>
      <c r="IL122" s="33"/>
      <c r="IM122" s="33"/>
      <c r="IN122" s="33"/>
      <c r="IO122" s="33"/>
      <c r="IP122" s="33"/>
      <c r="IQ122" s="33"/>
      <c r="IR122" s="33"/>
      <c r="IS122" s="33"/>
      <c r="IT122" s="33"/>
      <c r="IU122" s="33"/>
      <c r="IV122" s="33"/>
      <c r="IW122" s="33"/>
      <c r="IX122" s="33"/>
      <c r="IY122" s="33"/>
      <c r="IZ122" s="33"/>
      <c r="JA122" s="33"/>
      <c r="JB122" s="33"/>
      <c r="JC122" s="33"/>
      <c r="JD122" s="33"/>
      <c r="JE122" s="33"/>
      <c r="JF122" s="33"/>
      <c r="JG122" s="33"/>
      <c r="JH122" s="33"/>
      <c r="JI122" s="33"/>
      <c r="JJ122" s="33"/>
      <c r="JK122" s="33"/>
      <c r="JL122" s="33"/>
      <c r="JM122" s="33"/>
      <c r="JN122" s="33"/>
      <c r="JO122" s="33"/>
      <c r="JP122" s="33"/>
      <c r="JQ122" s="33"/>
      <c r="JR122" s="33"/>
      <c r="JS122" s="33"/>
      <c r="JT122" s="33"/>
      <c r="JU122" s="33"/>
      <c r="JV122" s="33"/>
      <c r="JW122" s="33"/>
      <c r="JX122" s="33"/>
      <c r="JY122" s="33"/>
      <c r="JZ122" s="33"/>
      <c r="KA122" s="33"/>
      <c r="KB122" s="33"/>
      <c r="KC122" s="33"/>
      <c r="KD122" s="33"/>
      <c r="KE122" s="33"/>
      <c r="KF122" s="33"/>
      <c r="KG122" s="33"/>
      <c r="KH122" s="33"/>
      <c r="KI122" s="33"/>
      <c r="KJ122" s="33"/>
      <c r="KK122" s="33"/>
      <c r="KL122" s="33"/>
      <c r="KM122" s="33"/>
      <c r="KN122" s="33"/>
      <c r="KO122" s="33"/>
      <c r="KP122" s="33"/>
      <c r="KQ122" s="33"/>
      <c r="KR122" s="33"/>
      <c r="KS122" s="33"/>
      <c r="KT122" s="33"/>
      <c r="KU122" s="33"/>
      <c r="KV122" s="33"/>
      <c r="KW122" s="33"/>
      <c r="KX122" s="33"/>
      <c r="KY122" s="33"/>
      <c r="KZ122" s="33"/>
      <c r="LA122" s="33"/>
      <c r="LB122" s="33"/>
      <c r="LC122" s="33"/>
      <c r="LD122" s="33"/>
      <c r="LE122" s="33"/>
      <c r="LF122" s="33"/>
      <c r="LG122" s="33"/>
      <c r="LH122" s="33"/>
      <c r="LI122" s="33"/>
      <c r="LJ122" s="33"/>
      <c r="LK122" s="33"/>
      <c r="LL122" s="33"/>
      <c r="LM122" s="33"/>
      <c r="LN122" s="33"/>
      <c r="LO122" s="33"/>
      <c r="LP122" s="33"/>
      <c r="LQ122" s="33"/>
      <c r="LR122" s="33"/>
      <c r="LS122" s="33"/>
      <c r="LT122" s="33"/>
      <c r="LU122" s="33"/>
      <c r="LV122" s="33"/>
      <c r="LW122" s="33"/>
      <c r="LX122" s="33"/>
      <c r="LY122" s="33"/>
      <c r="LZ122" s="33"/>
      <c r="MA122" s="33"/>
      <c r="MB122" s="33"/>
      <c r="MC122" s="33"/>
      <c r="MD122" s="33"/>
      <c r="ME122" s="33"/>
      <c r="MF122" s="33"/>
      <c r="MG122" s="33"/>
      <c r="MH122" s="33"/>
      <c r="MI122" s="33"/>
      <c r="MJ122" s="33"/>
      <c r="MK122" s="33"/>
      <c r="ML122" s="33"/>
      <c r="MM122" s="33"/>
      <c r="MN122" s="33"/>
      <c r="MO122" s="33"/>
      <c r="MP122" s="33"/>
      <c r="MQ122" s="33"/>
      <c r="MR122" s="33"/>
      <c r="MS122" s="33"/>
      <c r="MT122" s="33"/>
      <c r="MU122" s="33"/>
      <c r="MV122" s="33"/>
    </row>
    <row r="123" spans="1:360" ht="0.75" customHeight="1" x14ac:dyDescent="0.25">
      <c r="A123" s="33"/>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33"/>
      <c r="BT123" s="33"/>
      <c r="BU123" s="33"/>
      <c r="BV123" s="33"/>
      <c r="BW123" s="33"/>
      <c r="BX123" s="33"/>
      <c r="BY123" s="33"/>
      <c r="BZ123" s="33"/>
      <c r="CA123" s="33"/>
      <c r="CB123" s="33"/>
      <c r="CC123" s="33"/>
      <c r="CD123" s="33"/>
      <c r="CE123" s="33"/>
      <c r="CF123" s="33"/>
      <c r="CG123" s="33"/>
      <c r="CH123" s="33"/>
      <c r="CI123" s="33"/>
      <c r="CJ123" s="33"/>
      <c r="CK123" s="33"/>
      <c r="CL123" s="33"/>
      <c r="CM123" s="33"/>
      <c r="CN123" s="33"/>
      <c r="CO123" s="33"/>
      <c r="CP123" s="33"/>
      <c r="CQ123" s="33"/>
      <c r="CR123" s="33"/>
      <c r="CS123" s="33"/>
      <c r="CT123" s="33"/>
      <c r="CU123" s="33"/>
      <c r="CV123" s="33"/>
      <c r="CW123" s="33"/>
      <c r="CX123" s="33"/>
      <c r="CY123" s="33"/>
      <c r="CZ123" s="33"/>
      <c r="DA123" s="33"/>
      <c r="DB123" s="33"/>
      <c r="DC123" s="33"/>
      <c r="DD123" s="33"/>
      <c r="DE123" s="33"/>
      <c r="DF123" s="33"/>
      <c r="DG123" s="33"/>
      <c r="DH123" s="33"/>
      <c r="DI123" s="33"/>
      <c r="DJ123" s="33"/>
      <c r="DK123" s="33"/>
      <c r="DL123" s="33"/>
      <c r="DM123" s="33"/>
      <c r="DN123" s="33"/>
      <c r="DO123" s="33"/>
      <c r="DP123" s="33"/>
      <c r="DQ123" s="33"/>
      <c r="DR123" s="33"/>
      <c r="DS123" s="33"/>
      <c r="DT123" s="33"/>
      <c r="DU123" s="33"/>
      <c r="DV123" s="33"/>
      <c r="DW123" s="33"/>
      <c r="DX123" s="33"/>
      <c r="DY123" s="33"/>
      <c r="DZ123" s="33"/>
      <c r="EA123" s="33"/>
      <c r="EB123" s="33"/>
      <c r="EC123" s="33"/>
      <c r="ED123" s="33"/>
      <c r="EE123" s="33"/>
      <c r="EF123" s="33"/>
      <c r="EG123" s="33"/>
      <c r="EH123" s="33"/>
      <c r="EI123" s="33"/>
      <c r="EJ123" s="33"/>
      <c r="EK123" s="33"/>
      <c r="EL123" s="33"/>
      <c r="EM123" s="33"/>
      <c r="EN123" s="33"/>
      <c r="EO123" s="33"/>
      <c r="EP123" s="33"/>
      <c r="EQ123" s="33"/>
      <c r="ER123" s="33"/>
      <c r="ES123" s="33"/>
      <c r="ET123" s="33"/>
      <c r="EU123" s="33"/>
      <c r="EV123" s="33"/>
      <c r="EW123" s="33"/>
      <c r="EX123" s="33"/>
      <c r="EY123" s="33"/>
      <c r="EZ123" s="33"/>
      <c r="FA123" s="33"/>
      <c r="FB123" s="33"/>
      <c r="FC123" s="33"/>
      <c r="FD123" s="33"/>
      <c r="FE123" s="33"/>
      <c r="FF123" s="33"/>
      <c r="FG123" s="33"/>
      <c r="FH123" s="33"/>
      <c r="FI123" s="33"/>
      <c r="FJ123" s="33"/>
      <c r="FK123" s="33"/>
      <c r="FL123" s="33"/>
      <c r="FM123" s="33"/>
      <c r="FN123" s="33"/>
      <c r="FO123" s="33"/>
      <c r="FP123" s="33"/>
      <c r="FQ123" s="33"/>
      <c r="FR123" s="33"/>
      <c r="FS123" s="33"/>
      <c r="FT123" s="33"/>
      <c r="FU123" s="33"/>
      <c r="FV123" s="33"/>
      <c r="FW123" s="33"/>
      <c r="FX123" s="33"/>
      <c r="FY123" s="33"/>
      <c r="FZ123" s="33"/>
      <c r="GA123" s="33"/>
      <c r="GB123" s="33"/>
      <c r="GC123" s="33"/>
      <c r="GD123" s="33"/>
      <c r="GE123" s="33"/>
      <c r="GF123" s="33"/>
      <c r="GG123" s="33"/>
      <c r="GH123" s="33"/>
      <c r="GI123" s="33"/>
      <c r="GJ123" s="33"/>
      <c r="GK123" s="33"/>
      <c r="GL123" s="33"/>
      <c r="GM123" s="33"/>
      <c r="GN123" s="33"/>
      <c r="GO123" s="33"/>
      <c r="GP123" s="33"/>
      <c r="GQ123" s="33"/>
      <c r="GR123" s="33"/>
      <c r="GS123" s="33"/>
      <c r="GT123" s="33"/>
      <c r="GU123" s="33"/>
      <c r="GV123" s="33"/>
      <c r="GW123" s="33"/>
      <c r="GX123" s="33"/>
      <c r="GY123" s="33"/>
      <c r="GZ123" s="33"/>
      <c r="HA123" s="33"/>
      <c r="HB123" s="33"/>
      <c r="HC123" s="33"/>
      <c r="HD123" s="33"/>
      <c r="HE123" s="33"/>
      <c r="HF123" s="33"/>
      <c r="HG123" s="33"/>
      <c r="HH123" s="33"/>
      <c r="HI123" s="33"/>
      <c r="HJ123" s="33"/>
      <c r="HK123" s="33"/>
      <c r="HL123" s="33"/>
      <c r="HM123" s="33"/>
      <c r="HN123" s="33"/>
      <c r="HO123" s="33"/>
      <c r="HP123" s="33"/>
      <c r="HQ123" s="33"/>
      <c r="HR123" s="33"/>
      <c r="HS123" s="33"/>
      <c r="HT123" s="33"/>
      <c r="HU123" s="33"/>
      <c r="HV123" s="33"/>
      <c r="HW123" s="33"/>
      <c r="HX123" s="33"/>
      <c r="HY123" s="33"/>
      <c r="HZ123" s="33"/>
      <c r="IA123" s="33"/>
      <c r="IB123" s="33"/>
      <c r="IC123" s="33"/>
      <c r="ID123" s="33"/>
      <c r="IE123" s="33"/>
      <c r="IF123" s="33"/>
      <c r="IG123" s="33"/>
      <c r="IH123" s="33"/>
      <c r="II123" s="33"/>
      <c r="IJ123" s="33"/>
      <c r="IK123" s="33"/>
      <c r="IL123" s="33"/>
      <c r="IM123" s="33"/>
      <c r="IN123" s="33"/>
      <c r="IO123" s="33"/>
      <c r="IP123" s="33"/>
      <c r="IQ123" s="33"/>
      <c r="IR123" s="33"/>
      <c r="IS123" s="33"/>
      <c r="IT123" s="33"/>
      <c r="IU123" s="33"/>
      <c r="IV123" s="33"/>
      <c r="IW123" s="33"/>
      <c r="IX123" s="33"/>
      <c r="IY123" s="33"/>
      <c r="IZ123" s="33"/>
      <c r="JA123" s="33"/>
      <c r="JB123" s="33"/>
      <c r="JC123" s="33"/>
      <c r="JD123" s="33"/>
      <c r="JE123" s="33"/>
      <c r="JF123" s="33"/>
      <c r="JG123" s="33"/>
      <c r="JH123" s="33"/>
      <c r="JI123" s="33"/>
      <c r="JJ123" s="33"/>
      <c r="JK123" s="33"/>
      <c r="JL123" s="33"/>
      <c r="JM123" s="33"/>
      <c r="JN123" s="33"/>
      <c r="JO123" s="33"/>
      <c r="JP123" s="33"/>
      <c r="JQ123" s="33"/>
      <c r="JR123" s="33"/>
      <c r="JS123" s="33"/>
      <c r="JT123" s="33"/>
      <c r="JU123" s="33"/>
      <c r="JV123" s="33"/>
      <c r="JW123" s="33"/>
      <c r="JX123" s="33"/>
      <c r="JY123" s="33"/>
      <c r="JZ123" s="33"/>
      <c r="KA123" s="33"/>
      <c r="KB123" s="33"/>
      <c r="KC123" s="33"/>
      <c r="KD123" s="33"/>
      <c r="KE123" s="33"/>
      <c r="KF123" s="33"/>
      <c r="KG123" s="33"/>
      <c r="KH123" s="33"/>
      <c r="KI123" s="33"/>
      <c r="KJ123" s="33"/>
      <c r="KK123" s="33"/>
      <c r="KL123" s="33"/>
      <c r="KM123" s="33"/>
      <c r="KN123" s="33"/>
      <c r="KO123" s="33"/>
      <c r="KP123" s="33"/>
      <c r="KQ123" s="33"/>
      <c r="KR123" s="33"/>
      <c r="KS123" s="33"/>
      <c r="KT123" s="33"/>
      <c r="KU123" s="33"/>
      <c r="KV123" s="33"/>
      <c r="KW123" s="33"/>
      <c r="KX123" s="33"/>
      <c r="KY123" s="33"/>
      <c r="KZ123" s="33"/>
      <c r="LA123" s="33"/>
      <c r="LB123" s="33"/>
      <c r="LC123" s="33"/>
      <c r="LD123" s="33"/>
      <c r="LE123" s="33"/>
      <c r="LF123" s="33"/>
      <c r="LG123" s="33"/>
      <c r="LH123" s="33"/>
      <c r="LI123" s="33"/>
      <c r="LJ123" s="33"/>
      <c r="LK123" s="33"/>
      <c r="LL123" s="33"/>
      <c r="LM123" s="33"/>
      <c r="LN123" s="33"/>
      <c r="LO123" s="33"/>
      <c r="LP123" s="33"/>
      <c r="LQ123" s="33"/>
      <c r="LR123" s="33"/>
      <c r="LS123" s="33"/>
      <c r="LT123" s="33"/>
      <c r="LU123" s="33"/>
      <c r="LV123" s="33"/>
      <c r="LW123" s="33"/>
      <c r="LX123" s="33"/>
      <c r="LY123" s="33"/>
      <c r="LZ123" s="33"/>
      <c r="MA123" s="33"/>
      <c r="MB123" s="33"/>
      <c r="MC123" s="33"/>
      <c r="MD123" s="33"/>
      <c r="ME123" s="33"/>
      <c r="MF123" s="33"/>
      <c r="MG123" s="33"/>
      <c r="MH123" s="33"/>
      <c r="MI123" s="33"/>
      <c r="MJ123" s="33"/>
      <c r="MK123" s="33"/>
      <c r="ML123" s="33"/>
      <c r="MM123" s="33"/>
      <c r="MN123" s="33"/>
      <c r="MO123" s="33"/>
      <c r="MP123" s="33"/>
      <c r="MQ123" s="33"/>
      <c r="MR123" s="33"/>
      <c r="MS123" s="33"/>
      <c r="MT123" s="33"/>
      <c r="MU123" s="33"/>
      <c r="MV123" s="33"/>
    </row>
    <row r="124" spans="1:360" ht="0.75" customHeight="1" x14ac:dyDescent="0.25">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33"/>
      <c r="BT124" s="33"/>
      <c r="BU124" s="33"/>
      <c r="BV124" s="33"/>
      <c r="BW124" s="33"/>
      <c r="BX124" s="33"/>
      <c r="BY124" s="33"/>
      <c r="BZ124" s="33"/>
      <c r="CA124" s="33"/>
      <c r="CB124" s="33"/>
      <c r="CC124" s="33"/>
      <c r="CD124" s="33"/>
      <c r="CE124" s="33"/>
      <c r="CF124" s="33"/>
      <c r="CG124" s="33"/>
      <c r="CH124" s="33"/>
      <c r="CI124" s="33"/>
      <c r="CJ124" s="33"/>
      <c r="CK124" s="33"/>
      <c r="CL124" s="33"/>
      <c r="CM124" s="33"/>
      <c r="CN124" s="33"/>
      <c r="CO124" s="33"/>
      <c r="CP124" s="33"/>
      <c r="CQ124" s="33"/>
      <c r="CR124" s="33"/>
      <c r="CS124" s="33"/>
      <c r="CT124" s="33"/>
      <c r="CU124" s="33"/>
      <c r="CV124" s="33"/>
      <c r="CW124" s="33"/>
      <c r="CX124" s="33"/>
      <c r="CY124" s="33"/>
      <c r="CZ124" s="33"/>
      <c r="DA124" s="33"/>
      <c r="DB124" s="33"/>
      <c r="DC124" s="33"/>
      <c r="DD124" s="33"/>
      <c r="DE124" s="33"/>
      <c r="DF124" s="33"/>
      <c r="DG124" s="33"/>
      <c r="DH124" s="33"/>
      <c r="DI124" s="33"/>
      <c r="DJ124" s="33"/>
      <c r="DK124" s="33"/>
      <c r="DL124" s="33"/>
      <c r="DM124" s="33"/>
      <c r="DN124" s="33"/>
      <c r="DO124" s="33"/>
      <c r="DP124" s="33"/>
      <c r="DQ124" s="33"/>
      <c r="DR124" s="33"/>
      <c r="DS124" s="33"/>
      <c r="DT124" s="33"/>
      <c r="DU124" s="33"/>
      <c r="DV124" s="33"/>
      <c r="DW124" s="33"/>
      <c r="DX124" s="33"/>
      <c r="DY124" s="33"/>
      <c r="DZ124" s="33"/>
      <c r="EA124" s="33"/>
      <c r="EB124" s="33"/>
      <c r="EC124" s="33"/>
      <c r="ED124" s="33"/>
      <c r="EE124" s="33"/>
      <c r="EF124" s="33"/>
      <c r="EG124" s="33"/>
      <c r="EH124" s="33"/>
      <c r="EI124" s="33"/>
      <c r="EJ124" s="33"/>
      <c r="EK124" s="33"/>
      <c r="EL124" s="33"/>
      <c r="EM124" s="33"/>
      <c r="EN124" s="33"/>
      <c r="EO124" s="33"/>
      <c r="EP124" s="33"/>
      <c r="EQ124" s="33"/>
      <c r="ER124" s="33"/>
      <c r="ES124" s="33"/>
      <c r="ET124" s="33"/>
      <c r="EU124" s="33"/>
      <c r="EV124" s="33"/>
      <c r="EW124" s="33"/>
      <c r="EX124" s="33"/>
      <c r="EY124" s="33"/>
      <c r="EZ124" s="33"/>
      <c r="FA124" s="33"/>
      <c r="FB124" s="33"/>
      <c r="FC124" s="33"/>
      <c r="FD124" s="33"/>
      <c r="FE124" s="33"/>
      <c r="FF124" s="33"/>
      <c r="FG124" s="33"/>
      <c r="FH124" s="33"/>
      <c r="FI124" s="33"/>
      <c r="FJ124" s="33"/>
      <c r="FK124" s="33"/>
      <c r="FL124" s="33"/>
      <c r="FM124" s="33"/>
      <c r="FN124" s="33"/>
      <c r="FO124" s="33"/>
      <c r="FP124" s="33"/>
      <c r="FQ124" s="33"/>
      <c r="FR124" s="33"/>
      <c r="FS124" s="33"/>
      <c r="FT124" s="33"/>
      <c r="FU124" s="33"/>
      <c r="FV124" s="33"/>
      <c r="FW124" s="33"/>
      <c r="FX124" s="33"/>
      <c r="FY124" s="33"/>
      <c r="FZ124" s="33"/>
      <c r="GA124" s="33"/>
      <c r="GB124" s="33"/>
      <c r="GC124" s="33"/>
      <c r="GD124" s="33"/>
      <c r="GE124" s="33"/>
      <c r="GF124" s="33"/>
      <c r="GG124" s="33"/>
      <c r="GH124" s="33"/>
      <c r="GI124" s="33"/>
      <c r="GJ124" s="33"/>
      <c r="GK124" s="33"/>
      <c r="GL124" s="33"/>
      <c r="GM124" s="33"/>
      <c r="GN124" s="33"/>
      <c r="GO124" s="33"/>
      <c r="GP124" s="33"/>
      <c r="GQ124" s="33"/>
      <c r="GR124" s="33"/>
      <c r="GS124" s="33"/>
      <c r="GT124" s="33"/>
      <c r="GU124" s="33"/>
      <c r="GV124" s="33"/>
      <c r="GW124" s="33"/>
      <c r="GX124" s="33"/>
      <c r="GY124" s="33"/>
      <c r="GZ124" s="33"/>
      <c r="HA124" s="33"/>
      <c r="HB124" s="33"/>
      <c r="HC124" s="33"/>
      <c r="HD124" s="33"/>
      <c r="HE124" s="33"/>
      <c r="HF124" s="33"/>
      <c r="HG124" s="33"/>
      <c r="HH124" s="33"/>
      <c r="HI124" s="33"/>
      <c r="HJ124" s="33"/>
      <c r="HK124" s="33"/>
      <c r="HL124" s="33"/>
      <c r="HM124" s="33"/>
      <c r="HN124" s="33"/>
      <c r="HO124" s="33"/>
      <c r="HP124" s="33"/>
      <c r="HQ124" s="33"/>
      <c r="HR124" s="33"/>
      <c r="HS124" s="33"/>
      <c r="HT124" s="33"/>
      <c r="HU124" s="33"/>
      <c r="HV124" s="33"/>
      <c r="HW124" s="33"/>
      <c r="HX124" s="33"/>
      <c r="HY124" s="33"/>
      <c r="HZ124" s="33"/>
      <c r="IA124" s="33"/>
      <c r="IB124" s="33"/>
      <c r="IC124" s="33"/>
      <c r="ID124" s="33"/>
      <c r="IE124" s="33"/>
      <c r="IF124" s="33"/>
      <c r="IG124" s="33"/>
      <c r="IH124" s="33"/>
      <c r="II124" s="33"/>
      <c r="IJ124" s="33"/>
      <c r="IK124" s="33"/>
      <c r="IL124" s="33"/>
      <c r="IM124" s="33"/>
      <c r="IN124" s="33"/>
      <c r="IO124" s="33"/>
      <c r="IP124" s="33"/>
      <c r="IQ124" s="33"/>
      <c r="IR124" s="33"/>
      <c r="IS124" s="33"/>
      <c r="IT124" s="33"/>
      <c r="IU124" s="33"/>
      <c r="IV124" s="33"/>
      <c r="IW124" s="33"/>
      <c r="IX124" s="33"/>
      <c r="IY124" s="33"/>
      <c r="IZ124" s="33"/>
      <c r="JA124" s="33"/>
      <c r="JB124" s="33"/>
      <c r="JC124" s="33"/>
      <c r="JD124" s="33"/>
      <c r="JE124" s="33"/>
      <c r="JF124" s="33"/>
      <c r="JG124" s="33"/>
      <c r="JH124" s="33"/>
      <c r="JI124" s="33"/>
      <c r="JJ124" s="33"/>
      <c r="JK124" s="33"/>
      <c r="JL124" s="33"/>
      <c r="JM124" s="33"/>
      <c r="JN124" s="33"/>
      <c r="JO124" s="33"/>
      <c r="JP124" s="33"/>
      <c r="JQ124" s="33"/>
      <c r="JR124" s="33"/>
      <c r="JS124" s="33"/>
      <c r="JT124" s="33"/>
      <c r="JU124" s="33"/>
      <c r="JV124" s="33"/>
      <c r="JW124" s="33"/>
      <c r="JX124" s="33"/>
      <c r="JY124" s="33"/>
      <c r="JZ124" s="33"/>
      <c r="KA124" s="33"/>
      <c r="KB124" s="33"/>
      <c r="KC124" s="33"/>
      <c r="KD124" s="33"/>
      <c r="KE124" s="33"/>
      <c r="KF124" s="33"/>
      <c r="KG124" s="33"/>
      <c r="KH124" s="33"/>
      <c r="KI124" s="33"/>
      <c r="KJ124" s="33"/>
      <c r="KK124" s="33"/>
      <c r="KL124" s="33"/>
      <c r="KM124" s="33"/>
      <c r="KN124" s="33"/>
      <c r="KO124" s="33"/>
      <c r="KP124" s="33"/>
      <c r="KQ124" s="33"/>
      <c r="KR124" s="33"/>
      <c r="KS124" s="33"/>
      <c r="KT124" s="33"/>
      <c r="KU124" s="33"/>
      <c r="KV124" s="33"/>
      <c r="KW124" s="33"/>
      <c r="KX124" s="33"/>
      <c r="KY124" s="33"/>
      <c r="KZ124" s="33"/>
      <c r="LA124" s="33"/>
      <c r="LB124" s="33"/>
      <c r="LC124" s="33"/>
      <c r="LD124" s="33"/>
      <c r="LE124" s="33"/>
      <c r="LF124" s="33"/>
      <c r="LG124" s="33"/>
      <c r="LH124" s="33"/>
      <c r="LI124" s="33"/>
      <c r="LJ124" s="33"/>
      <c r="LK124" s="33"/>
      <c r="LL124" s="33"/>
      <c r="LM124" s="33"/>
      <c r="LN124" s="33"/>
      <c r="LO124" s="33"/>
      <c r="LP124" s="33"/>
      <c r="LQ124" s="33"/>
      <c r="LR124" s="33"/>
      <c r="LS124" s="33"/>
      <c r="LT124" s="33"/>
      <c r="LU124" s="33"/>
      <c r="LV124" s="33"/>
      <c r="LW124" s="33"/>
      <c r="LX124" s="33"/>
      <c r="LY124" s="33"/>
      <c r="LZ124" s="33"/>
      <c r="MA124" s="33"/>
      <c r="MB124" s="33"/>
      <c r="MC124" s="33"/>
      <c r="MD124" s="33"/>
      <c r="ME124" s="33"/>
      <c r="MF124" s="33"/>
      <c r="MG124" s="33"/>
      <c r="MH124" s="33"/>
      <c r="MI124" s="33"/>
      <c r="MJ124" s="33"/>
      <c r="MK124" s="33"/>
      <c r="ML124" s="33"/>
      <c r="MM124" s="33"/>
      <c r="MN124" s="33"/>
      <c r="MO124" s="33"/>
      <c r="MP124" s="33"/>
      <c r="MQ124" s="33"/>
      <c r="MR124" s="33"/>
      <c r="MS124" s="33"/>
      <c r="MT124" s="33"/>
      <c r="MU124" s="33"/>
      <c r="MV124" s="33"/>
    </row>
    <row r="125" spans="1:360" ht="0.75" customHeight="1" x14ac:dyDescent="0.25">
      <c r="A125" s="33"/>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33"/>
      <c r="BT125" s="33"/>
      <c r="BU125" s="33"/>
      <c r="BV125" s="33"/>
      <c r="BW125" s="33"/>
      <c r="BX125" s="33"/>
      <c r="BY125" s="33"/>
      <c r="BZ125" s="33"/>
      <c r="CA125" s="33"/>
      <c r="CB125" s="33"/>
      <c r="CC125" s="33"/>
      <c r="CD125" s="33"/>
      <c r="CE125" s="33"/>
      <c r="CF125" s="33"/>
      <c r="CG125" s="33"/>
      <c r="CH125" s="33"/>
      <c r="CI125" s="33"/>
      <c r="CJ125" s="33"/>
      <c r="CK125" s="33"/>
      <c r="CL125" s="33"/>
      <c r="CM125" s="33"/>
      <c r="CN125" s="33"/>
      <c r="CO125" s="33"/>
      <c r="CP125" s="33"/>
      <c r="CQ125" s="33"/>
      <c r="CR125" s="33"/>
      <c r="CS125" s="33"/>
      <c r="CT125" s="33"/>
      <c r="CU125" s="33"/>
      <c r="CV125" s="33"/>
      <c r="CW125" s="33"/>
      <c r="CX125" s="33"/>
      <c r="CY125" s="33"/>
      <c r="CZ125" s="33"/>
      <c r="DA125" s="33"/>
      <c r="DB125" s="33"/>
      <c r="DC125" s="33"/>
      <c r="DD125" s="33"/>
      <c r="DE125" s="33"/>
      <c r="DF125" s="33"/>
      <c r="DG125" s="33"/>
      <c r="DH125" s="33"/>
      <c r="DI125" s="33"/>
      <c r="DJ125" s="33"/>
      <c r="DK125" s="33"/>
      <c r="DL125" s="33"/>
      <c r="DM125" s="33"/>
      <c r="DN125" s="33"/>
      <c r="DO125" s="33"/>
      <c r="DP125" s="33"/>
      <c r="DQ125" s="33"/>
      <c r="DR125" s="33"/>
      <c r="DS125" s="33"/>
      <c r="DT125" s="33"/>
      <c r="DU125" s="33"/>
      <c r="DV125" s="33"/>
      <c r="DW125" s="33"/>
      <c r="DX125" s="33"/>
      <c r="DY125" s="33"/>
      <c r="DZ125" s="33"/>
      <c r="EA125" s="33"/>
      <c r="EB125" s="33"/>
      <c r="EC125" s="33"/>
      <c r="ED125" s="33"/>
      <c r="EE125" s="33"/>
      <c r="EF125" s="33"/>
      <c r="EG125" s="33"/>
      <c r="EH125" s="33"/>
      <c r="EI125" s="33"/>
      <c r="EJ125" s="33"/>
      <c r="EK125" s="33"/>
      <c r="EL125" s="33"/>
      <c r="EM125" s="33"/>
      <c r="EN125" s="33"/>
      <c r="EO125" s="33"/>
      <c r="EP125" s="33"/>
      <c r="EQ125" s="33"/>
      <c r="ER125" s="33"/>
      <c r="ES125" s="33"/>
      <c r="ET125" s="33"/>
      <c r="EU125" s="33"/>
      <c r="EV125" s="33"/>
      <c r="EW125" s="33"/>
      <c r="EX125" s="33"/>
      <c r="EY125" s="33"/>
      <c r="EZ125" s="33"/>
      <c r="FA125" s="33"/>
      <c r="FB125" s="33"/>
      <c r="FC125" s="33"/>
      <c r="FD125" s="33"/>
      <c r="FE125" s="33"/>
      <c r="FF125" s="33"/>
      <c r="FG125" s="33"/>
      <c r="FH125" s="33"/>
      <c r="FI125" s="33"/>
      <c r="FJ125" s="33"/>
      <c r="FK125" s="33"/>
      <c r="FL125" s="33"/>
      <c r="FM125" s="33"/>
      <c r="FN125" s="33"/>
      <c r="FO125" s="33"/>
      <c r="FP125" s="33"/>
      <c r="FQ125" s="33"/>
      <c r="FR125" s="33"/>
      <c r="FS125" s="33"/>
      <c r="FT125" s="33"/>
      <c r="FU125" s="33"/>
      <c r="FV125" s="33"/>
      <c r="FW125" s="33"/>
      <c r="FX125" s="33"/>
      <c r="FY125" s="33"/>
      <c r="FZ125" s="33"/>
      <c r="GA125" s="33"/>
      <c r="GB125" s="33"/>
      <c r="GC125" s="33"/>
      <c r="GD125" s="33"/>
      <c r="GE125" s="33"/>
      <c r="GF125" s="33"/>
      <c r="GG125" s="33"/>
      <c r="GH125" s="33"/>
      <c r="GI125" s="33"/>
      <c r="GJ125" s="33"/>
      <c r="GK125" s="33"/>
      <c r="GL125" s="33"/>
      <c r="GM125" s="33"/>
      <c r="GN125" s="33"/>
      <c r="GO125" s="33"/>
      <c r="GP125" s="33"/>
      <c r="GQ125" s="33"/>
      <c r="GR125" s="33"/>
      <c r="GS125" s="33"/>
      <c r="GT125" s="33"/>
      <c r="GU125" s="33"/>
      <c r="GV125" s="33"/>
      <c r="GW125" s="33"/>
      <c r="GX125" s="33"/>
      <c r="GY125" s="33"/>
      <c r="GZ125" s="33"/>
      <c r="HA125" s="33"/>
      <c r="HB125" s="33"/>
      <c r="HC125" s="33"/>
      <c r="HD125" s="33"/>
      <c r="HE125" s="33"/>
      <c r="HF125" s="33"/>
      <c r="HG125" s="33"/>
      <c r="HH125" s="33"/>
      <c r="HI125" s="33"/>
      <c r="HJ125" s="33"/>
      <c r="HK125" s="33"/>
      <c r="HL125" s="33"/>
      <c r="HM125" s="33"/>
      <c r="HN125" s="33"/>
      <c r="HO125" s="33"/>
      <c r="HP125" s="33"/>
      <c r="HQ125" s="33"/>
      <c r="HR125" s="33"/>
      <c r="HS125" s="33"/>
      <c r="HT125" s="33"/>
      <c r="HU125" s="33"/>
      <c r="HV125" s="33"/>
      <c r="HW125" s="33"/>
      <c r="HX125" s="33"/>
      <c r="HY125" s="33"/>
      <c r="HZ125" s="33"/>
      <c r="IA125" s="33"/>
      <c r="IB125" s="33"/>
      <c r="IC125" s="33"/>
      <c r="ID125" s="33"/>
      <c r="IE125" s="33"/>
      <c r="IF125" s="33"/>
      <c r="IG125" s="33"/>
      <c r="IH125" s="33"/>
      <c r="II125" s="33"/>
      <c r="IJ125" s="33"/>
      <c r="IK125" s="33"/>
      <c r="IL125" s="33"/>
      <c r="IM125" s="33"/>
      <c r="IN125" s="33"/>
      <c r="IO125" s="33"/>
      <c r="IP125" s="33"/>
      <c r="IQ125" s="33"/>
      <c r="IR125" s="33"/>
      <c r="IS125" s="33"/>
      <c r="IT125" s="33"/>
      <c r="IU125" s="33"/>
      <c r="IV125" s="33"/>
      <c r="IW125" s="33"/>
      <c r="IX125" s="33"/>
      <c r="IY125" s="33"/>
      <c r="IZ125" s="33"/>
      <c r="JA125" s="33"/>
      <c r="JB125" s="33"/>
      <c r="JC125" s="33"/>
      <c r="JD125" s="33"/>
      <c r="JE125" s="33"/>
      <c r="JF125" s="33"/>
      <c r="JG125" s="33"/>
      <c r="JH125" s="33"/>
      <c r="JI125" s="33"/>
      <c r="JJ125" s="33"/>
      <c r="JK125" s="33"/>
      <c r="JL125" s="33"/>
      <c r="JM125" s="33"/>
      <c r="JN125" s="33"/>
      <c r="JO125" s="33"/>
      <c r="JP125" s="33"/>
      <c r="JQ125" s="33"/>
      <c r="JR125" s="33"/>
      <c r="JS125" s="33"/>
      <c r="JT125" s="33"/>
      <c r="JU125" s="33"/>
      <c r="JV125" s="33"/>
      <c r="JW125" s="33"/>
      <c r="JX125" s="33"/>
      <c r="JY125" s="33"/>
      <c r="JZ125" s="33"/>
      <c r="KA125" s="33"/>
      <c r="KB125" s="33"/>
      <c r="KC125" s="33"/>
      <c r="KD125" s="33"/>
      <c r="KE125" s="33"/>
      <c r="KF125" s="33"/>
      <c r="KG125" s="33"/>
      <c r="KH125" s="33"/>
      <c r="KI125" s="33"/>
      <c r="KJ125" s="33"/>
      <c r="KK125" s="33"/>
      <c r="KL125" s="33"/>
      <c r="KM125" s="33"/>
      <c r="KN125" s="33"/>
      <c r="KO125" s="33"/>
      <c r="KP125" s="33"/>
      <c r="KQ125" s="33"/>
      <c r="KR125" s="33"/>
      <c r="KS125" s="33"/>
      <c r="KT125" s="33"/>
      <c r="KU125" s="33"/>
      <c r="KV125" s="33"/>
      <c r="KW125" s="33"/>
      <c r="KX125" s="33"/>
      <c r="KY125" s="33"/>
      <c r="KZ125" s="33"/>
      <c r="LA125" s="33"/>
      <c r="LB125" s="33"/>
      <c r="LC125" s="33"/>
      <c r="LD125" s="33"/>
      <c r="LE125" s="33"/>
      <c r="LF125" s="33"/>
      <c r="LG125" s="33"/>
      <c r="LH125" s="33"/>
      <c r="LI125" s="33"/>
      <c r="LJ125" s="33"/>
      <c r="LK125" s="33"/>
      <c r="LL125" s="33"/>
      <c r="LM125" s="33"/>
      <c r="LN125" s="33"/>
      <c r="LO125" s="33"/>
      <c r="LP125" s="33"/>
      <c r="LQ125" s="33"/>
      <c r="LR125" s="33"/>
      <c r="LS125" s="33"/>
      <c r="LT125" s="33"/>
      <c r="LU125" s="33"/>
      <c r="LV125" s="33"/>
      <c r="LW125" s="33"/>
      <c r="LX125" s="33"/>
      <c r="LY125" s="33"/>
      <c r="LZ125" s="33"/>
      <c r="MA125" s="33"/>
      <c r="MB125" s="33"/>
      <c r="MC125" s="33"/>
      <c r="MD125" s="33"/>
      <c r="ME125" s="33"/>
      <c r="MF125" s="33"/>
      <c r="MG125" s="33"/>
      <c r="MH125" s="33"/>
      <c r="MI125" s="33"/>
      <c r="MJ125" s="33"/>
      <c r="MK125" s="33"/>
      <c r="ML125" s="33"/>
      <c r="MM125" s="33"/>
      <c r="MN125" s="33"/>
      <c r="MO125" s="33"/>
      <c r="MP125" s="33"/>
      <c r="MQ125" s="33"/>
      <c r="MR125" s="33"/>
      <c r="MS125" s="33"/>
      <c r="MT125" s="33"/>
      <c r="MU125" s="33"/>
      <c r="MV125" s="33"/>
    </row>
    <row r="126" spans="1:360" ht="0.75" customHeight="1" x14ac:dyDescent="0.25">
      <c r="A126" s="33"/>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33"/>
      <c r="BT126" s="33"/>
      <c r="BU126" s="33"/>
      <c r="BV126" s="33"/>
      <c r="BW126" s="33"/>
      <c r="BX126" s="33"/>
      <c r="BY126" s="33"/>
      <c r="BZ126" s="33"/>
      <c r="CA126" s="33"/>
      <c r="CB126" s="33"/>
      <c r="CC126" s="33"/>
      <c r="CD126" s="33"/>
      <c r="CE126" s="33"/>
      <c r="CF126" s="33"/>
      <c r="CG126" s="33"/>
      <c r="CH126" s="33"/>
      <c r="CI126" s="33"/>
      <c r="CJ126" s="33"/>
      <c r="CK126" s="33"/>
      <c r="CL126" s="33"/>
      <c r="CM126" s="33"/>
      <c r="CN126" s="33"/>
      <c r="CO126" s="33"/>
      <c r="CP126" s="33"/>
      <c r="CQ126" s="33"/>
      <c r="CR126" s="33"/>
      <c r="CS126" s="33"/>
      <c r="CT126" s="33"/>
      <c r="CU126" s="33"/>
      <c r="CV126" s="33"/>
      <c r="CW126" s="33"/>
      <c r="CX126" s="33"/>
      <c r="CY126" s="33"/>
      <c r="CZ126" s="33"/>
      <c r="DA126" s="33"/>
      <c r="DB126" s="33"/>
      <c r="DC126" s="33"/>
      <c r="DD126" s="33"/>
      <c r="DE126" s="33"/>
      <c r="DF126" s="33"/>
      <c r="DG126" s="33"/>
      <c r="DH126" s="33"/>
      <c r="DI126" s="33"/>
      <c r="DJ126" s="33"/>
      <c r="DK126" s="33"/>
      <c r="DL126" s="33"/>
      <c r="DM126" s="33"/>
      <c r="DN126" s="33"/>
      <c r="DO126" s="33"/>
      <c r="DP126" s="33"/>
      <c r="DQ126" s="33"/>
      <c r="DR126" s="33"/>
      <c r="DS126" s="33"/>
      <c r="DT126" s="33"/>
      <c r="DU126" s="33"/>
      <c r="DV126" s="33"/>
      <c r="DW126" s="33"/>
      <c r="DX126" s="33"/>
      <c r="DY126" s="33"/>
      <c r="DZ126" s="33"/>
      <c r="EA126" s="33"/>
      <c r="EB126" s="33"/>
      <c r="EC126" s="33"/>
      <c r="ED126" s="33"/>
      <c r="EE126" s="33"/>
      <c r="EF126" s="33"/>
      <c r="EG126" s="33"/>
      <c r="EH126" s="33"/>
      <c r="EI126" s="33"/>
      <c r="EJ126" s="33"/>
      <c r="EK126" s="33"/>
      <c r="EL126" s="33"/>
      <c r="EM126" s="33"/>
      <c r="EN126" s="33"/>
      <c r="EO126" s="33"/>
      <c r="EP126" s="33"/>
      <c r="EQ126" s="33"/>
      <c r="ER126" s="33"/>
      <c r="ES126" s="33"/>
      <c r="ET126" s="33"/>
      <c r="EU126" s="33"/>
      <c r="EV126" s="33"/>
      <c r="EW126" s="33"/>
      <c r="EX126" s="33"/>
      <c r="EY126" s="33"/>
      <c r="EZ126" s="33"/>
      <c r="FA126" s="33"/>
      <c r="FB126" s="33"/>
      <c r="FC126" s="33"/>
      <c r="FD126" s="33"/>
      <c r="FE126" s="33"/>
      <c r="FF126" s="33"/>
      <c r="FG126" s="33"/>
      <c r="FH126" s="33"/>
      <c r="FI126" s="33"/>
      <c r="FJ126" s="33"/>
      <c r="FK126" s="33"/>
      <c r="FL126" s="33"/>
      <c r="FM126" s="33"/>
      <c r="FN126" s="33"/>
      <c r="FO126" s="33"/>
      <c r="FP126" s="33"/>
      <c r="FQ126" s="33"/>
      <c r="FR126" s="33"/>
      <c r="FS126" s="33"/>
      <c r="FT126" s="33"/>
      <c r="FU126" s="33"/>
      <c r="FV126" s="33"/>
      <c r="FW126" s="33"/>
      <c r="FX126" s="33"/>
      <c r="FY126" s="33"/>
      <c r="FZ126" s="33"/>
      <c r="GA126" s="33"/>
      <c r="GB126" s="33"/>
      <c r="GC126" s="33"/>
      <c r="GD126" s="33"/>
      <c r="GE126" s="33"/>
      <c r="GF126" s="33"/>
      <c r="GG126" s="33"/>
      <c r="GH126" s="33"/>
      <c r="GI126" s="33"/>
      <c r="GJ126" s="33"/>
      <c r="GK126" s="33"/>
      <c r="GL126" s="33"/>
      <c r="GM126" s="33"/>
      <c r="GN126" s="33"/>
      <c r="GO126" s="33"/>
      <c r="GP126" s="33"/>
      <c r="GQ126" s="33"/>
      <c r="GR126" s="33"/>
      <c r="GS126" s="33"/>
      <c r="GT126" s="33"/>
      <c r="GU126" s="33"/>
      <c r="GV126" s="33"/>
      <c r="GW126" s="33"/>
      <c r="GX126" s="33"/>
      <c r="GY126" s="33"/>
      <c r="GZ126" s="33"/>
      <c r="HA126" s="33"/>
      <c r="HB126" s="33"/>
      <c r="HC126" s="33"/>
      <c r="HD126" s="33"/>
      <c r="HE126" s="33"/>
      <c r="HF126" s="33"/>
      <c r="HG126" s="33"/>
      <c r="HH126" s="33"/>
      <c r="HI126" s="33"/>
      <c r="HJ126" s="33"/>
      <c r="HK126" s="33"/>
      <c r="HL126" s="33"/>
      <c r="HM126" s="33"/>
      <c r="HN126" s="33"/>
      <c r="HO126" s="33"/>
      <c r="HP126" s="33"/>
      <c r="HQ126" s="33"/>
      <c r="HR126" s="33"/>
      <c r="HS126" s="33"/>
      <c r="HT126" s="33"/>
      <c r="HU126" s="33"/>
      <c r="HV126" s="33"/>
      <c r="HW126" s="33"/>
      <c r="HX126" s="33"/>
      <c r="HY126" s="33"/>
      <c r="HZ126" s="33"/>
      <c r="IA126" s="33"/>
      <c r="IB126" s="33"/>
      <c r="IC126" s="33"/>
      <c r="ID126" s="33"/>
      <c r="IE126" s="33"/>
      <c r="IF126" s="33"/>
      <c r="IG126" s="33"/>
      <c r="IH126" s="33"/>
      <c r="II126" s="33"/>
      <c r="IJ126" s="33"/>
      <c r="IK126" s="33"/>
      <c r="IL126" s="33"/>
      <c r="IM126" s="33"/>
      <c r="IN126" s="33"/>
      <c r="IO126" s="33"/>
      <c r="IP126" s="33"/>
      <c r="IQ126" s="33"/>
      <c r="IR126" s="33"/>
      <c r="IS126" s="33"/>
      <c r="IT126" s="33"/>
      <c r="IU126" s="33"/>
      <c r="IV126" s="33"/>
      <c r="IW126" s="33"/>
      <c r="IX126" s="33"/>
      <c r="IY126" s="33"/>
      <c r="IZ126" s="33"/>
      <c r="JA126" s="33"/>
      <c r="JB126" s="33"/>
      <c r="JC126" s="33"/>
      <c r="JD126" s="33"/>
      <c r="JE126" s="33"/>
      <c r="JF126" s="33"/>
      <c r="JG126" s="33"/>
      <c r="JH126" s="33"/>
      <c r="JI126" s="33"/>
      <c r="JJ126" s="33"/>
      <c r="JK126" s="33"/>
      <c r="JL126" s="33"/>
      <c r="JM126" s="33"/>
      <c r="JN126" s="33"/>
      <c r="JO126" s="33"/>
      <c r="JP126" s="33"/>
      <c r="JQ126" s="33"/>
      <c r="JR126" s="33"/>
      <c r="JS126" s="33"/>
      <c r="JT126" s="33"/>
      <c r="JU126" s="33"/>
      <c r="JV126" s="33"/>
      <c r="JW126" s="33"/>
      <c r="JX126" s="33"/>
      <c r="JY126" s="33"/>
      <c r="JZ126" s="33"/>
      <c r="KA126" s="33"/>
      <c r="KB126" s="33"/>
      <c r="KC126" s="33"/>
      <c r="KD126" s="33"/>
      <c r="KE126" s="33"/>
      <c r="KF126" s="33"/>
      <c r="KG126" s="33"/>
      <c r="KH126" s="33"/>
      <c r="KI126" s="33"/>
      <c r="KJ126" s="33"/>
      <c r="KK126" s="33"/>
      <c r="KL126" s="33"/>
      <c r="KM126" s="33"/>
      <c r="KN126" s="33"/>
      <c r="KO126" s="33"/>
      <c r="KP126" s="33"/>
      <c r="KQ126" s="33"/>
      <c r="KR126" s="33"/>
      <c r="KS126" s="33"/>
      <c r="KT126" s="33"/>
      <c r="KU126" s="33"/>
      <c r="KV126" s="33"/>
      <c r="KW126" s="33"/>
      <c r="KX126" s="33"/>
      <c r="KY126" s="33"/>
      <c r="KZ126" s="33"/>
      <c r="LA126" s="33"/>
      <c r="LB126" s="33"/>
      <c r="LC126" s="33"/>
      <c r="LD126" s="33"/>
      <c r="LE126" s="33"/>
      <c r="LF126" s="33"/>
      <c r="LG126" s="33"/>
      <c r="LH126" s="33"/>
      <c r="LI126" s="33"/>
      <c r="LJ126" s="33"/>
      <c r="LK126" s="33"/>
      <c r="LL126" s="33"/>
      <c r="LM126" s="33"/>
      <c r="LN126" s="33"/>
      <c r="LO126" s="33"/>
      <c r="LP126" s="33"/>
      <c r="LQ126" s="33"/>
      <c r="LR126" s="33"/>
      <c r="LS126" s="33"/>
      <c r="LT126" s="33"/>
      <c r="LU126" s="33"/>
      <c r="LV126" s="33"/>
      <c r="LW126" s="33"/>
      <c r="LX126" s="33"/>
      <c r="LY126" s="33"/>
      <c r="LZ126" s="33"/>
      <c r="MA126" s="33"/>
      <c r="MB126" s="33"/>
      <c r="MC126" s="33"/>
      <c r="MD126" s="33"/>
      <c r="ME126" s="33"/>
      <c r="MF126" s="33"/>
      <c r="MG126" s="33"/>
      <c r="MH126" s="33"/>
      <c r="MI126" s="33"/>
      <c r="MJ126" s="33"/>
      <c r="MK126" s="33"/>
      <c r="ML126" s="33"/>
      <c r="MM126" s="33"/>
      <c r="MN126" s="33"/>
      <c r="MO126" s="33"/>
      <c r="MP126" s="33"/>
      <c r="MQ126" s="33"/>
      <c r="MR126" s="33"/>
      <c r="MS126" s="33"/>
      <c r="MT126" s="33"/>
      <c r="MU126" s="33"/>
      <c r="MV126" s="33"/>
    </row>
    <row r="127" spans="1:360" ht="0.75" customHeight="1" x14ac:dyDescent="0.25">
      <c r="A127" s="33"/>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33"/>
      <c r="BT127" s="33"/>
      <c r="BU127" s="33"/>
      <c r="BV127" s="33"/>
      <c r="BW127" s="33"/>
      <c r="BX127" s="33"/>
      <c r="BY127" s="33"/>
      <c r="BZ127" s="33"/>
      <c r="CA127" s="33"/>
      <c r="CB127" s="33"/>
      <c r="CC127" s="33"/>
      <c r="CD127" s="33"/>
      <c r="CE127" s="33"/>
      <c r="CF127" s="33"/>
      <c r="CG127" s="33"/>
      <c r="CH127" s="33"/>
      <c r="CI127" s="33"/>
      <c r="CJ127" s="33"/>
      <c r="CK127" s="33"/>
      <c r="CL127" s="33"/>
      <c r="CM127" s="33"/>
      <c r="CN127" s="33"/>
      <c r="CO127" s="33"/>
      <c r="CP127" s="33"/>
      <c r="CQ127" s="33"/>
      <c r="CR127" s="33"/>
      <c r="CS127" s="33"/>
      <c r="CT127" s="33"/>
      <c r="CU127" s="33"/>
      <c r="CV127" s="33"/>
      <c r="CW127" s="33"/>
      <c r="CX127" s="33"/>
      <c r="CY127" s="33"/>
      <c r="CZ127" s="33"/>
      <c r="DA127" s="33"/>
      <c r="DB127" s="33"/>
      <c r="DC127" s="33"/>
      <c r="DD127" s="33"/>
      <c r="DE127" s="33"/>
      <c r="DF127" s="33"/>
      <c r="DG127" s="33"/>
      <c r="DH127" s="33"/>
      <c r="DI127" s="33"/>
      <c r="DJ127" s="33"/>
      <c r="DK127" s="33"/>
      <c r="DL127" s="33"/>
      <c r="DM127" s="33"/>
      <c r="DN127" s="33"/>
      <c r="DO127" s="33"/>
      <c r="DP127" s="33"/>
      <c r="DQ127" s="33"/>
      <c r="DR127" s="33"/>
      <c r="DS127" s="33"/>
      <c r="DT127" s="33"/>
      <c r="DU127" s="33"/>
      <c r="DV127" s="33"/>
      <c r="DW127" s="33"/>
      <c r="DX127" s="33"/>
      <c r="DY127" s="33"/>
      <c r="DZ127" s="33"/>
      <c r="EA127" s="33"/>
      <c r="EB127" s="33"/>
      <c r="EC127" s="33"/>
      <c r="ED127" s="33"/>
      <c r="EE127" s="33"/>
      <c r="EF127" s="33"/>
      <c r="EG127" s="33"/>
      <c r="EH127" s="33"/>
      <c r="EI127" s="33"/>
      <c r="EJ127" s="33"/>
      <c r="EK127" s="33"/>
      <c r="EL127" s="33"/>
      <c r="EM127" s="33"/>
      <c r="EN127" s="33"/>
      <c r="EO127" s="33"/>
      <c r="EP127" s="33"/>
      <c r="EQ127" s="33"/>
      <c r="ER127" s="33"/>
      <c r="ES127" s="33"/>
      <c r="ET127" s="33"/>
      <c r="EU127" s="33"/>
      <c r="EV127" s="33"/>
      <c r="EW127" s="33"/>
      <c r="EX127" s="33"/>
      <c r="EY127" s="33"/>
      <c r="EZ127" s="33"/>
      <c r="FA127" s="33"/>
      <c r="FB127" s="33"/>
      <c r="FC127" s="33"/>
      <c r="FD127" s="33"/>
      <c r="FE127" s="33"/>
      <c r="FF127" s="33"/>
      <c r="FG127" s="33"/>
      <c r="FH127" s="33"/>
      <c r="FI127" s="33"/>
      <c r="FJ127" s="33"/>
      <c r="FK127" s="33"/>
      <c r="FL127" s="33"/>
      <c r="FM127" s="33"/>
      <c r="FN127" s="33"/>
      <c r="FO127" s="33"/>
      <c r="FP127" s="33"/>
      <c r="FQ127" s="33"/>
      <c r="FR127" s="33"/>
      <c r="FS127" s="33"/>
      <c r="FT127" s="33"/>
      <c r="FU127" s="33"/>
      <c r="FV127" s="33"/>
      <c r="FW127" s="33"/>
      <c r="FX127" s="33"/>
      <c r="FY127" s="33"/>
      <c r="FZ127" s="33"/>
      <c r="GA127" s="33"/>
      <c r="GB127" s="33"/>
      <c r="GC127" s="33"/>
      <c r="GD127" s="33"/>
      <c r="GE127" s="33"/>
      <c r="GF127" s="33"/>
      <c r="GG127" s="33"/>
      <c r="GH127" s="33"/>
      <c r="GI127" s="33"/>
      <c r="GJ127" s="33"/>
      <c r="GK127" s="33"/>
      <c r="GL127" s="33"/>
      <c r="GM127" s="33"/>
      <c r="GN127" s="33"/>
      <c r="GO127" s="33"/>
      <c r="GP127" s="33"/>
      <c r="GQ127" s="33"/>
      <c r="GR127" s="33"/>
      <c r="GS127" s="33"/>
      <c r="GT127" s="33"/>
      <c r="GU127" s="33"/>
      <c r="GV127" s="33"/>
      <c r="GW127" s="33"/>
      <c r="GX127" s="33"/>
      <c r="GY127" s="33"/>
      <c r="GZ127" s="33"/>
      <c r="HA127" s="33"/>
      <c r="HB127" s="33"/>
      <c r="HC127" s="33"/>
      <c r="HD127" s="33"/>
      <c r="HE127" s="33"/>
      <c r="HF127" s="33"/>
      <c r="HG127" s="33"/>
      <c r="HH127" s="33"/>
      <c r="HI127" s="33"/>
      <c r="HJ127" s="33"/>
      <c r="HK127" s="33"/>
      <c r="HL127" s="33"/>
      <c r="HM127" s="33"/>
      <c r="HN127" s="33"/>
      <c r="HO127" s="33"/>
      <c r="HP127" s="33"/>
      <c r="HQ127" s="33"/>
      <c r="HR127" s="33"/>
      <c r="HS127" s="33"/>
      <c r="HT127" s="33"/>
      <c r="HU127" s="33"/>
      <c r="HV127" s="33"/>
      <c r="HW127" s="33"/>
      <c r="HX127" s="33"/>
      <c r="HY127" s="33"/>
      <c r="HZ127" s="33"/>
      <c r="IA127" s="33"/>
      <c r="IB127" s="33"/>
      <c r="IC127" s="33"/>
      <c r="ID127" s="33"/>
      <c r="IE127" s="33"/>
      <c r="IF127" s="33"/>
      <c r="IG127" s="33"/>
      <c r="IH127" s="33"/>
      <c r="II127" s="33"/>
      <c r="IJ127" s="33"/>
      <c r="IK127" s="33"/>
      <c r="IL127" s="33"/>
      <c r="IM127" s="33"/>
      <c r="IN127" s="33"/>
      <c r="IO127" s="33"/>
      <c r="IP127" s="33"/>
      <c r="IQ127" s="33"/>
      <c r="IR127" s="33"/>
      <c r="IS127" s="33"/>
      <c r="IT127" s="33"/>
      <c r="IU127" s="33"/>
      <c r="IV127" s="33"/>
      <c r="IW127" s="33"/>
      <c r="IX127" s="33"/>
      <c r="IY127" s="33"/>
      <c r="IZ127" s="33"/>
      <c r="JA127" s="33"/>
      <c r="JB127" s="33"/>
      <c r="JC127" s="33"/>
      <c r="JD127" s="33"/>
      <c r="JE127" s="33"/>
      <c r="JF127" s="33"/>
      <c r="JG127" s="33"/>
      <c r="JH127" s="33"/>
      <c r="JI127" s="33"/>
      <c r="JJ127" s="33"/>
      <c r="JK127" s="33"/>
      <c r="JL127" s="33"/>
      <c r="JM127" s="33"/>
      <c r="JN127" s="33"/>
      <c r="JO127" s="33"/>
      <c r="JP127" s="33"/>
      <c r="JQ127" s="33"/>
      <c r="JR127" s="33"/>
      <c r="JS127" s="33"/>
      <c r="JT127" s="33"/>
      <c r="JU127" s="33"/>
      <c r="JV127" s="33"/>
      <c r="JW127" s="33"/>
      <c r="JX127" s="33"/>
      <c r="JY127" s="33"/>
      <c r="JZ127" s="33"/>
      <c r="KA127" s="33"/>
      <c r="KB127" s="33"/>
      <c r="KC127" s="33"/>
      <c r="KD127" s="33"/>
      <c r="KE127" s="33"/>
      <c r="KF127" s="33"/>
      <c r="KG127" s="33"/>
      <c r="KH127" s="33"/>
      <c r="KI127" s="33"/>
      <c r="KJ127" s="33"/>
      <c r="KK127" s="33"/>
      <c r="KL127" s="33"/>
      <c r="KM127" s="33"/>
      <c r="KN127" s="33"/>
      <c r="KO127" s="33"/>
      <c r="KP127" s="33"/>
      <c r="KQ127" s="33"/>
      <c r="KR127" s="33"/>
      <c r="KS127" s="33"/>
      <c r="KT127" s="33"/>
      <c r="KU127" s="33"/>
      <c r="KV127" s="33"/>
      <c r="KW127" s="33"/>
      <c r="KX127" s="33"/>
      <c r="KY127" s="33"/>
      <c r="KZ127" s="33"/>
      <c r="LA127" s="33"/>
      <c r="LB127" s="33"/>
      <c r="LC127" s="33"/>
      <c r="LD127" s="33"/>
      <c r="LE127" s="33"/>
      <c r="LF127" s="33"/>
      <c r="LG127" s="33"/>
      <c r="LH127" s="33"/>
      <c r="LI127" s="33"/>
      <c r="LJ127" s="33"/>
      <c r="LK127" s="33"/>
      <c r="LL127" s="33"/>
      <c r="LM127" s="33"/>
      <c r="LN127" s="33"/>
      <c r="LO127" s="33"/>
      <c r="LP127" s="33"/>
      <c r="LQ127" s="33"/>
      <c r="LR127" s="33"/>
      <c r="LS127" s="33"/>
      <c r="LT127" s="33"/>
      <c r="LU127" s="33"/>
      <c r="LV127" s="33"/>
      <c r="LW127" s="33"/>
      <c r="LX127" s="33"/>
      <c r="LY127" s="33"/>
      <c r="LZ127" s="33"/>
      <c r="MA127" s="33"/>
      <c r="MB127" s="33"/>
      <c r="MC127" s="33"/>
      <c r="MD127" s="33"/>
      <c r="ME127" s="33"/>
      <c r="MF127" s="33"/>
      <c r="MG127" s="33"/>
      <c r="MH127" s="33"/>
      <c r="MI127" s="33"/>
      <c r="MJ127" s="33"/>
      <c r="MK127" s="33"/>
      <c r="ML127" s="33"/>
      <c r="MM127" s="33"/>
      <c r="MN127" s="33"/>
      <c r="MO127" s="33"/>
      <c r="MP127" s="33"/>
      <c r="MQ127" s="33"/>
      <c r="MR127" s="33"/>
      <c r="MS127" s="33"/>
      <c r="MT127" s="33"/>
      <c r="MU127" s="33"/>
      <c r="MV127" s="33"/>
    </row>
    <row r="128" spans="1:360" ht="0.75" customHeight="1" x14ac:dyDescent="0.25">
      <c r="A128" s="33"/>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c r="BS128" s="33"/>
      <c r="BT128" s="33"/>
      <c r="BU128" s="33"/>
      <c r="BV128" s="33"/>
      <c r="BW128" s="33"/>
      <c r="BX128" s="33"/>
      <c r="BY128" s="33"/>
      <c r="BZ128" s="33"/>
      <c r="CA128" s="33"/>
      <c r="CB128" s="33"/>
      <c r="CC128" s="33"/>
      <c r="CD128" s="33"/>
      <c r="CE128" s="33"/>
      <c r="CF128" s="33"/>
      <c r="CG128" s="33"/>
      <c r="CH128" s="33"/>
      <c r="CI128" s="33"/>
      <c r="CJ128" s="33"/>
      <c r="CK128" s="33"/>
      <c r="CL128" s="33"/>
      <c r="CM128" s="33"/>
      <c r="CN128" s="33"/>
      <c r="CO128" s="33"/>
      <c r="CP128" s="33"/>
      <c r="CQ128" s="33"/>
      <c r="CR128" s="33"/>
      <c r="CS128" s="33"/>
      <c r="CT128" s="33"/>
      <c r="CU128" s="33"/>
      <c r="CV128" s="33"/>
      <c r="CW128" s="33"/>
      <c r="CX128" s="33"/>
      <c r="CY128" s="33"/>
      <c r="CZ128" s="33"/>
      <c r="DA128" s="33"/>
      <c r="DB128" s="33"/>
      <c r="DC128" s="33"/>
      <c r="DD128" s="33"/>
      <c r="DE128" s="33"/>
      <c r="DF128" s="33"/>
      <c r="DG128" s="33"/>
      <c r="DH128" s="33"/>
      <c r="DI128" s="33"/>
      <c r="DJ128" s="33"/>
      <c r="DK128" s="33"/>
      <c r="DL128" s="33"/>
      <c r="DM128" s="33"/>
      <c r="DN128" s="33"/>
      <c r="DO128" s="33"/>
      <c r="DP128" s="33"/>
      <c r="DQ128" s="33"/>
      <c r="DR128" s="33"/>
      <c r="DS128" s="33"/>
      <c r="DT128" s="33"/>
      <c r="DU128" s="33"/>
      <c r="DV128" s="33"/>
      <c r="DW128" s="33"/>
      <c r="DX128" s="33"/>
      <c r="DY128" s="33"/>
      <c r="DZ128" s="33"/>
      <c r="EA128" s="33"/>
      <c r="EB128" s="33"/>
      <c r="EC128" s="33"/>
      <c r="ED128" s="33"/>
      <c r="EE128" s="33"/>
      <c r="EF128" s="33"/>
      <c r="EG128" s="33"/>
      <c r="EH128" s="33"/>
      <c r="EI128" s="33"/>
      <c r="EJ128" s="33"/>
      <c r="EK128" s="33"/>
      <c r="EL128" s="33"/>
      <c r="EM128" s="33"/>
      <c r="EN128" s="33"/>
      <c r="EO128" s="33"/>
      <c r="EP128" s="33"/>
      <c r="EQ128" s="33"/>
      <c r="ER128" s="33"/>
      <c r="ES128" s="33"/>
      <c r="ET128" s="33"/>
      <c r="EU128" s="33"/>
      <c r="EV128" s="33"/>
      <c r="EW128" s="33"/>
      <c r="EX128" s="33"/>
      <c r="EY128" s="33"/>
      <c r="EZ128" s="33"/>
      <c r="FA128" s="33"/>
      <c r="FB128" s="33"/>
      <c r="FC128" s="33"/>
      <c r="FD128" s="33"/>
      <c r="FE128" s="33"/>
      <c r="FF128" s="33"/>
      <c r="FG128" s="33"/>
      <c r="FH128" s="33"/>
      <c r="FI128" s="33"/>
      <c r="FJ128" s="33"/>
      <c r="FK128" s="33"/>
      <c r="FL128" s="33"/>
      <c r="FM128" s="33"/>
      <c r="FN128" s="33"/>
      <c r="FO128" s="33"/>
      <c r="FP128" s="33"/>
      <c r="FQ128" s="33"/>
      <c r="FR128" s="33"/>
      <c r="FS128" s="33"/>
      <c r="FT128" s="33"/>
      <c r="FU128" s="33"/>
      <c r="FV128" s="33"/>
      <c r="FW128" s="33"/>
      <c r="FX128" s="33"/>
      <c r="FY128" s="33"/>
      <c r="FZ128" s="33"/>
      <c r="GA128" s="33"/>
      <c r="GB128" s="33"/>
      <c r="GC128" s="33"/>
      <c r="GD128" s="33"/>
      <c r="GE128" s="33"/>
      <c r="GF128" s="33"/>
      <c r="GG128" s="33"/>
      <c r="GH128" s="33"/>
      <c r="GI128" s="33"/>
      <c r="GJ128" s="33"/>
      <c r="GK128" s="33"/>
      <c r="GL128" s="33"/>
      <c r="GM128" s="33"/>
      <c r="GN128" s="33"/>
      <c r="GO128" s="33"/>
      <c r="GP128" s="33"/>
      <c r="GQ128" s="33"/>
      <c r="GR128" s="33"/>
      <c r="GS128" s="33"/>
      <c r="GT128" s="33"/>
      <c r="GU128" s="33"/>
      <c r="GV128" s="33"/>
      <c r="GW128" s="33"/>
      <c r="GX128" s="33"/>
      <c r="GY128" s="33"/>
      <c r="GZ128" s="33"/>
      <c r="HA128" s="33"/>
      <c r="HB128" s="33"/>
      <c r="HC128" s="33"/>
      <c r="HD128" s="33"/>
      <c r="HE128" s="33"/>
      <c r="HF128" s="33"/>
      <c r="HG128" s="33"/>
      <c r="HH128" s="33"/>
      <c r="HI128" s="33"/>
      <c r="HJ128" s="33"/>
      <c r="HK128" s="33"/>
      <c r="HL128" s="33"/>
      <c r="HM128" s="33"/>
      <c r="HN128" s="33"/>
      <c r="HO128" s="33"/>
      <c r="HP128" s="33"/>
      <c r="HQ128" s="33"/>
      <c r="HR128" s="33"/>
      <c r="HS128" s="33"/>
      <c r="HT128" s="33"/>
      <c r="HU128" s="33"/>
      <c r="HV128" s="33"/>
      <c r="HW128" s="33"/>
      <c r="HX128" s="33"/>
      <c r="HY128" s="33"/>
      <c r="HZ128" s="33"/>
      <c r="IA128" s="33"/>
      <c r="IB128" s="33"/>
      <c r="IC128" s="33"/>
      <c r="ID128" s="33"/>
      <c r="IE128" s="33"/>
      <c r="IF128" s="33"/>
      <c r="IG128" s="33"/>
      <c r="IH128" s="33"/>
      <c r="II128" s="33"/>
      <c r="IJ128" s="33"/>
      <c r="IK128" s="33"/>
      <c r="IL128" s="33"/>
      <c r="IM128" s="33"/>
      <c r="IN128" s="33"/>
      <c r="IO128" s="33"/>
      <c r="IP128" s="33"/>
      <c r="IQ128" s="33"/>
      <c r="IR128" s="33"/>
      <c r="IS128" s="33"/>
      <c r="IT128" s="33"/>
      <c r="IU128" s="33"/>
      <c r="IV128" s="33"/>
      <c r="IW128" s="33"/>
      <c r="IX128" s="33"/>
      <c r="IY128" s="33"/>
      <c r="IZ128" s="33"/>
      <c r="JA128" s="33"/>
      <c r="JB128" s="33"/>
      <c r="JC128" s="33"/>
      <c r="JD128" s="33"/>
      <c r="JE128" s="33"/>
      <c r="JF128" s="33"/>
      <c r="JG128" s="33"/>
      <c r="JH128" s="33"/>
      <c r="JI128" s="33"/>
      <c r="JJ128" s="33"/>
      <c r="JK128" s="33"/>
      <c r="JL128" s="33"/>
      <c r="JM128" s="33"/>
      <c r="JN128" s="33"/>
      <c r="JO128" s="33"/>
      <c r="JP128" s="33"/>
      <c r="JQ128" s="33"/>
      <c r="JR128" s="33"/>
      <c r="JS128" s="33"/>
      <c r="JT128" s="33"/>
      <c r="JU128" s="33"/>
      <c r="JV128" s="33"/>
      <c r="JW128" s="33"/>
      <c r="JX128" s="33"/>
      <c r="JY128" s="33"/>
      <c r="JZ128" s="33"/>
      <c r="KA128" s="33"/>
      <c r="KB128" s="33"/>
      <c r="KC128" s="33"/>
      <c r="KD128" s="33"/>
      <c r="KE128" s="33"/>
      <c r="KF128" s="33"/>
      <c r="KG128" s="33"/>
      <c r="KH128" s="33"/>
      <c r="KI128" s="33"/>
      <c r="KJ128" s="33"/>
      <c r="KK128" s="33"/>
      <c r="KL128" s="33"/>
      <c r="KM128" s="33"/>
      <c r="KN128" s="33"/>
      <c r="KO128" s="33"/>
      <c r="KP128" s="33"/>
      <c r="KQ128" s="33"/>
      <c r="KR128" s="33"/>
      <c r="KS128" s="33"/>
      <c r="KT128" s="33"/>
      <c r="KU128" s="33"/>
      <c r="KV128" s="33"/>
      <c r="KW128" s="33"/>
      <c r="KX128" s="33"/>
      <c r="KY128" s="33"/>
      <c r="KZ128" s="33"/>
      <c r="LA128" s="33"/>
      <c r="LB128" s="33"/>
      <c r="LC128" s="33"/>
      <c r="LD128" s="33"/>
      <c r="LE128" s="33"/>
      <c r="LF128" s="33"/>
      <c r="LG128" s="33"/>
      <c r="LH128" s="33"/>
      <c r="LI128" s="33"/>
      <c r="LJ128" s="33"/>
      <c r="LK128" s="33"/>
      <c r="LL128" s="33"/>
      <c r="LM128" s="33"/>
      <c r="LN128" s="33"/>
      <c r="LO128" s="33"/>
      <c r="LP128" s="33"/>
      <c r="LQ128" s="33"/>
      <c r="LR128" s="33"/>
      <c r="LS128" s="33"/>
      <c r="LT128" s="33"/>
      <c r="LU128" s="33"/>
      <c r="LV128" s="33"/>
      <c r="LW128" s="33"/>
      <c r="LX128" s="33"/>
      <c r="LY128" s="33"/>
      <c r="LZ128" s="33"/>
      <c r="MA128" s="33"/>
      <c r="MB128" s="33"/>
      <c r="MC128" s="33"/>
      <c r="MD128" s="33"/>
      <c r="ME128" s="33"/>
      <c r="MF128" s="33"/>
      <c r="MG128" s="33"/>
      <c r="MH128" s="33"/>
      <c r="MI128" s="33"/>
      <c r="MJ128" s="33"/>
      <c r="MK128" s="33"/>
      <c r="ML128" s="33"/>
      <c r="MM128" s="33"/>
      <c r="MN128" s="33"/>
      <c r="MO128" s="33"/>
      <c r="MP128" s="33"/>
      <c r="MQ128" s="33"/>
      <c r="MR128" s="33"/>
      <c r="MS128" s="33"/>
      <c r="MT128" s="33"/>
      <c r="MU128" s="33"/>
      <c r="MV128" s="33"/>
    </row>
    <row r="129" spans="1:360" ht="0.75" customHeight="1" x14ac:dyDescent="0.25">
      <c r="A129" s="33"/>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33"/>
      <c r="BT129" s="33"/>
      <c r="BU129" s="33"/>
      <c r="BV129" s="33"/>
      <c r="BW129" s="33"/>
      <c r="BX129" s="33"/>
      <c r="BY129" s="33"/>
      <c r="BZ129" s="33"/>
      <c r="CA129" s="33"/>
      <c r="CB129" s="33"/>
      <c r="CC129" s="33"/>
      <c r="CD129" s="33"/>
      <c r="CE129" s="33"/>
      <c r="CF129" s="33"/>
      <c r="CG129" s="33"/>
      <c r="CH129" s="33"/>
      <c r="CI129" s="33"/>
      <c r="CJ129" s="33"/>
      <c r="CK129" s="33"/>
      <c r="CL129" s="33"/>
      <c r="CM129" s="33"/>
      <c r="CN129" s="33"/>
      <c r="CO129" s="33"/>
      <c r="CP129" s="33"/>
      <c r="CQ129" s="33"/>
      <c r="CR129" s="33"/>
      <c r="CS129" s="33"/>
      <c r="CT129" s="33"/>
      <c r="CU129" s="33"/>
      <c r="CV129" s="33"/>
      <c r="CW129" s="33"/>
      <c r="CX129" s="33"/>
      <c r="CY129" s="33"/>
      <c r="CZ129" s="33"/>
      <c r="DA129" s="33"/>
      <c r="DB129" s="33"/>
      <c r="DC129" s="33"/>
      <c r="DD129" s="33"/>
      <c r="DE129" s="33"/>
      <c r="DF129" s="33"/>
      <c r="DG129" s="33"/>
      <c r="DH129" s="33"/>
      <c r="DI129" s="33"/>
      <c r="DJ129" s="33"/>
      <c r="DK129" s="33"/>
      <c r="DL129" s="33"/>
      <c r="DM129" s="33"/>
      <c r="DN129" s="33"/>
      <c r="DO129" s="33"/>
      <c r="DP129" s="33"/>
      <c r="DQ129" s="33"/>
      <c r="DR129" s="33"/>
      <c r="DS129" s="33"/>
      <c r="DT129" s="33"/>
      <c r="DU129" s="33"/>
      <c r="DV129" s="33"/>
      <c r="DW129" s="33"/>
      <c r="DX129" s="33"/>
      <c r="DY129" s="33"/>
      <c r="DZ129" s="33"/>
      <c r="EA129" s="33"/>
      <c r="EB129" s="33"/>
      <c r="EC129" s="33"/>
      <c r="ED129" s="33"/>
      <c r="EE129" s="33"/>
      <c r="EF129" s="33"/>
      <c r="EG129" s="33"/>
      <c r="EH129" s="33"/>
      <c r="EI129" s="33"/>
      <c r="EJ129" s="33"/>
      <c r="EK129" s="33"/>
      <c r="EL129" s="33"/>
      <c r="EM129" s="33"/>
      <c r="EN129" s="33"/>
      <c r="EO129" s="33"/>
      <c r="EP129" s="33"/>
      <c r="EQ129" s="33"/>
      <c r="ER129" s="33"/>
      <c r="ES129" s="33"/>
      <c r="ET129" s="33"/>
      <c r="EU129" s="33"/>
      <c r="EV129" s="33"/>
      <c r="EW129" s="33"/>
      <c r="EX129" s="33"/>
      <c r="EY129" s="33"/>
      <c r="EZ129" s="33"/>
      <c r="FA129" s="33"/>
      <c r="FB129" s="33"/>
      <c r="FC129" s="33"/>
      <c r="FD129" s="33"/>
      <c r="FE129" s="33"/>
      <c r="FF129" s="33"/>
      <c r="FG129" s="33"/>
      <c r="FH129" s="33"/>
      <c r="FI129" s="33"/>
      <c r="FJ129" s="33"/>
      <c r="FK129" s="33"/>
      <c r="FL129" s="33"/>
      <c r="FM129" s="33"/>
      <c r="FN129" s="33"/>
      <c r="FO129" s="33"/>
      <c r="FP129" s="33"/>
      <c r="FQ129" s="33"/>
      <c r="FR129" s="33"/>
      <c r="FS129" s="33"/>
      <c r="FT129" s="33"/>
      <c r="FU129" s="33"/>
      <c r="FV129" s="33"/>
      <c r="FW129" s="33"/>
      <c r="FX129" s="33"/>
      <c r="FY129" s="33"/>
      <c r="FZ129" s="33"/>
      <c r="GA129" s="33"/>
      <c r="GB129" s="33"/>
      <c r="GC129" s="33"/>
      <c r="GD129" s="33"/>
      <c r="GE129" s="33"/>
      <c r="GF129" s="33"/>
      <c r="GG129" s="33"/>
      <c r="GH129" s="33"/>
      <c r="GI129" s="33"/>
      <c r="GJ129" s="33"/>
      <c r="GK129" s="33"/>
      <c r="GL129" s="33"/>
      <c r="GM129" s="33"/>
      <c r="GN129" s="33"/>
      <c r="GO129" s="33"/>
      <c r="GP129" s="33"/>
      <c r="GQ129" s="33"/>
      <c r="GR129" s="33"/>
      <c r="GS129" s="33"/>
      <c r="GT129" s="33"/>
      <c r="GU129" s="33"/>
      <c r="GV129" s="33"/>
      <c r="GW129" s="33"/>
      <c r="GX129" s="33"/>
      <c r="GY129" s="33"/>
      <c r="GZ129" s="33"/>
      <c r="HA129" s="33"/>
      <c r="HB129" s="33"/>
      <c r="HC129" s="33"/>
      <c r="HD129" s="33"/>
      <c r="HE129" s="33"/>
      <c r="HF129" s="33"/>
      <c r="HG129" s="33"/>
      <c r="HH129" s="33"/>
      <c r="HI129" s="33"/>
      <c r="HJ129" s="33"/>
      <c r="HK129" s="33"/>
      <c r="HL129" s="33"/>
      <c r="HM129" s="33"/>
      <c r="HN129" s="33"/>
      <c r="HO129" s="33"/>
      <c r="HP129" s="33"/>
      <c r="HQ129" s="33"/>
      <c r="HR129" s="33"/>
      <c r="HS129" s="33"/>
      <c r="HT129" s="33"/>
      <c r="HU129" s="33"/>
      <c r="HV129" s="33"/>
      <c r="HW129" s="33"/>
      <c r="HX129" s="33"/>
      <c r="HY129" s="33"/>
      <c r="HZ129" s="33"/>
      <c r="IA129" s="33"/>
      <c r="IB129" s="33"/>
      <c r="IC129" s="33"/>
      <c r="ID129" s="33"/>
      <c r="IE129" s="33"/>
      <c r="IF129" s="33"/>
      <c r="IG129" s="33"/>
      <c r="IH129" s="33"/>
      <c r="II129" s="33"/>
      <c r="IJ129" s="33"/>
      <c r="IK129" s="33"/>
      <c r="IL129" s="33"/>
      <c r="IM129" s="33"/>
      <c r="IN129" s="33"/>
      <c r="IO129" s="33"/>
      <c r="IP129" s="33"/>
      <c r="IQ129" s="33"/>
      <c r="IR129" s="33"/>
      <c r="IS129" s="33"/>
      <c r="IT129" s="33"/>
      <c r="IU129" s="33"/>
      <c r="IV129" s="33"/>
      <c r="IW129" s="33"/>
      <c r="IX129" s="33"/>
      <c r="IY129" s="33"/>
      <c r="IZ129" s="33"/>
      <c r="JA129" s="33"/>
      <c r="JB129" s="33"/>
      <c r="JC129" s="33"/>
      <c r="JD129" s="33"/>
      <c r="JE129" s="33"/>
      <c r="JF129" s="33"/>
      <c r="JG129" s="33"/>
      <c r="JH129" s="33"/>
      <c r="JI129" s="33"/>
      <c r="JJ129" s="33"/>
      <c r="JK129" s="33"/>
      <c r="JL129" s="33"/>
      <c r="JM129" s="33"/>
      <c r="JN129" s="33"/>
      <c r="JO129" s="33"/>
      <c r="JP129" s="33"/>
      <c r="JQ129" s="33"/>
      <c r="JR129" s="33"/>
      <c r="JS129" s="33"/>
      <c r="JT129" s="33"/>
      <c r="JU129" s="33"/>
      <c r="JV129" s="33"/>
      <c r="JW129" s="33"/>
      <c r="JX129" s="33"/>
      <c r="JY129" s="33"/>
      <c r="JZ129" s="33"/>
      <c r="KA129" s="33"/>
      <c r="KB129" s="33"/>
      <c r="KC129" s="33"/>
      <c r="KD129" s="33"/>
      <c r="KE129" s="33"/>
      <c r="KF129" s="33"/>
      <c r="KG129" s="33"/>
      <c r="KH129" s="33"/>
      <c r="KI129" s="33"/>
      <c r="KJ129" s="33"/>
      <c r="KK129" s="33"/>
      <c r="KL129" s="33"/>
      <c r="KM129" s="33"/>
      <c r="KN129" s="33"/>
      <c r="KO129" s="33"/>
      <c r="KP129" s="33"/>
      <c r="KQ129" s="33"/>
      <c r="KR129" s="33"/>
      <c r="KS129" s="33"/>
      <c r="KT129" s="33"/>
      <c r="KU129" s="33"/>
      <c r="KV129" s="33"/>
      <c r="KW129" s="33"/>
      <c r="KX129" s="33"/>
      <c r="KY129" s="33"/>
      <c r="KZ129" s="33"/>
      <c r="LA129" s="33"/>
      <c r="LB129" s="33"/>
      <c r="LC129" s="33"/>
      <c r="LD129" s="33"/>
      <c r="LE129" s="33"/>
      <c r="LF129" s="33"/>
      <c r="LG129" s="33"/>
      <c r="LH129" s="33"/>
      <c r="LI129" s="33"/>
      <c r="LJ129" s="33"/>
      <c r="LK129" s="33"/>
      <c r="LL129" s="33"/>
      <c r="LM129" s="33"/>
      <c r="LN129" s="33"/>
      <c r="LO129" s="33"/>
      <c r="LP129" s="33"/>
      <c r="LQ129" s="33"/>
      <c r="LR129" s="33"/>
      <c r="LS129" s="33"/>
      <c r="LT129" s="33"/>
      <c r="LU129" s="33"/>
      <c r="LV129" s="33"/>
      <c r="LW129" s="33"/>
      <c r="LX129" s="33"/>
      <c r="LY129" s="33"/>
      <c r="LZ129" s="33"/>
      <c r="MA129" s="33"/>
      <c r="MB129" s="33"/>
      <c r="MC129" s="33"/>
      <c r="MD129" s="33"/>
      <c r="ME129" s="33"/>
      <c r="MF129" s="33"/>
      <c r="MG129" s="33"/>
      <c r="MH129" s="33"/>
      <c r="MI129" s="33"/>
      <c r="MJ129" s="33"/>
      <c r="MK129" s="33"/>
      <c r="ML129" s="33"/>
      <c r="MM129" s="33"/>
      <c r="MN129" s="33"/>
      <c r="MO129" s="33"/>
      <c r="MP129" s="33"/>
      <c r="MQ129" s="33"/>
      <c r="MR129" s="33"/>
      <c r="MS129" s="33"/>
      <c r="MT129" s="33"/>
      <c r="MU129" s="33"/>
      <c r="MV129" s="33"/>
    </row>
    <row r="130" spans="1:360" ht="0.75" customHeight="1" x14ac:dyDescent="0.25">
      <c r="A130" s="33"/>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33"/>
      <c r="BT130" s="33"/>
      <c r="BU130" s="33"/>
      <c r="BV130" s="33"/>
      <c r="BW130" s="33"/>
      <c r="BX130" s="33"/>
      <c r="BY130" s="33"/>
      <c r="BZ130" s="33"/>
      <c r="CA130" s="33"/>
      <c r="CB130" s="33"/>
      <c r="CC130" s="33"/>
      <c r="CD130" s="33"/>
      <c r="CE130" s="33"/>
      <c r="CF130" s="33"/>
      <c r="CG130" s="33"/>
      <c r="CH130" s="33"/>
      <c r="CI130" s="33"/>
      <c r="CJ130" s="33"/>
      <c r="CK130" s="33"/>
      <c r="CL130" s="33"/>
      <c r="CM130" s="33"/>
      <c r="CN130" s="33"/>
      <c r="CO130" s="33"/>
      <c r="CP130" s="33"/>
      <c r="CQ130" s="33"/>
      <c r="CR130" s="33"/>
      <c r="CS130" s="33"/>
      <c r="CT130" s="33"/>
      <c r="CU130" s="33"/>
      <c r="CV130" s="33"/>
      <c r="CW130" s="33"/>
      <c r="CX130" s="33"/>
      <c r="CY130" s="33"/>
      <c r="CZ130" s="33"/>
      <c r="DA130" s="33"/>
      <c r="DB130" s="33"/>
      <c r="DC130" s="33"/>
      <c r="DD130" s="33"/>
      <c r="DE130" s="33"/>
      <c r="DF130" s="33"/>
      <c r="DG130" s="33"/>
      <c r="DH130" s="33"/>
      <c r="DI130" s="33"/>
      <c r="DJ130" s="33"/>
      <c r="DK130" s="33"/>
      <c r="DL130" s="33"/>
      <c r="DM130" s="33"/>
      <c r="DN130" s="33"/>
      <c r="DO130" s="33"/>
      <c r="DP130" s="33"/>
      <c r="DQ130" s="33"/>
      <c r="DR130" s="33"/>
      <c r="DS130" s="33"/>
      <c r="DT130" s="33"/>
      <c r="DU130" s="33"/>
      <c r="DV130" s="33"/>
      <c r="DW130" s="33"/>
      <c r="DX130" s="33"/>
      <c r="DY130" s="33"/>
      <c r="DZ130" s="33"/>
      <c r="EA130" s="33"/>
      <c r="EB130" s="33"/>
      <c r="EC130" s="33"/>
      <c r="ED130" s="33"/>
      <c r="EE130" s="33"/>
      <c r="EF130" s="33"/>
      <c r="EG130" s="33"/>
      <c r="EH130" s="33"/>
      <c r="EI130" s="33"/>
      <c r="EJ130" s="33"/>
      <c r="EK130" s="33"/>
      <c r="EL130" s="33"/>
      <c r="EM130" s="33"/>
      <c r="EN130" s="33"/>
      <c r="EO130" s="33"/>
      <c r="EP130" s="33"/>
      <c r="EQ130" s="33"/>
      <c r="ER130" s="33"/>
      <c r="ES130" s="33"/>
      <c r="ET130" s="33"/>
      <c r="EU130" s="33"/>
      <c r="EV130" s="33"/>
      <c r="EW130" s="33"/>
      <c r="EX130" s="33"/>
      <c r="EY130" s="33"/>
      <c r="EZ130" s="33"/>
      <c r="FA130" s="33"/>
      <c r="FB130" s="33"/>
      <c r="FC130" s="33"/>
      <c r="FD130" s="33"/>
      <c r="FE130" s="33"/>
      <c r="FF130" s="33"/>
      <c r="FG130" s="33"/>
      <c r="FH130" s="33"/>
      <c r="FI130" s="33"/>
      <c r="FJ130" s="33"/>
      <c r="FK130" s="33"/>
      <c r="FL130" s="33"/>
      <c r="FM130" s="33"/>
      <c r="FN130" s="33"/>
      <c r="FO130" s="33"/>
      <c r="FP130" s="33"/>
      <c r="FQ130" s="33"/>
      <c r="FR130" s="33"/>
      <c r="FS130" s="33"/>
      <c r="FT130" s="33"/>
      <c r="FU130" s="33"/>
      <c r="FV130" s="33"/>
      <c r="FW130" s="33"/>
      <c r="FX130" s="33"/>
      <c r="FY130" s="33"/>
      <c r="FZ130" s="33"/>
      <c r="GA130" s="33"/>
      <c r="GB130" s="33"/>
      <c r="GC130" s="33"/>
      <c r="GD130" s="33"/>
      <c r="GE130" s="33"/>
      <c r="GF130" s="33"/>
      <c r="GG130" s="33"/>
      <c r="GH130" s="33"/>
      <c r="GI130" s="33"/>
      <c r="GJ130" s="33"/>
      <c r="GK130" s="33"/>
      <c r="GL130" s="33"/>
      <c r="GM130" s="33"/>
      <c r="GN130" s="33"/>
      <c r="GO130" s="33"/>
      <c r="GP130" s="33"/>
      <c r="GQ130" s="33"/>
      <c r="GR130" s="33"/>
      <c r="GS130" s="33"/>
      <c r="GT130" s="33"/>
      <c r="GU130" s="33"/>
      <c r="GV130" s="33"/>
      <c r="GW130" s="33"/>
      <c r="GX130" s="33"/>
      <c r="GY130" s="33"/>
      <c r="GZ130" s="33"/>
      <c r="HA130" s="33"/>
      <c r="HB130" s="33"/>
      <c r="HC130" s="33"/>
      <c r="HD130" s="33"/>
      <c r="HE130" s="33"/>
      <c r="HF130" s="33"/>
      <c r="HG130" s="33"/>
      <c r="HH130" s="33"/>
      <c r="HI130" s="33"/>
      <c r="HJ130" s="33"/>
      <c r="HK130" s="33"/>
      <c r="HL130" s="33"/>
      <c r="HM130" s="33"/>
      <c r="HN130" s="33"/>
      <c r="HO130" s="33"/>
      <c r="HP130" s="33"/>
      <c r="HQ130" s="33"/>
      <c r="HR130" s="33"/>
      <c r="HS130" s="33"/>
      <c r="HT130" s="33"/>
      <c r="HU130" s="33"/>
      <c r="HV130" s="33"/>
      <c r="HW130" s="33"/>
      <c r="HX130" s="33"/>
      <c r="HY130" s="33"/>
      <c r="HZ130" s="33"/>
      <c r="IA130" s="33"/>
      <c r="IB130" s="33"/>
      <c r="IC130" s="33"/>
      <c r="ID130" s="33"/>
      <c r="IE130" s="33"/>
      <c r="IF130" s="33"/>
      <c r="IG130" s="33"/>
      <c r="IH130" s="33"/>
      <c r="II130" s="33"/>
      <c r="IJ130" s="33"/>
      <c r="IK130" s="33"/>
      <c r="IL130" s="33"/>
      <c r="IM130" s="33"/>
      <c r="IN130" s="33"/>
      <c r="IO130" s="33"/>
      <c r="IP130" s="33"/>
      <c r="IQ130" s="33"/>
      <c r="IR130" s="33"/>
      <c r="IS130" s="33"/>
      <c r="IT130" s="33"/>
      <c r="IU130" s="33"/>
      <c r="IV130" s="33"/>
      <c r="IW130" s="33"/>
      <c r="IX130" s="33"/>
      <c r="IY130" s="33"/>
      <c r="IZ130" s="33"/>
      <c r="JA130" s="33"/>
      <c r="JB130" s="33"/>
      <c r="JC130" s="33"/>
      <c r="JD130" s="33"/>
      <c r="JE130" s="33"/>
      <c r="JF130" s="33"/>
      <c r="JG130" s="33"/>
      <c r="JH130" s="33"/>
      <c r="JI130" s="33"/>
      <c r="JJ130" s="33"/>
      <c r="JK130" s="33"/>
      <c r="JL130" s="33"/>
      <c r="JM130" s="33"/>
      <c r="JN130" s="33"/>
      <c r="JO130" s="33"/>
      <c r="JP130" s="33"/>
      <c r="JQ130" s="33"/>
      <c r="JR130" s="33"/>
      <c r="JS130" s="33"/>
      <c r="JT130" s="33"/>
      <c r="JU130" s="33"/>
      <c r="JV130" s="33"/>
      <c r="JW130" s="33"/>
      <c r="JX130" s="33"/>
      <c r="JY130" s="33"/>
      <c r="JZ130" s="33"/>
      <c r="KA130" s="33"/>
      <c r="KB130" s="33"/>
      <c r="KC130" s="33"/>
      <c r="KD130" s="33"/>
      <c r="KE130" s="33"/>
      <c r="KF130" s="33"/>
      <c r="KG130" s="33"/>
      <c r="KH130" s="33"/>
      <c r="KI130" s="33"/>
      <c r="KJ130" s="33"/>
      <c r="KK130" s="33"/>
      <c r="KL130" s="33"/>
      <c r="KM130" s="33"/>
      <c r="KN130" s="33"/>
      <c r="KO130" s="33"/>
      <c r="KP130" s="33"/>
      <c r="KQ130" s="33"/>
      <c r="KR130" s="33"/>
      <c r="KS130" s="33"/>
      <c r="KT130" s="33"/>
      <c r="KU130" s="33"/>
      <c r="KV130" s="33"/>
      <c r="KW130" s="33"/>
      <c r="KX130" s="33"/>
      <c r="KY130" s="33"/>
      <c r="KZ130" s="33"/>
      <c r="LA130" s="33"/>
      <c r="LB130" s="33"/>
      <c r="LC130" s="33"/>
      <c r="LD130" s="33"/>
      <c r="LE130" s="33"/>
      <c r="LF130" s="33"/>
      <c r="LG130" s="33"/>
      <c r="LH130" s="33"/>
      <c r="LI130" s="33"/>
      <c r="LJ130" s="33"/>
      <c r="LK130" s="33"/>
      <c r="LL130" s="33"/>
      <c r="LM130" s="33"/>
      <c r="LN130" s="33"/>
      <c r="LO130" s="33"/>
      <c r="LP130" s="33"/>
      <c r="LQ130" s="33"/>
      <c r="LR130" s="33"/>
      <c r="LS130" s="33"/>
      <c r="LT130" s="33"/>
      <c r="LU130" s="33"/>
      <c r="LV130" s="33"/>
      <c r="LW130" s="33"/>
      <c r="LX130" s="33"/>
      <c r="LY130" s="33"/>
      <c r="LZ130" s="33"/>
      <c r="MA130" s="33"/>
      <c r="MB130" s="33"/>
      <c r="MC130" s="33"/>
      <c r="MD130" s="33"/>
      <c r="ME130" s="33"/>
      <c r="MF130" s="33"/>
      <c r="MG130" s="33"/>
      <c r="MH130" s="33"/>
      <c r="MI130" s="33"/>
      <c r="MJ130" s="33"/>
      <c r="MK130" s="33"/>
      <c r="ML130" s="33"/>
      <c r="MM130" s="33"/>
      <c r="MN130" s="33"/>
      <c r="MO130" s="33"/>
      <c r="MP130" s="33"/>
      <c r="MQ130" s="33"/>
      <c r="MR130" s="33"/>
      <c r="MS130" s="33"/>
      <c r="MT130" s="33"/>
      <c r="MU130" s="33"/>
      <c r="MV130" s="33"/>
    </row>
    <row r="131" spans="1:360" ht="0.75" customHeight="1" x14ac:dyDescent="0.25">
      <c r="A131" s="33"/>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33"/>
      <c r="BT131" s="33"/>
      <c r="BU131" s="33"/>
      <c r="BV131" s="33"/>
      <c r="BW131" s="33"/>
      <c r="BX131" s="33"/>
      <c r="BY131" s="33"/>
      <c r="BZ131" s="33"/>
      <c r="CA131" s="33"/>
      <c r="CB131" s="33"/>
      <c r="CC131" s="33"/>
      <c r="CD131" s="33"/>
      <c r="CE131" s="33"/>
      <c r="CF131" s="33"/>
      <c r="CG131" s="33"/>
      <c r="CH131" s="33"/>
      <c r="CI131" s="33"/>
      <c r="CJ131" s="33"/>
      <c r="CK131" s="33"/>
      <c r="CL131" s="33"/>
      <c r="CM131" s="33"/>
      <c r="CN131" s="33"/>
      <c r="CO131" s="33"/>
      <c r="CP131" s="33"/>
      <c r="CQ131" s="33"/>
      <c r="CR131" s="33"/>
      <c r="CS131" s="33"/>
      <c r="CT131" s="33"/>
      <c r="CU131" s="33"/>
      <c r="CV131" s="33"/>
      <c r="CW131" s="33"/>
      <c r="CX131" s="33"/>
      <c r="CY131" s="33"/>
      <c r="CZ131" s="33"/>
      <c r="DA131" s="33"/>
      <c r="DB131" s="33"/>
      <c r="DC131" s="33"/>
      <c r="DD131" s="33"/>
      <c r="DE131" s="33"/>
      <c r="DF131" s="33"/>
      <c r="DG131" s="33"/>
      <c r="DH131" s="33"/>
      <c r="DI131" s="33"/>
      <c r="DJ131" s="33"/>
      <c r="DK131" s="33"/>
      <c r="DL131" s="33"/>
      <c r="DM131" s="33"/>
      <c r="DN131" s="33"/>
      <c r="DO131" s="33"/>
      <c r="DP131" s="33"/>
      <c r="DQ131" s="33"/>
      <c r="DR131" s="33"/>
      <c r="DS131" s="33"/>
      <c r="DT131" s="33"/>
      <c r="DU131" s="33"/>
      <c r="DV131" s="33"/>
      <c r="DW131" s="33"/>
      <c r="DX131" s="33"/>
      <c r="DY131" s="33"/>
      <c r="DZ131" s="33"/>
      <c r="EA131" s="33"/>
      <c r="EB131" s="33"/>
      <c r="EC131" s="33"/>
      <c r="ED131" s="33"/>
      <c r="EE131" s="33"/>
      <c r="EF131" s="33"/>
      <c r="EG131" s="33"/>
      <c r="EH131" s="33"/>
      <c r="EI131" s="33"/>
      <c r="EJ131" s="33"/>
      <c r="EK131" s="33"/>
      <c r="EL131" s="33"/>
      <c r="EM131" s="33"/>
      <c r="EN131" s="33"/>
      <c r="EO131" s="33"/>
      <c r="EP131" s="33"/>
      <c r="EQ131" s="33"/>
      <c r="ER131" s="33"/>
      <c r="ES131" s="33"/>
      <c r="ET131" s="33"/>
      <c r="EU131" s="33"/>
      <c r="EV131" s="33"/>
      <c r="EW131" s="33"/>
      <c r="EX131" s="33"/>
      <c r="EY131" s="33"/>
      <c r="EZ131" s="33"/>
      <c r="FA131" s="33"/>
      <c r="FB131" s="33"/>
      <c r="FC131" s="33"/>
      <c r="FD131" s="33"/>
      <c r="FE131" s="33"/>
      <c r="FF131" s="33"/>
      <c r="FG131" s="33"/>
      <c r="FH131" s="33"/>
      <c r="FI131" s="33"/>
      <c r="FJ131" s="33"/>
      <c r="FK131" s="33"/>
      <c r="FL131" s="33"/>
      <c r="FM131" s="33"/>
      <c r="FN131" s="33"/>
      <c r="FO131" s="33"/>
      <c r="FP131" s="33"/>
      <c r="FQ131" s="33"/>
      <c r="FR131" s="33"/>
      <c r="FS131" s="33"/>
      <c r="FT131" s="33"/>
      <c r="FU131" s="33"/>
      <c r="FV131" s="33"/>
      <c r="FW131" s="33"/>
      <c r="FX131" s="33"/>
      <c r="FY131" s="33"/>
      <c r="FZ131" s="33"/>
      <c r="GA131" s="33"/>
      <c r="GB131" s="33"/>
      <c r="GC131" s="33"/>
      <c r="GD131" s="33"/>
      <c r="GE131" s="33"/>
      <c r="GF131" s="33"/>
      <c r="GG131" s="33"/>
      <c r="GH131" s="33"/>
      <c r="GI131" s="33"/>
      <c r="GJ131" s="33"/>
      <c r="GK131" s="33"/>
      <c r="GL131" s="33"/>
      <c r="GM131" s="33"/>
      <c r="GN131" s="33"/>
      <c r="GO131" s="33"/>
      <c r="GP131" s="33"/>
      <c r="GQ131" s="33"/>
      <c r="GR131" s="33"/>
      <c r="GS131" s="33"/>
      <c r="GT131" s="33"/>
      <c r="GU131" s="33"/>
      <c r="GV131" s="33"/>
      <c r="GW131" s="33"/>
      <c r="GX131" s="33"/>
      <c r="GY131" s="33"/>
      <c r="GZ131" s="33"/>
      <c r="HA131" s="33"/>
      <c r="HB131" s="33"/>
      <c r="HC131" s="33"/>
      <c r="HD131" s="33"/>
      <c r="HE131" s="33"/>
      <c r="HF131" s="33"/>
      <c r="HG131" s="33"/>
      <c r="HH131" s="33"/>
      <c r="HI131" s="33"/>
      <c r="HJ131" s="33"/>
      <c r="HK131" s="33"/>
      <c r="HL131" s="33"/>
      <c r="HM131" s="33"/>
      <c r="HN131" s="33"/>
      <c r="HO131" s="33"/>
      <c r="HP131" s="33"/>
      <c r="HQ131" s="33"/>
      <c r="HR131" s="33"/>
      <c r="HS131" s="33"/>
      <c r="HT131" s="33"/>
      <c r="HU131" s="33"/>
      <c r="HV131" s="33"/>
      <c r="HW131" s="33"/>
      <c r="HX131" s="33"/>
      <c r="HY131" s="33"/>
      <c r="HZ131" s="33"/>
      <c r="IA131" s="33"/>
      <c r="IB131" s="33"/>
      <c r="IC131" s="33"/>
      <c r="ID131" s="33"/>
      <c r="IE131" s="33"/>
      <c r="IF131" s="33"/>
      <c r="IG131" s="33"/>
      <c r="IH131" s="33"/>
      <c r="II131" s="33"/>
      <c r="IJ131" s="33"/>
      <c r="IK131" s="33"/>
      <c r="IL131" s="33"/>
      <c r="IM131" s="33"/>
      <c r="IN131" s="33"/>
      <c r="IO131" s="33"/>
      <c r="IP131" s="33"/>
      <c r="IQ131" s="33"/>
      <c r="IR131" s="33"/>
      <c r="IS131" s="33"/>
      <c r="IT131" s="33"/>
      <c r="IU131" s="33"/>
      <c r="IV131" s="33"/>
      <c r="IW131" s="33"/>
      <c r="IX131" s="33"/>
      <c r="IY131" s="33"/>
      <c r="IZ131" s="33"/>
      <c r="JA131" s="33"/>
      <c r="JB131" s="33"/>
      <c r="JC131" s="33"/>
      <c r="JD131" s="33"/>
      <c r="JE131" s="33"/>
      <c r="JF131" s="33"/>
      <c r="JG131" s="33"/>
      <c r="JH131" s="33"/>
      <c r="JI131" s="33"/>
      <c r="JJ131" s="33"/>
      <c r="JK131" s="33"/>
      <c r="JL131" s="33"/>
      <c r="JM131" s="33"/>
      <c r="JN131" s="33"/>
      <c r="JO131" s="33"/>
      <c r="JP131" s="33"/>
      <c r="JQ131" s="33"/>
      <c r="JR131" s="33"/>
      <c r="JS131" s="33"/>
      <c r="JT131" s="33"/>
      <c r="JU131" s="33"/>
      <c r="JV131" s="33"/>
      <c r="JW131" s="33"/>
      <c r="JX131" s="33"/>
      <c r="JY131" s="33"/>
      <c r="JZ131" s="33"/>
      <c r="KA131" s="33"/>
      <c r="KB131" s="33"/>
      <c r="KC131" s="33"/>
      <c r="KD131" s="33"/>
      <c r="KE131" s="33"/>
      <c r="KF131" s="33"/>
      <c r="KG131" s="33"/>
      <c r="KH131" s="33"/>
      <c r="KI131" s="33"/>
      <c r="KJ131" s="33"/>
      <c r="KK131" s="33"/>
      <c r="KL131" s="33"/>
      <c r="KM131" s="33"/>
      <c r="KN131" s="33"/>
      <c r="KO131" s="33"/>
      <c r="KP131" s="33"/>
      <c r="KQ131" s="33"/>
      <c r="KR131" s="33"/>
      <c r="KS131" s="33"/>
      <c r="KT131" s="33"/>
      <c r="KU131" s="33"/>
      <c r="KV131" s="33"/>
      <c r="KW131" s="33"/>
      <c r="KX131" s="33"/>
      <c r="KY131" s="33"/>
      <c r="KZ131" s="33"/>
      <c r="LA131" s="33"/>
      <c r="LB131" s="33"/>
      <c r="LC131" s="33"/>
      <c r="LD131" s="33"/>
      <c r="LE131" s="33"/>
      <c r="LF131" s="33"/>
      <c r="LG131" s="33"/>
      <c r="LH131" s="33"/>
      <c r="LI131" s="33"/>
      <c r="LJ131" s="33"/>
      <c r="LK131" s="33"/>
      <c r="LL131" s="33"/>
      <c r="LM131" s="33"/>
      <c r="LN131" s="33"/>
      <c r="LO131" s="33"/>
      <c r="LP131" s="33"/>
      <c r="LQ131" s="33"/>
      <c r="LR131" s="33"/>
      <c r="LS131" s="33"/>
      <c r="LT131" s="33"/>
      <c r="LU131" s="33"/>
      <c r="LV131" s="33"/>
      <c r="LW131" s="33"/>
      <c r="LX131" s="33"/>
      <c r="LY131" s="33"/>
      <c r="LZ131" s="33"/>
      <c r="MA131" s="33"/>
      <c r="MB131" s="33"/>
      <c r="MC131" s="33"/>
      <c r="MD131" s="33"/>
      <c r="ME131" s="33"/>
      <c r="MF131" s="33"/>
      <c r="MG131" s="33"/>
      <c r="MH131" s="33"/>
      <c r="MI131" s="33"/>
      <c r="MJ131" s="33"/>
      <c r="MK131" s="33"/>
      <c r="ML131" s="33"/>
      <c r="MM131" s="33"/>
      <c r="MN131" s="33"/>
      <c r="MO131" s="33"/>
      <c r="MP131" s="33"/>
      <c r="MQ131" s="33"/>
      <c r="MR131" s="33"/>
      <c r="MS131" s="33"/>
      <c r="MT131" s="33"/>
      <c r="MU131" s="33"/>
      <c r="MV131" s="33"/>
    </row>
    <row r="132" spans="1:360" ht="0.75" customHeight="1" x14ac:dyDescent="0.25">
      <c r="A132" s="33"/>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33"/>
      <c r="BT132" s="33"/>
      <c r="BU132" s="33"/>
      <c r="BV132" s="33"/>
      <c r="BW132" s="33"/>
      <c r="BX132" s="33"/>
      <c r="BY132" s="33"/>
      <c r="BZ132" s="33"/>
      <c r="CA132" s="33"/>
      <c r="CB132" s="33"/>
      <c r="CC132" s="33"/>
      <c r="CD132" s="33"/>
      <c r="CE132" s="33"/>
      <c r="CF132" s="33"/>
      <c r="CG132" s="33"/>
      <c r="CH132" s="33"/>
      <c r="CI132" s="33"/>
      <c r="CJ132" s="33"/>
      <c r="CK132" s="33"/>
      <c r="CL132" s="33"/>
      <c r="CM132" s="33"/>
      <c r="CN132" s="33"/>
      <c r="CO132" s="33"/>
      <c r="CP132" s="33"/>
      <c r="CQ132" s="33"/>
      <c r="CR132" s="33"/>
      <c r="CS132" s="33"/>
      <c r="CT132" s="33"/>
      <c r="CU132" s="33"/>
      <c r="CV132" s="33"/>
      <c r="CW132" s="33"/>
      <c r="CX132" s="33"/>
      <c r="CY132" s="33"/>
      <c r="CZ132" s="33"/>
      <c r="DA132" s="33"/>
      <c r="DB132" s="33"/>
      <c r="DC132" s="33"/>
      <c r="DD132" s="33"/>
      <c r="DE132" s="33"/>
      <c r="DF132" s="33"/>
      <c r="DG132" s="33"/>
      <c r="DH132" s="33"/>
      <c r="DI132" s="33"/>
      <c r="DJ132" s="33"/>
      <c r="DK132" s="33"/>
      <c r="DL132" s="33"/>
      <c r="DM132" s="33"/>
      <c r="DN132" s="33"/>
      <c r="DO132" s="33"/>
      <c r="DP132" s="33"/>
      <c r="DQ132" s="33"/>
      <c r="DR132" s="33"/>
      <c r="DS132" s="33"/>
      <c r="DT132" s="33"/>
      <c r="DU132" s="33"/>
      <c r="DV132" s="33"/>
      <c r="DW132" s="33"/>
      <c r="DX132" s="33"/>
      <c r="DY132" s="33"/>
      <c r="DZ132" s="33"/>
      <c r="EA132" s="33"/>
      <c r="EB132" s="33"/>
      <c r="EC132" s="33"/>
      <c r="ED132" s="33"/>
      <c r="EE132" s="33"/>
      <c r="EF132" s="33"/>
      <c r="EG132" s="33"/>
      <c r="EH132" s="33"/>
      <c r="EI132" s="33"/>
      <c r="EJ132" s="33"/>
      <c r="EK132" s="33"/>
      <c r="EL132" s="33"/>
      <c r="EM132" s="33"/>
      <c r="EN132" s="33"/>
      <c r="EO132" s="33"/>
      <c r="EP132" s="33"/>
      <c r="EQ132" s="33"/>
      <c r="ER132" s="33"/>
      <c r="ES132" s="33"/>
      <c r="ET132" s="33"/>
      <c r="EU132" s="33"/>
      <c r="EV132" s="33"/>
      <c r="EW132" s="33"/>
      <c r="EX132" s="33"/>
      <c r="EY132" s="33"/>
      <c r="EZ132" s="33"/>
      <c r="FA132" s="33"/>
      <c r="FB132" s="33"/>
      <c r="FC132" s="33"/>
      <c r="FD132" s="33"/>
      <c r="FE132" s="33"/>
      <c r="FF132" s="33"/>
      <c r="FG132" s="33"/>
      <c r="FH132" s="33"/>
      <c r="FI132" s="33"/>
      <c r="FJ132" s="33"/>
      <c r="FK132" s="33"/>
      <c r="FL132" s="33"/>
      <c r="FM132" s="33"/>
      <c r="FN132" s="33"/>
      <c r="FO132" s="33"/>
      <c r="FP132" s="33"/>
      <c r="FQ132" s="33"/>
      <c r="FR132" s="33"/>
      <c r="FS132" s="33"/>
      <c r="FT132" s="33"/>
      <c r="FU132" s="33"/>
      <c r="FV132" s="33"/>
      <c r="FW132" s="33"/>
      <c r="FX132" s="33"/>
      <c r="FY132" s="33"/>
      <c r="FZ132" s="33"/>
      <c r="GA132" s="33"/>
      <c r="GB132" s="33"/>
      <c r="GC132" s="33"/>
      <c r="GD132" s="33"/>
      <c r="GE132" s="33"/>
      <c r="GF132" s="33"/>
      <c r="GG132" s="33"/>
      <c r="GH132" s="33"/>
      <c r="GI132" s="33"/>
      <c r="GJ132" s="33"/>
      <c r="GK132" s="33"/>
      <c r="GL132" s="33"/>
      <c r="GM132" s="33"/>
      <c r="GN132" s="33"/>
      <c r="GO132" s="33"/>
      <c r="GP132" s="33"/>
      <c r="GQ132" s="33"/>
      <c r="GR132" s="33"/>
      <c r="GS132" s="33"/>
      <c r="GT132" s="33"/>
      <c r="GU132" s="33"/>
      <c r="GV132" s="33"/>
      <c r="GW132" s="33"/>
      <c r="GX132" s="33"/>
      <c r="GY132" s="33"/>
      <c r="GZ132" s="33"/>
      <c r="HA132" s="33"/>
      <c r="HB132" s="33"/>
      <c r="HC132" s="33"/>
      <c r="HD132" s="33"/>
      <c r="HE132" s="33"/>
      <c r="HF132" s="33"/>
      <c r="HG132" s="33"/>
      <c r="HH132" s="33"/>
      <c r="HI132" s="33"/>
      <c r="HJ132" s="33"/>
      <c r="HK132" s="33"/>
      <c r="HL132" s="33"/>
      <c r="HM132" s="33"/>
      <c r="HN132" s="33"/>
      <c r="HO132" s="33"/>
      <c r="HP132" s="33"/>
      <c r="HQ132" s="33"/>
      <c r="HR132" s="33"/>
      <c r="HS132" s="33"/>
      <c r="HT132" s="33"/>
      <c r="HU132" s="33"/>
      <c r="HV132" s="33"/>
      <c r="HW132" s="33"/>
      <c r="HX132" s="33"/>
      <c r="HY132" s="33"/>
      <c r="HZ132" s="33"/>
      <c r="IA132" s="33"/>
      <c r="IB132" s="33"/>
      <c r="IC132" s="33"/>
      <c r="ID132" s="33"/>
      <c r="IE132" s="33"/>
      <c r="IF132" s="33"/>
      <c r="IG132" s="33"/>
      <c r="IH132" s="33"/>
      <c r="II132" s="33"/>
      <c r="IJ132" s="33"/>
      <c r="IK132" s="33"/>
      <c r="IL132" s="33"/>
      <c r="IM132" s="33"/>
      <c r="IN132" s="33"/>
      <c r="IO132" s="33"/>
      <c r="IP132" s="33"/>
      <c r="IQ132" s="33"/>
      <c r="IR132" s="33"/>
      <c r="IS132" s="33"/>
      <c r="IT132" s="33"/>
      <c r="IU132" s="33"/>
      <c r="IV132" s="33"/>
      <c r="IW132" s="33"/>
      <c r="IX132" s="33"/>
      <c r="IY132" s="33"/>
      <c r="IZ132" s="33"/>
      <c r="JA132" s="33"/>
      <c r="JB132" s="33"/>
      <c r="JC132" s="33"/>
      <c r="JD132" s="33"/>
      <c r="JE132" s="33"/>
      <c r="JF132" s="33"/>
      <c r="JG132" s="33"/>
      <c r="JH132" s="33"/>
      <c r="JI132" s="33"/>
      <c r="JJ132" s="33"/>
      <c r="JK132" s="33"/>
      <c r="JL132" s="33"/>
      <c r="JM132" s="33"/>
      <c r="JN132" s="33"/>
      <c r="JO132" s="33"/>
      <c r="JP132" s="33"/>
      <c r="JQ132" s="33"/>
      <c r="JR132" s="33"/>
      <c r="JS132" s="33"/>
      <c r="JT132" s="33"/>
      <c r="JU132" s="33"/>
      <c r="JV132" s="33"/>
      <c r="JW132" s="33"/>
      <c r="JX132" s="33"/>
      <c r="JY132" s="33"/>
      <c r="JZ132" s="33"/>
      <c r="KA132" s="33"/>
      <c r="KB132" s="33"/>
      <c r="KC132" s="33"/>
      <c r="KD132" s="33"/>
      <c r="KE132" s="33"/>
      <c r="KF132" s="33"/>
      <c r="KG132" s="33"/>
      <c r="KH132" s="33"/>
      <c r="KI132" s="33"/>
      <c r="KJ132" s="33"/>
      <c r="KK132" s="33"/>
      <c r="KL132" s="33"/>
      <c r="KM132" s="33"/>
      <c r="KN132" s="33"/>
      <c r="KO132" s="33"/>
      <c r="KP132" s="33"/>
      <c r="KQ132" s="33"/>
      <c r="KR132" s="33"/>
      <c r="KS132" s="33"/>
      <c r="KT132" s="33"/>
      <c r="KU132" s="33"/>
      <c r="KV132" s="33"/>
      <c r="KW132" s="33"/>
      <c r="KX132" s="33"/>
      <c r="KY132" s="33"/>
      <c r="KZ132" s="33"/>
      <c r="LA132" s="33"/>
      <c r="LB132" s="33"/>
      <c r="LC132" s="33"/>
      <c r="LD132" s="33"/>
      <c r="LE132" s="33"/>
      <c r="LF132" s="33"/>
      <c r="LG132" s="33"/>
      <c r="LH132" s="33"/>
      <c r="LI132" s="33"/>
      <c r="LJ132" s="33"/>
      <c r="LK132" s="33"/>
      <c r="LL132" s="33"/>
      <c r="LM132" s="33"/>
      <c r="LN132" s="33"/>
      <c r="LO132" s="33"/>
      <c r="LP132" s="33"/>
      <c r="LQ132" s="33"/>
      <c r="LR132" s="33"/>
      <c r="LS132" s="33"/>
      <c r="LT132" s="33"/>
      <c r="LU132" s="33"/>
      <c r="LV132" s="33"/>
      <c r="LW132" s="33"/>
      <c r="LX132" s="33"/>
      <c r="LY132" s="33"/>
      <c r="LZ132" s="33"/>
      <c r="MA132" s="33"/>
      <c r="MB132" s="33"/>
      <c r="MC132" s="33"/>
      <c r="MD132" s="33"/>
      <c r="ME132" s="33"/>
      <c r="MF132" s="33"/>
      <c r="MG132" s="33"/>
      <c r="MH132" s="33"/>
      <c r="MI132" s="33"/>
      <c r="MJ132" s="33"/>
      <c r="MK132" s="33"/>
      <c r="ML132" s="33"/>
      <c r="MM132" s="33"/>
      <c r="MN132" s="33"/>
      <c r="MO132" s="33"/>
      <c r="MP132" s="33"/>
      <c r="MQ132" s="33"/>
      <c r="MR132" s="33"/>
      <c r="MS132" s="33"/>
      <c r="MT132" s="33"/>
      <c r="MU132" s="33"/>
      <c r="MV132" s="33"/>
    </row>
    <row r="133" spans="1:360" ht="0.75" customHeight="1" x14ac:dyDescent="0.25">
      <c r="A133" s="33"/>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33"/>
      <c r="BT133" s="33"/>
      <c r="BU133" s="33"/>
      <c r="BV133" s="33"/>
      <c r="BW133" s="33"/>
      <c r="BX133" s="33"/>
      <c r="BY133" s="33"/>
      <c r="BZ133" s="33"/>
      <c r="CA133" s="33"/>
      <c r="CB133" s="33"/>
      <c r="CC133" s="33"/>
      <c r="CD133" s="33"/>
      <c r="CE133" s="33"/>
      <c r="CF133" s="33"/>
      <c r="CG133" s="33"/>
      <c r="CH133" s="33"/>
      <c r="CI133" s="33"/>
      <c r="CJ133" s="33"/>
      <c r="CK133" s="33"/>
      <c r="CL133" s="33"/>
      <c r="CM133" s="33"/>
      <c r="CN133" s="33"/>
      <c r="CO133" s="33"/>
      <c r="CP133" s="33"/>
      <c r="CQ133" s="33"/>
      <c r="CR133" s="33"/>
      <c r="CS133" s="33"/>
      <c r="CT133" s="33"/>
      <c r="CU133" s="33"/>
      <c r="CV133" s="33"/>
      <c r="CW133" s="33"/>
      <c r="CX133" s="33"/>
      <c r="CY133" s="33"/>
      <c r="CZ133" s="33"/>
      <c r="DA133" s="33"/>
      <c r="DB133" s="33"/>
      <c r="DC133" s="33"/>
      <c r="DD133" s="33"/>
      <c r="DE133" s="33"/>
      <c r="DF133" s="33"/>
      <c r="DG133" s="33"/>
      <c r="DH133" s="33"/>
      <c r="DI133" s="33"/>
      <c r="DJ133" s="33"/>
      <c r="DK133" s="33"/>
      <c r="DL133" s="33"/>
      <c r="DM133" s="33"/>
      <c r="DN133" s="33"/>
      <c r="DO133" s="33"/>
      <c r="DP133" s="33"/>
      <c r="DQ133" s="33"/>
      <c r="DR133" s="33"/>
      <c r="DS133" s="33"/>
      <c r="DT133" s="33"/>
      <c r="DU133" s="33"/>
      <c r="DV133" s="33"/>
      <c r="DW133" s="33"/>
      <c r="DX133" s="33"/>
      <c r="DY133" s="33"/>
      <c r="DZ133" s="33"/>
      <c r="EA133" s="33"/>
      <c r="EB133" s="33"/>
      <c r="EC133" s="33"/>
      <c r="ED133" s="33"/>
      <c r="EE133" s="33"/>
      <c r="EF133" s="33"/>
      <c r="EG133" s="33"/>
      <c r="EH133" s="33"/>
      <c r="EI133" s="33"/>
      <c r="EJ133" s="33"/>
      <c r="EK133" s="33"/>
      <c r="EL133" s="33"/>
      <c r="EM133" s="33"/>
      <c r="EN133" s="33"/>
      <c r="EO133" s="33"/>
      <c r="EP133" s="33"/>
      <c r="EQ133" s="33"/>
      <c r="ER133" s="33"/>
      <c r="ES133" s="33"/>
      <c r="ET133" s="33"/>
      <c r="EU133" s="33"/>
      <c r="EV133" s="33"/>
      <c r="EW133" s="33"/>
      <c r="EX133" s="33"/>
      <c r="EY133" s="33"/>
      <c r="EZ133" s="33"/>
      <c r="FA133" s="33"/>
      <c r="FB133" s="33"/>
      <c r="FC133" s="33"/>
      <c r="FD133" s="33"/>
      <c r="FE133" s="33"/>
      <c r="FF133" s="33"/>
      <c r="FG133" s="33"/>
      <c r="FH133" s="33"/>
      <c r="FI133" s="33"/>
      <c r="FJ133" s="33"/>
      <c r="FK133" s="33"/>
      <c r="FL133" s="33"/>
      <c r="FM133" s="33"/>
      <c r="FN133" s="33"/>
      <c r="FO133" s="33"/>
      <c r="FP133" s="33"/>
      <c r="FQ133" s="33"/>
      <c r="FR133" s="33"/>
      <c r="FS133" s="33"/>
      <c r="FT133" s="33"/>
      <c r="FU133" s="33"/>
      <c r="FV133" s="33"/>
      <c r="FW133" s="33"/>
      <c r="FX133" s="33"/>
      <c r="FY133" s="33"/>
      <c r="FZ133" s="33"/>
      <c r="GA133" s="33"/>
      <c r="GB133" s="33"/>
      <c r="GC133" s="33"/>
      <c r="GD133" s="33"/>
      <c r="GE133" s="33"/>
      <c r="GF133" s="33"/>
      <c r="GG133" s="33"/>
      <c r="GH133" s="33"/>
      <c r="GI133" s="33"/>
      <c r="GJ133" s="33"/>
      <c r="GK133" s="33"/>
      <c r="GL133" s="33"/>
      <c r="GM133" s="33"/>
      <c r="GN133" s="33"/>
      <c r="GO133" s="33"/>
      <c r="GP133" s="33"/>
      <c r="GQ133" s="33"/>
      <c r="GR133" s="33"/>
      <c r="GS133" s="33"/>
      <c r="GT133" s="33"/>
      <c r="GU133" s="33"/>
      <c r="GV133" s="33"/>
      <c r="GW133" s="33"/>
      <c r="GX133" s="33"/>
      <c r="GY133" s="33"/>
      <c r="GZ133" s="33"/>
      <c r="HA133" s="33"/>
      <c r="HB133" s="33"/>
      <c r="HC133" s="33"/>
      <c r="HD133" s="33"/>
      <c r="HE133" s="33"/>
      <c r="HF133" s="33"/>
      <c r="HG133" s="33"/>
      <c r="HH133" s="33"/>
      <c r="HI133" s="33"/>
      <c r="HJ133" s="33"/>
      <c r="HK133" s="33"/>
      <c r="HL133" s="33"/>
      <c r="HM133" s="33"/>
      <c r="HN133" s="33"/>
      <c r="HO133" s="33"/>
      <c r="HP133" s="33"/>
      <c r="HQ133" s="33"/>
      <c r="HR133" s="33"/>
      <c r="HS133" s="33"/>
      <c r="HT133" s="33"/>
      <c r="HU133" s="33"/>
      <c r="HV133" s="33"/>
      <c r="HW133" s="33"/>
      <c r="HX133" s="33"/>
      <c r="HY133" s="33"/>
      <c r="HZ133" s="33"/>
      <c r="IA133" s="33"/>
      <c r="IB133" s="33"/>
      <c r="IC133" s="33"/>
      <c r="ID133" s="33"/>
      <c r="IE133" s="33"/>
      <c r="IF133" s="33"/>
      <c r="IG133" s="33"/>
      <c r="IH133" s="33"/>
      <c r="II133" s="33"/>
      <c r="IJ133" s="33"/>
      <c r="IK133" s="33"/>
      <c r="IL133" s="33"/>
      <c r="IM133" s="33"/>
      <c r="IN133" s="33"/>
      <c r="IO133" s="33"/>
      <c r="IP133" s="33"/>
      <c r="IQ133" s="33"/>
      <c r="IR133" s="33"/>
      <c r="IS133" s="33"/>
      <c r="IT133" s="33"/>
      <c r="IU133" s="33"/>
      <c r="IV133" s="33"/>
      <c r="IW133" s="33"/>
      <c r="IX133" s="33"/>
      <c r="IY133" s="33"/>
      <c r="IZ133" s="33"/>
      <c r="JA133" s="33"/>
      <c r="JB133" s="33"/>
      <c r="JC133" s="33"/>
      <c r="JD133" s="33"/>
      <c r="JE133" s="33"/>
      <c r="JF133" s="33"/>
      <c r="JG133" s="33"/>
      <c r="JH133" s="33"/>
      <c r="JI133" s="33"/>
      <c r="JJ133" s="33"/>
      <c r="JK133" s="33"/>
      <c r="JL133" s="33"/>
      <c r="JM133" s="33"/>
      <c r="JN133" s="33"/>
      <c r="JO133" s="33"/>
      <c r="JP133" s="33"/>
      <c r="JQ133" s="33"/>
      <c r="JR133" s="33"/>
      <c r="JS133" s="33"/>
      <c r="JT133" s="33"/>
      <c r="JU133" s="33"/>
      <c r="JV133" s="33"/>
      <c r="JW133" s="33"/>
      <c r="JX133" s="33"/>
      <c r="JY133" s="33"/>
      <c r="JZ133" s="33"/>
      <c r="KA133" s="33"/>
      <c r="KB133" s="33"/>
      <c r="KC133" s="33"/>
      <c r="KD133" s="33"/>
      <c r="KE133" s="33"/>
      <c r="KF133" s="33"/>
      <c r="KG133" s="33"/>
      <c r="KH133" s="33"/>
      <c r="KI133" s="33"/>
      <c r="KJ133" s="33"/>
      <c r="KK133" s="33"/>
      <c r="KL133" s="33"/>
      <c r="KM133" s="33"/>
      <c r="KN133" s="33"/>
      <c r="KO133" s="33"/>
      <c r="KP133" s="33"/>
      <c r="KQ133" s="33"/>
      <c r="KR133" s="33"/>
      <c r="KS133" s="33"/>
      <c r="KT133" s="33"/>
      <c r="KU133" s="33"/>
      <c r="KV133" s="33"/>
      <c r="KW133" s="33"/>
      <c r="KX133" s="33"/>
      <c r="KY133" s="33"/>
      <c r="KZ133" s="33"/>
      <c r="LA133" s="33"/>
      <c r="LB133" s="33"/>
      <c r="LC133" s="33"/>
      <c r="LD133" s="33"/>
      <c r="LE133" s="33"/>
      <c r="LF133" s="33"/>
      <c r="LG133" s="33"/>
      <c r="LH133" s="33"/>
      <c r="LI133" s="33"/>
      <c r="LJ133" s="33"/>
      <c r="LK133" s="33"/>
      <c r="LL133" s="33"/>
      <c r="LM133" s="33"/>
      <c r="LN133" s="33"/>
      <c r="LO133" s="33"/>
      <c r="LP133" s="33"/>
      <c r="LQ133" s="33"/>
      <c r="LR133" s="33"/>
      <c r="LS133" s="33"/>
      <c r="LT133" s="33"/>
      <c r="LU133" s="33"/>
      <c r="LV133" s="33"/>
      <c r="LW133" s="33"/>
      <c r="LX133" s="33"/>
      <c r="LY133" s="33"/>
      <c r="LZ133" s="33"/>
      <c r="MA133" s="33"/>
      <c r="MB133" s="33"/>
      <c r="MC133" s="33"/>
      <c r="MD133" s="33"/>
      <c r="ME133" s="33"/>
      <c r="MF133" s="33"/>
      <c r="MG133" s="33"/>
      <c r="MH133" s="33"/>
      <c r="MI133" s="33"/>
      <c r="MJ133" s="33"/>
      <c r="MK133" s="33"/>
      <c r="ML133" s="33"/>
      <c r="MM133" s="33"/>
      <c r="MN133" s="33"/>
      <c r="MO133" s="33"/>
      <c r="MP133" s="33"/>
      <c r="MQ133" s="33"/>
      <c r="MR133" s="33"/>
      <c r="MS133" s="33"/>
      <c r="MT133" s="33"/>
      <c r="MU133" s="33"/>
      <c r="MV133" s="33"/>
    </row>
    <row r="134" spans="1:360" ht="0.75" customHeight="1" x14ac:dyDescent="0.25">
      <c r="A134" s="33"/>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c r="BS134" s="33"/>
      <c r="BT134" s="33"/>
      <c r="BU134" s="33"/>
      <c r="BV134" s="33"/>
      <c r="BW134" s="33"/>
      <c r="BX134" s="33"/>
      <c r="BY134" s="33"/>
      <c r="BZ134" s="33"/>
      <c r="CA134" s="33"/>
      <c r="CB134" s="33"/>
      <c r="CC134" s="33"/>
      <c r="CD134" s="33"/>
      <c r="CE134" s="33"/>
      <c r="CF134" s="33"/>
      <c r="CG134" s="33"/>
      <c r="CH134" s="33"/>
      <c r="CI134" s="33"/>
      <c r="CJ134" s="33"/>
      <c r="CK134" s="33"/>
      <c r="CL134" s="33"/>
      <c r="CM134" s="33"/>
      <c r="CN134" s="33"/>
      <c r="CO134" s="33"/>
      <c r="CP134" s="33"/>
      <c r="CQ134" s="33"/>
      <c r="CR134" s="33"/>
      <c r="CS134" s="33"/>
      <c r="CT134" s="33"/>
      <c r="CU134" s="33"/>
      <c r="CV134" s="33"/>
      <c r="CW134" s="33"/>
      <c r="CX134" s="33"/>
      <c r="CY134" s="33"/>
      <c r="CZ134" s="33"/>
      <c r="DA134" s="33"/>
      <c r="DB134" s="33"/>
      <c r="DC134" s="33"/>
      <c r="DD134" s="33"/>
      <c r="DE134" s="33"/>
      <c r="DF134" s="33"/>
      <c r="DG134" s="33"/>
      <c r="DH134" s="33"/>
      <c r="DI134" s="33"/>
      <c r="DJ134" s="33"/>
      <c r="DK134" s="33"/>
      <c r="DL134" s="33"/>
      <c r="DM134" s="33"/>
      <c r="DN134" s="33"/>
      <c r="DO134" s="33"/>
      <c r="DP134" s="33"/>
      <c r="DQ134" s="33"/>
      <c r="DR134" s="33"/>
      <c r="DS134" s="33"/>
      <c r="DT134" s="33"/>
      <c r="DU134" s="33"/>
      <c r="DV134" s="33"/>
      <c r="DW134" s="33"/>
      <c r="DX134" s="33"/>
      <c r="DY134" s="33"/>
      <c r="DZ134" s="33"/>
      <c r="EA134" s="33"/>
      <c r="EB134" s="33"/>
      <c r="EC134" s="33"/>
      <c r="ED134" s="33"/>
      <c r="EE134" s="33"/>
      <c r="EF134" s="33"/>
      <c r="EG134" s="33"/>
      <c r="EH134" s="33"/>
      <c r="EI134" s="33"/>
      <c r="EJ134" s="33"/>
      <c r="EK134" s="33"/>
      <c r="EL134" s="33"/>
      <c r="EM134" s="33"/>
      <c r="EN134" s="33"/>
      <c r="EO134" s="33"/>
      <c r="EP134" s="33"/>
      <c r="EQ134" s="33"/>
      <c r="ER134" s="33"/>
      <c r="ES134" s="33"/>
      <c r="ET134" s="33"/>
      <c r="EU134" s="33"/>
      <c r="EV134" s="33"/>
      <c r="EW134" s="33"/>
      <c r="EX134" s="33"/>
      <c r="EY134" s="33"/>
      <c r="EZ134" s="33"/>
      <c r="FA134" s="33"/>
      <c r="FB134" s="33"/>
      <c r="FC134" s="33"/>
      <c r="FD134" s="33"/>
      <c r="FE134" s="33"/>
      <c r="FF134" s="33"/>
      <c r="FG134" s="33"/>
      <c r="FH134" s="33"/>
      <c r="FI134" s="33"/>
      <c r="FJ134" s="33"/>
      <c r="FK134" s="33"/>
      <c r="FL134" s="33"/>
      <c r="FM134" s="33"/>
      <c r="FN134" s="33"/>
      <c r="FO134" s="33"/>
      <c r="FP134" s="33"/>
      <c r="FQ134" s="33"/>
      <c r="FR134" s="33"/>
      <c r="FS134" s="33"/>
      <c r="FT134" s="33"/>
      <c r="FU134" s="33"/>
      <c r="FV134" s="33"/>
      <c r="FW134" s="33"/>
      <c r="FX134" s="33"/>
      <c r="FY134" s="33"/>
      <c r="FZ134" s="33"/>
      <c r="GA134" s="33"/>
      <c r="GB134" s="33"/>
      <c r="GC134" s="33"/>
      <c r="GD134" s="33"/>
      <c r="GE134" s="33"/>
      <c r="GF134" s="33"/>
      <c r="GG134" s="33"/>
      <c r="GH134" s="33"/>
      <c r="GI134" s="33"/>
      <c r="GJ134" s="33"/>
      <c r="GK134" s="33"/>
      <c r="GL134" s="33"/>
      <c r="GM134" s="33"/>
      <c r="GN134" s="33"/>
      <c r="GO134" s="33"/>
      <c r="GP134" s="33"/>
      <c r="GQ134" s="33"/>
      <c r="GR134" s="33"/>
      <c r="GS134" s="33"/>
      <c r="GT134" s="33"/>
      <c r="GU134" s="33"/>
      <c r="GV134" s="33"/>
      <c r="GW134" s="33"/>
      <c r="GX134" s="33"/>
      <c r="GY134" s="33"/>
      <c r="GZ134" s="33"/>
      <c r="HA134" s="33"/>
      <c r="HB134" s="33"/>
      <c r="HC134" s="33"/>
      <c r="HD134" s="33"/>
      <c r="HE134" s="33"/>
      <c r="HF134" s="33"/>
      <c r="HG134" s="33"/>
      <c r="HH134" s="33"/>
      <c r="HI134" s="33"/>
      <c r="HJ134" s="33"/>
      <c r="HK134" s="33"/>
      <c r="HL134" s="33"/>
      <c r="HM134" s="33"/>
      <c r="HN134" s="33"/>
      <c r="HO134" s="33"/>
      <c r="HP134" s="33"/>
      <c r="HQ134" s="33"/>
      <c r="HR134" s="33"/>
      <c r="HS134" s="33"/>
      <c r="HT134" s="33"/>
      <c r="HU134" s="33"/>
      <c r="HV134" s="33"/>
      <c r="HW134" s="33"/>
      <c r="HX134" s="33"/>
      <c r="HY134" s="33"/>
      <c r="HZ134" s="33"/>
      <c r="IA134" s="33"/>
      <c r="IB134" s="33"/>
      <c r="IC134" s="33"/>
      <c r="ID134" s="33"/>
      <c r="IE134" s="33"/>
      <c r="IF134" s="33"/>
      <c r="IG134" s="33"/>
      <c r="IH134" s="33"/>
      <c r="II134" s="33"/>
      <c r="IJ134" s="33"/>
      <c r="IK134" s="33"/>
      <c r="IL134" s="33"/>
      <c r="IM134" s="33"/>
      <c r="IN134" s="33"/>
      <c r="IO134" s="33"/>
      <c r="IP134" s="33"/>
      <c r="IQ134" s="33"/>
      <c r="IR134" s="33"/>
      <c r="IS134" s="33"/>
      <c r="IT134" s="33"/>
      <c r="IU134" s="33"/>
      <c r="IV134" s="33"/>
      <c r="IW134" s="33"/>
      <c r="IX134" s="33"/>
      <c r="IY134" s="33"/>
      <c r="IZ134" s="33"/>
      <c r="JA134" s="33"/>
      <c r="JB134" s="33"/>
      <c r="JC134" s="33"/>
      <c r="JD134" s="33"/>
      <c r="JE134" s="33"/>
      <c r="JF134" s="33"/>
      <c r="JG134" s="33"/>
      <c r="JH134" s="33"/>
      <c r="JI134" s="33"/>
      <c r="JJ134" s="33"/>
      <c r="JK134" s="33"/>
      <c r="JL134" s="33"/>
      <c r="JM134" s="33"/>
      <c r="JN134" s="33"/>
      <c r="JO134" s="33"/>
      <c r="JP134" s="33"/>
      <c r="JQ134" s="33"/>
      <c r="JR134" s="33"/>
      <c r="JS134" s="33"/>
      <c r="JT134" s="33"/>
      <c r="JU134" s="33"/>
      <c r="JV134" s="33"/>
      <c r="JW134" s="33"/>
      <c r="JX134" s="33"/>
      <c r="JY134" s="33"/>
      <c r="JZ134" s="33"/>
      <c r="KA134" s="33"/>
      <c r="KB134" s="33"/>
      <c r="KC134" s="33"/>
      <c r="KD134" s="33"/>
      <c r="KE134" s="33"/>
      <c r="KF134" s="33"/>
      <c r="KG134" s="33"/>
      <c r="KH134" s="33"/>
      <c r="KI134" s="33"/>
      <c r="KJ134" s="33"/>
      <c r="KK134" s="33"/>
      <c r="KL134" s="33"/>
      <c r="KM134" s="33"/>
      <c r="KN134" s="33"/>
      <c r="KO134" s="33"/>
      <c r="KP134" s="33"/>
      <c r="KQ134" s="33"/>
      <c r="KR134" s="33"/>
      <c r="KS134" s="33"/>
      <c r="KT134" s="33"/>
      <c r="KU134" s="33"/>
      <c r="KV134" s="33"/>
      <c r="KW134" s="33"/>
      <c r="KX134" s="33"/>
      <c r="KY134" s="33"/>
      <c r="KZ134" s="33"/>
      <c r="LA134" s="33"/>
      <c r="LB134" s="33"/>
      <c r="LC134" s="33"/>
      <c r="LD134" s="33"/>
      <c r="LE134" s="33"/>
      <c r="LF134" s="33"/>
      <c r="LG134" s="33"/>
      <c r="LH134" s="33"/>
      <c r="LI134" s="33"/>
      <c r="LJ134" s="33"/>
      <c r="LK134" s="33"/>
      <c r="LL134" s="33"/>
      <c r="LM134" s="33"/>
      <c r="LN134" s="33"/>
      <c r="LO134" s="33"/>
      <c r="LP134" s="33"/>
      <c r="LQ134" s="33"/>
      <c r="LR134" s="33"/>
      <c r="LS134" s="33"/>
      <c r="LT134" s="33"/>
      <c r="LU134" s="33"/>
      <c r="LV134" s="33"/>
      <c r="LW134" s="33"/>
      <c r="LX134" s="33"/>
      <c r="LY134" s="33"/>
      <c r="LZ134" s="33"/>
      <c r="MA134" s="33"/>
      <c r="MB134" s="33"/>
      <c r="MC134" s="33"/>
      <c r="MD134" s="33"/>
      <c r="ME134" s="33"/>
      <c r="MF134" s="33"/>
      <c r="MG134" s="33"/>
      <c r="MH134" s="33"/>
      <c r="MI134" s="33"/>
      <c r="MJ134" s="33"/>
      <c r="MK134" s="33"/>
      <c r="ML134" s="33"/>
      <c r="MM134" s="33"/>
      <c r="MN134" s="33"/>
      <c r="MO134" s="33"/>
      <c r="MP134" s="33"/>
      <c r="MQ134" s="33"/>
      <c r="MR134" s="33"/>
      <c r="MS134" s="33"/>
      <c r="MT134" s="33"/>
      <c r="MU134" s="33"/>
      <c r="MV134" s="33"/>
    </row>
    <row r="135" spans="1:360" ht="0.75" customHeight="1" x14ac:dyDescent="0.25">
      <c r="A135" s="33"/>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33"/>
      <c r="BT135" s="33"/>
      <c r="BU135" s="33"/>
      <c r="BV135" s="33"/>
      <c r="BW135" s="33"/>
      <c r="BX135" s="33"/>
      <c r="BY135" s="33"/>
      <c r="BZ135" s="33"/>
      <c r="CA135" s="33"/>
      <c r="CB135" s="33"/>
      <c r="CC135" s="33"/>
      <c r="CD135" s="33"/>
      <c r="CE135" s="33"/>
      <c r="CF135" s="33"/>
      <c r="CG135" s="33"/>
      <c r="CH135" s="33"/>
      <c r="CI135" s="33"/>
      <c r="CJ135" s="33"/>
      <c r="CK135" s="33"/>
      <c r="CL135" s="33"/>
      <c r="CM135" s="33"/>
      <c r="CN135" s="33"/>
      <c r="CO135" s="33"/>
      <c r="CP135" s="33"/>
      <c r="CQ135" s="33"/>
      <c r="CR135" s="33"/>
      <c r="CS135" s="33"/>
      <c r="CT135" s="33"/>
      <c r="CU135" s="33"/>
      <c r="CV135" s="33"/>
      <c r="CW135" s="33"/>
      <c r="CX135" s="33"/>
      <c r="CY135" s="33"/>
      <c r="CZ135" s="33"/>
      <c r="DA135" s="33"/>
      <c r="DB135" s="33"/>
      <c r="DC135" s="33"/>
      <c r="DD135" s="33"/>
      <c r="DE135" s="33"/>
      <c r="DF135" s="33"/>
      <c r="DG135" s="33"/>
      <c r="DH135" s="33"/>
      <c r="DI135" s="33"/>
      <c r="DJ135" s="33"/>
      <c r="DK135" s="33"/>
      <c r="DL135" s="33"/>
      <c r="DM135" s="33"/>
      <c r="DN135" s="33"/>
      <c r="DO135" s="33"/>
      <c r="DP135" s="33"/>
      <c r="DQ135" s="33"/>
      <c r="DR135" s="33"/>
      <c r="DS135" s="33"/>
      <c r="DT135" s="33"/>
      <c r="DU135" s="33"/>
      <c r="DV135" s="33"/>
      <c r="DW135" s="33"/>
      <c r="DX135" s="33"/>
      <c r="DY135" s="33"/>
      <c r="DZ135" s="33"/>
      <c r="EA135" s="33"/>
      <c r="EB135" s="33"/>
      <c r="EC135" s="33"/>
      <c r="ED135" s="33"/>
      <c r="EE135" s="33"/>
      <c r="EF135" s="33"/>
      <c r="EG135" s="33"/>
      <c r="EH135" s="33"/>
      <c r="EI135" s="33"/>
      <c r="EJ135" s="33"/>
      <c r="EK135" s="33"/>
      <c r="EL135" s="33"/>
      <c r="EM135" s="33"/>
      <c r="EN135" s="33"/>
      <c r="EO135" s="33"/>
      <c r="EP135" s="33"/>
      <c r="EQ135" s="33"/>
      <c r="ER135" s="33"/>
      <c r="ES135" s="33"/>
      <c r="ET135" s="33"/>
      <c r="EU135" s="33"/>
      <c r="EV135" s="33"/>
      <c r="EW135" s="33"/>
      <c r="EX135" s="33"/>
      <c r="EY135" s="33"/>
      <c r="EZ135" s="33"/>
      <c r="FA135" s="33"/>
      <c r="FB135" s="33"/>
      <c r="FC135" s="33"/>
      <c r="FD135" s="33"/>
      <c r="FE135" s="33"/>
      <c r="FF135" s="33"/>
      <c r="FG135" s="33"/>
      <c r="FH135" s="33"/>
      <c r="FI135" s="33"/>
      <c r="FJ135" s="33"/>
      <c r="FK135" s="33"/>
      <c r="FL135" s="33"/>
      <c r="FM135" s="33"/>
      <c r="FN135" s="33"/>
      <c r="FO135" s="33"/>
      <c r="FP135" s="33"/>
      <c r="FQ135" s="33"/>
      <c r="FR135" s="33"/>
      <c r="FS135" s="33"/>
      <c r="FT135" s="33"/>
      <c r="FU135" s="33"/>
      <c r="FV135" s="33"/>
      <c r="FW135" s="33"/>
      <c r="FX135" s="33"/>
      <c r="FY135" s="33"/>
      <c r="FZ135" s="33"/>
      <c r="GA135" s="33"/>
      <c r="GB135" s="33"/>
      <c r="GC135" s="33"/>
      <c r="GD135" s="33"/>
      <c r="GE135" s="33"/>
      <c r="GF135" s="33"/>
      <c r="GG135" s="33"/>
      <c r="GH135" s="33"/>
      <c r="GI135" s="33"/>
      <c r="GJ135" s="33"/>
      <c r="GK135" s="33"/>
      <c r="GL135" s="33"/>
      <c r="GM135" s="33"/>
      <c r="GN135" s="33"/>
      <c r="GO135" s="33"/>
      <c r="GP135" s="33"/>
      <c r="GQ135" s="33"/>
      <c r="GR135" s="33"/>
      <c r="GS135" s="33"/>
      <c r="GT135" s="33"/>
      <c r="GU135" s="33"/>
      <c r="GV135" s="33"/>
      <c r="GW135" s="33"/>
      <c r="GX135" s="33"/>
      <c r="GY135" s="33"/>
      <c r="GZ135" s="33"/>
      <c r="HA135" s="33"/>
      <c r="HB135" s="33"/>
      <c r="HC135" s="33"/>
      <c r="HD135" s="33"/>
      <c r="HE135" s="33"/>
      <c r="HF135" s="33"/>
      <c r="HG135" s="33"/>
      <c r="HH135" s="33"/>
      <c r="HI135" s="33"/>
      <c r="HJ135" s="33"/>
      <c r="HK135" s="33"/>
      <c r="HL135" s="33"/>
      <c r="HM135" s="33"/>
      <c r="HN135" s="33"/>
      <c r="HO135" s="33"/>
      <c r="HP135" s="33"/>
      <c r="HQ135" s="33"/>
      <c r="HR135" s="33"/>
      <c r="HS135" s="33"/>
      <c r="HT135" s="33"/>
      <c r="HU135" s="33"/>
      <c r="HV135" s="33"/>
      <c r="HW135" s="33"/>
      <c r="HX135" s="33"/>
      <c r="HY135" s="33"/>
      <c r="HZ135" s="33"/>
      <c r="IA135" s="33"/>
      <c r="IB135" s="33"/>
      <c r="IC135" s="33"/>
      <c r="ID135" s="33"/>
      <c r="IE135" s="33"/>
      <c r="IF135" s="33"/>
      <c r="IG135" s="33"/>
      <c r="IH135" s="33"/>
      <c r="II135" s="33"/>
      <c r="IJ135" s="33"/>
      <c r="IK135" s="33"/>
      <c r="IL135" s="33"/>
      <c r="IM135" s="33"/>
      <c r="IN135" s="33"/>
      <c r="IO135" s="33"/>
      <c r="IP135" s="33"/>
      <c r="IQ135" s="33"/>
      <c r="IR135" s="33"/>
      <c r="IS135" s="33"/>
      <c r="IT135" s="33"/>
      <c r="IU135" s="33"/>
      <c r="IV135" s="33"/>
      <c r="IW135" s="33"/>
      <c r="IX135" s="33"/>
      <c r="IY135" s="33"/>
      <c r="IZ135" s="33"/>
      <c r="JA135" s="33"/>
      <c r="JB135" s="33"/>
      <c r="JC135" s="33"/>
      <c r="JD135" s="33"/>
      <c r="JE135" s="33"/>
      <c r="JF135" s="33"/>
      <c r="JG135" s="33"/>
      <c r="JH135" s="33"/>
      <c r="JI135" s="33"/>
      <c r="JJ135" s="33"/>
      <c r="JK135" s="33"/>
      <c r="JL135" s="33"/>
      <c r="JM135" s="33"/>
      <c r="JN135" s="33"/>
      <c r="JO135" s="33"/>
      <c r="JP135" s="33"/>
      <c r="JQ135" s="33"/>
      <c r="JR135" s="33"/>
      <c r="JS135" s="33"/>
      <c r="JT135" s="33"/>
      <c r="JU135" s="33"/>
      <c r="JV135" s="33"/>
      <c r="JW135" s="33"/>
      <c r="JX135" s="33"/>
      <c r="JY135" s="33"/>
      <c r="JZ135" s="33"/>
      <c r="KA135" s="33"/>
      <c r="KB135" s="33"/>
      <c r="KC135" s="33"/>
      <c r="KD135" s="33"/>
      <c r="KE135" s="33"/>
      <c r="KF135" s="33"/>
      <c r="KG135" s="33"/>
      <c r="KH135" s="33"/>
      <c r="KI135" s="33"/>
      <c r="KJ135" s="33"/>
      <c r="KK135" s="33"/>
      <c r="KL135" s="33"/>
      <c r="KM135" s="33"/>
      <c r="KN135" s="33"/>
      <c r="KO135" s="33"/>
      <c r="KP135" s="33"/>
      <c r="KQ135" s="33"/>
      <c r="KR135" s="33"/>
      <c r="KS135" s="33"/>
      <c r="KT135" s="33"/>
      <c r="KU135" s="33"/>
      <c r="KV135" s="33"/>
      <c r="KW135" s="33"/>
      <c r="KX135" s="33"/>
      <c r="KY135" s="33"/>
      <c r="KZ135" s="33"/>
      <c r="LA135" s="33"/>
      <c r="LB135" s="33"/>
      <c r="LC135" s="33"/>
      <c r="LD135" s="33"/>
      <c r="LE135" s="33"/>
      <c r="LF135" s="33"/>
      <c r="LG135" s="33"/>
      <c r="LH135" s="33"/>
      <c r="LI135" s="33"/>
      <c r="LJ135" s="33"/>
      <c r="LK135" s="33"/>
      <c r="LL135" s="33"/>
      <c r="LM135" s="33"/>
      <c r="LN135" s="33"/>
      <c r="LO135" s="33"/>
      <c r="LP135" s="33"/>
      <c r="LQ135" s="33"/>
      <c r="LR135" s="33"/>
      <c r="LS135" s="33"/>
      <c r="LT135" s="33"/>
      <c r="LU135" s="33"/>
      <c r="LV135" s="33"/>
      <c r="LW135" s="33"/>
      <c r="LX135" s="33"/>
      <c r="LY135" s="33"/>
      <c r="LZ135" s="33"/>
      <c r="MA135" s="33"/>
      <c r="MB135" s="33"/>
      <c r="MC135" s="33"/>
      <c r="MD135" s="33"/>
      <c r="ME135" s="33"/>
      <c r="MF135" s="33"/>
      <c r="MG135" s="33"/>
      <c r="MH135" s="33"/>
      <c r="MI135" s="33"/>
      <c r="MJ135" s="33"/>
      <c r="MK135" s="33"/>
      <c r="ML135" s="33"/>
      <c r="MM135" s="33"/>
      <c r="MN135" s="33"/>
      <c r="MO135" s="33"/>
      <c r="MP135" s="33"/>
      <c r="MQ135" s="33"/>
      <c r="MR135" s="33"/>
      <c r="MS135" s="33"/>
      <c r="MT135" s="33"/>
      <c r="MU135" s="33"/>
      <c r="MV135" s="33"/>
    </row>
    <row r="136" spans="1:360" ht="0.75" customHeight="1" x14ac:dyDescent="0.25">
      <c r="A136" s="33"/>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33"/>
      <c r="BT136" s="33"/>
      <c r="BU136" s="33"/>
      <c r="BV136" s="33"/>
      <c r="BW136" s="33"/>
      <c r="BX136" s="33"/>
      <c r="BY136" s="33"/>
      <c r="BZ136" s="33"/>
      <c r="CA136" s="33"/>
      <c r="CB136" s="33"/>
      <c r="CC136" s="33"/>
      <c r="CD136" s="33"/>
      <c r="CE136" s="33"/>
      <c r="CF136" s="33"/>
      <c r="CG136" s="33"/>
      <c r="CH136" s="33"/>
      <c r="CI136" s="33"/>
      <c r="CJ136" s="33"/>
      <c r="CK136" s="33"/>
      <c r="CL136" s="33"/>
      <c r="CM136" s="33"/>
      <c r="CN136" s="33"/>
      <c r="CO136" s="33"/>
      <c r="CP136" s="33"/>
      <c r="CQ136" s="33"/>
      <c r="CR136" s="33"/>
      <c r="CS136" s="33"/>
      <c r="CT136" s="33"/>
      <c r="CU136" s="33"/>
      <c r="CV136" s="33"/>
      <c r="CW136" s="33"/>
      <c r="CX136" s="33"/>
      <c r="CY136" s="33"/>
      <c r="CZ136" s="33"/>
      <c r="DA136" s="33"/>
      <c r="DB136" s="33"/>
      <c r="DC136" s="33"/>
      <c r="DD136" s="33"/>
      <c r="DE136" s="33"/>
      <c r="DF136" s="33"/>
      <c r="DG136" s="33"/>
      <c r="DH136" s="33"/>
      <c r="DI136" s="33"/>
      <c r="DJ136" s="33"/>
      <c r="DK136" s="33"/>
      <c r="DL136" s="33"/>
      <c r="DM136" s="33"/>
      <c r="DN136" s="33"/>
      <c r="DO136" s="33"/>
      <c r="DP136" s="33"/>
      <c r="DQ136" s="33"/>
      <c r="DR136" s="33"/>
      <c r="DS136" s="33"/>
      <c r="DT136" s="33"/>
      <c r="DU136" s="33"/>
      <c r="DV136" s="33"/>
      <c r="DW136" s="33"/>
      <c r="DX136" s="33"/>
      <c r="DY136" s="33"/>
      <c r="DZ136" s="33"/>
      <c r="EA136" s="33"/>
      <c r="EB136" s="33"/>
      <c r="EC136" s="33"/>
      <c r="ED136" s="33"/>
      <c r="EE136" s="33"/>
      <c r="EF136" s="33"/>
      <c r="EG136" s="33"/>
      <c r="EH136" s="33"/>
      <c r="EI136" s="33"/>
      <c r="EJ136" s="33"/>
      <c r="EK136" s="33"/>
      <c r="EL136" s="33"/>
      <c r="EM136" s="33"/>
      <c r="EN136" s="33"/>
      <c r="EO136" s="33"/>
      <c r="EP136" s="33"/>
      <c r="EQ136" s="33"/>
      <c r="ER136" s="33"/>
      <c r="ES136" s="33"/>
      <c r="ET136" s="33"/>
      <c r="EU136" s="33"/>
      <c r="EV136" s="33"/>
      <c r="EW136" s="33"/>
      <c r="EX136" s="33"/>
      <c r="EY136" s="33"/>
      <c r="EZ136" s="33"/>
      <c r="FA136" s="33"/>
      <c r="FB136" s="33"/>
      <c r="FC136" s="33"/>
      <c r="FD136" s="33"/>
      <c r="FE136" s="33"/>
      <c r="FF136" s="33"/>
      <c r="FG136" s="33"/>
      <c r="FH136" s="33"/>
      <c r="FI136" s="33"/>
      <c r="FJ136" s="33"/>
      <c r="FK136" s="33"/>
      <c r="FL136" s="33"/>
      <c r="FM136" s="33"/>
      <c r="FN136" s="33"/>
      <c r="FO136" s="33"/>
      <c r="FP136" s="33"/>
      <c r="FQ136" s="33"/>
      <c r="FR136" s="33"/>
      <c r="FS136" s="33"/>
      <c r="FT136" s="33"/>
      <c r="FU136" s="33"/>
      <c r="FV136" s="33"/>
      <c r="FW136" s="33"/>
      <c r="FX136" s="33"/>
      <c r="FY136" s="33"/>
      <c r="FZ136" s="33"/>
      <c r="GA136" s="33"/>
      <c r="GB136" s="33"/>
      <c r="GC136" s="33"/>
      <c r="GD136" s="33"/>
      <c r="GE136" s="33"/>
      <c r="GF136" s="33"/>
      <c r="GG136" s="33"/>
      <c r="GH136" s="33"/>
      <c r="GI136" s="33"/>
      <c r="GJ136" s="33"/>
      <c r="GK136" s="33"/>
      <c r="GL136" s="33"/>
      <c r="GM136" s="33"/>
      <c r="GN136" s="33"/>
      <c r="GO136" s="33"/>
      <c r="GP136" s="33"/>
      <c r="GQ136" s="33"/>
      <c r="GR136" s="33"/>
      <c r="GS136" s="33"/>
      <c r="GT136" s="33"/>
      <c r="GU136" s="33"/>
      <c r="GV136" s="33"/>
      <c r="GW136" s="33"/>
      <c r="GX136" s="33"/>
      <c r="GY136" s="33"/>
      <c r="GZ136" s="33"/>
      <c r="HA136" s="33"/>
      <c r="HB136" s="33"/>
      <c r="HC136" s="33"/>
      <c r="HD136" s="33"/>
      <c r="HE136" s="33"/>
      <c r="HF136" s="33"/>
      <c r="HG136" s="33"/>
      <c r="HH136" s="33"/>
      <c r="HI136" s="33"/>
      <c r="HJ136" s="33"/>
      <c r="HK136" s="33"/>
      <c r="HL136" s="33"/>
      <c r="HM136" s="33"/>
      <c r="HN136" s="33"/>
      <c r="HO136" s="33"/>
      <c r="HP136" s="33"/>
      <c r="HQ136" s="33"/>
      <c r="HR136" s="33"/>
      <c r="HS136" s="33"/>
      <c r="HT136" s="33"/>
      <c r="HU136" s="33"/>
      <c r="HV136" s="33"/>
      <c r="HW136" s="33"/>
      <c r="HX136" s="33"/>
      <c r="HY136" s="33"/>
      <c r="HZ136" s="33"/>
      <c r="IA136" s="33"/>
      <c r="IB136" s="33"/>
      <c r="IC136" s="33"/>
      <c r="ID136" s="33"/>
      <c r="IE136" s="33"/>
      <c r="IF136" s="33"/>
      <c r="IG136" s="33"/>
      <c r="IH136" s="33"/>
      <c r="II136" s="33"/>
      <c r="IJ136" s="33"/>
      <c r="IK136" s="33"/>
      <c r="IL136" s="33"/>
      <c r="IM136" s="33"/>
      <c r="IN136" s="33"/>
      <c r="IO136" s="33"/>
      <c r="IP136" s="33"/>
      <c r="IQ136" s="33"/>
      <c r="IR136" s="33"/>
      <c r="IS136" s="33"/>
      <c r="IT136" s="33"/>
      <c r="IU136" s="33"/>
      <c r="IV136" s="33"/>
      <c r="IW136" s="33"/>
      <c r="IX136" s="33"/>
      <c r="IY136" s="33"/>
      <c r="IZ136" s="33"/>
      <c r="JA136" s="33"/>
      <c r="JB136" s="33"/>
      <c r="JC136" s="33"/>
      <c r="JD136" s="33"/>
      <c r="JE136" s="33"/>
      <c r="JF136" s="33"/>
      <c r="JG136" s="33"/>
      <c r="JH136" s="33"/>
      <c r="JI136" s="33"/>
      <c r="JJ136" s="33"/>
      <c r="JK136" s="33"/>
      <c r="JL136" s="33"/>
      <c r="JM136" s="33"/>
      <c r="JN136" s="33"/>
      <c r="JO136" s="33"/>
      <c r="JP136" s="33"/>
      <c r="JQ136" s="33"/>
      <c r="JR136" s="33"/>
      <c r="JS136" s="33"/>
      <c r="JT136" s="33"/>
      <c r="JU136" s="33"/>
      <c r="JV136" s="33"/>
      <c r="JW136" s="33"/>
      <c r="JX136" s="33"/>
      <c r="JY136" s="33"/>
      <c r="JZ136" s="33"/>
      <c r="KA136" s="33"/>
      <c r="KB136" s="33"/>
      <c r="KC136" s="33"/>
      <c r="KD136" s="33"/>
      <c r="KE136" s="33"/>
      <c r="KF136" s="33"/>
      <c r="KG136" s="33"/>
      <c r="KH136" s="33"/>
      <c r="KI136" s="33"/>
      <c r="KJ136" s="33"/>
      <c r="KK136" s="33"/>
      <c r="KL136" s="33"/>
      <c r="KM136" s="33"/>
      <c r="KN136" s="33"/>
      <c r="KO136" s="33"/>
      <c r="KP136" s="33"/>
      <c r="KQ136" s="33"/>
      <c r="KR136" s="33"/>
      <c r="KS136" s="33"/>
      <c r="KT136" s="33"/>
      <c r="KU136" s="33"/>
      <c r="KV136" s="33"/>
      <c r="KW136" s="33"/>
      <c r="KX136" s="33"/>
      <c r="KY136" s="33"/>
      <c r="KZ136" s="33"/>
      <c r="LA136" s="33"/>
      <c r="LB136" s="33"/>
      <c r="LC136" s="33"/>
      <c r="LD136" s="33"/>
      <c r="LE136" s="33"/>
      <c r="LF136" s="33"/>
      <c r="LG136" s="33"/>
      <c r="LH136" s="33"/>
      <c r="LI136" s="33"/>
      <c r="LJ136" s="33"/>
      <c r="LK136" s="33"/>
      <c r="LL136" s="33"/>
      <c r="LM136" s="33"/>
      <c r="LN136" s="33"/>
      <c r="LO136" s="33"/>
      <c r="LP136" s="33"/>
      <c r="LQ136" s="33"/>
      <c r="LR136" s="33"/>
      <c r="LS136" s="33"/>
      <c r="LT136" s="33"/>
      <c r="LU136" s="33"/>
      <c r="LV136" s="33"/>
      <c r="LW136" s="33"/>
      <c r="LX136" s="33"/>
      <c r="LY136" s="33"/>
      <c r="LZ136" s="33"/>
      <c r="MA136" s="33"/>
      <c r="MB136" s="33"/>
      <c r="MC136" s="33"/>
      <c r="MD136" s="33"/>
      <c r="ME136" s="33"/>
      <c r="MF136" s="33"/>
      <c r="MG136" s="33"/>
      <c r="MH136" s="33"/>
      <c r="MI136" s="33"/>
      <c r="MJ136" s="33"/>
      <c r="MK136" s="33"/>
      <c r="ML136" s="33"/>
      <c r="MM136" s="33"/>
      <c r="MN136" s="33"/>
      <c r="MO136" s="33"/>
      <c r="MP136" s="33"/>
      <c r="MQ136" s="33"/>
      <c r="MR136" s="33"/>
      <c r="MS136" s="33"/>
      <c r="MT136" s="33"/>
      <c r="MU136" s="33"/>
      <c r="MV136" s="33"/>
    </row>
    <row r="137" spans="1:360" ht="0.75" customHeight="1" x14ac:dyDescent="0.25">
      <c r="A137" s="33"/>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33"/>
      <c r="BT137" s="33"/>
      <c r="BU137" s="33"/>
      <c r="BV137" s="33"/>
      <c r="BW137" s="33"/>
      <c r="BX137" s="33"/>
      <c r="BY137" s="33"/>
      <c r="BZ137" s="33"/>
      <c r="CA137" s="33"/>
      <c r="CB137" s="33"/>
      <c r="CC137" s="33"/>
      <c r="CD137" s="33"/>
      <c r="CE137" s="33"/>
      <c r="CF137" s="33"/>
      <c r="CG137" s="33"/>
      <c r="CH137" s="33"/>
      <c r="CI137" s="33"/>
      <c r="CJ137" s="33"/>
      <c r="CK137" s="33"/>
      <c r="CL137" s="33"/>
      <c r="CM137" s="33"/>
      <c r="CN137" s="33"/>
      <c r="CO137" s="33"/>
      <c r="CP137" s="33"/>
      <c r="CQ137" s="33"/>
      <c r="CR137" s="33"/>
      <c r="CS137" s="33"/>
      <c r="CT137" s="33"/>
      <c r="CU137" s="33"/>
      <c r="CV137" s="33"/>
      <c r="CW137" s="33"/>
      <c r="CX137" s="33"/>
      <c r="CY137" s="33"/>
      <c r="CZ137" s="33"/>
      <c r="DA137" s="33"/>
      <c r="DB137" s="33"/>
      <c r="DC137" s="33"/>
      <c r="DD137" s="33"/>
      <c r="DE137" s="33"/>
      <c r="DF137" s="33"/>
      <c r="DG137" s="33"/>
      <c r="DH137" s="33"/>
      <c r="DI137" s="33"/>
      <c r="DJ137" s="33"/>
      <c r="DK137" s="33"/>
      <c r="DL137" s="33"/>
      <c r="DM137" s="33"/>
      <c r="DN137" s="33"/>
      <c r="DO137" s="33"/>
      <c r="DP137" s="33"/>
      <c r="DQ137" s="33"/>
      <c r="DR137" s="33"/>
      <c r="DS137" s="33"/>
      <c r="DT137" s="33"/>
      <c r="DU137" s="33"/>
      <c r="DV137" s="33"/>
      <c r="DW137" s="33"/>
      <c r="DX137" s="33"/>
      <c r="DY137" s="33"/>
      <c r="DZ137" s="33"/>
      <c r="EA137" s="33"/>
      <c r="EB137" s="33"/>
      <c r="EC137" s="33"/>
      <c r="ED137" s="33"/>
      <c r="EE137" s="33"/>
      <c r="EF137" s="33"/>
      <c r="EG137" s="33"/>
      <c r="EH137" s="33"/>
      <c r="EI137" s="33"/>
      <c r="EJ137" s="33"/>
      <c r="EK137" s="33"/>
      <c r="EL137" s="33"/>
      <c r="EM137" s="33"/>
      <c r="EN137" s="33"/>
      <c r="EO137" s="33"/>
      <c r="EP137" s="33"/>
      <c r="EQ137" s="33"/>
      <c r="ER137" s="33"/>
      <c r="ES137" s="33"/>
      <c r="ET137" s="33"/>
      <c r="EU137" s="33"/>
      <c r="EV137" s="33"/>
      <c r="EW137" s="33"/>
      <c r="EX137" s="33"/>
      <c r="EY137" s="33"/>
      <c r="EZ137" s="33"/>
      <c r="FA137" s="33"/>
      <c r="FB137" s="33"/>
      <c r="FC137" s="33"/>
      <c r="FD137" s="33"/>
      <c r="FE137" s="33"/>
      <c r="FF137" s="33"/>
      <c r="FG137" s="33"/>
      <c r="FH137" s="33"/>
      <c r="FI137" s="33"/>
      <c r="FJ137" s="33"/>
      <c r="FK137" s="33"/>
      <c r="FL137" s="33"/>
      <c r="FM137" s="33"/>
      <c r="FN137" s="33"/>
      <c r="FO137" s="33"/>
      <c r="FP137" s="33"/>
      <c r="FQ137" s="33"/>
      <c r="FR137" s="33"/>
      <c r="FS137" s="33"/>
      <c r="FT137" s="33"/>
      <c r="FU137" s="33"/>
      <c r="FV137" s="33"/>
      <c r="FW137" s="33"/>
      <c r="FX137" s="33"/>
      <c r="FY137" s="33"/>
      <c r="FZ137" s="33"/>
      <c r="GA137" s="33"/>
      <c r="GB137" s="33"/>
      <c r="GC137" s="33"/>
      <c r="GD137" s="33"/>
      <c r="GE137" s="33"/>
      <c r="GF137" s="33"/>
      <c r="GG137" s="33"/>
      <c r="GH137" s="33"/>
      <c r="GI137" s="33"/>
      <c r="GJ137" s="33"/>
      <c r="GK137" s="33"/>
      <c r="GL137" s="33"/>
      <c r="GM137" s="33"/>
      <c r="GN137" s="33"/>
      <c r="GO137" s="33"/>
      <c r="GP137" s="33"/>
      <c r="GQ137" s="33"/>
      <c r="GR137" s="33"/>
      <c r="GS137" s="33"/>
      <c r="GT137" s="33"/>
      <c r="GU137" s="33"/>
      <c r="GV137" s="33"/>
      <c r="GW137" s="33"/>
      <c r="GX137" s="33"/>
      <c r="GY137" s="33"/>
      <c r="GZ137" s="33"/>
      <c r="HA137" s="33"/>
      <c r="HB137" s="33"/>
      <c r="HC137" s="33"/>
      <c r="HD137" s="33"/>
      <c r="HE137" s="33"/>
      <c r="HF137" s="33"/>
      <c r="HG137" s="33"/>
      <c r="HH137" s="33"/>
      <c r="HI137" s="33"/>
      <c r="HJ137" s="33"/>
      <c r="HK137" s="33"/>
      <c r="HL137" s="33"/>
      <c r="HM137" s="33"/>
      <c r="HN137" s="33"/>
      <c r="HO137" s="33"/>
      <c r="HP137" s="33"/>
      <c r="HQ137" s="33"/>
      <c r="HR137" s="33"/>
      <c r="HS137" s="33"/>
      <c r="HT137" s="33"/>
      <c r="HU137" s="33"/>
      <c r="HV137" s="33"/>
      <c r="HW137" s="33"/>
      <c r="HX137" s="33"/>
      <c r="HY137" s="33"/>
      <c r="HZ137" s="33"/>
      <c r="IA137" s="33"/>
      <c r="IB137" s="33"/>
      <c r="IC137" s="33"/>
      <c r="ID137" s="33"/>
      <c r="IE137" s="33"/>
      <c r="IF137" s="33"/>
      <c r="IG137" s="33"/>
      <c r="IH137" s="33"/>
      <c r="II137" s="33"/>
      <c r="IJ137" s="33"/>
      <c r="IK137" s="33"/>
      <c r="IL137" s="33"/>
      <c r="IM137" s="33"/>
      <c r="IN137" s="33"/>
      <c r="IO137" s="33"/>
      <c r="IP137" s="33"/>
      <c r="IQ137" s="33"/>
      <c r="IR137" s="33"/>
      <c r="IS137" s="33"/>
      <c r="IT137" s="33"/>
      <c r="IU137" s="33"/>
      <c r="IV137" s="33"/>
      <c r="IW137" s="33"/>
      <c r="IX137" s="33"/>
      <c r="IY137" s="33"/>
      <c r="IZ137" s="33"/>
      <c r="JA137" s="33"/>
      <c r="JB137" s="33"/>
      <c r="JC137" s="33"/>
      <c r="JD137" s="33"/>
      <c r="JE137" s="33"/>
      <c r="JF137" s="33"/>
      <c r="JG137" s="33"/>
      <c r="JH137" s="33"/>
      <c r="JI137" s="33"/>
      <c r="JJ137" s="33"/>
      <c r="JK137" s="33"/>
      <c r="JL137" s="33"/>
      <c r="JM137" s="33"/>
      <c r="JN137" s="33"/>
      <c r="JO137" s="33"/>
      <c r="JP137" s="33"/>
      <c r="JQ137" s="33"/>
      <c r="JR137" s="33"/>
      <c r="JS137" s="33"/>
      <c r="JT137" s="33"/>
      <c r="JU137" s="33"/>
      <c r="JV137" s="33"/>
      <c r="JW137" s="33"/>
      <c r="JX137" s="33"/>
      <c r="JY137" s="33"/>
      <c r="JZ137" s="33"/>
      <c r="KA137" s="33"/>
      <c r="KB137" s="33"/>
      <c r="KC137" s="33"/>
      <c r="KD137" s="33"/>
      <c r="KE137" s="33"/>
      <c r="KF137" s="33"/>
      <c r="KG137" s="33"/>
      <c r="KH137" s="33"/>
      <c r="KI137" s="33"/>
      <c r="KJ137" s="33"/>
      <c r="KK137" s="33"/>
      <c r="KL137" s="33"/>
      <c r="KM137" s="33"/>
      <c r="KN137" s="33"/>
      <c r="KO137" s="33"/>
      <c r="KP137" s="33"/>
      <c r="KQ137" s="33"/>
      <c r="KR137" s="33"/>
      <c r="KS137" s="33"/>
      <c r="KT137" s="33"/>
      <c r="KU137" s="33"/>
      <c r="KV137" s="33"/>
      <c r="KW137" s="33"/>
      <c r="KX137" s="33"/>
      <c r="KY137" s="33"/>
      <c r="KZ137" s="33"/>
      <c r="LA137" s="33"/>
      <c r="LB137" s="33"/>
      <c r="LC137" s="33"/>
      <c r="LD137" s="33"/>
      <c r="LE137" s="33"/>
      <c r="LF137" s="33"/>
      <c r="LG137" s="33"/>
      <c r="LH137" s="33"/>
      <c r="LI137" s="33"/>
      <c r="LJ137" s="33"/>
      <c r="LK137" s="33"/>
      <c r="LL137" s="33"/>
      <c r="LM137" s="33"/>
      <c r="LN137" s="33"/>
      <c r="LO137" s="33"/>
      <c r="LP137" s="33"/>
      <c r="LQ137" s="33"/>
      <c r="LR137" s="33"/>
      <c r="LS137" s="33"/>
      <c r="LT137" s="33"/>
      <c r="LU137" s="33"/>
      <c r="LV137" s="33"/>
      <c r="LW137" s="33"/>
      <c r="LX137" s="33"/>
      <c r="LY137" s="33"/>
      <c r="LZ137" s="33"/>
      <c r="MA137" s="33"/>
      <c r="MB137" s="33"/>
      <c r="MC137" s="33"/>
      <c r="MD137" s="33"/>
      <c r="ME137" s="33"/>
      <c r="MF137" s="33"/>
      <c r="MG137" s="33"/>
      <c r="MH137" s="33"/>
      <c r="MI137" s="33"/>
      <c r="MJ137" s="33"/>
      <c r="MK137" s="33"/>
      <c r="ML137" s="33"/>
      <c r="MM137" s="33"/>
      <c r="MN137" s="33"/>
      <c r="MO137" s="33"/>
      <c r="MP137" s="33"/>
      <c r="MQ137" s="33"/>
      <c r="MR137" s="33"/>
      <c r="MS137" s="33"/>
      <c r="MT137" s="33"/>
      <c r="MU137" s="33"/>
      <c r="MV137" s="33"/>
    </row>
    <row r="138" spans="1:360" ht="0.75" customHeight="1" x14ac:dyDescent="0.25">
      <c r="A138" s="33"/>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33"/>
      <c r="BT138" s="33"/>
      <c r="BU138" s="33"/>
      <c r="BV138" s="33"/>
      <c r="BW138" s="33"/>
      <c r="BX138" s="33"/>
      <c r="BY138" s="33"/>
      <c r="BZ138" s="33"/>
      <c r="CA138" s="33"/>
      <c r="CB138" s="33"/>
      <c r="CC138" s="33"/>
      <c r="CD138" s="33"/>
      <c r="CE138" s="33"/>
      <c r="CF138" s="33"/>
      <c r="CG138" s="33"/>
      <c r="CH138" s="33"/>
      <c r="CI138" s="33"/>
      <c r="CJ138" s="33"/>
      <c r="CK138" s="33"/>
      <c r="CL138" s="33"/>
      <c r="CM138" s="33"/>
      <c r="CN138" s="33"/>
      <c r="CO138" s="33"/>
      <c r="CP138" s="33"/>
      <c r="CQ138" s="33"/>
      <c r="CR138" s="33"/>
      <c r="CS138" s="33"/>
      <c r="CT138" s="33"/>
      <c r="CU138" s="33"/>
      <c r="CV138" s="33"/>
      <c r="CW138" s="33"/>
      <c r="CX138" s="33"/>
      <c r="CY138" s="33"/>
      <c r="CZ138" s="33"/>
      <c r="DA138" s="33"/>
      <c r="DB138" s="33"/>
      <c r="DC138" s="33"/>
      <c r="DD138" s="33"/>
      <c r="DE138" s="33"/>
      <c r="DF138" s="33"/>
      <c r="DG138" s="33"/>
      <c r="DH138" s="33"/>
      <c r="DI138" s="33"/>
      <c r="DJ138" s="33"/>
      <c r="DK138" s="33"/>
      <c r="DL138" s="33"/>
      <c r="DM138" s="33"/>
      <c r="DN138" s="33"/>
      <c r="DO138" s="33"/>
      <c r="DP138" s="33"/>
      <c r="DQ138" s="33"/>
      <c r="DR138" s="33"/>
      <c r="DS138" s="33"/>
      <c r="DT138" s="33"/>
      <c r="DU138" s="33"/>
      <c r="DV138" s="33"/>
      <c r="DW138" s="33"/>
      <c r="DX138" s="33"/>
      <c r="DY138" s="33"/>
      <c r="DZ138" s="33"/>
      <c r="EA138" s="33"/>
      <c r="EB138" s="33"/>
      <c r="EC138" s="33"/>
      <c r="ED138" s="33"/>
      <c r="EE138" s="33"/>
      <c r="EF138" s="33"/>
      <c r="EG138" s="33"/>
      <c r="EH138" s="33"/>
      <c r="EI138" s="33"/>
      <c r="EJ138" s="33"/>
      <c r="EK138" s="33"/>
      <c r="EL138" s="33"/>
      <c r="EM138" s="33"/>
      <c r="EN138" s="33"/>
      <c r="EO138" s="33"/>
      <c r="EP138" s="33"/>
      <c r="EQ138" s="33"/>
      <c r="ER138" s="33"/>
      <c r="ES138" s="33"/>
      <c r="ET138" s="33"/>
      <c r="EU138" s="33"/>
      <c r="EV138" s="33"/>
      <c r="EW138" s="33"/>
      <c r="EX138" s="33"/>
      <c r="EY138" s="33"/>
      <c r="EZ138" s="33"/>
      <c r="FA138" s="33"/>
      <c r="FB138" s="33"/>
      <c r="FC138" s="33"/>
      <c r="FD138" s="33"/>
      <c r="FE138" s="33"/>
      <c r="FF138" s="33"/>
      <c r="FG138" s="33"/>
      <c r="FH138" s="33"/>
      <c r="FI138" s="33"/>
      <c r="FJ138" s="33"/>
      <c r="FK138" s="33"/>
      <c r="FL138" s="33"/>
      <c r="FM138" s="33"/>
      <c r="FN138" s="33"/>
      <c r="FO138" s="33"/>
      <c r="FP138" s="33"/>
      <c r="FQ138" s="33"/>
      <c r="FR138" s="33"/>
      <c r="FS138" s="33"/>
      <c r="FT138" s="33"/>
      <c r="FU138" s="33"/>
      <c r="FV138" s="33"/>
      <c r="FW138" s="33"/>
      <c r="FX138" s="33"/>
      <c r="FY138" s="33"/>
      <c r="FZ138" s="33"/>
      <c r="GA138" s="33"/>
      <c r="GB138" s="33"/>
      <c r="GC138" s="33"/>
      <c r="GD138" s="33"/>
      <c r="GE138" s="33"/>
      <c r="GF138" s="33"/>
      <c r="GG138" s="33"/>
      <c r="GH138" s="33"/>
      <c r="GI138" s="33"/>
      <c r="GJ138" s="33"/>
      <c r="GK138" s="33"/>
      <c r="GL138" s="33"/>
      <c r="GM138" s="33"/>
      <c r="GN138" s="33"/>
      <c r="GO138" s="33"/>
      <c r="GP138" s="33"/>
      <c r="GQ138" s="33"/>
      <c r="GR138" s="33"/>
      <c r="GS138" s="33"/>
      <c r="GT138" s="33"/>
      <c r="GU138" s="33"/>
      <c r="GV138" s="33"/>
      <c r="GW138" s="33"/>
      <c r="GX138" s="33"/>
      <c r="GY138" s="33"/>
      <c r="GZ138" s="33"/>
      <c r="HA138" s="33"/>
      <c r="HB138" s="33"/>
      <c r="HC138" s="33"/>
      <c r="HD138" s="33"/>
      <c r="HE138" s="33"/>
      <c r="HF138" s="33"/>
      <c r="HG138" s="33"/>
      <c r="HH138" s="33"/>
      <c r="HI138" s="33"/>
      <c r="HJ138" s="33"/>
      <c r="HK138" s="33"/>
      <c r="HL138" s="33"/>
      <c r="HM138" s="33"/>
      <c r="HN138" s="33"/>
      <c r="HO138" s="33"/>
      <c r="HP138" s="33"/>
      <c r="HQ138" s="33"/>
      <c r="HR138" s="33"/>
      <c r="HS138" s="33"/>
      <c r="HT138" s="33"/>
      <c r="HU138" s="33"/>
      <c r="HV138" s="33"/>
      <c r="HW138" s="33"/>
      <c r="HX138" s="33"/>
      <c r="HY138" s="33"/>
      <c r="HZ138" s="33"/>
      <c r="IA138" s="33"/>
      <c r="IB138" s="33"/>
      <c r="IC138" s="33"/>
      <c r="ID138" s="33"/>
      <c r="IE138" s="33"/>
      <c r="IF138" s="33"/>
      <c r="IG138" s="33"/>
      <c r="IH138" s="33"/>
      <c r="II138" s="33"/>
      <c r="IJ138" s="33"/>
      <c r="IK138" s="33"/>
      <c r="IL138" s="33"/>
      <c r="IM138" s="33"/>
      <c r="IN138" s="33"/>
      <c r="IO138" s="33"/>
      <c r="IP138" s="33"/>
      <c r="IQ138" s="33"/>
      <c r="IR138" s="33"/>
      <c r="IS138" s="33"/>
      <c r="IT138" s="33"/>
      <c r="IU138" s="33"/>
      <c r="IV138" s="33"/>
      <c r="IW138" s="33"/>
      <c r="IX138" s="33"/>
      <c r="IY138" s="33"/>
      <c r="IZ138" s="33"/>
      <c r="JA138" s="33"/>
      <c r="JB138" s="33"/>
      <c r="JC138" s="33"/>
      <c r="JD138" s="33"/>
      <c r="JE138" s="33"/>
      <c r="JF138" s="33"/>
      <c r="JG138" s="33"/>
      <c r="JH138" s="33"/>
      <c r="JI138" s="33"/>
      <c r="JJ138" s="33"/>
      <c r="JK138" s="33"/>
      <c r="JL138" s="33"/>
      <c r="JM138" s="33"/>
      <c r="JN138" s="33"/>
      <c r="JO138" s="33"/>
      <c r="JP138" s="33"/>
      <c r="JQ138" s="33"/>
      <c r="JR138" s="33"/>
      <c r="JS138" s="33"/>
      <c r="JT138" s="33"/>
      <c r="JU138" s="33"/>
      <c r="JV138" s="33"/>
      <c r="JW138" s="33"/>
      <c r="JX138" s="33"/>
      <c r="JY138" s="33"/>
      <c r="JZ138" s="33"/>
      <c r="KA138" s="33"/>
      <c r="KB138" s="33"/>
      <c r="KC138" s="33"/>
      <c r="KD138" s="33"/>
      <c r="KE138" s="33"/>
      <c r="KF138" s="33"/>
      <c r="KG138" s="33"/>
      <c r="KH138" s="33"/>
      <c r="KI138" s="33"/>
      <c r="KJ138" s="33"/>
      <c r="KK138" s="33"/>
      <c r="KL138" s="33"/>
      <c r="KM138" s="33"/>
      <c r="KN138" s="33"/>
      <c r="KO138" s="33"/>
      <c r="KP138" s="33"/>
      <c r="KQ138" s="33"/>
      <c r="KR138" s="33"/>
      <c r="KS138" s="33"/>
      <c r="KT138" s="33"/>
      <c r="KU138" s="33"/>
      <c r="KV138" s="33"/>
      <c r="KW138" s="33"/>
      <c r="KX138" s="33"/>
      <c r="KY138" s="33"/>
      <c r="KZ138" s="33"/>
      <c r="LA138" s="33"/>
      <c r="LB138" s="33"/>
      <c r="LC138" s="33"/>
      <c r="LD138" s="33"/>
      <c r="LE138" s="33"/>
      <c r="LF138" s="33"/>
      <c r="LG138" s="33"/>
      <c r="LH138" s="33"/>
      <c r="LI138" s="33"/>
      <c r="LJ138" s="33"/>
      <c r="LK138" s="33"/>
      <c r="LL138" s="33"/>
      <c r="LM138" s="33"/>
      <c r="LN138" s="33"/>
      <c r="LO138" s="33"/>
      <c r="LP138" s="33"/>
      <c r="LQ138" s="33"/>
      <c r="LR138" s="33"/>
      <c r="LS138" s="33"/>
      <c r="LT138" s="33"/>
      <c r="LU138" s="33"/>
      <c r="LV138" s="33"/>
      <c r="LW138" s="33"/>
      <c r="LX138" s="33"/>
      <c r="LY138" s="33"/>
      <c r="LZ138" s="33"/>
      <c r="MA138" s="33"/>
      <c r="MB138" s="33"/>
      <c r="MC138" s="33"/>
      <c r="MD138" s="33"/>
      <c r="ME138" s="33"/>
      <c r="MF138" s="33"/>
      <c r="MG138" s="33"/>
      <c r="MH138" s="33"/>
      <c r="MI138" s="33"/>
      <c r="MJ138" s="33"/>
      <c r="MK138" s="33"/>
      <c r="ML138" s="33"/>
      <c r="MM138" s="33"/>
      <c r="MN138" s="33"/>
      <c r="MO138" s="33"/>
      <c r="MP138" s="33"/>
      <c r="MQ138" s="33"/>
      <c r="MR138" s="33"/>
      <c r="MS138" s="33"/>
      <c r="MT138" s="33"/>
      <c r="MU138" s="33"/>
      <c r="MV138" s="33"/>
    </row>
    <row r="139" spans="1:360" ht="0.75" customHeight="1" x14ac:dyDescent="0.25">
      <c r="A139" s="33"/>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33"/>
      <c r="BT139" s="33"/>
      <c r="BU139" s="33"/>
      <c r="BV139" s="33"/>
      <c r="BW139" s="33"/>
      <c r="BX139" s="33"/>
      <c r="BY139" s="33"/>
      <c r="BZ139" s="33"/>
      <c r="CA139" s="33"/>
      <c r="CB139" s="33"/>
      <c r="CC139" s="33"/>
      <c r="CD139" s="33"/>
      <c r="CE139" s="33"/>
      <c r="CF139" s="33"/>
      <c r="CG139" s="33"/>
      <c r="CH139" s="33"/>
      <c r="CI139" s="33"/>
      <c r="CJ139" s="33"/>
      <c r="CK139" s="33"/>
      <c r="CL139" s="33"/>
      <c r="CM139" s="33"/>
      <c r="CN139" s="33"/>
      <c r="CO139" s="33"/>
      <c r="CP139" s="33"/>
      <c r="CQ139" s="33"/>
      <c r="CR139" s="33"/>
      <c r="CS139" s="33"/>
      <c r="CT139" s="33"/>
      <c r="CU139" s="33"/>
      <c r="CV139" s="33"/>
      <c r="CW139" s="33"/>
      <c r="CX139" s="33"/>
      <c r="CY139" s="33"/>
      <c r="CZ139" s="33"/>
      <c r="DA139" s="33"/>
      <c r="DB139" s="33"/>
      <c r="DC139" s="33"/>
      <c r="DD139" s="33"/>
      <c r="DE139" s="33"/>
      <c r="DF139" s="33"/>
      <c r="DG139" s="33"/>
      <c r="DH139" s="33"/>
      <c r="DI139" s="33"/>
      <c r="DJ139" s="33"/>
      <c r="DK139" s="33"/>
      <c r="DL139" s="33"/>
      <c r="DM139" s="33"/>
      <c r="DN139" s="33"/>
      <c r="DO139" s="33"/>
      <c r="DP139" s="33"/>
      <c r="DQ139" s="33"/>
      <c r="DR139" s="33"/>
      <c r="DS139" s="33"/>
      <c r="DT139" s="33"/>
      <c r="DU139" s="33"/>
      <c r="DV139" s="33"/>
      <c r="DW139" s="33"/>
      <c r="DX139" s="33"/>
      <c r="DY139" s="33"/>
      <c r="DZ139" s="33"/>
      <c r="EA139" s="33"/>
      <c r="EB139" s="33"/>
      <c r="EC139" s="33"/>
      <c r="ED139" s="33"/>
      <c r="EE139" s="33"/>
      <c r="EF139" s="33"/>
      <c r="EG139" s="33"/>
      <c r="EH139" s="33"/>
      <c r="EI139" s="33"/>
      <c r="EJ139" s="33"/>
      <c r="EK139" s="33"/>
      <c r="EL139" s="33"/>
      <c r="EM139" s="33"/>
      <c r="EN139" s="33"/>
      <c r="EO139" s="33"/>
      <c r="EP139" s="33"/>
      <c r="EQ139" s="33"/>
      <c r="ER139" s="33"/>
      <c r="ES139" s="33"/>
      <c r="ET139" s="33"/>
      <c r="EU139" s="33"/>
      <c r="EV139" s="33"/>
      <c r="EW139" s="33"/>
      <c r="EX139" s="33"/>
      <c r="EY139" s="33"/>
      <c r="EZ139" s="33"/>
      <c r="FA139" s="33"/>
      <c r="FB139" s="33"/>
      <c r="FC139" s="33"/>
      <c r="FD139" s="33"/>
      <c r="FE139" s="33"/>
      <c r="FF139" s="33"/>
      <c r="FG139" s="33"/>
      <c r="FH139" s="33"/>
      <c r="FI139" s="33"/>
      <c r="FJ139" s="33"/>
      <c r="FK139" s="33"/>
      <c r="FL139" s="33"/>
      <c r="FM139" s="33"/>
      <c r="FN139" s="33"/>
      <c r="FO139" s="33"/>
      <c r="FP139" s="33"/>
      <c r="FQ139" s="33"/>
      <c r="FR139" s="33"/>
      <c r="FS139" s="33"/>
      <c r="FT139" s="33"/>
      <c r="FU139" s="33"/>
      <c r="FV139" s="33"/>
      <c r="FW139" s="33"/>
      <c r="FX139" s="33"/>
      <c r="FY139" s="33"/>
      <c r="FZ139" s="33"/>
      <c r="GA139" s="33"/>
      <c r="GB139" s="33"/>
      <c r="GC139" s="33"/>
      <c r="GD139" s="33"/>
      <c r="GE139" s="33"/>
      <c r="GF139" s="33"/>
      <c r="GG139" s="33"/>
      <c r="GH139" s="33"/>
      <c r="GI139" s="33"/>
      <c r="GJ139" s="33"/>
      <c r="GK139" s="33"/>
      <c r="GL139" s="33"/>
      <c r="GM139" s="33"/>
      <c r="GN139" s="33"/>
      <c r="GO139" s="33"/>
      <c r="GP139" s="33"/>
      <c r="GQ139" s="33"/>
      <c r="GR139" s="33"/>
      <c r="GS139" s="33"/>
      <c r="GT139" s="33"/>
      <c r="GU139" s="33"/>
      <c r="GV139" s="33"/>
      <c r="GW139" s="33"/>
      <c r="GX139" s="33"/>
      <c r="GY139" s="33"/>
      <c r="GZ139" s="33"/>
      <c r="HA139" s="33"/>
      <c r="HB139" s="33"/>
      <c r="HC139" s="33"/>
      <c r="HD139" s="33"/>
      <c r="HE139" s="33"/>
      <c r="HF139" s="33"/>
      <c r="HG139" s="33"/>
      <c r="HH139" s="33"/>
      <c r="HI139" s="33"/>
      <c r="HJ139" s="33"/>
      <c r="HK139" s="33"/>
      <c r="HL139" s="33"/>
      <c r="HM139" s="33"/>
      <c r="HN139" s="33"/>
      <c r="HO139" s="33"/>
      <c r="HP139" s="33"/>
      <c r="HQ139" s="33"/>
      <c r="HR139" s="33"/>
      <c r="HS139" s="33"/>
      <c r="HT139" s="33"/>
      <c r="HU139" s="33"/>
      <c r="HV139" s="33"/>
      <c r="HW139" s="33"/>
      <c r="HX139" s="33"/>
      <c r="HY139" s="33"/>
      <c r="HZ139" s="33"/>
      <c r="IA139" s="33"/>
      <c r="IB139" s="33"/>
      <c r="IC139" s="33"/>
      <c r="ID139" s="33"/>
      <c r="IE139" s="33"/>
      <c r="IF139" s="33"/>
      <c r="IG139" s="33"/>
      <c r="IH139" s="33"/>
      <c r="II139" s="33"/>
      <c r="IJ139" s="33"/>
      <c r="IK139" s="33"/>
      <c r="IL139" s="33"/>
      <c r="IM139" s="33"/>
      <c r="IN139" s="33"/>
      <c r="IO139" s="33"/>
      <c r="IP139" s="33"/>
      <c r="IQ139" s="33"/>
      <c r="IR139" s="33"/>
      <c r="IS139" s="33"/>
      <c r="IT139" s="33"/>
      <c r="IU139" s="33"/>
      <c r="IV139" s="33"/>
      <c r="IW139" s="33"/>
      <c r="IX139" s="33"/>
      <c r="IY139" s="33"/>
      <c r="IZ139" s="33"/>
      <c r="JA139" s="33"/>
      <c r="JB139" s="33"/>
      <c r="JC139" s="33"/>
      <c r="JD139" s="33"/>
      <c r="JE139" s="33"/>
      <c r="JF139" s="33"/>
      <c r="JG139" s="33"/>
      <c r="JH139" s="33"/>
      <c r="JI139" s="33"/>
      <c r="JJ139" s="33"/>
      <c r="JK139" s="33"/>
      <c r="JL139" s="33"/>
      <c r="JM139" s="33"/>
      <c r="JN139" s="33"/>
      <c r="JO139" s="33"/>
      <c r="JP139" s="33"/>
      <c r="JQ139" s="33"/>
      <c r="JR139" s="33"/>
      <c r="JS139" s="33"/>
      <c r="JT139" s="33"/>
      <c r="JU139" s="33"/>
      <c r="JV139" s="33"/>
      <c r="JW139" s="33"/>
      <c r="JX139" s="33"/>
      <c r="JY139" s="33"/>
      <c r="JZ139" s="33"/>
      <c r="KA139" s="33"/>
      <c r="KB139" s="33"/>
      <c r="KC139" s="33"/>
      <c r="KD139" s="33"/>
      <c r="KE139" s="33"/>
      <c r="KF139" s="33"/>
      <c r="KG139" s="33"/>
      <c r="KH139" s="33"/>
      <c r="KI139" s="33"/>
      <c r="KJ139" s="33"/>
      <c r="KK139" s="33"/>
      <c r="KL139" s="33"/>
      <c r="KM139" s="33"/>
      <c r="KN139" s="33"/>
      <c r="KO139" s="33"/>
      <c r="KP139" s="33"/>
      <c r="KQ139" s="33"/>
      <c r="KR139" s="33"/>
      <c r="KS139" s="33"/>
      <c r="KT139" s="33"/>
      <c r="KU139" s="33"/>
      <c r="KV139" s="33"/>
      <c r="KW139" s="33"/>
      <c r="KX139" s="33"/>
      <c r="KY139" s="33"/>
      <c r="KZ139" s="33"/>
      <c r="LA139" s="33"/>
      <c r="LB139" s="33"/>
      <c r="LC139" s="33"/>
      <c r="LD139" s="33"/>
      <c r="LE139" s="33"/>
      <c r="LF139" s="33"/>
      <c r="LG139" s="33"/>
      <c r="LH139" s="33"/>
      <c r="LI139" s="33"/>
      <c r="LJ139" s="33"/>
      <c r="LK139" s="33"/>
      <c r="LL139" s="33"/>
      <c r="LM139" s="33"/>
      <c r="LN139" s="33"/>
      <c r="LO139" s="33"/>
      <c r="LP139" s="33"/>
      <c r="LQ139" s="33"/>
      <c r="LR139" s="33"/>
      <c r="LS139" s="33"/>
      <c r="LT139" s="33"/>
      <c r="LU139" s="33"/>
      <c r="LV139" s="33"/>
      <c r="LW139" s="33"/>
      <c r="LX139" s="33"/>
      <c r="LY139" s="33"/>
      <c r="LZ139" s="33"/>
      <c r="MA139" s="33"/>
      <c r="MB139" s="33"/>
      <c r="MC139" s="33"/>
      <c r="MD139" s="33"/>
      <c r="ME139" s="33"/>
      <c r="MF139" s="33"/>
      <c r="MG139" s="33"/>
      <c r="MH139" s="33"/>
      <c r="MI139" s="33"/>
      <c r="MJ139" s="33"/>
      <c r="MK139" s="33"/>
      <c r="ML139" s="33"/>
      <c r="MM139" s="33"/>
      <c r="MN139" s="33"/>
      <c r="MO139" s="33"/>
      <c r="MP139" s="33"/>
      <c r="MQ139" s="33"/>
      <c r="MR139" s="33"/>
      <c r="MS139" s="33"/>
      <c r="MT139" s="33"/>
      <c r="MU139" s="33"/>
      <c r="MV139" s="33"/>
    </row>
    <row r="140" spans="1:360" ht="0.75" customHeight="1" x14ac:dyDescent="0.25">
      <c r="A140" s="33"/>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c r="BS140" s="33"/>
      <c r="BT140" s="33"/>
      <c r="BU140" s="33"/>
      <c r="BV140" s="33"/>
      <c r="BW140" s="33"/>
      <c r="BX140" s="33"/>
      <c r="BY140" s="33"/>
      <c r="BZ140" s="33"/>
      <c r="CA140" s="33"/>
      <c r="CB140" s="33"/>
      <c r="CC140" s="33"/>
      <c r="CD140" s="33"/>
      <c r="CE140" s="33"/>
      <c r="CF140" s="33"/>
      <c r="CG140" s="33"/>
      <c r="CH140" s="33"/>
      <c r="CI140" s="33"/>
      <c r="CJ140" s="33"/>
      <c r="CK140" s="33"/>
      <c r="CL140" s="33"/>
      <c r="CM140" s="33"/>
      <c r="CN140" s="33"/>
      <c r="CO140" s="33"/>
      <c r="CP140" s="33"/>
      <c r="CQ140" s="33"/>
      <c r="CR140" s="33"/>
      <c r="CS140" s="33"/>
      <c r="CT140" s="33"/>
      <c r="CU140" s="33"/>
      <c r="CV140" s="33"/>
      <c r="CW140" s="33"/>
      <c r="CX140" s="33"/>
      <c r="CY140" s="33"/>
      <c r="CZ140" s="33"/>
      <c r="DA140" s="33"/>
      <c r="DB140" s="33"/>
      <c r="DC140" s="33"/>
      <c r="DD140" s="33"/>
      <c r="DE140" s="33"/>
      <c r="DF140" s="33"/>
      <c r="DG140" s="33"/>
      <c r="DH140" s="33"/>
      <c r="DI140" s="33"/>
      <c r="DJ140" s="33"/>
      <c r="DK140" s="33"/>
      <c r="DL140" s="33"/>
      <c r="DM140" s="33"/>
      <c r="DN140" s="33"/>
      <c r="DO140" s="33"/>
      <c r="DP140" s="33"/>
      <c r="DQ140" s="33"/>
      <c r="DR140" s="33"/>
      <c r="DS140" s="33"/>
      <c r="DT140" s="33"/>
      <c r="DU140" s="33"/>
      <c r="DV140" s="33"/>
      <c r="DW140" s="33"/>
      <c r="DX140" s="33"/>
      <c r="DY140" s="33"/>
      <c r="DZ140" s="33"/>
      <c r="EA140" s="33"/>
      <c r="EB140" s="33"/>
      <c r="EC140" s="33"/>
      <c r="ED140" s="33"/>
      <c r="EE140" s="33"/>
      <c r="EF140" s="33"/>
      <c r="EG140" s="33"/>
      <c r="EH140" s="33"/>
      <c r="EI140" s="33"/>
      <c r="EJ140" s="33"/>
      <c r="EK140" s="33"/>
      <c r="EL140" s="33"/>
      <c r="EM140" s="33"/>
      <c r="EN140" s="33"/>
      <c r="EO140" s="33"/>
      <c r="EP140" s="33"/>
      <c r="EQ140" s="33"/>
      <c r="ER140" s="33"/>
      <c r="ES140" s="33"/>
      <c r="ET140" s="33"/>
      <c r="EU140" s="33"/>
      <c r="EV140" s="33"/>
      <c r="EW140" s="33"/>
      <c r="EX140" s="33"/>
      <c r="EY140" s="33"/>
      <c r="EZ140" s="33"/>
      <c r="FA140" s="33"/>
      <c r="FB140" s="33"/>
      <c r="FC140" s="33"/>
      <c r="FD140" s="33"/>
      <c r="FE140" s="33"/>
      <c r="FF140" s="33"/>
      <c r="FG140" s="33"/>
      <c r="FH140" s="33"/>
      <c r="FI140" s="33"/>
      <c r="FJ140" s="33"/>
      <c r="FK140" s="33"/>
      <c r="FL140" s="33"/>
      <c r="FM140" s="33"/>
      <c r="FN140" s="33"/>
      <c r="FO140" s="33"/>
      <c r="FP140" s="33"/>
      <c r="FQ140" s="33"/>
      <c r="FR140" s="33"/>
      <c r="FS140" s="33"/>
      <c r="FT140" s="33"/>
      <c r="FU140" s="33"/>
      <c r="FV140" s="33"/>
      <c r="FW140" s="33"/>
      <c r="FX140" s="33"/>
      <c r="FY140" s="33"/>
      <c r="FZ140" s="33"/>
      <c r="GA140" s="33"/>
      <c r="GB140" s="33"/>
      <c r="GC140" s="33"/>
      <c r="GD140" s="33"/>
      <c r="GE140" s="33"/>
      <c r="GF140" s="33"/>
      <c r="GG140" s="33"/>
      <c r="GH140" s="33"/>
      <c r="GI140" s="33"/>
      <c r="GJ140" s="33"/>
      <c r="GK140" s="33"/>
      <c r="GL140" s="33"/>
      <c r="GM140" s="33"/>
      <c r="GN140" s="33"/>
      <c r="GO140" s="33"/>
      <c r="GP140" s="33"/>
      <c r="GQ140" s="33"/>
      <c r="GR140" s="33"/>
      <c r="GS140" s="33"/>
      <c r="GT140" s="33"/>
      <c r="GU140" s="33"/>
      <c r="GV140" s="33"/>
      <c r="GW140" s="33"/>
      <c r="GX140" s="33"/>
      <c r="GY140" s="33"/>
      <c r="GZ140" s="33"/>
      <c r="HA140" s="33"/>
      <c r="HB140" s="33"/>
      <c r="HC140" s="33"/>
      <c r="HD140" s="33"/>
      <c r="HE140" s="33"/>
      <c r="HF140" s="33"/>
      <c r="HG140" s="33"/>
      <c r="HH140" s="33"/>
      <c r="HI140" s="33"/>
      <c r="HJ140" s="33"/>
      <c r="HK140" s="33"/>
      <c r="HL140" s="33"/>
      <c r="HM140" s="33"/>
      <c r="HN140" s="33"/>
      <c r="HO140" s="33"/>
      <c r="HP140" s="33"/>
      <c r="HQ140" s="33"/>
      <c r="HR140" s="33"/>
      <c r="HS140" s="33"/>
      <c r="HT140" s="33"/>
      <c r="HU140" s="33"/>
      <c r="HV140" s="33"/>
      <c r="HW140" s="33"/>
      <c r="HX140" s="33"/>
      <c r="HY140" s="33"/>
      <c r="HZ140" s="33"/>
      <c r="IA140" s="33"/>
      <c r="IB140" s="33"/>
      <c r="IC140" s="33"/>
      <c r="ID140" s="33"/>
      <c r="IE140" s="33"/>
      <c r="IF140" s="33"/>
      <c r="IG140" s="33"/>
      <c r="IH140" s="33"/>
      <c r="II140" s="33"/>
      <c r="IJ140" s="33"/>
      <c r="IK140" s="33"/>
      <c r="IL140" s="33"/>
      <c r="IM140" s="33"/>
      <c r="IN140" s="33"/>
      <c r="IO140" s="33"/>
      <c r="IP140" s="33"/>
      <c r="IQ140" s="33"/>
      <c r="IR140" s="33"/>
      <c r="IS140" s="33"/>
      <c r="IT140" s="33"/>
      <c r="IU140" s="33"/>
      <c r="IV140" s="33"/>
      <c r="IW140" s="33"/>
      <c r="IX140" s="33"/>
      <c r="IY140" s="33"/>
      <c r="IZ140" s="33"/>
      <c r="JA140" s="33"/>
      <c r="JB140" s="33"/>
      <c r="JC140" s="33"/>
      <c r="JD140" s="33"/>
      <c r="JE140" s="33"/>
      <c r="JF140" s="33"/>
      <c r="JG140" s="33"/>
      <c r="JH140" s="33"/>
      <c r="JI140" s="33"/>
      <c r="JJ140" s="33"/>
      <c r="JK140" s="33"/>
      <c r="JL140" s="33"/>
      <c r="JM140" s="33"/>
      <c r="JN140" s="33"/>
      <c r="JO140" s="33"/>
      <c r="JP140" s="33"/>
      <c r="JQ140" s="33"/>
      <c r="JR140" s="33"/>
      <c r="JS140" s="33"/>
      <c r="JT140" s="33"/>
      <c r="JU140" s="33"/>
      <c r="JV140" s="33"/>
      <c r="JW140" s="33"/>
      <c r="JX140" s="33"/>
      <c r="JY140" s="33"/>
      <c r="JZ140" s="33"/>
      <c r="KA140" s="33"/>
      <c r="KB140" s="33"/>
      <c r="KC140" s="33"/>
      <c r="KD140" s="33"/>
      <c r="KE140" s="33"/>
      <c r="KF140" s="33"/>
      <c r="KG140" s="33"/>
      <c r="KH140" s="33"/>
      <c r="KI140" s="33"/>
      <c r="KJ140" s="33"/>
      <c r="KK140" s="33"/>
      <c r="KL140" s="33"/>
      <c r="KM140" s="33"/>
      <c r="KN140" s="33"/>
      <c r="KO140" s="33"/>
      <c r="KP140" s="33"/>
      <c r="KQ140" s="33"/>
      <c r="KR140" s="33"/>
      <c r="KS140" s="33"/>
      <c r="KT140" s="33"/>
      <c r="KU140" s="33"/>
      <c r="KV140" s="33"/>
      <c r="KW140" s="33"/>
      <c r="KX140" s="33"/>
      <c r="KY140" s="33"/>
      <c r="KZ140" s="33"/>
      <c r="LA140" s="33"/>
      <c r="LB140" s="33"/>
      <c r="LC140" s="33"/>
      <c r="LD140" s="33"/>
      <c r="LE140" s="33"/>
      <c r="LF140" s="33"/>
      <c r="LG140" s="33"/>
      <c r="LH140" s="33"/>
      <c r="LI140" s="33"/>
      <c r="LJ140" s="33"/>
      <c r="LK140" s="33"/>
      <c r="LL140" s="33"/>
      <c r="LM140" s="33"/>
      <c r="LN140" s="33"/>
      <c r="LO140" s="33"/>
      <c r="LP140" s="33"/>
      <c r="LQ140" s="33"/>
      <c r="LR140" s="33"/>
      <c r="LS140" s="33"/>
      <c r="LT140" s="33"/>
      <c r="LU140" s="33"/>
      <c r="LV140" s="33"/>
      <c r="LW140" s="33"/>
      <c r="LX140" s="33"/>
      <c r="LY140" s="33"/>
      <c r="LZ140" s="33"/>
      <c r="MA140" s="33"/>
      <c r="MB140" s="33"/>
      <c r="MC140" s="33"/>
      <c r="MD140" s="33"/>
      <c r="ME140" s="33"/>
      <c r="MF140" s="33"/>
      <c r="MG140" s="33"/>
      <c r="MH140" s="33"/>
      <c r="MI140" s="33"/>
      <c r="MJ140" s="33"/>
      <c r="MK140" s="33"/>
      <c r="ML140" s="33"/>
      <c r="MM140" s="33"/>
      <c r="MN140" s="33"/>
      <c r="MO140" s="33"/>
      <c r="MP140" s="33"/>
      <c r="MQ140" s="33"/>
      <c r="MR140" s="33"/>
      <c r="MS140" s="33"/>
      <c r="MT140" s="33"/>
      <c r="MU140" s="33"/>
      <c r="MV140" s="33"/>
    </row>
    <row r="141" spans="1:360" ht="0.75" customHeight="1" x14ac:dyDescent="0.25">
      <c r="A141" s="33"/>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33"/>
      <c r="BT141" s="33"/>
      <c r="BU141" s="33"/>
      <c r="BV141" s="33"/>
      <c r="BW141" s="33"/>
      <c r="BX141" s="33"/>
      <c r="BY141" s="33"/>
      <c r="BZ141" s="33"/>
      <c r="CA141" s="33"/>
      <c r="CB141" s="33"/>
      <c r="CC141" s="33"/>
      <c r="CD141" s="33"/>
      <c r="CE141" s="33"/>
      <c r="CF141" s="33"/>
      <c r="CG141" s="33"/>
      <c r="CH141" s="33"/>
      <c r="CI141" s="33"/>
      <c r="CJ141" s="33"/>
      <c r="CK141" s="33"/>
      <c r="CL141" s="33"/>
      <c r="CM141" s="33"/>
      <c r="CN141" s="33"/>
      <c r="CO141" s="33"/>
      <c r="CP141" s="33"/>
      <c r="CQ141" s="33"/>
      <c r="CR141" s="33"/>
      <c r="CS141" s="33"/>
      <c r="CT141" s="33"/>
      <c r="CU141" s="33"/>
      <c r="CV141" s="33"/>
      <c r="CW141" s="33"/>
      <c r="CX141" s="33"/>
      <c r="CY141" s="33"/>
      <c r="CZ141" s="33"/>
      <c r="DA141" s="33"/>
      <c r="DB141" s="33"/>
      <c r="DC141" s="33"/>
      <c r="DD141" s="33"/>
      <c r="DE141" s="33"/>
      <c r="DF141" s="33"/>
      <c r="DG141" s="33"/>
      <c r="DH141" s="33"/>
      <c r="DI141" s="33"/>
      <c r="DJ141" s="33"/>
      <c r="DK141" s="33"/>
      <c r="DL141" s="33"/>
      <c r="DM141" s="33"/>
      <c r="DN141" s="33"/>
      <c r="DO141" s="33"/>
      <c r="DP141" s="33"/>
      <c r="DQ141" s="33"/>
      <c r="DR141" s="33"/>
      <c r="DS141" s="33"/>
      <c r="DT141" s="33"/>
      <c r="DU141" s="33"/>
      <c r="DV141" s="33"/>
      <c r="DW141" s="33"/>
      <c r="DX141" s="33"/>
      <c r="DY141" s="33"/>
      <c r="DZ141" s="33"/>
      <c r="EA141" s="33"/>
      <c r="EB141" s="33"/>
      <c r="EC141" s="33"/>
      <c r="ED141" s="33"/>
      <c r="EE141" s="33"/>
      <c r="EF141" s="33"/>
      <c r="EG141" s="33"/>
      <c r="EH141" s="33"/>
      <c r="EI141" s="33"/>
      <c r="EJ141" s="33"/>
      <c r="EK141" s="33"/>
      <c r="EL141" s="33"/>
      <c r="EM141" s="33"/>
      <c r="EN141" s="33"/>
      <c r="EO141" s="33"/>
      <c r="EP141" s="33"/>
      <c r="EQ141" s="33"/>
      <c r="ER141" s="33"/>
      <c r="ES141" s="33"/>
      <c r="ET141" s="33"/>
      <c r="EU141" s="33"/>
      <c r="EV141" s="33"/>
      <c r="EW141" s="33"/>
      <c r="EX141" s="33"/>
      <c r="EY141" s="33"/>
      <c r="EZ141" s="33"/>
      <c r="FA141" s="33"/>
      <c r="FB141" s="33"/>
      <c r="FC141" s="33"/>
      <c r="FD141" s="33"/>
      <c r="FE141" s="33"/>
      <c r="FF141" s="33"/>
      <c r="FG141" s="33"/>
      <c r="FH141" s="33"/>
      <c r="FI141" s="33"/>
      <c r="FJ141" s="33"/>
      <c r="FK141" s="33"/>
      <c r="FL141" s="33"/>
      <c r="FM141" s="33"/>
      <c r="FN141" s="33"/>
      <c r="FO141" s="33"/>
      <c r="FP141" s="33"/>
      <c r="FQ141" s="33"/>
      <c r="FR141" s="33"/>
      <c r="FS141" s="33"/>
      <c r="FT141" s="33"/>
      <c r="FU141" s="33"/>
      <c r="FV141" s="33"/>
      <c r="FW141" s="33"/>
      <c r="FX141" s="33"/>
      <c r="FY141" s="33"/>
      <c r="FZ141" s="33"/>
      <c r="GA141" s="33"/>
      <c r="GB141" s="33"/>
      <c r="GC141" s="33"/>
      <c r="GD141" s="33"/>
      <c r="GE141" s="33"/>
      <c r="GF141" s="33"/>
      <c r="GG141" s="33"/>
      <c r="GH141" s="33"/>
      <c r="GI141" s="33"/>
      <c r="GJ141" s="33"/>
      <c r="GK141" s="33"/>
      <c r="GL141" s="33"/>
      <c r="GM141" s="33"/>
      <c r="GN141" s="33"/>
      <c r="GO141" s="33"/>
      <c r="GP141" s="33"/>
      <c r="GQ141" s="33"/>
      <c r="GR141" s="33"/>
      <c r="GS141" s="33"/>
      <c r="GT141" s="33"/>
      <c r="GU141" s="33"/>
      <c r="GV141" s="33"/>
      <c r="GW141" s="33"/>
      <c r="GX141" s="33"/>
      <c r="GY141" s="33"/>
      <c r="GZ141" s="33"/>
      <c r="HA141" s="33"/>
      <c r="HB141" s="33"/>
      <c r="HC141" s="33"/>
      <c r="HD141" s="33"/>
      <c r="HE141" s="33"/>
      <c r="HF141" s="33"/>
      <c r="HG141" s="33"/>
      <c r="HH141" s="33"/>
      <c r="HI141" s="33"/>
      <c r="HJ141" s="33"/>
      <c r="HK141" s="33"/>
      <c r="HL141" s="33"/>
      <c r="HM141" s="33"/>
      <c r="HN141" s="33"/>
      <c r="HO141" s="33"/>
      <c r="HP141" s="33"/>
      <c r="HQ141" s="33"/>
      <c r="HR141" s="33"/>
      <c r="HS141" s="33"/>
      <c r="HT141" s="33"/>
      <c r="HU141" s="33"/>
      <c r="HV141" s="33"/>
      <c r="HW141" s="33"/>
      <c r="HX141" s="33"/>
      <c r="HY141" s="33"/>
      <c r="HZ141" s="33"/>
      <c r="IA141" s="33"/>
      <c r="IB141" s="33"/>
      <c r="IC141" s="33"/>
      <c r="ID141" s="33"/>
      <c r="IE141" s="33"/>
      <c r="IF141" s="33"/>
      <c r="IG141" s="33"/>
      <c r="IH141" s="33"/>
      <c r="II141" s="33"/>
      <c r="IJ141" s="33"/>
      <c r="IK141" s="33"/>
      <c r="IL141" s="33"/>
      <c r="IM141" s="33"/>
      <c r="IN141" s="33"/>
      <c r="IO141" s="33"/>
      <c r="IP141" s="33"/>
      <c r="IQ141" s="33"/>
      <c r="IR141" s="33"/>
      <c r="IS141" s="33"/>
      <c r="IT141" s="33"/>
      <c r="IU141" s="33"/>
      <c r="IV141" s="33"/>
      <c r="IW141" s="33"/>
      <c r="IX141" s="33"/>
      <c r="IY141" s="33"/>
      <c r="IZ141" s="33"/>
      <c r="JA141" s="33"/>
      <c r="JB141" s="33"/>
      <c r="JC141" s="33"/>
      <c r="JD141" s="33"/>
      <c r="JE141" s="33"/>
      <c r="JF141" s="33"/>
      <c r="JG141" s="33"/>
      <c r="JH141" s="33"/>
      <c r="JI141" s="33"/>
      <c r="JJ141" s="33"/>
      <c r="JK141" s="33"/>
      <c r="JL141" s="33"/>
      <c r="JM141" s="33"/>
      <c r="JN141" s="33"/>
      <c r="JO141" s="33"/>
      <c r="JP141" s="33"/>
      <c r="JQ141" s="33"/>
      <c r="JR141" s="33"/>
      <c r="JS141" s="33"/>
      <c r="JT141" s="33"/>
      <c r="JU141" s="33"/>
      <c r="JV141" s="33"/>
      <c r="JW141" s="33"/>
      <c r="JX141" s="33"/>
      <c r="JY141" s="33"/>
      <c r="JZ141" s="33"/>
      <c r="KA141" s="33"/>
      <c r="KB141" s="33"/>
      <c r="KC141" s="33"/>
      <c r="KD141" s="33"/>
      <c r="KE141" s="33"/>
      <c r="KF141" s="33"/>
      <c r="KG141" s="33"/>
      <c r="KH141" s="33"/>
      <c r="KI141" s="33"/>
      <c r="KJ141" s="33"/>
      <c r="KK141" s="33"/>
      <c r="KL141" s="33"/>
      <c r="KM141" s="33"/>
      <c r="KN141" s="33"/>
      <c r="KO141" s="33"/>
      <c r="KP141" s="33"/>
      <c r="KQ141" s="33"/>
      <c r="KR141" s="33"/>
      <c r="KS141" s="33"/>
      <c r="KT141" s="33"/>
      <c r="KU141" s="33"/>
      <c r="KV141" s="33"/>
      <c r="KW141" s="33"/>
      <c r="KX141" s="33"/>
      <c r="KY141" s="33"/>
      <c r="KZ141" s="33"/>
      <c r="LA141" s="33"/>
      <c r="LB141" s="33"/>
      <c r="LC141" s="33"/>
      <c r="LD141" s="33"/>
      <c r="LE141" s="33"/>
      <c r="LF141" s="33"/>
      <c r="LG141" s="33"/>
      <c r="LH141" s="33"/>
      <c r="LI141" s="33"/>
      <c r="LJ141" s="33"/>
      <c r="LK141" s="33"/>
      <c r="LL141" s="33"/>
      <c r="LM141" s="33"/>
      <c r="LN141" s="33"/>
      <c r="LO141" s="33"/>
      <c r="LP141" s="33"/>
      <c r="LQ141" s="33"/>
      <c r="LR141" s="33"/>
      <c r="LS141" s="33"/>
      <c r="LT141" s="33"/>
      <c r="LU141" s="33"/>
      <c r="LV141" s="33"/>
      <c r="LW141" s="33"/>
      <c r="LX141" s="33"/>
      <c r="LY141" s="33"/>
      <c r="LZ141" s="33"/>
      <c r="MA141" s="33"/>
      <c r="MB141" s="33"/>
      <c r="MC141" s="33"/>
      <c r="MD141" s="33"/>
      <c r="ME141" s="33"/>
      <c r="MF141" s="33"/>
      <c r="MG141" s="33"/>
      <c r="MH141" s="33"/>
      <c r="MI141" s="33"/>
      <c r="MJ141" s="33"/>
      <c r="MK141" s="33"/>
      <c r="ML141" s="33"/>
      <c r="MM141" s="33"/>
      <c r="MN141" s="33"/>
      <c r="MO141" s="33"/>
      <c r="MP141" s="33"/>
      <c r="MQ141" s="33"/>
      <c r="MR141" s="33"/>
      <c r="MS141" s="33"/>
      <c r="MT141" s="33"/>
      <c r="MU141" s="33"/>
      <c r="MV141" s="33"/>
    </row>
    <row r="142" spans="1:360" ht="0.75" customHeight="1" x14ac:dyDescent="0.25">
      <c r="A142" s="33"/>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33"/>
      <c r="BT142" s="33"/>
      <c r="BU142" s="33"/>
      <c r="BV142" s="33"/>
      <c r="BW142" s="33"/>
      <c r="BX142" s="33"/>
      <c r="BY142" s="33"/>
      <c r="BZ142" s="33"/>
      <c r="CA142" s="33"/>
      <c r="CB142" s="33"/>
      <c r="CC142" s="33"/>
      <c r="CD142" s="33"/>
      <c r="CE142" s="33"/>
      <c r="CF142" s="33"/>
      <c r="CG142" s="33"/>
      <c r="CH142" s="33"/>
      <c r="CI142" s="33"/>
      <c r="CJ142" s="33"/>
      <c r="CK142" s="33"/>
      <c r="CL142" s="33"/>
      <c r="CM142" s="33"/>
      <c r="CN142" s="33"/>
      <c r="CO142" s="33"/>
      <c r="CP142" s="33"/>
      <c r="CQ142" s="33"/>
      <c r="CR142" s="33"/>
      <c r="CS142" s="33"/>
      <c r="CT142" s="33"/>
      <c r="CU142" s="33"/>
      <c r="CV142" s="33"/>
      <c r="CW142" s="33"/>
      <c r="CX142" s="33"/>
      <c r="CY142" s="33"/>
      <c r="CZ142" s="33"/>
      <c r="DA142" s="33"/>
      <c r="DB142" s="33"/>
      <c r="DC142" s="33"/>
      <c r="DD142" s="33"/>
      <c r="DE142" s="33"/>
      <c r="DF142" s="33"/>
      <c r="DG142" s="33"/>
      <c r="DH142" s="33"/>
      <c r="DI142" s="33"/>
      <c r="DJ142" s="33"/>
      <c r="DK142" s="33"/>
      <c r="DL142" s="33"/>
      <c r="DM142" s="33"/>
      <c r="DN142" s="33"/>
      <c r="DO142" s="33"/>
      <c r="DP142" s="33"/>
      <c r="DQ142" s="33"/>
      <c r="DR142" s="33"/>
      <c r="DS142" s="33"/>
      <c r="DT142" s="33"/>
      <c r="DU142" s="33"/>
      <c r="DV142" s="33"/>
      <c r="DW142" s="33"/>
      <c r="DX142" s="33"/>
      <c r="DY142" s="33"/>
      <c r="DZ142" s="33"/>
      <c r="EA142" s="33"/>
      <c r="EB142" s="33"/>
      <c r="EC142" s="33"/>
      <c r="ED142" s="33"/>
      <c r="EE142" s="33"/>
      <c r="EF142" s="33"/>
      <c r="EG142" s="33"/>
      <c r="EH142" s="33"/>
      <c r="EI142" s="33"/>
      <c r="EJ142" s="33"/>
      <c r="EK142" s="33"/>
      <c r="EL142" s="33"/>
      <c r="EM142" s="33"/>
      <c r="EN142" s="33"/>
      <c r="EO142" s="33"/>
      <c r="EP142" s="33"/>
      <c r="EQ142" s="33"/>
      <c r="ER142" s="33"/>
      <c r="ES142" s="33"/>
      <c r="ET142" s="33"/>
      <c r="EU142" s="33"/>
      <c r="EV142" s="33"/>
      <c r="EW142" s="33"/>
      <c r="EX142" s="33"/>
      <c r="EY142" s="33"/>
      <c r="EZ142" s="33"/>
      <c r="FA142" s="33"/>
      <c r="FB142" s="33"/>
      <c r="FC142" s="33"/>
      <c r="FD142" s="33"/>
      <c r="FE142" s="33"/>
      <c r="FF142" s="33"/>
      <c r="FG142" s="33"/>
      <c r="FH142" s="33"/>
      <c r="FI142" s="33"/>
      <c r="FJ142" s="33"/>
      <c r="FK142" s="33"/>
      <c r="FL142" s="33"/>
      <c r="FM142" s="33"/>
      <c r="FN142" s="33"/>
      <c r="FO142" s="33"/>
      <c r="FP142" s="33"/>
      <c r="FQ142" s="33"/>
      <c r="FR142" s="33"/>
      <c r="FS142" s="33"/>
      <c r="FT142" s="33"/>
      <c r="FU142" s="33"/>
      <c r="FV142" s="33"/>
      <c r="FW142" s="33"/>
      <c r="FX142" s="33"/>
      <c r="FY142" s="33"/>
      <c r="FZ142" s="33"/>
      <c r="GA142" s="33"/>
      <c r="GB142" s="33"/>
      <c r="GC142" s="33"/>
      <c r="GD142" s="33"/>
      <c r="GE142" s="33"/>
      <c r="GF142" s="33"/>
      <c r="GG142" s="33"/>
      <c r="GH142" s="33"/>
      <c r="GI142" s="33"/>
      <c r="GJ142" s="33"/>
      <c r="GK142" s="33"/>
      <c r="GL142" s="33"/>
      <c r="GM142" s="33"/>
      <c r="GN142" s="33"/>
      <c r="GO142" s="33"/>
      <c r="GP142" s="33"/>
      <c r="GQ142" s="33"/>
      <c r="GR142" s="33"/>
      <c r="GS142" s="33"/>
      <c r="GT142" s="33"/>
      <c r="GU142" s="33"/>
      <c r="GV142" s="33"/>
      <c r="GW142" s="33"/>
      <c r="GX142" s="33"/>
      <c r="GY142" s="33"/>
      <c r="GZ142" s="33"/>
      <c r="HA142" s="33"/>
      <c r="HB142" s="33"/>
      <c r="HC142" s="33"/>
      <c r="HD142" s="33"/>
      <c r="HE142" s="33"/>
      <c r="HF142" s="33"/>
      <c r="HG142" s="33"/>
      <c r="HH142" s="33"/>
      <c r="HI142" s="33"/>
      <c r="HJ142" s="33"/>
      <c r="HK142" s="33"/>
      <c r="HL142" s="33"/>
      <c r="HM142" s="33"/>
      <c r="HN142" s="33"/>
      <c r="HO142" s="33"/>
      <c r="HP142" s="33"/>
      <c r="HQ142" s="33"/>
      <c r="HR142" s="33"/>
      <c r="HS142" s="33"/>
      <c r="HT142" s="33"/>
      <c r="HU142" s="33"/>
      <c r="HV142" s="33"/>
      <c r="HW142" s="33"/>
      <c r="HX142" s="33"/>
      <c r="HY142" s="33"/>
      <c r="HZ142" s="33"/>
      <c r="IA142" s="33"/>
      <c r="IB142" s="33"/>
      <c r="IC142" s="33"/>
      <c r="ID142" s="33"/>
      <c r="IE142" s="33"/>
      <c r="IF142" s="33"/>
      <c r="IG142" s="33"/>
      <c r="IH142" s="33"/>
      <c r="II142" s="33"/>
      <c r="IJ142" s="33"/>
      <c r="IK142" s="33"/>
      <c r="IL142" s="33"/>
      <c r="IM142" s="33"/>
      <c r="IN142" s="33"/>
      <c r="IO142" s="33"/>
      <c r="IP142" s="33"/>
      <c r="IQ142" s="33"/>
      <c r="IR142" s="33"/>
      <c r="IS142" s="33"/>
      <c r="IT142" s="33"/>
      <c r="IU142" s="33"/>
      <c r="IV142" s="33"/>
      <c r="IW142" s="33"/>
      <c r="IX142" s="33"/>
      <c r="IY142" s="33"/>
      <c r="IZ142" s="33"/>
      <c r="JA142" s="33"/>
      <c r="JB142" s="33"/>
      <c r="JC142" s="33"/>
      <c r="JD142" s="33"/>
      <c r="JE142" s="33"/>
      <c r="JF142" s="33"/>
      <c r="JG142" s="33"/>
      <c r="JH142" s="33"/>
      <c r="JI142" s="33"/>
      <c r="JJ142" s="33"/>
      <c r="JK142" s="33"/>
      <c r="JL142" s="33"/>
      <c r="JM142" s="33"/>
      <c r="JN142" s="33"/>
      <c r="JO142" s="33"/>
      <c r="JP142" s="33"/>
      <c r="JQ142" s="33"/>
      <c r="JR142" s="33"/>
      <c r="JS142" s="33"/>
      <c r="JT142" s="33"/>
      <c r="JU142" s="33"/>
      <c r="JV142" s="33"/>
      <c r="JW142" s="33"/>
      <c r="JX142" s="33"/>
      <c r="JY142" s="33"/>
      <c r="JZ142" s="33"/>
      <c r="KA142" s="33"/>
      <c r="KB142" s="33"/>
      <c r="KC142" s="33"/>
      <c r="KD142" s="33"/>
      <c r="KE142" s="33"/>
      <c r="KF142" s="33"/>
      <c r="KG142" s="33"/>
      <c r="KH142" s="33"/>
      <c r="KI142" s="33"/>
      <c r="KJ142" s="33"/>
      <c r="KK142" s="33"/>
      <c r="KL142" s="33"/>
      <c r="KM142" s="33"/>
      <c r="KN142" s="33"/>
      <c r="KO142" s="33"/>
      <c r="KP142" s="33"/>
      <c r="KQ142" s="33"/>
      <c r="KR142" s="33"/>
      <c r="KS142" s="33"/>
      <c r="KT142" s="33"/>
      <c r="KU142" s="33"/>
      <c r="KV142" s="33"/>
      <c r="KW142" s="33"/>
      <c r="KX142" s="33"/>
      <c r="KY142" s="33"/>
      <c r="KZ142" s="33"/>
      <c r="LA142" s="33"/>
      <c r="LB142" s="33"/>
      <c r="LC142" s="33"/>
      <c r="LD142" s="33"/>
      <c r="LE142" s="33"/>
      <c r="LF142" s="33"/>
      <c r="LG142" s="33"/>
      <c r="LH142" s="33"/>
      <c r="LI142" s="33"/>
      <c r="LJ142" s="33"/>
      <c r="LK142" s="33"/>
      <c r="LL142" s="33"/>
      <c r="LM142" s="33"/>
      <c r="LN142" s="33"/>
      <c r="LO142" s="33"/>
      <c r="LP142" s="33"/>
      <c r="LQ142" s="33"/>
      <c r="LR142" s="33"/>
      <c r="LS142" s="33"/>
      <c r="LT142" s="33"/>
      <c r="LU142" s="33"/>
      <c r="LV142" s="33"/>
      <c r="LW142" s="33"/>
      <c r="LX142" s="33"/>
      <c r="LY142" s="33"/>
      <c r="LZ142" s="33"/>
      <c r="MA142" s="33"/>
      <c r="MB142" s="33"/>
      <c r="MC142" s="33"/>
      <c r="MD142" s="33"/>
      <c r="ME142" s="33"/>
      <c r="MF142" s="33"/>
      <c r="MG142" s="33"/>
      <c r="MH142" s="33"/>
      <c r="MI142" s="33"/>
      <c r="MJ142" s="33"/>
      <c r="MK142" s="33"/>
      <c r="ML142" s="33"/>
      <c r="MM142" s="33"/>
      <c r="MN142" s="33"/>
      <c r="MO142" s="33"/>
      <c r="MP142" s="33"/>
      <c r="MQ142" s="33"/>
      <c r="MR142" s="33"/>
      <c r="MS142" s="33"/>
      <c r="MT142" s="33"/>
      <c r="MU142" s="33"/>
      <c r="MV142" s="33"/>
    </row>
    <row r="143" spans="1:360" ht="0.75" customHeight="1" x14ac:dyDescent="0.25">
      <c r="A143" s="33"/>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33"/>
      <c r="BT143" s="33"/>
      <c r="BU143" s="33"/>
      <c r="BV143" s="33"/>
      <c r="BW143" s="33"/>
      <c r="BX143" s="33"/>
      <c r="BY143" s="33"/>
      <c r="BZ143" s="33"/>
      <c r="CA143" s="33"/>
      <c r="CB143" s="33"/>
      <c r="CC143" s="33"/>
      <c r="CD143" s="33"/>
      <c r="CE143" s="33"/>
      <c r="CF143" s="33"/>
      <c r="CG143" s="33"/>
      <c r="CH143" s="33"/>
      <c r="CI143" s="33"/>
      <c r="CJ143" s="33"/>
      <c r="CK143" s="33"/>
      <c r="CL143" s="33"/>
      <c r="CM143" s="33"/>
      <c r="CN143" s="33"/>
      <c r="CO143" s="33"/>
      <c r="CP143" s="33"/>
      <c r="CQ143" s="33"/>
      <c r="CR143" s="33"/>
      <c r="CS143" s="33"/>
      <c r="CT143" s="33"/>
      <c r="CU143" s="33"/>
      <c r="CV143" s="33"/>
      <c r="CW143" s="33"/>
      <c r="CX143" s="33"/>
      <c r="CY143" s="33"/>
      <c r="CZ143" s="33"/>
      <c r="DA143" s="33"/>
      <c r="DB143" s="33"/>
      <c r="DC143" s="33"/>
      <c r="DD143" s="33"/>
      <c r="DE143" s="33"/>
      <c r="DF143" s="33"/>
      <c r="DG143" s="33"/>
      <c r="DH143" s="33"/>
      <c r="DI143" s="33"/>
      <c r="DJ143" s="33"/>
      <c r="DK143" s="33"/>
      <c r="DL143" s="33"/>
      <c r="DM143" s="33"/>
      <c r="DN143" s="33"/>
      <c r="DO143" s="33"/>
      <c r="DP143" s="33"/>
      <c r="DQ143" s="33"/>
      <c r="DR143" s="33"/>
      <c r="DS143" s="33"/>
      <c r="DT143" s="33"/>
      <c r="DU143" s="33"/>
      <c r="DV143" s="33"/>
      <c r="DW143" s="33"/>
      <c r="DX143" s="33"/>
      <c r="DY143" s="33"/>
      <c r="DZ143" s="33"/>
      <c r="EA143" s="33"/>
      <c r="EB143" s="33"/>
      <c r="EC143" s="33"/>
      <c r="ED143" s="33"/>
      <c r="EE143" s="33"/>
      <c r="EF143" s="33"/>
      <c r="EG143" s="33"/>
      <c r="EH143" s="33"/>
      <c r="EI143" s="33"/>
      <c r="EJ143" s="33"/>
      <c r="EK143" s="33"/>
      <c r="EL143" s="33"/>
      <c r="EM143" s="33"/>
      <c r="EN143" s="33"/>
      <c r="EO143" s="33"/>
      <c r="EP143" s="33"/>
      <c r="EQ143" s="33"/>
      <c r="ER143" s="33"/>
      <c r="ES143" s="33"/>
      <c r="ET143" s="33"/>
      <c r="EU143" s="33"/>
      <c r="EV143" s="33"/>
      <c r="EW143" s="33"/>
      <c r="EX143" s="33"/>
      <c r="EY143" s="33"/>
      <c r="EZ143" s="33"/>
      <c r="FA143" s="33"/>
      <c r="FB143" s="33"/>
      <c r="FC143" s="33"/>
      <c r="FD143" s="33"/>
      <c r="FE143" s="33"/>
      <c r="FF143" s="33"/>
      <c r="FG143" s="33"/>
      <c r="FH143" s="33"/>
      <c r="FI143" s="33"/>
      <c r="FJ143" s="33"/>
      <c r="FK143" s="33"/>
      <c r="FL143" s="33"/>
      <c r="FM143" s="33"/>
      <c r="FN143" s="33"/>
      <c r="FO143" s="33"/>
      <c r="FP143" s="33"/>
      <c r="FQ143" s="33"/>
      <c r="FR143" s="33"/>
      <c r="FS143" s="33"/>
      <c r="FT143" s="33"/>
      <c r="FU143" s="33"/>
      <c r="FV143" s="33"/>
      <c r="FW143" s="33"/>
      <c r="FX143" s="33"/>
      <c r="FY143" s="33"/>
      <c r="FZ143" s="33"/>
      <c r="GA143" s="33"/>
      <c r="GB143" s="33"/>
      <c r="GC143" s="33"/>
      <c r="GD143" s="33"/>
      <c r="GE143" s="33"/>
      <c r="GF143" s="33"/>
      <c r="GG143" s="33"/>
      <c r="GH143" s="33"/>
      <c r="GI143" s="33"/>
      <c r="GJ143" s="33"/>
      <c r="GK143" s="33"/>
      <c r="GL143" s="33"/>
      <c r="GM143" s="33"/>
      <c r="GN143" s="33"/>
      <c r="GO143" s="33"/>
      <c r="GP143" s="33"/>
      <c r="GQ143" s="33"/>
      <c r="GR143" s="33"/>
      <c r="GS143" s="33"/>
      <c r="GT143" s="33"/>
      <c r="GU143" s="33"/>
      <c r="GV143" s="33"/>
      <c r="GW143" s="33"/>
      <c r="GX143" s="33"/>
      <c r="GY143" s="33"/>
      <c r="GZ143" s="33"/>
      <c r="HA143" s="33"/>
      <c r="HB143" s="33"/>
      <c r="HC143" s="33"/>
      <c r="HD143" s="33"/>
      <c r="HE143" s="33"/>
      <c r="HF143" s="33"/>
      <c r="HG143" s="33"/>
      <c r="HH143" s="33"/>
      <c r="HI143" s="33"/>
      <c r="HJ143" s="33"/>
      <c r="HK143" s="33"/>
      <c r="HL143" s="33"/>
      <c r="HM143" s="33"/>
      <c r="HN143" s="33"/>
      <c r="HO143" s="33"/>
      <c r="HP143" s="33"/>
      <c r="HQ143" s="33"/>
      <c r="HR143" s="33"/>
      <c r="HS143" s="33"/>
      <c r="HT143" s="33"/>
      <c r="HU143" s="33"/>
      <c r="HV143" s="33"/>
      <c r="HW143" s="33"/>
      <c r="HX143" s="33"/>
      <c r="HY143" s="33"/>
      <c r="HZ143" s="33"/>
      <c r="IA143" s="33"/>
      <c r="IB143" s="33"/>
      <c r="IC143" s="33"/>
      <c r="ID143" s="33"/>
      <c r="IE143" s="33"/>
      <c r="IF143" s="33"/>
      <c r="IG143" s="33"/>
      <c r="IH143" s="33"/>
      <c r="II143" s="33"/>
      <c r="IJ143" s="33"/>
      <c r="IK143" s="33"/>
      <c r="IL143" s="33"/>
      <c r="IM143" s="33"/>
      <c r="IN143" s="33"/>
      <c r="IO143" s="33"/>
      <c r="IP143" s="33"/>
      <c r="IQ143" s="33"/>
      <c r="IR143" s="33"/>
      <c r="IS143" s="33"/>
      <c r="IT143" s="33"/>
      <c r="IU143" s="33"/>
      <c r="IV143" s="33"/>
      <c r="IW143" s="33"/>
      <c r="IX143" s="33"/>
      <c r="IY143" s="33"/>
      <c r="IZ143" s="33"/>
      <c r="JA143" s="33"/>
      <c r="JB143" s="33"/>
      <c r="JC143" s="33"/>
      <c r="JD143" s="33"/>
      <c r="JE143" s="33"/>
      <c r="JF143" s="33"/>
      <c r="JG143" s="33"/>
      <c r="JH143" s="33"/>
      <c r="JI143" s="33"/>
      <c r="JJ143" s="33"/>
      <c r="JK143" s="33"/>
      <c r="JL143" s="33"/>
      <c r="JM143" s="33"/>
      <c r="JN143" s="33"/>
      <c r="JO143" s="33"/>
      <c r="JP143" s="33"/>
      <c r="JQ143" s="33"/>
      <c r="JR143" s="33"/>
      <c r="JS143" s="33"/>
      <c r="JT143" s="33"/>
      <c r="JU143" s="33"/>
      <c r="JV143" s="33"/>
      <c r="JW143" s="33"/>
      <c r="JX143" s="33"/>
      <c r="JY143" s="33"/>
      <c r="JZ143" s="33"/>
      <c r="KA143" s="33"/>
      <c r="KB143" s="33"/>
      <c r="KC143" s="33"/>
      <c r="KD143" s="33"/>
      <c r="KE143" s="33"/>
      <c r="KF143" s="33"/>
      <c r="KG143" s="33"/>
      <c r="KH143" s="33"/>
      <c r="KI143" s="33"/>
      <c r="KJ143" s="33"/>
      <c r="KK143" s="33"/>
      <c r="KL143" s="33"/>
      <c r="KM143" s="33"/>
      <c r="KN143" s="33"/>
      <c r="KO143" s="33"/>
      <c r="KP143" s="33"/>
      <c r="KQ143" s="33"/>
      <c r="KR143" s="33"/>
      <c r="KS143" s="33"/>
      <c r="KT143" s="33"/>
      <c r="KU143" s="33"/>
      <c r="KV143" s="33"/>
      <c r="KW143" s="33"/>
      <c r="KX143" s="33"/>
      <c r="KY143" s="33"/>
      <c r="KZ143" s="33"/>
      <c r="LA143" s="33"/>
      <c r="LB143" s="33"/>
      <c r="LC143" s="33"/>
      <c r="LD143" s="33"/>
      <c r="LE143" s="33"/>
      <c r="LF143" s="33"/>
      <c r="LG143" s="33"/>
      <c r="LH143" s="33"/>
      <c r="LI143" s="33"/>
      <c r="LJ143" s="33"/>
      <c r="LK143" s="33"/>
      <c r="LL143" s="33"/>
      <c r="LM143" s="33"/>
      <c r="LN143" s="33"/>
      <c r="LO143" s="33"/>
      <c r="LP143" s="33"/>
      <c r="LQ143" s="33"/>
      <c r="LR143" s="33"/>
      <c r="LS143" s="33"/>
      <c r="LT143" s="33"/>
      <c r="LU143" s="33"/>
      <c r="LV143" s="33"/>
      <c r="LW143" s="33"/>
      <c r="LX143" s="33"/>
      <c r="LY143" s="33"/>
      <c r="LZ143" s="33"/>
      <c r="MA143" s="33"/>
      <c r="MB143" s="33"/>
      <c r="MC143" s="33"/>
      <c r="MD143" s="33"/>
      <c r="ME143" s="33"/>
      <c r="MF143" s="33"/>
      <c r="MG143" s="33"/>
      <c r="MH143" s="33"/>
      <c r="MI143" s="33"/>
      <c r="MJ143" s="33"/>
      <c r="MK143" s="33"/>
      <c r="ML143" s="33"/>
      <c r="MM143" s="33"/>
      <c r="MN143" s="33"/>
      <c r="MO143" s="33"/>
      <c r="MP143" s="33"/>
      <c r="MQ143" s="33"/>
      <c r="MR143" s="33"/>
      <c r="MS143" s="33"/>
      <c r="MT143" s="33"/>
      <c r="MU143" s="33"/>
      <c r="MV143" s="33"/>
    </row>
    <row r="144" spans="1:360" ht="0.75" customHeight="1" x14ac:dyDescent="0.25">
      <c r="A144" s="33"/>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33"/>
      <c r="BT144" s="33"/>
      <c r="BU144" s="33"/>
      <c r="BV144" s="33"/>
      <c r="BW144" s="33"/>
      <c r="BX144" s="33"/>
      <c r="BY144" s="33"/>
      <c r="BZ144" s="33"/>
      <c r="CA144" s="33"/>
      <c r="CB144" s="33"/>
      <c r="CC144" s="33"/>
      <c r="CD144" s="33"/>
      <c r="CE144" s="33"/>
      <c r="CF144" s="33"/>
      <c r="CG144" s="33"/>
      <c r="CH144" s="33"/>
      <c r="CI144" s="33"/>
      <c r="CJ144" s="33"/>
      <c r="CK144" s="33"/>
      <c r="CL144" s="33"/>
      <c r="CM144" s="33"/>
      <c r="CN144" s="33"/>
      <c r="CO144" s="33"/>
      <c r="CP144" s="33"/>
      <c r="CQ144" s="33"/>
      <c r="CR144" s="33"/>
      <c r="CS144" s="33"/>
      <c r="CT144" s="33"/>
      <c r="CU144" s="33"/>
      <c r="CV144" s="33"/>
      <c r="CW144" s="33"/>
      <c r="CX144" s="33"/>
      <c r="CY144" s="33"/>
      <c r="CZ144" s="33"/>
      <c r="DA144" s="33"/>
      <c r="DB144" s="33"/>
      <c r="DC144" s="33"/>
      <c r="DD144" s="33"/>
      <c r="DE144" s="33"/>
      <c r="DF144" s="33"/>
      <c r="DG144" s="33"/>
      <c r="DH144" s="33"/>
      <c r="DI144" s="33"/>
      <c r="DJ144" s="33"/>
      <c r="DK144" s="33"/>
      <c r="DL144" s="33"/>
      <c r="DM144" s="33"/>
      <c r="DN144" s="33"/>
      <c r="DO144" s="33"/>
      <c r="DP144" s="33"/>
      <c r="DQ144" s="33"/>
      <c r="DR144" s="33"/>
      <c r="DS144" s="33"/>
      <c r="DT144" s="33"/>
      <c r="DU144" s="33"/>
      <c r="DV144" s="33"/>
      <c r="DW144" s="33"/>
      <c r="DX144" s="33"/>
      <c r="DY144" s="33"/>
      <c r="DZ144" s="33"/>
      <c r="EA144" s="33"/>
      <c r="EB144" s="33"/>
      <c r="EC144" s="33"/>
      <c r="ED144" s="33"/>
      <c r="EE144" s="33"/>
      <c r="EF144" s="33"/>
      <c r="EG144" s="33"/>
      <c r="EH144" s="33"/>
      <c r="EI144" s="33"/>
      <c r="EJ144" s="33"/>
      <c r="EK144" s="33"/>
      <c r="EL144" s="33"/>
      <c r="EM144" s="33"/>
      <c r="EN144" s="33"/>
      <c r="EO144" s="33"/>
      <c r="EP144" s="33"/>
      <c r="EQ144" s="33"/>
      <c r="ER144" s="33"/>
      <c r="ES144" s="33"/>
      <c r="ET144" s="33"/>
      <c r="EU144" s="33"/>
      <c r="EV144" s="33"/>
      <c r="EW144" s="33"/>
      <c r="EX144" s="33"/>
      <c r="EY144" s="33"/>
      <c r="EZ144" s="33"/>
      <c r="FA144" s="33"/>
      <c r="FB144" s="33"/>
      <c r="FC144" s="33"/>
      <c r="FD144" s="33"/>
      <c r="FE144" s="33"/>
      <c r="FF144" s="33"/>
      <c r="FG144" s="33"/>
      <c r="FH144" s="33"/>
      <c r="FI144" s="33"/>
      <c r="FJ144" s="33"/>
      <c r="FK144" s="33"/>
      <c r="FL144" s="33"/>
      <c r="FM144" s="33"/>
      <c r="FN144" s="33"/>
      <c r="FO144" s="33"/>
      <c r="FP144" s="33"/>
      <c r="FQ144" s="33"/>
      <c r="FR144" s="33"/>
      <c r="FS144" s="33"/>
      <c r="FT144" s="33"/>
      <c r="FU144" s="33"/>
      <c r="FV144" s="33"/>
      <c r="FW144" s="33"/>
      <c r="FX144" s="33"/>
      <c r="FY144" s="33"/>
      <c r="FZ144" s="33"/>
      <c r="GA144" s="33"/>
      <c r="GB144" s="33"/>
      <c r="GC144" s="33"/>
      <c r="GD144" s="33"/>
      <c r="GE144" s="33"/>
      <c r="GF144" s="33"/>
      <c r="GG144" s="33"/>
      <c r="GH144" s="33"/>
      <c r="GI144" s="33"/>
      <c r="GJ144" s="33"/>
      <c r="GK144" s="33"/>
      <c r="GL144" s="33"/>
      <c r="GM144" s="33"/>
      <c r="GN144" s="33"/>
      <c r="GO144" s="33"/>
      <c r="GP144" s="33"/>
      <c r="GQ144" s="33"/>
      <c r="GR144" s="33"/>
      <c r="GS144" s="33"/>
      <c r="GT144" s="33"/>
      <c r="GU144" s="33"/>
      <c r="GV144" s="33"/>
      <c r="GW144" s="33"/>
      <c r="GX144" s="33"/>
      <c r="GY144" s="33"/>
      <c r="GZ144" s="33"/>
      <c r="HA144" s="33"/>
      <c r="HB144" s="33"/>
      <c r="HC144" s="33"/>
      <c r="HD144" s="33"/>
      <c r="HE144" s="33"/>
      <c r="HF144" s="33"/>
      <c r="HG144" s="33"/>
      <c r="HH144" s="33"/>
      <c r="HI144" s="33"/>
      <c r="HJ144" s="33"/>
      <c r="HK144" s="33"/>
      <c r="HL144" s="33"/>
      <c r="HM144" s="33"/>
      <c r="HN144" s="33"/>
      <c r="HO144" s="33"/>
      <c r="HP144" s="33"/>
      <c r="HQ144" s="33"/>
      <c r="HR144" s="33"/>
      <c r="HS144" s="33"/>
      <c r="HT144" s="33"/>
      <c r="HU144" s="33"/>
      <c r="HV144" s="33"/>
      <c r="HW144" s="33"/>
      <c r="HX144" s="33"/>
      <c r="HY144" s="33"/>
      <c r="HZ144" s="33"/>
      <c r="IA144" s="33"/>
      <c r="IB144" s="33"/>
      <c r="IC144" s="33"/>
      <c r="ID144" s="33"/>
      <c r="IE144" s="33"/>
      <c r="IF144" s="33"/>
      <c r="IG144" s="33"/>
      <c r="IH144" s="33"/>
      <c r="II144" s="33"/>
      <c r="IJ144" s="33"/>
      <c r="IK144" s="33"/>
      <c r="IL144" s="33"/>
      <c r="IM144" s="33"/>
      <c r="IN144" s="33"/>
      <c r="IO144" s="33"/>
      <c r="IP144" s="33"/>
      <c r="IQ144" s="33"/>
      <c r="IR144" s="33"/>
      <c r="IS144" s="33"/>
      <c r="IT144" s="33"/>
      <c r="IU144" s="33"/>
      <c r="IV144" s="33"/>
      <c r="IW144" s="33"/>
      <c r="IX144" s="33"/>
      <c r="IY144" s="33"/>
      <c r="IZ144" s="33"/>
      <c r="JA144" s="33"/>
      <c r="JB144" s="33"/>
      <c r="JC144" s="33"/>
      <c r="JD144" s="33"/>
      <c r="JE144" s="33"/>
      <c r="JF144" s="33"/>
      <c r="JG144" s="33"/>
      <c r="JH144" s="33"/>
      <c r="JI144" s="33"/>
      <c r="JJ144" s="33"/>
      <c r="JK144" s="33"/>
      <c r="JL144" s="33"/>
      <c r="JM144" s="33"/>
      <c r="JN144" s="33"/>
      <c r="JO144" s="33"/>
      <c r="JP144" s="33"/>
      <c r="JQ144" s="33"/>
      <c r="JR144" s="33"/>
      <c r="JS144" s="33"/>
      <c r="JT144" s="33"/>
      <c r="JU144" s="33"/>
      <c r="JV144" s="33"/>
      <c r="JW144" s="33"/>
      <c r="JX144" s="33"/>
      <c r="JY144" s="33"/>
      <c r="JZ144" s="33"/>
      <c r="KA144" s="33"/>
      <c r="KB144" s="33"/>
      <c r="KC144" s="33"/>
      <c r="KD144" s="33"/>
      <c r="KE144" s="33"/>
      <c r="KF144" s="33"/>
      <c r="KG144" s="33"/>
      <c r="KH144" s="33"/>
      <c r="KI144" s="33"/>
      <c r="KJ144" s="33"/>
      <c r="KK144" s="33"/>
      <c r="KL144" s="33"/>
      <c r="KM144" s="33"/>
      <c r="KN144" s="33"/>
      <c r="KO144" s="33"/>
      <c r="KP144" s="33"/>
      <c r="KQ144" s="33"/>
      <c r="KR144" s="33"/>
      <c r="KS144" s="33"/>
      <c r="KT144" s="33"/>
      <c r="KU144" s="33"/>
      <c r="KV144" s="33"/>
      <c r="KW144" s="33"/>
      <c r="KX144" s="33"/>
      <c r="KY144" s="33"/>
      <c r="KZ144" s="33"/>
      <c r="LA144" s="33"/>
      <c r="LB144" s="33"/>
      <c r="LC144" s="33"/>
      <c r="LD144" s="33"/>
      <c r="LE144" s="33"/>
      <c r="LF144" s="33"/>
      <c r="LG144" s="33"/>
      <c r="LH144" s="33"/>
      <c r="LI144" s="33"/>
      <c r="LJ144" s="33"/>
      <c r="LK144" s="33"/>
      <c r="LL144" s="33"/>
      <c r="LM144" s="33"/>
      <c r="LN144" s="33"/>
      <c r="LO144" s="33"/>
      <c r="LP144" s="33"/>
      <c r="LQ144" s="33"/>
      <c r="LR144" s="33"/>
      <c r="LS144" s="33"/>
      <c r="LT144" s="33"/>
      <c r="LU144" s="33"/>
      <c r="LV144" s="33"/>
      <c r="LW144" s="33"/>
      <c r="LX144" s="33"/>
      <c r="LY144" s="33"/>
      <c r="LZ144" s="33"/>
      <c r="MA144" s="33"/>
      <c r="MB144" s="33"/>
      <c r="MC144" s="33"/>
      <c r="MD144" s="33"/>
      <c r="ME144" s="33"/>
      <c r="MF144" s="33"/>
      <c r="MG144" s="33"/>
      <c r="MH144" s="33"/>
      <c r="MI144" s="33"/>
      <c r="MJ144" s="33"/>
      <c r="MK144" s="33"/>
      <c r="ML144" s="33"/>
      <c r="MM144" s="33"/>
      <c r="MN144" s="33"/>
      <c r="MO144" s="33"/>
      <c r="MP144" s="33"/>
      <c r="MQ144" s="33"/>
      <c r="MR144" s="33"/>
      <c r="MS144" s="33"/>
      <c r="MT144" s="33"/>
      <c r="MU144" s="33"/>
      <c r="MV144" s="33"/>
    </row>
    <row r="145" spans="1:360" ht="0.75" customHeight="1" x14ac:dyDescent="0.25">
      <c r="A145" s="33"/>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33"/>
      <c r="BT145" s="33"/>
      <c r="BU145" s="33"/>
      <c r="BV145" s="33"/>
      <c r="BW145" s="33"/>
      <c r="BX145" s="33"/>
      <c r="BY145" s="33"/>
      <c r="BZ145" s="33"/>
      <c r="CA145" s="33"/>
      <c r="CB145" s="33"/>
      <c r="CC145" s="33"/>
      <c r="CD145" s="33"/>
      <c r="CE145" s="33"/>
      <c r="CF145" s="33"/>
      <c r="CG145" s="33"/>
      <c r="CH145" s="33"/>
      <c r="CI145" s="33"/>
      <c r="CJ145" s="33"/>
      <c r="CK145" s="33"/>
      <c r="CL145" s="33"/>
      <c r="CM145" s="33"/>
      <c r="CN145" s="33"/>
      <c r="CO145" s="33"/>
      <c r="CP145" s="33"/>
      <c r="CQ145" s="33"/>
      <c r="CR145" s="33"/>
      <c r="CS145" s="33"/>
      <c r="CT145" s="33"/>
      <c r="CU145" s="33"/>
      <c r="CV145" s="33"/>
      <c r="CW145" s="33"/>
      <c r="CX145" s="33"/>
      <c r="CY145" s="33"/>
      <c r="CZ145" s="33"/>
      <c r="DA145" s="33"/>
      <c r="DB145" s="33"/>
      <c r="DC145" s="33"/>
      <c r="DD145" s="33"/>
      <c r="DE145" s="33"/>
      <c r="DF145" s="33"/>
      <c r="DG145" s="33"/>
      <c r="DH145" s="33"/>
      <c r="DI145" s="33"/>
      <c r="DJ145" s="33"/>
      <c r="DK145" s="33"/>
      <c r="DL145" s="33"/>
      <c r="DM145" s="33"/>
      <c r="DN145" s="33"/>
      <c r="DO145" s="33"/>
      <c r="DP145" s="33"/>
      <c r="DQ145" s="33"/>
      <c r="DR145" s="33"/>
      <c r="DS145" s="33"/>
      <c r="DT145" s="33"/>
      <c r="DU145" s="33"/>
      <c r="DV145" s="33"/>
      <c r="DW145" s="33"/>
      <c r="DX145" s="33"/>
      <c r="DY145" s="33"/>
      <c r="DZ145" s="33"/>
      <c r="EA145" s="33"/>
      <c r="EB145" s="33"/>
      <c r="EC145" s="33"/>
      <c r="ED145" s="33"/>
      <c r="EE145" s="33"/>
      <c r="EF145" s="33"/>
      <c r="EG145" s="33"/>
      <c r="EH145" s="33"/>
      <c r="EI145" s="33"/>
      <c r="EJ145" s="33"/>
      <c r="EK145" s="33"/>
      <c r="EL145" s="33"/>
      <c r="EM145" s="33"/>
      <c r="EN145" s="33"/>
      <c r="EO145" s="33"/>
      <c r="EP145" s="33"/>
      <c r="EQ145" s="33"/>
      <c r="ER145" s="33"/>
      <c r="ES145" s="33"/>
      <c r="ET145" s="33"/>
      <c r="EU145" s="33"/>
      <c r="EV145" s="33"/>
      <c r="EW145" s="33"/>
      <c r="EX145" s="33"/>
      <c r="EY145" s="33"/>
      <c r="EZ145" s="33"/>
      <c r="FA145" s="33"/>
      <c r="FB145" s="33"/>
      <c r="FC145" s="33"/>
      <c r="FD145" s="33"/>
      <c r="FE145" s="33"/>
      <c r="FF145" s="33"/>
      <c r="FG145" s="33"/>
      <c r="FH145" s="33"/>
      <c r="FI145" s="33"/>
      <c r="FJ145" s="33"/>
      <c r="FK145" s="33"/>
      <c r="FL145" s="33"/>
      <c r="FM145" s="33"/>
      <c r="FN145" s="33"/>
      <c r="FO145" s="33"/>
      <c r="FP145" s="33"/>
      <c r="FQ145" s="33"/>
      <c r="FR145" s="33"/>
      <c r="FS145" s="33"/>
      <c r="FT145" s="33"/>
      <c r="FU145" s="33"/>
      <c r="FV145" s="33"/>
      <c r="FW145" s="33"/>
      <c r="FX145" s="33"/>
      <c r="FY145" s="33"/>
      <c r="FZ145" s="33"/>
      <c r="GA145" s="33"/>
      <c r="GB145" s="33"/>
      <c r="GC145" s="33"/>
      <c r="GD145" s="33"/>
      <c r="GE145" s="33"/>
      <c r="GF145" s="33"/>
      <c r="GG145" s="33"/>
      <c r="GH145" s="33"/>
      <c r="GI145" s="33"/>
      <c r="GJ145" s="33"/>
      <c r="GK145" s="33"/>
      <c r="GL145" s="33"/>
      <c r="GM145" s="33"/>
      <c r="GN145" s="33"/>
      <c r="GO145" s="33"/>
      <c r="GP145" s="33"/>
      <c r="GQ145" s="33"/>
      <c r="GR145" s="33"/>
      <c r="GS145" s="33"/>
      <c r="GT145" s="33"/>
      <c r="GU145" s="33"/>
      <c r="GV145" s="33"/>
      <c r="GW145" s="33"/>
      <c r="GX145" s="33"/>
      <c r="GY145" s="33"/>
      <c r="GZ145" s="33"/>
      <c r="HA145" s="33"/>
      <c r="HB145" s="33"/>
      <c r="HC145" s="33"/>
      <c r="HD145" s="33"/>
      <c r="HE145" s="33"/>
      <c r="HF145" s="33"/>
      <c r="HG145" s="33"/>
      <c r="HH145" s="33"/>
      <c r="HI145" s="33"/>
      <c r="HJ145" s="33"/>
      <c r="HK145" s="33"/>
      <c r="HL145" s="33"/>
      <c r="HM145" s="33"/>
      <c r="HN145" s="33"/>
      <c r="HO145" s="33"/>
      <c r="HP145" s="33"/>
      <c r="HQ145" s="33"/>
      <c r="HR145" s="33"/>
      <c r="HS145" s="33"/>
      <c r="HT145" s="33"/>
      <c r="HU145" s="33"/>
      <c r="HV145" s="33"/>
      <c r="HW145" s="33"/>
      <c r="HX145" s="33"/>
      <c r="HY145" s="33"/>
      <c r="HZ145" s="33"/>
      <c r="IA145" s="33"/>
      <c r="IB145" s="33"/>
      <c r="IC145" s="33"/>
      <c r="ID145" s="33"/>
      <c r="IE145" s="33"/>
      <c r="IF145" s="33"/>
      <c r="IG145" s="33"/>
      <c r="IH145" s="33"/>
      <c r="II145" s="33"/>
      <c r="IJ145" s="33"/>
      <c r="IK145" s="33"/>
      <c r="IL145" s="33"/>
      <c r="IM145" s="33"/>
      <c r="IN145" s="33"/>
      <c r="IO145" s="33"/>
      <c r="IP145" s="33"/>
      <c r="IQ145" s="33"/>
      <c r="IR145" s="33"/>
      <c r="IS145" s="33"/>
      <c r="IT145" s="33"/>
      <c r="IU145" s="33"/>
      <c r="IV145" s="33"/>
      <c r="IW145" s="33"/>
      <c r="IX145" s="33"/>
      <c r="IY145" s="33"/>
      <c r="IZ145" s="33"/>
      <c r="JA145" s="33"/>
      <c r="JB145" s="33"/>
      <c r="JC145" s="33"/>
      <c r="JD145" s="33"/>
      <c r="JE145" s="33"/>
      <c r="JF145" s="33"/>
      <c r="JG145" s="33"/>
      <c r="JH145" s="33"/>
      <c r="JI145" s="33"/>
      <c r="JJ145" s="33"/>
      <c r="JK145" s="33"/>
      <c r="JL145" s="33"/>
      <c r="JM145" s="33"/>
      <c r="JN145" s="33"/>
      <c r="JO145" s="33"/>
      <c r="JP145" s="33"/>
      <c r="JQ145" s="33"/>
      <c r="JR145" s="33"/>
      <c r="JS145" s="33"/>
      <c r="JT145" s="33"/>
      <c r="JU145" s="33"/>
      <c r="JV145" s="33"/>
      <c r="JW145" s="33"/>
      <c r="JX145" s="33"/>
      <c r="JY145" s="33"/>
      <c r="JZ145" s="33"/>
      <c r="KA145" s="33"/>
      <c r="KB145" s="33"/>
      <c r="KC145" s="33"/>
      <c r="KD145" s="33"/>
      <c r="KE145" s="33"/>
      <c r="KF145" s="33"/>
      <c r="KG145" s="33"/>
      <c r="KH145" s="33"/>
      <c r="KI145" s="33"/>
      <c r="KJ145" s="33"/>
      <c r="KK145" s="33"/>
      <c r="KL145" s="33"/>
      <c r="KM145" s="33"/>
      <c r="KN145" s="33"/>
      <c r="KO145" s="33"/>
      <c r="KP145" s="33"/>
      <c r="KQ145" s="33"/>
      <c r="KR145" s="33"/>
      <c r="KS145" s="33"/>
      <c r="KT145" s="33"/>
      <c r="KU145" s="33"/>
      <c r="KV145" s="33"/>
      <c r="KW145" s="33"/>
      <c r="KX145" s="33"/>
      <c r="KY145" s="33"/>
      <c r="KZ145" s="33"/>
      <c r="LA145" s="33"/>
      <c r="LB145" s="33"/>
      <c r="LC145" s="33"/>
      <c r="LD145" s="33"/>
      <c r="LE145" s="33"/>
      <c r="LF145" s="33"/>
      <c r="LG145" s="33"/>
      <c r="LH145" s="33"/>
      <c r="LI145" s="33"/>
      <c r="LJ145" s="33"/>
      <c r="LK145" s="33"/>
      <c r="LL145" s="33"/>
      <c r="LM145" s="33"/>
      <c r="LN145" s="33"/>
      <c r="LO145" s="33"/>
      <c r="LP145" s="33"/>
      <c r="LQ145" s="33"/>
      <c r="LR145" s="33"/>
      <c r="LS145" s="33"/>
      <c r="LT145" s="33"/>
      <c r="LU145" s="33"/>
      <c r="LV145" s="33"/>
      <c r="LW145" s="33"/>
      <c r="LX145" s="33"/>
      <c r="LY145" s="33"/>
      <c r="LZ145" s="33"/>
      <c r="MA145" s="33"/>
      <c r="MB145" s="33"/>
      <c r="MC145" s="33"/>
      <c r="MD145" s="33"/>
      <c r="ME145" s="33"/>
      <c r="MF145" s="33"/>
      <c r="MG145" s="33"/>
      <c r="MH145" s="33"/>
      <c r="MI145" s="33"/>
      <c r="MJ145" s="33"/>
      <c r="MK145" s="33"/>
      <c r="ML145" s="33"/>
      <c r="MM145" s="33"/>
      <c r="MN145" s="33"/>
      <c r="MO145" s="33"/>
      <c r="MP145" s="33"/>
      <c r="MQ145" s="33"/>
      <c r="MR145" s="33"/>
      <c r="MS145" s="33"/>
      <c r="MT145" s="33"/>
      <c r="MU145" s="33"/>
      <c r="MV145" s="33"/>
    </row>
    <row r="146" spans="1:360" ht="0.75" customHeight="1" x14ac:dyDescent="0.25">
      <c r="A146" s="33"/>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c r="BS146" s="33"/>
      <c r="BT146" s="33"/>
      <c r="BU146" s="33"/>
      <c r="BV146" s="33"/>
      <c r="BW146" s="33"/>
      <c r="BX146" s="33"/>
      <c r="BY146" s="33"/>
      <c r="BZ146" s="33"/>
      <c r="CA146" s="33"/>
      <c r="CB146" s="33"/>
      <c r="CC146" s="33"/>
      <c r="CD146" s="33"/>
      <c r="CE146" s="33"/>
      <c r="CF146" s="33"/>
      <c r="CG146" s="33"/>
      <c r="CH146" s="33"/>
      <c r="CI146" s="33"/>
      <c r="CJ146" s="33"/>
      <c r="CK146" s="33"/>
      <c r="CL146" s="33"/>
      <c r="CM146" s="33"/>
      <c r="CN146" s="33"/>
      <c r="CO146" s="33"/>
      <c r="CP146" s="33"/>
      <c r="CQ146" s="33"/>
      <c r="CR146" s="33"/>
      <c r="CS146" s="33"/>
      <c r="CT146" s="33"/>
      <c r="CU146" s="33"/>
      <c r="CV146" s="33"/>
      <c r="CW146" s="33"/>
      <c r="CX146" s="33"/>
      <c r="CY146" s="33"/>
      <c r="CZ146" s="33"/>
      <c r="DA146" s="33"/>
      <c r="DB146" s="33"/>
      <c r="DC146" s="33"/>
      <c r="DD146" s="33"/>
      <c r="DE146" s="33"/>
      <c r="DF146" s="33"/>
      <c r="DG146" s="33"/>
      <c r="DH146" s="33"/>
      <c r="DI146" s="33"/>
      <c r="DJ146" s="33"/>
      <c r="DK146" s="33"/>
      <c r="DL146" s="33"/>
      <c r="DM146" s="33"/>
      <c r="DN146" s="33"/>
      <c r="DO146" s="33"/>
      <c r="DP146" s="33"/>
      <c r="DQ146" s="33"/>
      <c r="DR146" s="33"/>
      <c r="DS146" s="33"/>
      <c r="DT146" s="33"/>
      <c r="DU146" s="33"/>
      <c r="DV146" s="33"/>
      <c r="DW146" s="33"/>
      <c r="DX146" s="33"/>
      <c r="DY146" s="33"/>
      <c r="DZ146" s="33"/>
      <c r="EA146" s="33"/>
      <c r="EB146" s="33"/>
      <c r="EC146" s="33"/>
      <c r="ED146" s="33"/>
      <c r="EE146" s="33"/>
      <c r="EF146" s="33"/>
      <c r="EG146" s="33"/>
      <c r="EH146" s="33"/>
      <c r="EI146" s="33"/>
      <c r="EJ146" s="33"/>
      <c r="EK146" s="33"/>
      <c r="EL146" s="33"/>
      <c r="EM146" s="33"/>
      <c r="EN146" s="33"/>
      <c r="EO146" s="33"/>
      <c r="EP146" s="33"/>
      <c r="EQ146" s="33"/>
      <c r="ER146" s="33"/>
      <c r="ES146" s="33"/>
      <c r="ET146" s="33"/>
      <c r="EU146" s="33"/>
      <c r="EV146" s="33"/>
      <c r="EW146" s="33"/>
      <c r="EX146" s="33"/>
      <c r="EY146" s="33"/>
      <c r="EZ146" s="33"/>
      <c r="FA146" s="33"/>
      <c r="FB146" s="33"/>
      <c r="FC146" s="33"/>
      <c r="FD146" s="33"/>
      <c r="FE146" s="33"/>
      <c r="FF146" s="33"/>
      <c r="FG146" s="33"/>
      <c r="FH146" s="33"/>
      <c r="FI146" s="33"/>
      <c r="FJ146" s="33"/>
      <c r="FK146" s="33"/>
      <c r="FL146" s="33"/>
      <c r="FM146" s="33"/>
      <c r="FN146" s="33"/>
      <c r="FO146" s="33"/>
      <c r="FP146" s="33"/>
      <c r="FQ146" s="33"/>
      <c r="FR146" s="33"/>
      <c r="FS146" s="33"/>
      <c r="FT146" s="33"/>
      <c r="FU146" s="33"/>
      <c r="FV146" s="33"/>
      <c r="FW146" s="33"/>
      <c r="FX146" s="33"/>
      <c r="FY146" s="33"/>
      <c r="FZ146" s="33"/>
      <c r="GA146" s="33"/>
      <c r="GB146" s="33"/>
      <c r="GC146" s="33"/>
      <c r="GD146" s="33"/>
      <c r="GE146" s="33"/>
      <c r="GF146" s="33"/>
      <c r="GG146" s="33"/>
      <c r="GH146" s="33"/>
      <c r="GI146" s="33"/>
      <c r="GJ146" s="33"/>
      <c r="GK146" s="33"/>
      <c r="GL146" s="33"/>
      <c r="GM146" s="33"/>
      <c r="GN146" s="33"/>
      <c r="GO146" s="33"/>
      <c r="GP146" s="33"/>
      <c r="GQ146" s="33"/>
      <c r="GR146" s="33"/>
      <c r="GS146" s="33"/>
      <c r="GT146" s="33"/>
      <c r="GU146" s="33"/>
      <c r="GV146" s="33"/>
      <c r="GW146" s="33"/>
      <c r="GX146" s="33"/>
      <c r="GY146" s="33"/>
      <c r="GZ146" s="33"/>
      <c r="HA146" s="33"/>
      <c r="HB146" s="33"/>
      <c r="HC146" s="33"/>
      <c r="HD146" s="33"/>
      <c r="HE146" s="33"/>
      <c r="HF146" s="33"/>
      <c r="HG146" s="33"/>
      <c r="HH146" s="33"/>
      <c r="HI146" s="33"/>
      <c r="HJ146" s="33"/>
      <c r="HK146" s="33"/>
      <c r="HL146" s="33"/>
      <c r="HM146" s="33"/>
      <c r="HN146" s="33"/>
      <c r="HO146" s="33"/>
      <c r="HP146" s="33"/>
      <c r="HQ146" s="33"/>
      <c r="HR146" s="33"/>
      <c r="HS146" s="33"/>
      <c r="HT146" s="33"/>
      <c r="HU146" s="33"/>
      <c r="HV146" s="33"/>
      <c r="HW146" s="33"/>
      <c r="HX146" s="33"/>
      <c r="HY146" s="33"/>
      <c r="HZ146" s="33"/>
      <c r="IA146" s="33"/>
      <c r="IB146" s="33"/>
      <c r="IC146" s="33"/>
      <c r="ID146" s="33"/>
      <c r="IE146" s="33"/>
      <c r="IF146" s="33"/>
      <c r="IG146" s="33"/>
      <c r="IH146" s="33"/>
      <c r="II146" s="33"/>
      <c r="IJ146" s="33"/>
      <c r="IK146" s="33"/>
      <c r="IL146" s="33"/>
      <c r="IM146" s="33"/>
      <c r="IN146" s="33"/>
      <c r="IO146" s="33"/>
      <c r="IP146" s="33"/>
      <c r="IQ146" s="33"/>
      <c r="IR146" s="33"/>
      <c r="IS146" s="33"/>
      <c r="IT146" s="33"/>
      <c r="IU146" s="33"/>
      <c r="IV146" s="33"/>
      <c r="IW146" s="33"/>
      <c r="IX146" s="33"/>
      <c r="IY146" s="33"/>
      <c r="IZ146" s="33"/>
      <c r="JA146" s="33"/>
      <c r="JB146" s="33"/>
      <c r="JC146" s="33"/>
      <c r="JD146" s="33"/>
      <c r="JE146" s="33"/>
      <c r="JF146" s="33"/>
      <c r="JG146" s="33"/>
      <c r="JH146" s="33"/>
      <c r="JI146" s="33"/>
      <c r="JJ146" s="33"/>
      <c r="JK146" s="33"/>
      <c r="JL146" s="33"/>
      <c r="JM146" s="33"/>
      <c r="JN146" s="33"/>
      <c r="JO146" s="33"/>
      <c r="JP146" s="33"/>
      <c r="JQ146" s="33"/>
      <c r="JR146" s="33"/>
      <c r="JS146" s="33"/>
      <c r="JT146" s="33"/>
      <c r="JU146" s="33"/>
      <c r="JV146" s="33"/>
      <c r="JW146" s="33"/>
      <c r="JX146" s="33"/>
      <c r="JY146" s="33"/>
      <c r="JZ146" s="33"/>
      <c r="KA146" s="33"/>
      <c r="KB146" s="33"/>
      <c r="KC146" s="33"/>
      <c r="KD146" s="33"/>
      <c r="KE146" s="33"/>
      <c r="KF146" s="33"/>
      <c r="KG146" s="33"/>
      <c r="KH146" s="33"/>
      <c r="KI146" s="33"/>
      <c r="KJ146" s="33"/>
      <c r="KK146" s="33"/>
      <c r="KL146" s="33"/>
      <c r="KM146" s="33"/>
      <c r="KN146" s="33"/>
      <c r="KO146" s="33"/>
      <c r="KP146" s="33"/>
      <c r="KQ146" s="33"/>
      <c r="KR146" s="33"/>
      <c r="KS146" s="33"/>
      <c r="KT146" s="33"/>
      <c r="KU146" s="33"/>
      <c r="KV146" s="33"/>
      <c r="KW146" s="33"/>
      <c r="KX146" s="33"/>
      <c r="KY146" s="33"/>
      <c r="KZ146" s="33"/>
      <c r="LA146" s="33"/>
      <c r="LB146" s="33"/>
      <c r="LC146" s="33"/>
      <c r="LD146" s="33"/>
      <c r="LE146" s="33"/>
      <c r="LF146" s="33"/>
      <c r="LG146" s="33"/>
      <c r="LH146" s="33"/>
      <c r="LI146" s="33"/>
      <c r="LJ146" s="33"/>
      <c r="LK146" s="33"/>
      <c r="LL146" s="33"/>
      <c r="LM146" s="33"/>
      <c r="LN146" s="33"/>
      <c r="LO146" s="33"/>
      <c r="LP146" s="33"/>
      <c r="LQ146" s="33"/>
      <c r="LR146" s="33"/>
      <c r="LS146" s="33"/>
      <c r="LT146" s="33"/>
      <c r="LU146" s="33"/>
      <c r="LV146" s="33"/>
      <c r="LW146" s="33"/>
      <c r="LX146" s="33"/>
      <c r="LY146" s="33"/>
      <c r="LZ146" s="33"/>
      <c r="MA146" s="33"/>
      <c r="MB146" s="33"/>
      <c r="MC146" s="33"/>
      <c r="MD146" s="33"/>
      <c r="ME146" s="33"/>
      <c r="MF146" s="33"/>
      <c r="MG146" s="33"/>
      <c r="MH146" s="33"/>
      <c r="MI146" s="33"/>
      <c r="MJ146" s="33"/>
      <c r="MK146" s="33"/>
      <c r="ML146" s="33"/>
      <c r="MM146" s="33"/>
      <c r="MN146" s="33"/>
      <c r="MO146" s="33"/>
      <c r="MP146" s="33"/>
      <c r="MQ146" s="33"/>
      <c r="MR146" s="33"/>
      <c r="MS146" s="33"/>
      <c r="MT146" s="33"/>
      <c r="MU146" s="33"/>
      <c r="MV146" s="33"/>
    </row>
    <row r="147" spans="1:360" ht="0.75" customHeight="1" x14ac:dyDescent="0.25">
      <c r="A147" s="33"/>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33"/>
      <c r="BT147" s="33"/>
      <c r="BU147" s="33"/>
      <c r="BV147" s="33"/>
      <c r="BW147" s="33"/>
      <c r="BX147" s="33"/>
      <c r="BY147" s="33"/>
      <c r="BZ147" s="33"/>
      <c r="CA147" s="33"/>
      <c r="CB147" s="33"/>
      <c r="CC147" s="33"/>
      <c r="CD147" s="33"/>
      <c r="CE147" s="33"/>
      <c r="CF147" s="33"/>
      <c r="CG147" s="33"/>
      <c r="CH147" s="33"/>
      <c r="CI147" s="33"/>
      <c r="CJ147" s="33"/>
      <c r="CK147" s="33"/>
      <c r="CL147" s="33"/>
      <c r="CM147" s="33"/>
      <c r="CN147" s="33"/>
      <c r="CO147" s="33"/>
      <c r="CP147" s="33"/>
      <c r="CQ147" s="33"/>
      <c r="CR147" s="33"/>
      <c r="CS147" s="33"/>
      <c r="CT147" s="33"/>
      <c r="CU147" s="33"/>
      <c r="CV147" s="33"/>
      <c r="CW147" s="33"/>
      <c r="CX147" s="33"/>
      <c r="CY147" s="33"/>
      <c r="CZ147" s="33"/>
      <c r="DA147" s="33"/>
      <c r="DB147" s="33"/>
      <c r="DC147" s="33"/>
      <c r="DD147" s="33"/>
      <c r="DE147" s="33"/>
      <c r="DF147" s="33"/>
      <c r="DG147" s="33"/>
      <c r="DH147" s="33"/>
      <c r="DI147" s="33"/>
      <c r="DJ147" s="33"/>
      <c r="DK147" s="33"/>
      <c r="DL147" s="33"/>
      <c r="DM147" s="33"/>
      <c r="DN147" s="33"/>
      <c r="DO147" s="33"/>
      <c r="DP147" s="33"/>
      <c r="DQ147" s="33"/>
      <c r="DR147" s="33"/>
      <c r="DS147" s="33"/>
      <c r="DT147" s="33"/>
      <c r="DU147" s="33"/>
      <c r="DV147" s="33"/>
      <c r="DW147" s="33"/>
      <c r="DX147" s="33"/>
      <c r="DY147" s="33"/>
      <c r="DZ147" s="33"/>
      <c r="EA147" s="33"/>
      <c r="EB147" s="33"/>
      <c r="EC147" s="33"/>
      <c r="ED147" s="33"/>
      <c r="EE147" s="33"/>
      <c r="EF147" s="33"/>
      <c r="EG147" s="33"/>
      <c r="EH147" s="33"/>
      <c r="EI147" s="33"/>
      <c r="EJ147" s="33"/>
      <c r="EK147" s="33"/>
      <c r="EL147" s="33"/>
      <c r="EM147" s="33"/>
      <c r="EN147" s="33"/>
      <c r="EO147" s="33"/>
      <c r="EP147" s="33"/>
      <c r="EQ147" s="33"/>
      <c r="ER147" s="33"/>
      <c r="ES147" s="33"/>
      <c r="ET147" s="33"/>
      <c r="EU147" s="33"/>
      <c r="EV147" s="33"/>
      <c r="EW147" s="33"/>
      <c r="EX147" s="33"/>
      <c r="EY147" s="33"/>
      <c r="EZ147" s="33"/>
      <c r="FA147" s="33"/>
      <c r="FB147" s="33"/>
      <c r="FC147" s="33"/>
      <c r="FD147" s="33"/>
      <c r="FE147" s="33"/>
      <c r="FF147" s="33"/>
      <c r="FG147" s="33"/>
      <c r="FH147" s="33"/>
      <c r="FI147" s="33"/>
      <c r="FJ147" s="33"/>
      <c r="FK147" s="33"/>
      <c r="FL147" s="33"/>
      <c r="FM147" s="33"/>
      <c r="FN147" s="33"/>
      <c r="FO147" s="33"/>
      <c r="FP147" s="33"/>
      <c r="FQ147" s="33"/>
      <c r="FR147" s="33"/>
      <c r="FS147" s="33"/>
      <c r="FT147" s="33"/>
      <c r="FU147" s="33"/>
      <c r="FV147" s="33"/>
      <c r="FW147" s="33"/>
      <c r="FX147" s="33"/>
      <c r="FY147" s="33"/>
      <c r="FZ147" s="33"/>
      <c r="GA147" s="33"/>
      <c r="GB147" s="33"/>
      <c r="GC147" s="33"/>
      <c r="GD147" s="33"/>
      <c r="GE147" s="33"/>
      <c r="GF147" s="33"/>
      <c r="GG147" s="33"/>
      <c r="GH147" s="33"/>
      <c r="GI147" s="33"/>
      <c r="GJ147" s="33"/>
      <c r="GK147" s="33"/>
      <c r="GL147" s="33"/>
      <c r="GM147" s="33"/>
      <c r="GN147" s="33"/>
      <c r="GO147" s="33"/>
      <c r="GP147" s="33"/>
      <c r="GQ147" s="33"/>
      <c r="GR147" s="33"/>
      <c r="GS147" s="33"/>
      <c r="GT147" s="33"/>
      <c r="GU147" s="33"/>
      <c r="GV147" s="33"/>
      <c r="GW147" s="33"/>
      <c r="GX147" s="33"/>
      <c r="GY147" s="33"/>
      <c r="GZ147" s="33"/>
      <c r="HA147" s="33"/>
      <c r="HB147" s="33"/>
      <c r="HC147" s="33"/>
      <c r="HD147" s="33"/>
      <c r="HE147" s="33"/>
      <c r="HF147" s="33"/>
      <c r="HG147" s="33"/>
      <c r="HH147" s="33"/>
      <c r="HI147" s="33"/>
      <c r="HJ147" s="33"/>
      <c r="HK147" s="33"/>
      <c r="HL147" s="33"/>
      <c r="HM147" s="33"/>
      <c r="HN147" s="33"/>
      <c r="HO147" s="33"/>
      <c r="HP147" s="33"/>
      <c r="HQ147" s="33"/>
      <c r="HR147" s="33"/>
      <c r="HS147" s="33"/>
      <c r="HT147" s="33"/>
      <c r="HU147" s="33"/>
      <c r="HV147" s="33"/>
      <c r="HW147" s="33"/>
      <c r="HX147" s="33"/>
      <c r="HY147" s="33"/>
      <c r="HZ147" s="33"/>
      <c r="IA147" s="33"/>
      <c r="IB147" s="33"/>
      <c r="IC147" s="33"/>
      <c r="ID147" s="33"/>
      <c r="IE147" s="33"/>
      <c r="IF147" s="33"/>
      <c r="IG147" s="33"/>
      <c r="IH147" s="33"/>
      <c r="II147" s="33"/>
      <c r="IJ147" s="33"/>
      <c r="IK147" s="33"/>
      <c r="IL147" s="33"/>
      <c r="IM147" s="33"/>
      <c r="IN147" s="33"/>
      <c r="IO147" s="33"/>
      <c r="IP147" s="33"/>
      <c r="IQ147" s="33"/>
      <c r="IR147" s="33"/>
      <c r="IS147" s="33"/>
      <c r="IT147" s="33"/>
      <c r="IU147" s="33"/>
      <c r="IV147" s="33"/>
      <c r="IW147" s="33"/>
      <c r="IX147" s="33"/>
      <c r="IY147" s="33"/>
      <c r="IZ147" s="33"/>
      <c r="JA147" s="33"/>
      <c r="JB147" s="33"/>
      <c r="JC147" s="33"/>
      <c r="JD147" s="33"/>
      <c r="JE147" s="33"/>
      <c r="JF147" s="33"/>
      <c r="JG147" s="33"/>
      <c r="JH147" s="33"/>
      <c r="JI147" s="33"/>
      <c r="JJ147" s="33"/>
      <c r="JK147" s="33"/>
      <c r="JL147" s="33"/>
      <c r="JM147" s="33"/>
      <c r="JN147" s="33"/>
      <c r="JO147" s="33"/>
      <c r="JP147" s="33"/>
      <c r="JQ147" s="33"/>
      <c r="JR147" s="33"/>
      <c r="JS147" s="33"/>
      <c r="JT147" s="33"/>
      <c r="JU147" s="33"/>
      <c r="JV147" s="33"/>
      <c r="JW147" s="33"/>
      <c r="JX147" s="33"/>
      <c r="JY147" s="33"/>
      <c r="JZ147" s="33"/>
      <c r="KA147" s="33"/>
      <c r="KB147" s="33"/>
      <c r="KC147" s="33"/>
      <c r="KD147" s="33"/>
      <c r="KE147" s="33"/>
      <c r="KF147" s="33"/>
      <c r="KG147" s="33"/>
      <c r="KH147" s="33"/>
      <c r="KI147" s="33"/>
      <c r="KJ147" s="33"/>
      <c r="KK147" s="33"/>
      <c r="KL147" s="33"/>
      <c r="KM147" s="33"/>
      <c r="KN147" s="33"/>
      <c r="KO147" s="33"/>
      <c r="KP147" s="33"/>
      <c r="KQ147" s="33"/>
      <c r="KR147" s="33"/>
      <c r="KS147" s="33"/>
      <c r="KT147" s="33"/>
      <c r="KU147" s="33"/>
      <c r="KV147" s="33"/>
      <c r="KW147" s="33"/>
      <c r="KX147" s="33"/>
      <c r="KY147" s="33"/>
      <c r="KZ147" s="33"/>
      <c r="LA147" s="33"/>
      <c r="LB147" s="33"/>
      <c r="LC147" s="33"/>
      <c r="LD147" s="33"/>
      <c r="LE147" s="33"/>
      <c r="LF147" s="33"/>
      <c r="LG147" s="33"/>
      <c r="LH147" s="33"/>
      <c r="LI147" s="33"/>
      <c r="LJ147" s="33"/>
      <c r="LK147" s="33"/>
      <c r="LL147" s="33"/>
      <c r="LM147" s="33"/>
      <c r="LN147" s="33"/>
      <c r="LO147" s="33"/>
      <c r="LP147" s="33"/>
      <c r="LQ147" s="33"/>
      <c r="LR147" s="33"/>
      <c r="LS147" s="33"/>
      <c r="LT147" s="33"/>
      <c r="LU147" s="33"/>
      <c r="LV147" s="33"/>
      <c r="LW147" s="33"/>
      <c r="LX147" s="33"/>
      <c r="LY147" s="33"/>
      <c r="LZ147" s="33"/>
      <c r="MA147" s="33"/>
      <c r="MB147" s="33"/>
      <c r="MC147" s="33"/>
      <c r="MD147" s="33"/>
      <c r="ME147" s="33"/>
      <c r="MF147" s="33"/>
      <c r="MG147" s="33"/>
      <c r="MH147" s="33"/>
      <c r="MI147" s="33"/>
      <c r="MJ147" s="33"/>
      <c r="MK147" s="33"/>
      <c r="ML147" s="33"/>
      <c r="MM147" s="33"/>
      <c r="MN147" s="33"/>
      <c r="MO147" s="33"/>
      <c r="MP147" s="33"/>
      <c r="MQ147" s="33"/>
      <c r="MR147" s="33"/>
      <c r="MS147" s="33"/>
      <c r="MT147" s="33"/>
      <c r="MU147" s="33"/>
      <c r="MV147" s="33"/>
    </row>
    <row r="148" spans="1:360" ht="0.75" customHeight="1" x14ac:dyDescent="0.25">
      <c r="A148" s="33"/>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33"/>
      <c r="BT148" s="33"/>
      <c r="BU148" s="33"/>
      <c r="BV148" s="33"/>
      <c r="BW148" s="33"/>
      <c r="BX148" s="33"/>
      <c r="BY148" s="33"/>
      <c r="BZ148" s="33"/>
      <c r="CA148" s="33"/>
      <c r="CB148" s="33"/>
      <c r="CC148" s="33"/>
      <c r="CD148" s="33"/>
      <c r="CE148" s="33"/>
      <c r="CF148" s="33"/>
      <c r="CG148" s="33"/>
      <c r="CH148" s="33"/>
      <c r="CI148" s="33"/>
      <c r="CJ148" s="33"/>
      <c r="CK148" s="33"/>
      <c r="CL148" s="33"/>
      <c r="CM148" s="33"/>
      <c r="CN148" s="33"/>
      <c r="CO148" s="33"/>
      <c r="CP148" s="33"/>
      <c r="CQ148" s="33"/>
      <c r="CR148" s="33"/>
      <c r="CS148" s="33"/>
      <c r="CT148" s="33"/>
      <c r="CU148" s="33"/>
      <c r="CV148" s="33"/>
      <c r="CW148" s="33"/>
      <c r="CX148" s="33"/>
      <c r="CY148" s="33"/>
      <c r="CZ148" s="33"/>
      <c r="DA148" s="33"/>
      <c r="DB148" s="33"/>
      <c r="DC148" s="33"/>
      <c r="DD148" s="33"/>
      <c r="DE148" s="33"/>
      <c r="DF148" s="33"/>
      <c r="DG148" s="33"/>
      <c r="DH148" s="33"/>
      <c r="DI148" s="33"/>
      <c r="DJ148" s="33"/>
      <c r="DK148" s="33"/>
      <c r="DL148" s="33"/>
      <c r="DM148" s="33"/>
      <c r="DN148" s="33"/>
      <c r="DO148" s="33"/>
      <c r="DP148" s="33"/>
      <c r="DQ148" s="33"/>
      <c r="DR148" s="33"/>
      <c r="DS148" s="33"/>
      <c r="DT148" s="33"/>
      <c r="DU148" s="33"/>
      <c r="DV148" s="33"/>
      <c r="DW148" s="33"/>
      <c r="DX148" s="33"/>
      <c r="DY148" s="33"/>
      <c r="DZ148" s="33"/>
      <c r="EA148" s="33"/>
      <c r="EB148" s="33"/>
      <c r="EC148" s="33"/>
      <c r="ED148" s="33"/>
      <c r="EE148" s="33"/>
      <c r="EF148" s="33"/>
      <c r="EG148" s="33"/>
      <c r="EH148" s="33"/>
      <c r="EI148" s="33"/>
      <c r="EJ148" s="33"/>
      <c r="EK148" s="33"/>
      <c r="EL148" s="33"/>
      <c r="EM148" s="33"/>
      <c r="EN148" s="33"/>
      <c r="EO148" s="33"/>
      <c r="EP148" s="33"/>
      <c r="EQ148" s="33"/>
      <c r="ER148" s="33"/>
      <c r="ES148" s="33"/>
      <c r="ET148" s="33"/>
      <c r="EU148" s="33"/>
      <c r="EV148" s="33"/>
      <c r="EW148" s="33"/>
      <c r="EX148" s="33"/>
      <c r="EY148" s="33"/>
      <c r="EZ148" s="33"/>
      <c r="FA148" s="33"/>
      <c r="FB148" s="33"/>
      <c r="FC148" s="33"/>
      <c r="FD148" s="33"/>
      <c r="FE148" s="33"/>
      <c r="FF148" s="33"/>
      <c r="FG148" s="33"/>
      <c r="FH148" s="33"/>
      <c r="FI148" s="33"/>
      <c r="FJ148" s="33"/>
      <c r="FK148" s="33"/>
      <c r="FL148" s="33"/>
      <c r="FM148" s="33"/>
      <c r="FN148" s="33"/>
      <c r="FO148" s="33"/>
      <c r="FP148" s="33"/>
      <c r="FQ148" s="33"/>
      <c r="FR148" s="33"/>
      <c r="FS148" s="33"/>
      <c r="FT148" s="33"/>
      <c r="FU148" s="33"/>
      <c r="FV148" s="33"/>
      <c r="FW148" s="33"/>
      <c r="FX148" s="33"/>
      <c r="FY148" s="33"/>
      <c r="FZ148" s="33"/>
      <c r="GA148" s="33"/>
      <c r="GB148" s="33"/>
      <c r="GC148" s="33"/>
      <c r="GD148" s="33"/>
      <c r="GE148" s="33"/>
      <c r="GF148" s="33"/>
      <c r="GG148" s="33"/>
      <c r="GH148" s="33"/>
      <c r="GI148" s="33"/>
      <c r="GJ148" s="33"/>
      <c r="GK148" s="33"/>
      <c r="GL148" s="33"/>
      <c r="GM148" s="33"/>
      <c r="GN148" s="33"/>
      <c r="GO148" s="33"/>
      <c r="GP148" s="33"/>
      <c r="GQ148" s="33"/>
      <c r="GR148" s="33"/>
      <c r="GS148" s="33"/>
      <c r="GT148" s="33"/>
      <c r="GU148" s="33"/>
      <c r="GV148" s="33"/>
      <c r="GW148" s="33"/>
      <c r="GX148" s="33"/>
      <c r="GY148" s="33"/>
      <c r="GZ148" s="33"/>
      <c r="HA148" s="33"/>
      <c r="HB148" s="33"/>
      <c r="HC148" s="33"/>
      <c r="HD148" s="33"/>
      <c r="HE148" s="33"/>
      <c r="HF148" s="33"/>
      <c r="HG148" s="33"/>
      <c r="HH148" s="33"/>
      <c r="HI148" s="33"/>
      <c r="HJ148" s="33"/>
      <c r="HK148" s="33"/>
      <c r="HL148" s="33"/>
      <c r="HM148" s="33"/>
      <c r="HN148" s="33"/>
      <c r="HO148" s="33"/>
      <c r="HP148" s="33"/>
      <c r="HQ148" s="33"/>
      <c r="HR148" s="33"/>
      <c r="HS148" s="33"/>
      <c r="HT148" s="33"/>
      <c r="HU148" s="33"/>
      <c r="HV148" s="33"/>
      <c r="HW148" s="33"/>
      <c r="HX148" s="33"/>
      <c r="HY148" s="33"/>
      <c r="HZ148" s="33"/>
      <c r="IA148" s="33"/>
      <c r="IB148" s="33"/>
      <c r="IC148" s="33"/>
      <c r="ID148" s="33"/>
      <c r="IE148" s="33"/>
      <c r="IF148" s="33"/>
      <c r="IG148" s="33"/>
      <c r="IH148" s="33"/>
      <c r="II148" s="33"/>
      <c r="IJ148" s="33"/>
      <c r="IK148" s="33"/>
      <c r="IL148" s="33"/>
      <c r="IM148" s="33"/>
      <c r="IN148" s="33"/>
      <c r="IO148" s="33"/>
      <c r="IP148" s="33"/>
      <c r="IQ148" s="33"/>
      <c r="IR148" s="33"/>
      <c r="IS148" s="33"/>
      <c r="IT148" s="33"/>
      <c r="IU148" s="33"/>
      <c r="IV148" s="33"/>
      <c r="IW148" s="33"/>
      <c r="IX148" s="33"/>
      <c r="IY148" s="33"/>
      <c r="IZ148" s="33"/>
      <c r="JA148" s="33"/>
      <c r="JB148" s="33"/>
      <c r="JC148" s="33"/>
      <c r="JD148" s="33"/>
      <c r="JE148" s="33"/>
      <c r="JF148" s="33"/>
      <c r="JG148" s="33"/>
      <c r="JH148" s="33"/>
      <c r="JI148" s="33"/>
      <c r="JJ148" s="33"/>
      <c r="JK148" s="33"/>
      <c r="JL148" s="33"/>
      <c r="JM148" s="33"/>
      <c r="JN148" s="33"/>
      <c r="JO148" s="33"/>
      <c r="JP148" s="33"/>
      <c r="JQ148" s="33"/>
      <c r="JR148" s="33"/>
      <c r="JS148" s="33"/>
      <c r="JT148" s="33"/>
      <c r="JU148" s="33"/>
      <c r="JV148" s="33"/>
      <c r="JW148" s="33"/>
      <c r="JX148" s="33"/>
      <c r="JY148" s="33"/>
      <c r="JZ148" s="33"/>
      <c r="KA148" s="33"/>
      <c r="KB148" s="33"/>
      <c r="KC148" s="33"/>
      <c r="KD148" s="33"/>
      <c r="KE148" s="33"/>
      <c r="KF148" s="33"/>
      <c r="KG148" s="33"/>
      <c r="KH148" s="33"/>
      <c r="KI148" s="33"/>
      <c r="KJ148" s="33"/>
      <c r="KK148" s="33"/>
      <c r="KL148" s="33"/>
      <c r="KM148" s="33"/>
      <c r="KN148" s="33"/>
      <c r="KO148" s="33"/>
      <c r="KP148" s="33"/>
      <c r="KQ148" s="33"/>
      <c r="KR148" s="33"/>
      <c r="KS148" s="33"/>
      <c r="KT148" s="33"/>
      <c r="KU148" s="33"/>
      <c r="KV148" s="33"/>
      <c r="KW148" s="33"/>
      <c r="KX148" s="33"/>
      <c r="KY148" s="33"/>
      <c r="KZ148" s="33"/>
      <c r="LA148" s="33"/>
      <c r="LB148" s="33"/>
      <c r="LC148" s="33"/>
      <c r="LD148" s="33"/>
      <c r="LE148" s="33"/>
      <c r="LF148" s="33"/>
      <c r="LG148" s="33"/>
      <c r="LH148" s="33"/>
      <c r="LI148" s="33"/>
      <c r="LJ148" s="33"/>
      <c r="LK148" s="33"/>
      <c r="LL148" s="33"/>
      <c r="LM148" s="33"/>
      <c r="LN148" s="33"/>
      <c r="LO148" s="33"/>
      <c r="LP148" s="33"/>
      <c r="LQ148" s="33"/>
      <c r="LR148" s="33"/>
      <c r="LS148" s="33"/>
      <c r="LT148" s="33"/>
      <c r="LU148" s="33"/>
      <c r="LV148" s="33"/>
      <c r="LW148" s="33"/>
      <c r="LX148" s="33"/>
      <c r="LY148" s="33"/>
      <c r="LZ148" s="33"/>
      <c r="MA148" s="33"/>
      <c r="MB148" s="33"/>
      <c r="MC148" s="33"/>
      <c r="MD148" s="33"/>
      <c r="ME148" s="33"/>
      <c r="MF148" s="33"/>
      <c r="MG148" s="33"/>
      <c r="MH148" s="33"/>
      <c r="MI148" s="33"/>
      <c r="MJ148" s="33"/>
      <c r="MK148" s="33"/>
      <c r="ML148" s="33"/>
      <c r="MM148" s="33"/>
      <c r="MN148" s="33"/>
      <c r="MO148" s="33"/>
      <c r="MP148" s="33"/>
      <c r="MQ148" s="33"/>
      <c r="MR148" s="33"/>
      <c r="MS148" s="33"/>
      <c r="MT148" s="33"/>
      <c r="MU148" s="33"/>
      <c r="MV148" s="33"/>
    </row>
    <row r="149" spans="1:360" ht="0.75" customHeight="1" x14ac:dyDescent="0.25">
      <c r="A149" s="33"/>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33"/>
      <c r="BT149" s="33"/>
      <c r="BU149" s="33"/>
      <c r="BV149" s="33"/>
      <c r="BW149" s="33"/>
      <c r="BX149" s="33"/>
      <c r="BY149" s="33"/>
      <c r="BZ149" s="33"/>
      <c r="CA149" s="33"/>
      <c r="CB149" s="33"/>
      <c r="CC149" s="33"/>
      <c r="CD149" s="33"/>
      <c r="CE149" s="33"/>
      <c r="CF149" s="33"/>
      <c r="CG149" s="33"/>
      <c r="CH149" s="33"/>
      <c r="CI149" s="33"/>
      <c r="CJ149" s="33"/>
      <c r="CK149" s="33"/>
      <c r="CL149" s="33"/>
      <c r="CM149" s="33"/>
      <c r="CN149" s="33"/>
      <c r="CO149" s="33"/>
      <c r="CP149" s="33"/>
      <c r="CQ149" s="33"/>
      <c r="CR149" s="33"/>
      <c r="CS149" s="33"/>
      <c r="CT149" s="33"/>
      <c r="CU149" s="33"/>
      <c r="CV149" s="33"/>
      <c r="CW149" s="33"/>
      <c r="CX149" s="33"/>
      <c r="CY149" s="33"/>
      <c r="CZ149" s="33"/>
      <c r="DA149" s="33"/>
      <c r="DB149" s="33"/>
      <c r="DC149" s="33"/>
      <c r="DD149" s="33"/>
      <c r="DE149" s="33"/>
      <c r="DF149" s="33"/>
      <c r="DG149" s="33"/>
      <c r="DH149" s="33"/>
      <c r="DI149" s="33"/>
      <c r="DJ149" s="33"/>
      <c r="DK149" s="33"/>
      <c r="DL149" s="33"/>
      <c r="DM149" s="33"/>
      <c r="DN149" s="33"/>
      <c r="DO149" s="33"/>
      <c r="DP149" s="33"/>
      <c r="DQ149" s="33"/>
      <c r="DR149" s="33"/>
      <c r="DS149" s="33"/>
      <c r="DT149" s="33"/>
      <c r="DU149" s="33"/>
      <c r="DV149" s="33"/>
      <c r="DW149" s="33"/>
      <c r="DX149" s="33"/>
      <c r="DY149" s="33"/>
      <c r="DZ149" s="33"/>
      <c r="EA149" s="33"/>
      <c r="EB149" s="33"/>
      <c r="EC149" s="33"/>
      <c r="ED149" s="33"/>
      <c r="EE149" s="33"/>
      <c r="EF149" s="33"/>
      <c r="EG149" s="33"/>
      <c r="EH149" s="33"/>
      <c r="EI149" s="33"/>
      <c r="EJ149" s="33"/>
      <c r="EK149" s="33"/>
      <c r="EL149" s="33"/>
      <c r="EM149" s="33"/>
      <c r="EN149" s="33"/>
      <c r="EO149" s="33"/>
      <c r="EP149" s="33"/>
      <c r="EQ149" s="33"/>
      <c r="ER149" s="33"/>
      <c r="ES149" s="33"/>
      <c r="ET149" s="33"/>
      <c r="EU149" s="33"/>
      <c r="EV149" s="33"/>
      <c r="EW149" s="33"/>
      <c r="EX149" s="33"/>
      <c r="EY149" s="33"/>
      <c r="EZ149" s="33"/>
      <c r="FA149" s="33"/>
      <c r="FB149" s="33"/>
      <c r="FC149" s="33"/>
      <c r="FD149" s="33"/>
      <c r="FE149" s="33"/>
      <c r="FF149" s="33"/>
      <c r="FG149" s="33"/>
      <c r="FH149" s="33"/>
      <c r="FI149" s="33"/>
      <c r="FJ149" s="33"/>
      <c r="FK149" s="33"/>
      <c r="FL149" s="33"/>
      <c r="FM149" s="33"/>
      <c r="FN149" s="33"/>
      <c r="FO149" s="33"/>
      <c r="FP149" s="33"/>
      <c r="FQ149" s="33"/>
      <c r="FR149" s="33"/>
      <c r="FS149" s="33"/>
      <c r="FT149" s="33"/>
      <c r="FU149" s="33"/>
      <c r="FV149" s="33"/>
      <c r="FW149" s="33"/>
      <c r="FX149" s="33"/>
      <c r="FY149" s="33"/>
      <c r="FZ149" s="33"/>
      <c r="GA149" s="33"/>
      <c r="GB149" s="33"/>
      <c r="GC149" s="33"/>
      <c r="GD149" s="33"/>
      <c r="GE149" s="33"/>
      <c r="GF149" s="33"/>
      <c r="GG149" s="33"/>
      <c r="GH149" s="33"/>
      <c r="GI149" s="33"/>
      <c r="GJ149" s="33"/>
      <c r="GK149" s="33"/>
      <c r="GL149" s="33"/>
      <c r="GM149" s="33"/>
      <c r="GN149" s="33"/>
      <c r="GO149" s="33"/>
      <c r="GP149" s="33"/>
      <c r="GQ149" s="33"/>
      <c r="GR149" s="33"/>
      <c r="GS149" s="33"/>
      <c r="GT149" s="33"/>
      <c r="GU149" s="33"/>
      <c r="GV149" s="33"/>
      <c r="GW149" s="33"/>
      <c r="GX149" s="33"/>
      <c r="GY149" s="33"/>
      <c r="GZ149" s="33"/>
      <c r="HA149" s="33"/>
      <c r="HB149" s="33"/>
      <c r="HC149" s="33"/>
      <c r="HD149" s="33"/>
      <c r="HE149" s="33"/>
      <c r="HF149" s="33"/>
      <c r="HG149" s="33"/>
      <c r="HH149" s="33"/>
      <c r="HI149" s="33"/>
      <c r="HJ149" s="33"/>
      <c r="HK149" s="33"/>
      <c r="HL149" s="33"/>
      <c r="HM149" s="33"/>
      <c r="HN149" s="33"/>
      <c r="HO149" s="33"/>
      <c r="HP149" s="33"/>
      <c r="HQ149" s="33"/>
      <c r="HR149" s="33"/>
      <c r="HS149" s="33"/>
      <c r="HT149" s="33"/>
      <c r="HU149" s="33"/>
      <c r="HV149" s="33"/>
      <c r="HW149" s="33"/>
      <c r="HX149" s="33"/>
      <c r="HY149" s="33"/>
      <c r="HZ149" s="33"/>
      <c r="IA149" s="33"/>
      <c r="IB149" s="33"/>
      <c r="IC149" s="33"/>
      <c r="ID149" s="33"/>
      <c r="IE149" s="33"/>
      <c r="IF149" s="33"/>
      <c r="IG149" s="33"/>
      <c r="IH149" s="33"/>
      <c r="II149" s="33"/>
      <c r="IJ149" s="33"/>
      <c r="IK149" s="33"/>
      <c r="IL149" s="33"/>
      <c r="IM149" s="33"/>
      <c r="IN149" s="33"/>
      <c r="IO149" s="33"/>
      <c r="IP149" s="33"/>
      <c r="IQ149" s="33"/>
      <c r="IR149" s="33"/>
      <c r="IS149" s="33"/>
      <c r="IT149" s="33"/>
      <c r="IU149" s="33"/>
      <c r="IV149" s="33"/>
      <c r="IW149" s="33"/>
      <c r="IX149" s="33"/>
      <c r="IY149" s="33"/>
      <c r="IZ149" s="33"/>
      <c r="JA149" s="33"/>
      <c r="JB149" s="33"/>
      <c r="JC149" s="33"/>
      <c r="JD149" s="33"/>
      <c r="JE149" s="33"/>
      <c r="JF149" s="33"/>
      <c r="JG149" s="33"/>
      <c r="JH149" s="33"/>
      <c r="JI149" s="33"/>
      <c r="JJ149" s="33"/>
      <c r="JK149" s="33"/>
      <c r="JL149" s="33"/>
      <c r="JM149" s="33"/>
      <c r="JN149" s="33"/>
      <c r="JO149" s="33"/>
      <c r="JP149" s="33"/>
      <c r="JQ149" s="33"/>
      <c r="JR149" s="33"/>
      <c r="JS149" s="33"/>
      <c r="JT149" s="33"/>
      <c r="JU149" s="33"/>
      <c r="JV149" s="33"/>
      <c r="JW149" s="33"/>
      <c r="JX149" s="33"/>
      <c r="JY149" s="33"/>
      <c r="JZ149" s="33"/>
      <c r="KA149" s="33"/>
      <c r="KB149" s="33"/>
      <c r="KC149" s="33"/>
      <c r="KD149" s="33"/>
      <c r="KE149" s="33"/>
      <c r="KF149" s="33"/>
      <c r="KG149" s="33"/>
      <c r="KH149" s="33"/>
      <c r="KI149" s="33"/>
      <c r="KJ149" s="33"/>
      <c r="KK149" s="33"/>
      <c r="KL149" s="33"/>
      <c r="KM149" s="33"/>
      <c r="KN149" s="33"/>
      <c r="KO149" s="33"/>
      <c r="KP149" s="33"/>
      <c r="KQ149" s="33"/>
      <c r="KR149" s="33"/>
      <c r="KS149" s="33"/>
      <c r="KT149" s="33"/>
      <c r="KU149" s="33"/>
      <c r="KV149" s="33"/>
      <c r="KW149" s="33"/>
      <c r="KX149" s="33"/>
      <c r="KY149" s="33"/>
      <c r="KZ149" s="33"/>
      <c r="LA149" s="33"/>
      <c r="LB149" s="33"/>
      <c r="LC149" s="33"/>
      <c r="LD149" s="33"/>
      <c r="LE149" s="33"/>
      <c r="LF149" s="33"/>
      <c r="LG149" s="33"/>
      <c r="LH149" s="33"/>
      <c r="LI149" s="33"/>
      <c r="LJ149" s="33"/>
      <c r="LK149" s="33"/>
      <c r="LL149" s="33"/>
      <c r="LM149" s="33"/>
      <c r="LN149" s="33"/>
      <c r="LO149" s="33"/>
      <c r="LP149" s="33"/>
      <c r="LQ149" s="33"/>
      <c r="LR149" s="33"/>
      <c r="LS149" s="33"/>
      <c r="LT149" s="33"/>
      <c r="LU149" s="33"/>
      <c r="LV149" s="33"/>
      <c r="LW149" s="33"/>
      <c r="LX149" s="33"/>
      <c r="LY149" s="33"/>
      <c r="LZ149" s="33"/>
      <c r="MA149" s="33"/>
      <c r="MB149" s="33"/>
      <c r="MC149" s="33"/>
      <c r="MD149" s="33"/>
      <c r="ME149" s="33"/>
      <c r="MF149" s="33"/>
      <c r="MG149" s="33"/>
      <c r="MH149" s="33"/>
      <c r="MI149" s="33"/>
      <c r="MJ149" s="33"/>
      <c r="MK149" s="33"/>
      <c r="ML149" s="33"/>
      <c r="MM149" s="33"/>
      <c r="MN149" s="33"/>
      <c r="MO149" s="33"/>
      <c r="MP149" s="33"/>
      <c r="MQ149" s="33"/>
      <c r="MR149" s="33"/>
      <c r="MS149" s="33"/>
      <c r="MT149" s="33"/>
      <c r="MU149" s="33"/>
      <c r="MV149" s="33"/>
    </row>
    <row r="150" spans="1:360" ht="0.75" customHeight="1" x14ac:dyDescent="0.25">
      <c r="A150" s="33"/>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33"/>
      <c r="BT150" s="33"/>
      <c r="BU150" s="33"/>
      <c r="BV150" s="33"/>
      <c r="BW150" s="33"/>
      <c r="BX150" s="33"/>
      <c r="BY150" s="33"/>
      <c r="BZ150" s="33"/>
      <c r="CA150" s="33"/>
      <c r="CB150" s="33"/>
      <c r="CC150" s="33"/>
      <c r="CD150" s="33"/>
      <c r="CE150" s="33"/>
      <c r="CF150" s="33"/>
      <c r="CG150" s="33"/>
      <c r="CH150" s="33"/>
      <c r="CI150" s="33"/>
      <c r="CJ150" s="33"/>
      <c r="CK150" s="33"/>
      <c r="CL150" s="33"/>
      <c r="CM150" s="33"/>
      <c r="CN150" s="33"/>
      <c r="CO150" s="33"/>
      <c r="CP150" s="33"/>
      <c r="CQ150" s="33"/>
      <c r="CR150" s="33"/>
      <c r="CS150" s="33"/>
      <c r="CT150" s="33"/>
      <c r="CU150" s="33"/>
      <c r="CV150" s="33"/>
      <c r="CW150" s="33"/>
      <c r="CX150" s="33"/>
      <c r="CY150" s="33"/>
      <c r="CZ150" s="33"/>
      <c r="DA150" s="33"/>
      <c r="DB150" s="33"/>
      <c r="DC150" s="33"/>
      <c r="DD150" s="33"/>
      <c r="DE150" s="33"/>
      <c r="DF150" s="33"/>
      <c r="DG150" s="33"/>
      <c r="DH150" s="33"/>
      <c r="DI150" s="33"/>
      <c r="DJ150" s="33"/>
      <c r="DK150" s="33"/>
      <c r="DL150" s="33"/>
      <c r="DM150" s="33"/>
      <c r="DN150" s="33"/>
      <c r="DO150" s="33"/>
      <c r="DP150" s="33"/>
      <c r="DQ150" s="33"/>
      <c r="DR150" s="33"/>
      <c r="DS150" s="33"/>
      <c r="DT150" s="33"/>
      <c r="DU150" s="33"/>
      <c r="DV150" s="33"/>
      <c r="DW150" s="33"/>
      <c r="DX150" s="33"/>
      <c r="DY150" s="33"/>
      <c r="DZ150" s="33"/>
      <c r="EA150" s="33"/>
      <c r="EB150" s="33"/>
      <c r="EC150" s="33"/>
      <c r="ED150" s="33"/>
      <c r="EE150" s="33"/>
      <c r="EF150" s="33"/>
      <c r="EG150" s="33"/>
      <c r="EH150" s="33"/>
      <c r="EI150" s="33"/>
      <c r="EJ150" s="33"/>
      <c r="EK150" s="33"/>
      <c r="EL150" s="33"/>
      <c r="EM150" s="33"/>
      <c r="EN150" s="33"/>
      <c r="EO150" s="33"/>
      <c r="EP150" s="33"/>
      <c r="EQ150" s="33"/>
      <c r="ER150" s="33"/>
      <c r="ES150" s="33"/>
      <c r="ET150" s="33"/>
      <c r="EU150" s="33"/>
      <c r="EV150" s="33"/>
      <c r="EW150" s="33"/>
      <c r="EX150" s="33"/>
      <c r="EY150" s="33"/>
      <c r="EZ150" s="33"/>
      <c r="FA150" s="33"/>
      <c r="FB150" s="33"/>
      <c r="FC150" s="33"/>
      <c r="FD150" s="33"/>
      <c r="FE150" s="33"/>
      <c r="FF150" s="33"/>
      <c r="FG150" s="33"/>
      <c r="FH150" s="33"/>
      <c r="FI150" s="33"/>
      <c r="FJ150" s="33"/>
      <c r="FK150" s="33"/>
      <c r="FL150" s="33"/>
      <c r="FM150" s="33"/>
      <c r="FN150" s="33"/>
      <c r="FO150" s="33"/>
      <c r="FP150" s="33"/>
      <c r="FQ150" s="33"/>
      <c r="FR150" s="33"/>
      <c r="FS150" s="33"/>
      <c r="FT150" s="33"/>
      <c r="FU150" s="33"/>
      <c r="FV150" s="33"/>
      <c r="FW150" s="33"/>
      <c r="FX150" s="33"/>
      <c r="FY150" s="33"/>
      <c r="FZ150" s="33"/>
      <c r="GA150" s="33"/>
      <c r="GB150" s="33"/>
      <c r="GC150" s="33"/>
      <c r="GD150" s="33"/>
      <c r="GE150" s="33"/>
      <c r="GF150" s="33"/>
      <c r="GG150" s="33"/>
      <c r="GH150" s="33"/>
      <c r="GI150" s="33"/>
      <c r="GJ150" s="33"/>
      <c r="GK150" s="33"/>
      <c r="GL150" s="33"/>
      <c r="GM150" s="33"/>
      <c r="GN150" s="33"/>
      <c r="GO150" s="33"/>
      <c r="GP150" s="33"/>
      <c r="GQ150" s="33"/>
      <c r="GR150" s="33"/>
      <c r="GS150" s="33"/>
      <c r="GT150" s="33"/>
      <c r="GU150" s="33"/>
      <c r="GV150" s="33"/>
      <c r="GW150" s="33"/>
      <c r="GX150" s="33"/>
      <c r="GY150" s="33"/>
      <c r="GZ150" s="33"/>
      <c r="HA150" s="33"/>
      <c r="HB150" s="33"/>
      <c r="HC150" s="33"/>
      <c r="HD150" s="33"/>
      <c r="HE150" s="33"/>
      <c r="HF150" s="33"/>
      <c r="HG150" s="33"/>
      <c r="HH150" s="33"/>
      <c r="HI150" s="33"/>
      <c r="HJ150" s="33"/>
      <c r="HK150" s="33"/>
      <c r="HL150" s="33"/>
      <c r="HM150" s="33"/>
      <c r="HN150" s="33"/>
      <c r="HO150" s="33"/>
      <c r="HP150" s="33"/>
      <c r="HQ150" s="33"/>
      <c r="HR150" s="33"/>
      <c r="HS150" s="33"/>
      <c r="HT150" s="33"/>
      <c r="HU150" s="33"/>
      <c r="HV150" s="33"/>
      <c r="HW150" s="33"/>
      <c r="HX150" s="33"/>
      <c r="HY150" s="33"/>
      <c r="HZ150" s="33"/>
      <c r="IA150" s="33"/>
      <c r="IB150" s="33"/>
      <c r="IC150" s="33"/>
      <c r="ID150" s="33"/>
      <c r="IE150" s="33"/>
      <c r="IF150" s="33"/>
      <c r="IG150" s="33"/>
      <c r="IH150" s="33"/>
      <c r="II150" s="33"/>
      <c r="IJ150" s="33"/>
      <c r="IK150" s="33"/>
      <c r="IL150" s="33"/>
      <c r="IM150" s="33"/>
      <c r="IN150" s="33"/>
      <c r="IO150" s="33"/>
      <c r="IP150" s="33"/>
      <c r="IQ150" s="33"/>
      <c r="IR150" s="33"/>
      <c r="IS150" s="33"/>
      <c r="IT150" s="33"/>
      <c r="IU150" s="33"/>
      <c r="IV150" s="33"/>
      <c r="IW150" s="33"/>
      <c r="IX150" s="33"/>
      <c r="IY150" s="33"/>
      <c r="IZ150" s="33"/>
      <c r="JA150" s="33"/>
      <c r="JB150" s="33"/>
      <c r="JC150" s="33"/>
      <c r="JD150" s="33"/>
      <c r="JE150" s="33"/>
      <c r="JF150" s="33"/>
      <c r="JG150" s="33"/>
      <c r="JH150" s="33"/>
      <c r="JI150" s="33"/>
      <c r="JJ150" s="33"/>
      <c r="JK150" s="33"/>
      <c r="JL150" s="33"/>
      <c r="JM150" s="33"/>
      <c r="JN150" s="33"/>
      <c r="JO150" s="33"/>
      <c r="JP150" s="33"/>
      <c r="JQ150" s="33"/>
      <c r="JR150" s="33"/>
      <c r="JS150" s="33"/>
      <c r="JT150" s="33"/>
      <c r="JU150" s="33"/>
      <c r="JV150" s="33"/>
      <c r="JW150" s="33"/>
      <c r="JX150" s="33"/>
      <c r="JY150" s="33"/>
      <c r="JZ150" s="33"/>
      <c r="KA150" s="33"/>
      <c r="KB150" s="33"/>
      <c r="KC150" s="33"/>
      <c r="KD150" s="33"/>
      <c r="KE150" s="33"/>
      <c r="KF150" s="33"/>
      <c r="KG150" s="33"/>
      <c r="KH150" s="33"/>
      <c r="KI150" s="33"/>
      <c r="KJ150" s="33"/>
      <c r="KK150" s="33"/>
      <c r="KL150" s="33"/>
      <c r="KM150" s="33"/>
      <c r="KN150" s="33"/>
      <c r="KO150" s="33"/>
      <c r="KP150" s="33"/>
      <c r="KQ150" s="33"/>
      <c r="KR150" s="33"/>
      <c r="KS150" s="33"/>
      <c r="KT150" s="33"/>
      <c r="KU150" s="33"/>
      <c r="KV150" s="33"/>
      <c r="KW150" s="33"/>
      <c r="KX150" s="33"/>
      <c r="KY150" s="33"/>
      <c r="KZ150" s="33"/>
      <c r="LA150" s="33"/>
      <c r="LB150" s="33"/>
      <c r="LC150" s="33"/>
      <c r="LD150" s="33"/>
      <c r="LE150" s="33"/>
      <c r="LF150" s="33"/>
      <c r="LG150" s="33"/>
      <c r="LH150" s="33"/>
      <c r="LI150" s="33"/>
      <c r="LJ150" s="33"/>
      <c r="LK150" s="33"/>
      <c r="LL150" s="33"/>
      <c r="LM150" s="33"/>
      <c r="LN150" s="33"/>
      <c r="LO150" s="33"/>
      <c r="LP150" s="33"/>
      <c r="LQ150" s="33"/>
      <c r="LR150" s="33"/>
      <c r="LS150" s="33"/>
      <c r="LT150" s="33"/>
      <c r="LU150" s="33"/>
      <c r="LV150" s="33"/>
      <c r="LW150" s="33"/>
      <c r="LX150" s="33"/>
      <c r="LY150" s="33"/>
      <c r="LZ150" s="33"/>
      <c r="MA150" s="33"/>
      <c r="MB150" s="33"/>
      <c r="MC150" s="33"/>
      <c r="MD150" s="33"/>
      <c r="ME150" s="33"/>
      <c r="MF150" s="33"/>
      <c r="MG150" s="33"/>
      <c r="MH150" s="33"/>
      <c r="MI150" s="33"/>
      <c r="MJ150" s="33"/>
      <c r="MK150" s="33"/>
      <c r="ML150" s="33"/>
      <c r="MM150" s="33"/>
      <c r="MN150" s="33"/>
      <c r="MO150" s="33"/>
      <c r="MP150" s="33"/>
      <c r="MQ150" s="33"/>
      <c r="MR150" s="33"/>
      <c r="MS150" s="33"/>
      <c r="MT150" s="33"/>
      <c r="MU150" s="33"/>
      <c r="MV150" s="33"/>
    </row>
    <row r="151" spans="1:360" ht="0.75" customHeight="1" x14ac:dyDescent="0.25">
      <c r="A151" s="33"/>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33"/>
      <c r="AU151" s="33"/>
      <c r="AV151" s="33"/>
      <c r="AW151" s="33"/>
      <c r="AX151" s="33"/>
      <c r="AY151" s="33"/>
      <c r="AZ151" s="33"/>
      <c r="BA151" s="33"/>
      <c r="BB151" s="33"/>
      <c r="BC151" s="91"/>
      <c r="BD151" s="47"/>
      <c r="BE151" s="59"/>
      <c r="BF151" s="59"/>
      <c r="BG151" s="59"/>
      <c r="BH151" s="59"/>
      <c r="BI151" s="59"/>
      <c r="BJ151" s="59"/>
      <c r="BK151" s="59"/>
      <c r="BL151" s="59"/>
      <c r="BM151" s="59"/>
      <c r="BN151" s="59"/>
      <c r="BO151" s="59"/>
      <c r="BP151" s="59"/>
      <c r="BQ151" s="59"/>
      <c r="BR151" s="59"/>
      <c r="BS151" s="59"/>
      <c r="BT151" s="59"/>
      <c r="BU151" s="59"/>
      <c r="BV151" s="59"/>
      <c r="BW151" s="59"/>
      <c r="BX151" s="59"/>
      <c r="BY151" s="59"/>
      <c r="BZ151" s="59"/>
      <c r="CA151" s="59"/>
      <c r="CB151" s="59"/>
      <c r="CC151" s="67"/>
      <c r="CD151" s="92"/>
      <c r="CE151" s="93"/>
      <c r="CF151" s="33"/>
      <c r="CG151" s="33"/>
      <c r="CH151" s="33"/>
      <c r="CI151" s="33"/>
      <c r="CJ151" s="33"/>
      <c r="CK151" s="33"/>
      <c r="CL151" s="33"/>
      <c r="CM151" s="33"/>
      <c r="CN151" s="33"/>
      <c r="CO151" s="33"/>
      <c r="CP151" s="33"/>
      <c r="CQ151" s="33"/>
      <c r="CR151" s="33"/>
      <c r="CS151" s="33"/>
      <c r="CT151" s="33"/>
      <c r="CU151" s="33"/>
      <c r="CV151" s="33"/>
      <c r="CW151" s="33"/>
      <c r="CX151" s="33"/>
      <c r="CY151" s="33"/>
      <c r="CZ151" s="33"/>
      <c r="DA151" s="33"/>
      <c r="DB151" s="33"/>
      <c r="DC151" s="33"/>
      <c r="DD151" s="33"/>
      <c r="DE151" s="33"/>
      <c r="DF151" s="33"/>
      <c r="DG151" s="33"/>
      <c r="DH151" s="33"/>
      <c r="DI151" s="94"/>
      <c r="DJ151" s="95"/>
      <c r="DK151" s="96"/>
      <c r="DL151" s="59"/>
      <c r="DM151" s="59"/>
      <c r="DN151" s="59"/>
      <c r="DO151" s="59"/>
      <c r="DP151" s="59"/>
      <c r="DQ151" s="59"/>
      <c r="DR151" s="59"/>
      <c r="DS151" s="59"/>
      <c r="DT151" s="59"/>
      <c r="DU151" s="59"/>
      <c r="DV151" s="59"/>
      <c r="DW151" s="59"/>
      <c r="DX151" s="59"/>
      <c r="DY151" s="59"/>
      <c r="DZ151" s="59"/>
      <c r="EA151" s="59"/>
      <c r="EB151" s="59"/>
      <c r="EC151" s="97"/>
      <c r="ED151" s="98"/>
      <c r="EE151" s="72"/>
      <c r="EF151" s="33"/>
      <c r="EG151" s="33"/>
      <c r="EH151" s="33"/>
      <c r="EI151" s="33"/>
      <c r="EJ151" s="33"/>
      <c r="EK151" s="33"/>
      <c r="EL151" s="33"/>
      <c r="EM151" s="33"/>
      <c r="EN151" s="33"/>
      <c r="EO151" s="33"/>
      <c r="EP151" s="33"/>
      <c r="EQ151" s="33"/>
      <c r="ER151" s="33"/>
      <c r="ES151" s="33"/>
      <c r="ET151" s="33"/>
      <c r="EU151" s="33"/>
      <c r="EV151" s="33"/>
      <c r="EW151" s="33"/>
      <c r="EX151" s="33"/>
      <c r="EY151" s="33"/>
      <c r="EZ151" s="33"/>
      <c r="FA151" s="33"/>
      <c r="FB151" s="33"/>
      <c r="FC151" s="33"/>
      <c r="FD151" s="33"/>
      <c r="FE151" s="33"/>
      <c r="FF151" s="33"/>
      <c r="FG151" s="33"/>
      <c r="FH151" s="33"/>
      <c r="FI151" s="57"/>
      <c r="FJ151" s="99"/>
      <c r="FK151" s="100"/>
      <c r="FL151" s="59"/>
      <c r="FM151" s="59"/>
      <c r="FN151" s="59"/>
      <c r="FO151" s="47"/>
      <c r="FP151" s="91"/>
      <c r="FQ151" s="33"/>
      <c r="FR151" s="33"/>
      <c r="FS151" s="33"/>
      <c r="FT151" s="33"/>
      <c r="FU151" s="33"/>
      <c r="FV151" s="33"/>
      <c r="FW151" s="33"/>
      <c r="FX151" s="33"/>
      <c r="FY151" s="33"/>
      <c r="FZ151" s="33"/>
      <c r="GA151" s="33"/>
      <c r="GB151" s="33"/>
      <c r="GC151" s="33"/>
      <c r="GD151" s="33"/>
      <c r="GE151" s="33"/>
      <c r="GF151" s="33"/>
      <c r="GG151" s="33"/>
      <c r="GH151" s="33"/>
      <c r="GI151" s="33"/>
      <c r="GJ151" s="33"/>
      <c r="GK151" s="33"/>
      <c r="GL151" s="33"/>
      <c r="GM151" s="33"/>
      <c r="GN151" s="33"/>
      <c r="GO151" s="33"/>
      <c r="GP151" s="33"/>
      <c r="GQ151" s="33"/>
      <c r="GR151" s="33"/>
      <c r="GS151" s="33"/>
      <c r="GT151" s="33"/>
      <c r="GU151" s="33"/>
      <c r="GV151" s="33"/>
      <c r="GW151" s="33"/>
      <c r="GX151" s="33"/>
      <c r="GY151" s="33"/>
      <c r="GZ151" s="33"/>
      <c r="HA151" s="33"/>
      <c r="HB151" s="33"/>
      <c r="HC151" s="33"/>
      <c r="HD151" s="33"/>
      <c r="HE151" s="33"/>
      <c r="HF151" s="33"/>
      <c r="HG151" s="33"/>
      <c r="HH151" s="33"/>
      <c r="HI151" s="33"/>
      <c r="HJ151" s="33"/>
      <c r="HK151" s="33"/>
      <c r="HL151" s="33"/>
      <c r="HM151" s="33"/>
      <c r="HN151" s="33"/>
      <c r="HO151" s="33"/>
      <c r="HP151" s="101"/>
      <c r="HQ151" s="44"/>
      <c r="HR151" s="59"/>
      <c r="HS151" s="59"/>
      <c r="HT151" s="59"/>
      <c r="HU151" s="59"/>
      <c r="HV151" s="47"/>
      <c r="HW151" s="91"/>
      <c r="HX151" s="33"/>
      <c r="HY151" s="33"/>
      <c r="HZ151" s="33"/>
      <c r="IA151" s="33"/>
      <c r="IB151" s="33"/>
      <c r="IC151" s="33"/>
      <c r="ID151" s="33"/>
      <c r="IE151" s="33"/>
      <c r="IF151" s="33"/>
      <c r="IG151" s="33"/>
      <c r="IH151" s="33"/>
      <c r="II151" s="33"/>
      <c r="IJ151" s="33"/>
      <c r="IK151" s="33"/>
      <c r="IL151" s="33"/>
      <c r="IM151" s="33"/>
      <c r="IN151" s="33"/>
      <c r="IO151" s="33"/>
      <c r="IP151" s="33"/>
      <c r="IQ151" s="33"/>
      <c r="IR151" s="33"/>
      <c r="IS151" s="33"/>
      <c r="IT151" s="33"/>
      <c r="IU151" s="33"/>
      <c r="IV151" s="33"/>
      <c r="IW151" s="33"/>
      <c r="IX151" s="33"/>
      <c r="IY151" s="33"/>
      <c r="IZ151" s="33"/>
      <c r="JA151" s="33"/>
      <c r="JB151" s="33"/>
      <c r="JC151" s="33"/>
      <c r="JD151" s="33"/>
      <c r="JE151" s="33"/>
      <c r="JF151" s="33"/>
      <c r="JG151" s="33"/>
      <c r="JH151" s="33"/>
      <c r="JI151" s="33"/>
      <c r="JJ151" s="33"/>
      <c r="JK151" s="33"/>
      <c r="JL151" s="33"/>
      <c r="JM151" s="33"/>
      <c r="JN151" s="33"/>
      <c r="JO151" s="33"/>
      <c r="JP151" s="33"/>
      <c r="JQ151" s="33"/>
      <c r="JR151" s="33"/>
      <c r="JS151" s="33"/>
      <c r="JT151" s="33"/>
      <c r="JU151" s="33"/>
      <c r="JV151" s="33"/>
      <c r="JW151" s="101"/>
      <c r="JX151" s="44"/>
      <c r="JY151" s="59"/>
      <c r="JZ151" s="59"/>
      <c r="KA151" s="59"/>
      <c r="KB151" s="59"/>
      <c r="KC151" s="44"/>
      <c r="KD151" s="101"/>
      <c r="KE151" s="33"/>
      <c r="KF151" s="33"/>
      <c r="KG151" s="33"/>
      <c r="KH151" s="33"/>
      <c r="KI151" s="33"/>
      <c r="KJ151" s="33"/>
      <c r="KK151" s="33"/>
      <c r="KL151" s="33"/>
      <c r="KM151" s="33"/>
      <c r="KN151" s="33"/>
      <c r="KO151" s="33"/>
      <c r="KP151" s="33"/>
      <c r="KQ151" s="33"/>
      <c r="KR151" s="33"/>
      <c r="KS151" s="33"/>
      <c r="KT151" s="33"/>
      <c r="KU151" s="33"/>
      <c r="KV151" s="33"/>
      <c r="KW151" s="33"/>
      <c r="KX151" s="33"/>
      <c r="KY151" s="101"/>
      <c r="KZ151" s="44"/>
      <c r="LA151" s="59"/>
      <c r="LB151" s="59"/>
      <c r="LC151" s="59"/>
      <c r="LD151" s="59"/>
      <c r="LE151" s="47"/>
      <c r="LF151" s="91"/>
      <c r="LG151" s="33"/>
      <c r="LH151" s="33"/>
      <c r="LI151" s="33"/>
      <c r="LJ151" s="33"/>
      <c r="LK151" s="33"/>
      <c r="LL151" s="33"/>
      <c r="LM151" s="33"/>
      <c r="LN151" s="33"/>
      <c r="LO151" s="33"/>
      <c r="LP151" s="33"/>
      <c r="LQ151" s="33"/>
      <c r="LR151" s="33"/>
      <c r="LS151" s="33"/>
      <c r="LT151" s="33"/>
      <c r="LU151" s="33"/>
      <c r="LV151" s="33"/>
      <c r="LW151" s="33"/>
      <c r="LX151" s="33"/>
      <c r="LY151" s="33"/>
      <c r="LZ151" s="33"/>
      <c r="MA151" s="33"/>
      <c r="MB151" s="33"/>
      <c r="MC151" s="33"/>
      <c r="MD151" s="33"/>
      <c r="ME151" s="33"/>
      <c r="MF151" s="33"/>
      <c r="MG151" s="33"/>
      <c r="MH151" s="33"/>
      <c r="MI151" s="33"/>
      <c r="MJ151" s="33"/>
      <c r="MK151" s="33"/>
      <c r="ML151" s="33"/>
      <c r="MM151" s="33"/>
      <c r="MN151" s="33"/>
      <c r="MO151" s="33"/>
      <c r="MP151" s="33"/>
      <c r="MQ151" s="33"/>
      <c r="MR151" s="33"/>
      <c r="MS151" s="33"/>
      <c r="MT151" s="33"/>
      <c r="MU151" s="33"/>
      <c r="MV151" s="33"/>
    </row>
    <row r="152" spans="1:360" ht="0.75" customHeight="1" x14ac:dyDescent="0.25">
      <c r="A152" s="33"/>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33"/>
      <c r="AU152" s="33"/>
      <c r="AV152" s="33"/>
      <c r="AW152" s="33"/>
      <c r="AX152" s="33"/>
      <c r="AY152" s="33"/>
      <c r="AZ152" s="33"/>
      <c r="BA152" s="33"/>
      <c r="BB152" s="33"/>
      <c r="BC152" s="44"/>
      <c r="BD152" s="41"/>
      <c r="BE152" s="41"/>
      <c r="BF152" s="41"/>
      <c r="BG152" s="41"/>
      <c r="BH152" s="41"/>
      <c r="BI152" s="41"/>
      <c r="BJ152" s="41"/>
      <c r="BK152" s="41"/>
      <c r="BL152" s="41"/>
      <c r="BM152" s="41"/>
      <c r="BN152" s="41"/>
      <c r="BO152" s="41"/>
      <c r="BP152" s="41"/>
      <c r="BQ152" s="41"/>
      <c r="BR152" s="41"/>
      <c r="BS152" s="41"/>
      <c r="BT152" s="41"/>
      <c r="BU152" s="41"/>
      <c r="BV152" s="41"/>
      <c r="BW152" s="41"/>
      <c r="BX152" s="41"/>
      <c r="BY152" s="41"/>
      <c r="BZ152" s="41"/>
      <c r="CA152" s="41"/>
      <c r="CB152" s="41"/>
      <c r="CC152" s="41"/>
      <c r="CD152" s="41"/>
      <c r="CE152" s="63"/>
      <c r="CF152" s="33"/>
      <c r="CG152" s="33"/>
      <c r="CH152" s="33"/>
      <c r="CI152" s="33"/>
      <c r="CJ152" s="33"/>
      <c r="CK152" s="33"/>
      <c r="CL152" s="33"/>
      <c r="CM152" s="33"/>
      <c r="CN152" s="33"/>
      <c r="CO152" s="33"/>
      <c r="CP152" s="33"/>
      <c r="CQ152" s="33"/>
      <c r="CR152" s="33"/>
      <c r="CS152" s="33"/>
      <c r="CT152" s="33"/>
      <c r="CU152" s="33"/>
      <c r="CV152" s="33"/>
      <c r="CW152" s="33"/>
      <c r="CX152" s="33"/>
      <c r="CY152" s="33"/>
      <c r="CZ152" s="33"/>
      <c r="DA152" s="33"/>
      <c r="DB152" s="33"/>
      <c r="DC152" s="33"/>
      <c r="DD152" s="33"/>
      <c r="DE152" s="33"/>
      <c r="DF152" s="33"/>
      <c r="DG152" s="33"/>
      <c r="DH152" s="33"/>
      <c r="DI152" s="36"/>
      <c r="DJ152" s="42"/>
      <c r="DK152" s="41"/>
      <c r="DL152" s="41"/>
      <c r="DM152" s="41"/>
      <c r="DN152" s="41"/>
      <c r="DO152" s="41"/>
      <c r="DP152" s="41"/>
      <c r="DQ152" s="41"/>
      <c r="DR152" s="41"/>
      <c r="DS152" s="41"/>
      <c r="DT152" s="41"/>
      <c r="DU152" s="41"/>
      <c r="DV152" s="41"/>
      <c r="DW152" s="41"/>
      <c r="DX152" s="41"/>
      <c r="DY152" s="41"/>
      <c r="DZ152" s="41"/>
      <c r="EA152" s="41"/>
      <c r="EB152" s="41"/>
      <c r="EC152" s="41"/>
      <c r="ED152" s="41"/>
      <c r="EE152" s="81"/>
      <c r="EF152" s="33"/>
      <c r="EG152" s="33"/>
      <c r="EH152" s="33"/>
      <c r="EI152" s="33"/>
      <c r="EJ152" s="33"/>
      <c r="EK152" s="33"/>
      <c r="EL152" s="33"/>
      <c r="EM152" s="33"/>
      <c r="EN152" s="33"/>
      <c r="EO152" s="33"/>
      <c r="EP152" s="33"/>
      <c r="EQ152" s="33"/>
      <c r="ER152" s="33"/>
      <c r="ES152" s="33"/>
      <c r="ET152" s="33"/>
      <c r="EU152" s="33"/>
      <c r="EV152" s="33"/>
      <c r="EW152" s="33"/>
      <c r="EX152" s="33"/>
      <c r="EY152" s="33"/>
      <c r="EZ152" s="33"/>
      <c r="FA152" s="33"/>
      <c r="FB152" s="33"/>
      <c r="FC152" s="33"/>
      <c r="FD152" s="33"/>
      <c r="FE152" s="33"/>
      <c r="FF152" s="33"/>
      <c r="FG152" s="33"/>
      <c r="FH152" s="33"/>
      <c r="FI152" s="52"/>
      <c r="FJ152" s="41"/>
      <c r="FK152" s="41"/>
      <c r="FL152" s="41"/>
      <c r="FM152" s="41"/>
      <c r="FN152" s="41"/>
      <c r="FO152" s="41"/>
      <c r="FP152" s="44"/>
      <c r="FQ152" s="33"/>
      <c r="FR152" s="33"/>
      <c r="FS152" s="33"/>
      <c r="FT152" s="33"/>
      <c r="FU152" s="33"/>
      <c r="FV152" s="33"/>
      <c r="FW152" s="33"/>
      <c r="FX152" s="33"/>
      <c r="FY152" s="33"/>
      <c r="FZ152" s="33"/>
      <c r="GA152" s="33"/>
      <c r="GB152" s="33"/>
      <c r="GC152" s="33"/>
      <c r="GD152" s="33"/>
      <c r="GE152" s="33"/>
      <c r="GF152" s="33"/>
      <c r="GG152" s="33"/>
      <c r="GH152" s="33"/>
      <c r="GI152" s="33"/>
      <c r="GJ152" s="33"/>
      <c r="GK152" s="33"/>
      <c r="GL152" s="33"/>
      <c r="GM152" s="33"/>
      <c r="GN152" s="33"/>
      <c r="GO152" s="33"/>
      <c r="GP152" s="33"/>
      <c r="GQ152" s="33"/>
      <c r="GR152" s="33"/>
      <c r="GS152" s="33"/>
      <c r="GT152" s="33"/>
      <c r="GU152" s="33"/>
      <c r="GV152" s="33"/>
      <c r="GW152" s="33"/>
      <c r="GX152" s="33"/>
      <c r="GY152" s="33"/>
      <c r="GZ152" s="33"/>
      <c r="HA152" s="33"/>
      <c r="HB152" s="33"/>
      <c r="HC152" s="33"/>
      <c r="HD152" s="33"/>
      <c r="HE152" s="33"/>
      <c r="HF152" s="33"/>
      <c r="HG152" s="33"/>
      <c r="HH152" s="33"/>
      <c r="HI152" s="33"/>
      <c r="HJ152" s="33"/>
      <c r="HK152" s="33"/>
      <c r="HL152" s="33"/>
      <c r="HM152" s="33"/>
      <c r="HN152" s="33"/>
      <c r="HO152" s="33"/>
      <c r="HP152" s="102"/>
      <c r="HQ152" s="41"/>
      <c r="HR152" s="41"/>
      <c r="HS152" s="41"/>
      <c r="HT152" s="41"/>
      <c r="HU152" s="41"/>
      <c r="HV152" s="41"/>
      <c r="HW152" s="44"/>
      <c r="HX152" s="33"/>
      <c r="HY152" s="33"/>
      <c r="HZ152" s="33"/>
      <c r="IA152" s="33"/>
      <c r="IB152" s="33"/>
      <c r="IC152" s="33"/>
      <c r="ID152" s="33"/>
      <c r="IE152" s="33"/>
      <c r="IF152" s="33"/>
      <c r="IG152" s="33"/>
      <c r="IH152" s="33"/>
      <c r="II152" s="33"/>
      <c r="IJ152" s="33"/>
      <c r="IK152" s="33"/>
      <c r="IL152" s="33"/>
      <c r="IM152" s="33"/>
      <c r="IN152" s="33"/>
      <c r="IO152" s="33"/>
      <c r="IP152" s="33"/>
      <c r="IQ152" s="33"/>
      <c r="IR152" s="33"/>
      <c r="IS152" s="33"/>
      <c r="IT152" s="33"/>
      <c r="IU152" s="33"/>
      <c r="IV152" s="33"/>
      <c r="IW152" s="33"/>
      <c r="IX152" s="33"/>
      <c r="IY152" s="33"/>
      <c r="IZ152" s="33"/>
      <c r="JA152" s="33"/>
      <c r="JB152" s="33"/>
      <c r="JC152" s="33"/>
      <c r="JD152" s="33"/>
      <c r="JE152" s="33"/>
      <c r="JF152" s="33"/>
      <c r="JG152" s="33"/>
      <c r="JH152" s="33"/>
      <c r="JI152" s="33"/>
      <c r="JJ152" s="33"/>
      <c r="JK152" s="33"/>
      <c r="JL152" s="33"/>
      <c r="JM152" s="33"/>
      <c r="JN152" s="33"/>
      <c r="JO152" s="33"/>
      <c r="JP152" s="33"/>
      <c r="JQ152" s="33"/>
      <c r="JR152" s="33"/>
      <c r="JS152" s="33"/>
      <c r="JT152" s="33"/>
      <c r="JU152" s="33"/>
      <c r="JV152" s="33"/>
      <c r="JW152" s="102"/>
      <c r="JX152" s="41"/>
      <c r="JY152" s="41"/>
      <c r="JZ152" s="41"/>
      <c r="KA152" s="41"/>
      <c r="KB152" s="41"/>
      <c r="KC152" s="41"/>
      <c r="KD152" s="102"/>
      <c r="KE152" s="33"/>
      <c r="KF152" s="33"/>
      <c r="KG152" s="33"/>
      <c r="KH152" s="33"/>
      <c r="KI152" s="33"/>
      <c r="KJ152" s="33"/>
      <c r="KK152" s="33"/>
      <c r="KL152" s="33"/>
      <c r="KM152" s="33"/>
      <c r="KN152" s="33"/>
      <c r="KO152" s="33"/>
      <c r="KP152" s="33"/>
      <c r="KQ152" s="33"/>
      <c r="KR152" s="33"/>
      <c r="KS152" s="33"/>
      <c r="KT152" s="33"/>
      <c r="KU152" s="33"/>
      <c r="KV152" s="33"/>
      <c r="KW152" s="33"/>
      <c r="KX152" s="33"/>
      <c r="KY152" s="102"/>
      <c r="KZ152" s="41"/>
      <c r="LA152" s="41"/>
      <c r="LB152" s="41"/>
      <c r="LC152" s="41"/>
      <c r="LD152" s="41"/>
      <c r="LE152" s="41"/>
      <c r="LF152" s="44"/>
      <c r="LG152" s="33"/>
      <c r="LH152" s="33"/>
      <c r="LI152" s="33"/>
      <c r="LJ152" s="33"/>
      <c r="LK152" s="33"/>
      <c r="LL152" s="33"/>
      <c r="LM152" s="33"/>
      <c r="LN152" s="33"/>
      <c r="LO152" s="33"/>
      <c r="LP152" s="33"/>
      <c r="LQ152" s="33"/>
      <c r="LR152" s="33"/>
      <c r="LS152" s="33"/>
      <c r="LT152" s="33"/>
      <c r="LU152" s="33"/>
      <c r="LV152" s="33"/>
      <c r="LW152" s="33"/>
      <c r="LX152" s="33"/>
      <c r="LY152" s="33"/>
      <c r="LZ152" s="33"/>
      <c r="MA152" s="33"/>
      <c r="MB152" s="33"/>
      <c r="MC152" s="33"/>
      <c r="MD152" s="33"/>
      <c r="ME152" s="33"/>
      <c r="MF152" s="33"/>
      <c r="MG152" s="33"/>
      <c r="MH152" s="33"/>
      <c r="MI152" s="33"/>
      <c r="MJ152" s="33"/>
      <c r="MK152" s="33"/>
      <c r="ML152" s="33"/>
      <c r="MM152" s="33"/>
      <c r="MN152" s="33"/>
      <c r="MO152" s="33"/>
      <c r="MP152" s="33"/>
      <c r="MQ152" s="33"/>
      <c r="MR152" s="33"/>
      <c r="MS152" s="33"/>
      <c r="MT152" s="33"/>
      <c r="MU152" s="33"/>
      <c r="MV152" s="33"/>
    </row>
    <row r="153" spans="1:360" ht="0.75" customHeight="1" x14ac:dyDescent="0.25">
      <c r="A153" s="33"/>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33"/>
      <c r="AU153" s="33"/>
      <c r="AV153" s="33"/>
      <c r="AW153" s="33"/>
      <c r="AX153" s="33"/>
      <c r="AY153" s="33"/>
      <c r="AZ153" s="33"/>
      <c r="BA153" s="33"/>
      <c r="BB153" s="33"/>
      <c r="BC153" s="44"/>
      <c r="BD153" s="41"/>
      <c r="BE153" s="41"/>
      <c r="BF153" s="41"/>
      <c r="BG153" s="41"/>
      <c r="BH153" s="41"/>
      <c r="BI153" s="41"/>
      <c r="BJ153" s="41"/>
      <c r="BK153" s="41"/>
      <c r="BL153" s="41"/>
      <c r="BM153" s="41"/>
      <c r="BN153" s="41"/>
      <c r="BO153" s="41"/>
      <c r="BP153" s="41"/>
      <c r="BQ153" s="41"/>
      <c r="BR153" s="41"/>
      <c r="BS153" s="41"/>
      <c r="BT153" s="41"/>
      <c r="BU153" s="41"/>
      <c r="BV153" s="41"/>
      <c r="BW153" s="41"/>
      <c r="BX153" s="41"/>
      <c r="BY153" s="41"/>
      <c r="BZ153" s="41"/>
      <c r="CA153" s="41"/>
      <c r="CB153" s="41"/>
      <c r="CC153" s="41"/>
      <c r="CD153" s="41"/>
      <c r="CE153" s="63"/>
      <c r="CF153" s="33"/>
      <c r="CG153" s="33"/>
      <c r="CH153" s="33"/>
      <c r="CI153" s="33"/>
      <c r="CJ153" s="33"/>
      <c r="CK153" s="33"/>
      <c r="CL153" s="33"/>
      <c r="CM153" s="33"/>
      <c r="CN153" s="33"/>
      <c r="CO153" s="33"/>
      <c r="CP153" s="33"/>
      <c r="CQ153" s="33"/>
      <c r="CR153" s="33"/>
      <c r="CS153" s="33"/>
      <c r="CT153" s="33"/>
      <c r="CU153" s="33"/>
      <c r="CV153" s="33"/>
      <c r="CW153" s="33"/>
      <c r="CX153" s="33"/>
      <c r="CY153" s="33"/>
      <c r="CZ153" s="33"/>
      <c r="DA153" s="33"/>
      <c r="DB153" s="33"/>
      <c r="DC153" s="33"/>
      <c r="DD153" s="33"/>
      <c r="DE153" s="33"/>
      <c r="DF153" s="33"/>
      <c r="DG153" s="33"/>
      <c r="DH153" s="33"/>
      <c r="DI153" s="36"/>
      <c r="DJ153" s="42"/>
      <c r="DK153" s="41"/>
      <c r="DL153" s="41"/>
      <c r="DM153" s="41"/>
      <c r="DN153" s="41"/>
      <c r="DO153" s="41"/>
      <c r="DP153" s="41"/>
      <c r="DQ153" s="41"/>
      <c r="DR153" s="41"/>
      <c r="DS153" s="41"/>
      <c r="DT153" s="41"/>
      <c r="DU153" s="41"/>
      <c r="DV153" s="41"/>
      <c r="DW153" s="41"/>
      <c r="DX153" s="41"/>
      <c r="DY153" s="41"/>
      <c r="DZ153" s="41"/>
      <c r="EA153" s="41"/>
      <c r="EB153" s="41"/>
      <c r="EC153" s="41"/>
      <c r="ED153" s="41"/>
      <c r="EE153" s="81"/>
      <c r="EF153" s="33"/>
      <c r="EG153" s="33"/>
      <c r="EH153" s="33"/>
      <c r="EI153" s="33"/>
      <c r="EJ153" s="33"/>
      <c r="EK153" s="33"/>
      <c r="EL153" s="33"/>
      <c r="EM153" s="33"/>
      <c r="EN153" s="33"/>
      <c r="EO153" s="33"/>
      <c r="EP153" s="33"/>
      <c r="EQ153" s="33"/>
      <c r="ER153" s="33"/>
      <c r="ES153" s="33"/>
      <c r="ET153" s="33"/>
      <c r="EU153" s="33"/>
      <c r="EV153" s="33"/>
      <c r="EW153" s="33"/>
      <c r="EX153" s="33"/>
      <c r="EY153" s="33"/>
      <c r="EZ153" s="33"/>
      <c r="FA153" s="33"/>
      <c r="FB153" s="33"/>
      <c r="FC153" s="33"/>
      <c r="FD153" s="33"/>
      <c r="FE153" s="33"/>
      <c r="FF153" s="33"/>
      <c r="FG153" s="33"/>
      <c r="FH153" s="33"/>
      <c r="FI153" s="52"/>
      <c r="FJ153" s="41"/>
      <c r="FK153" s="41"/>
      <c r="FL153" s="41"/>
      <c r="FM153" s="41"/>
      <c r="FN153" s="41"/>
      <c r="FO153" s="41"/>
      <c r="FP153" s="44"/>
      <c r="FQ153" s="33"/>
      <c r="FR153" s="33"/>
      <c r="FS153" s="33"/>
      <c r="FT153" s="33"/>
      <c r="FU153" s="33"/>
      <c r="FV153" s="33"/>
      <c r="FW153" s="33"/>
      <c r="FX153" s="33"/>
      <c r="FY153" s="33"/>
      <c r="FZ153" s="33"/>
      <c r="GA153" s="33"/>
      <c r="GB153" s="33"/>
      <c r="GC153" s="33"/>
      <c r="GD153" s="33"/>
      <c r="GE153" s="33"/>
      <c r="GF153" s="33"/>
      <c r="GG153" s="33"/>
      <c r="GH153" s="33"/>
      <c r="GI153" s="33"/>
      <c r="GJ153" s="33"/>
      <c r="GK153" s="33"/>
      <c r="GL153" s="33"/>
      <c r="GM153" s="33"/>
      <c r="GN153" s="33"/>
      <c r="GO153" s="33"/>
      <c r="GP153" s="33"/>
      <c r="GQ153" s="33"/>
      <c r="GR153" s="33"/>
      <c r="GS153" s="33"/>
      <c r="GT153" s="33"/>
      <c r="GU153" s="33"/>
      <c r="GV153" s="33"/>
      <c r="GW153" s="33"/>
      <c r="GX153" s="33"/>
      <c r="GY153" s="33"/>
      <c r="GZ153" s="33"/>
      <c r="HA153" s="33"/>
      <c r="HB153" s="33"/>
      <c r="HC153" s="33"/>
      <c r="HD153" s="33"/>
      <c r="HE153" s="33"/>
      <c r="HF153" s="33"/>
      <c r="HG153" s="33"/>
      <c r="HH153" s="33"/>
      <c r="HI153" s="33"/>
      <c r="HJ153" s="33"/>
      <c r="HK153" s="33"/>
      <c r="HL153" s="33"/>
      <c r="HM153" s="33"/>
      <c r="HN153" s="33"/>
      <c r="HO153" s="33"/>
      <c r="HP153" s="102"/>
      <c r="HQ153" s="41"/>
      <c r="HR153" s="41"/>
      <c r="HS153" s="41"/>
      <c r="HT153" s="41"/>
      <c r="HU153" s="41"/>
      <c r="HV153" s="41"/>
      <c r="HW153" s="44"/>
      <c r="HX153" s="33"/>
      <c r="HY153" s="33"/>
      <c r="HZ153" s="33"/>
      <c r="IA153" s="33"/>
      <c r="IB153" s="33"/>
      <c r="IC153" s="33"/>
      <c r="ID153" s="33"/>
      <c r="IE153" s="33"/>
      <c r="IF153" s="33"/>
      <c r="IG153" s="33"/>
      <c r="IH153" s="33"/>
      <c r="II153" s="33"/>
      <c r="IJ153" s="33"/>
      <c r="IK153" s="33"/>
      <c r="IL153" s="33"/>
      <c r="IM153" s="33"/>
      <c r="IN153" s="33"/>
      <c r="IO153" s="33"/>
      <c r="IP153" s="33"/>
      <c r="IQ153" s="33"/>
      <c r="IR153" s="33"/>
      <c r="IS153" s="33"/>
      <c r="IT153" s="33"/>
      <c r="IU153" s="33"/>
      <c r="IV153" s="33"/>
      <c r="IW153" s="33"/>
      <c r="IX153" s="33"/>
      <c r="IY153" s="33"/>
      <c r="IZ153" s="33"/>
      <c r="JA153" s="33"/>
      <c r="JB153" s="33"/>
      <c r="JC153" s="33"/>
      <c r="JD153" s="33"/>
      <c r="JE153" s="33"/>
      <c r="JF153" s="33"/>
      <c r="JG153" s="33"/>
      <c r="JH153" s="33"/>
      <c r="JI153" s="33"/>
      <c r="JJ153" s="33"/>
      <c r="JK153" s="33"/>
      <c r="JL153" s="33"/>
      <c r="JM153" s="33"/>
      <c r="JN153" s="33"/>
      <c r="JO153" s="33"/>
      <c r="JP153" s="33"/>
      <c r="JQ153" s="33"/>
      <c r="JR153" s="33"/>
      <c r="JS153" s="33"/>
      <c r="JT153" s="33"/>
      <c r="JU153" s="33"/>
      <c r="JV153" s="33"/>
      <c r="JW153" s="102"/>
      <c r="JX153" s="41"/>
      <c r="JY153" s="41"/>
      <c r="JZ153" s="41"/>
      <c r="KA153" s="41"/>
      <c r="KB153" s="41"/>
      <c r="KC153" s="41"/>
      <c r="KD153" s="102"/>
      <c r="KE153" s="33"/>
      <c r="KF153" s="33"/>
      <c r="KG153" s="33"/>
      <c r="KH153" s="33"/>
      <c r="KI153" s="33"/>
      <c r="KJ153" s="33"/>
      <c r="KK153" s="33"/>
      <c r="KL153" s="33"/>
      <c r="KM153" s="33"/>
      <c r="KN153" s="33"/>
      <c r="KO153" s="33"/>
      <c r="KP153" s="33"/>
      <c r="KQ153" s="33"/>
      <c r="KR153" s="33"/>
      <c r="KS153" s="33"/>
      <c r="KT153" s="33"/>
      <c r="KU153" s="33"/>
      <c r="KV153" s="33"/>
      <c r="KW153" s="33"/>
      <c r="KX153" s="33"/>
      <c r="KY153" s="102"/>
      <c r="KZ153" s="41"/>
      <c r="LA153" s="41"/>
      <c r="LB153" s="41"/>
      <c r="LC153" s="41"/>
      <c r="LD153" s="41"/>
      <c r="LE153" s="41"/>
      <c r="LF153" s="44"/>
      <c r="LG153" s="33"/>
      <c r="LH153" s="33"/>
      <c r="LI153" s="33"/>
      <c r="LJ153" s="33"/>
      <c r="LK153" s="33"/>
      <c r="LL153" s="33"/>
      <c r="LM153" s="33"/>
      <c r="LN153" s="33"/>
      <c r="LO153" s="33"/>
      <c r="LP153" s="33"/>
      <c r="LQ153" s="33"/>
      <c r="LR153" s="33"/>
      <c r="LS153" s="33"/>
      <c r="LT153" s="33"/>
      <c r="LU153" s="33"/>
      <c r="LV153" s="33"/>
      <c r="LW153" s="33"/>
      <c r="LX153" s="33"/>
      <c r="LY153" s="33"/>
      <c r="LZ153" s="33"/>
      <c r="MA153" s="33"/>
      <c r="MB153" s="33"/>
      <c r="MC153" s="33"/>
      <c r="MD153" s="33"/>
      <c r="ME153" s="33"/>
      <c r="MF153" s="33"/>
      <c r="MG153" s="33"/>
      <c r="MH153" s="33"/>
      <c r="MI153" s="33"/>
      <c r="MJ153" s="33"/>
      <c r="MK153" s="33"/>
      <c r="ML153" s="33"/>
      <c r="MM153" s="33"/>
      <c r="MN153" s="33"/>
      <c r="MO153" s="33"/>
      <c r="MP153" s="33"/>
      <c r="MQ153" s="33"/>
      <c r="MR153" s="33"/>
      <c r="MS153" s="33"/>
      <c r="MT153" s="33"/>
      <c r="MU153" s="33"/>
      <c r="MV153" s="33"/>
    </row>
    <row r="154" spans="1:360" ht="0.75" customHeight="1" x14ac:dyDescent="0.25">
      <c r="A154" s="33"/>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33"/>
      <c r="AU154" s="33"/>
      <c r="AV154" s="33"/>
      <c r="AW154" s="33"/>
      <c r="AX154" s="33"/>
      <c r="AY154" s="33"/>
      <c r="AZ154" s="33"/>
      <c r="BA154" s="33"/>
      <c r="BB154" s="33"/>
      <c r="BC154" s="44"/>
      <c r="BD154" s="41"/>
      <c r="BE154" s="41"/>
      <c r="BF154" s="41"/>
      <c r="BG154" s="41"/>
      <c r="BH154" s="41"/>
      <c r="BI154" s="41"/>
      <c r="BJ154" s="41"/>
      <c r="BK154" s="41"/>
      <c r="BL154" s="41"/>
      <c r="BM154" s="41"/>
      <c r="BN154" s="41"/>
      <c r="BO154" s="41"/>
      <c r="BP154" s="41"/>
      <c r="BQ154" s="41"/>
      <c r="BR154" s="41"/>
      <c r="BS154" s="41"/>
      <c r="BT154" s="41"/>
      <c r="BU154" s="41"/>
      <c r="BV154" s="41"/>
      <c r="BW154" s="41"/>
      <c r="BX154" s="41"/>
      <c r="BY154" s="41"/>
      <c r="BZ154" s="41"/>
      <c r="CA154" s="41"/>
      <c r="CB154" s="41"/>
      <c r="CC154" s="41"/>
      <c r="CD154" s="41"/>
      <c r="CE154" s="63"/>
      <c r="CF154" s="33"/>
      <c r="CG154" s="33"/>
      <c r="CH154" s="33"/>
      <c r="CI154" s="33"/>
      <c r="CJ154" s="33"/>
      <c r="CK154" s="33"/>
      <c r="CL154" s="33"/>
      <c r="CM154" s="33"/>
      <c r="CN154" s="33"/>
      <c r="CO154" s="33"/>
      <c r="CP154" s="33"/>
      <c r="CQ154" s="33"/>
      <c r="CR154" s="33"/>
      <c r="CS154" s="33"/>
      <c r="CT154" s="33"/>
      <c r="CU154" s="33"/>
      <c r="CV154" s="33"/>
      <c r="CW154" s="33"/>
      <c r="CX154" s="33"/>
      <c r="CY154" s="33"/>
      <c r="CZ154" s="33"/>
      <c r="DA154" s="33"/>
      <c r="DB154" s="33"/>
      <c r="DC154" s="33"/>
      <c r="DD154" s="33"/>
      <c r="DE154" s="33"/>
      <c r="DF154" s="33"/>
      <c r="DG154" s="33"/>
      <c r="DH154" s="33"/>
      <c r="DI154" s="36"/>
      <c r="DJ154" s="42"/>
      <c r="DK154" s="41"/>
      <c r="DL154" s="41"/>
      <c r="DM154" s="41"/>
      <c r="DN154" s="41"/>
      <c r="DO154" s="41"/>
      <c r="DP154" s="41"/>
      <c r="DQ154" s="41"/>
      <c r="DR154" s="41"/>
      <c r="DS154" s="41"/>
      <c r="DT154" s="41"/>
      <c r="DU154" s="41"/>
      <c r="DV154" s="41"/>
      <c r="DW154" s="41"/>
      <c r="DX154" s="41"/>
      <c r="DY154" s="41"/>
      <c r="DZ154" s="41"/>
      <c r="EA154" s="41"/>
      <c r="EB154" s="41"/>
      <c r="EC154" s="41"/>
      <c r="ED154" s="41"/>
      <c r="EE154" s="81"/>
      <c r="EF154" s="33"/>
      <c r="EG154" s="33"/>
      <c r="EH154" s="33"/>
      <c r="EI154" s="33"/>
      <c r="EJ154" s="33"/>
      <c r="EK154" s="33"/>
      <c r="EL154" s="33"/>
      <c r="EM154" s="33"/>
      <c r="EN154" s="33"/>
      <c r="EO154" s="33"/>
      <c r="EP154" s="33"/>
      <c r="EQ154" s="33"/>
      <c r="ER154" s="33"/>
      <c r="ES154" s="33"/>
      <c r="ET154" s="33"/>
      <c r="EU154" s="33"/>
      <c r="EV154" s="33"/>
      <c r="EW154" s="33"/>
      <c r="EX154" s="33"/>
      <c r="EY154" s="33"/>
      <c r="EZ154" s="33"/>
      <c r="FA154" s="33"/>
      <c r="FB154" s="33"/>
      <c r="FC154" s="33"/>
      <c r="FD154" s="33"/>
      <c r="FE154" s="33"/>
      <c r="FF154" s="33"/>
      <c r="FG154" s="33"/>
      <c r="FH154" s="33"/>
      <c r="FI154" s="52"/>
      <c r="FJ154" s="41"/>
      <c r="FK154" s="41"/>
      <c r="FL154" s="41"/>
      <c r="FM154" s="41"/>
      <c r="FN154" s="41"/>
      <c r="FO154" s="41"/>
      <c r="FP154" s="44"/>
      <c r="FQ154" s="33"/>
      <c r="FR154" s="33"/>
      <c r="FS154" s="33"/>
      <c r="FT154" s="33"/>
      <c r="FU154" s="33"/>
      <c r="FV154" s="33"/>
      <c r="FW154" s="33"/>
      <c r="FX154" s="33"/>
      <c r="FY154" s="33"/>
      <c r="FZ154" s="33"/>
      <c r="GA154" s="33"/>
      <c r="GB154" s="33"/>
      <c r="GC154" s="33"/>
      <c r="GD154" s="33"/>
      <c r="GE154" s="33"/>
      <c r="GF154" s="33"/>
      <c r="GG154" s="33"/>
      <c r="GH154" s="33"/>
      <c r="GI154" s="33"/>
      <c r="GJ154" s="33"/>
      <c r="GK154" s="33"/>
      <c r="GL154" s="33"/>
      <c r="GM154" s="33"/>
      <c r="GN154" s="33"/>
      <c r="GO154" s="33"/>
      <c r="GP154" s="33"/>
      <c r="GQ154" s="33"/>
      <c r="GR154" s="33"/>
      <c r="GS154" s="33"/>
      <c r="GT154" s="33"/>
      <c r="GU154" s="33"/>
      <c r="GV154" s="33"/>
      <c r="GW154" s="33"/>
      <c r="GX154" s="33"/>
      <c r="GY154" s="33"/>
      <c r="GZ154" s="33"/>
      <c r="HA154" s="33"/>
      <c r="HB154" s="33"/>
      <c r="HC154" s="33"/>
      <c r="HD154" s="33"/>
      <c r="HE154" s="33"/>
      <c r="HF154" s="33"/>
      <c r="HG154" s="33"/>
      <c r="HH154" s="33"/>
      <c r="HI154" s="33"/>
      <c r="HJ154" s="33"/>
      <c r="HK154" s="33"/>
      <c r="HL154" s="33"/>
      <c r="HM154" s="33"/>
      <c r="HN154" s="33"/>
      <c r="HO154" s="33"/>
      <c r="HP154" s="102"/>
      <c r="HQ154" s="41"/>
      <c r="HR154" s="41"/>
      <c r="HS154" s="41"/>
      <c r="HT154" s="41"/>
      <c r="HU154" s="41"/>
      <c r="HV154" s="41"/>
      <c r="HW154" s="44"/>
      <c r="HX154" s="33"/>
      <c r="HY154" s="33"/>
      <c r="HZ154" s="33"/>
      <c r="IA154" s="33"/>
      <c r="IB154" s="33"/>
      <c r="IC154" s="33"/>
      <c r="ID154" s="33"/>
      <c r="IE154" s="33"/>
      <c r="IF154" s="33"/>
      <c r="IG154" s="33"/>
      <c r="IH154" s="33"/>
      <c r="II154" s="33"/>
      <c r="IJ154" s="33"/>
      <c r="IK154" s="33"/>
      <c r="IL154" s="33"/>
      <c r="IM154" s="33"/>
      <c r="IN154" s="33"/>
      <c r="IO154" s="33"/>
      <c r="IP154" s="33"/>
      <c r="IQ154" s="33"/>
      <c r="IR154" s="33"/>
      <c r="IS154" s="33"/>
      <c r="IT154" s="33"/>
      <c r="IU154" s="33"/>
      <c r="IV154" s="33"/>
      <c r="IW154" s="33"/>
      <c r="IX154" s="33"/>
      <c r="IY154" s="33"/>
      <c r="IZ154" s="33"/>
      <c r="JA154" s="33"/>
      <c r="JB154" s="33"/>
      <c r="JC154" s="33"/>
      <c r="JD154" s="33"/>
      <c r="JE154" s="33"/>
      <c r="JF154" s="33"/>
      <c r="JG154" s="33"/>
      <c r="JH154" s="33"/>
      <c r="JI154" s="33"/>
      <c r="JJ154" s="33"/>
      <c r="JK154" s="33"/>
      <c r="JL154" s="33"/>
      <c r="JM154" s="33"/>
      <c r="JN154" s="33"/>
      <c r="JO154" s="33"/>
      <c r="JP154" s="33"/>
      <c r="JQ154" s="33"/>
      <c r="JR154" s="33"/>
      <c r="JS154" s="33"/>
      <c r="JT154" s="33"/>
      <c r="JU154" s="33"/>
      <c r="JV154" s="33"/>
      <c r="JW154" s="102"/>
      <c r="JX154" s="41"/>
      <c r="JY154" s="41"/>
      <c r="JZ154" s="41"/>
      <c r="KA154" s="41"/>
      <c r="KB154" s="41"/>
      <c r="KC154" s="41"/>
      <c r="KD154" s="102"/>
      <c r="KE154" s="33"/>
      <c r="KF154" s="33"/>
      <c r="KG154" s="33"/>
      <c r="KH154" s="33"/>
      <c r="KI154" s="33"/>
      <c r="KJ154" s="33"/>
      <c r="KK154" s="33"/>
      <c r="KL154" s="33"/>
      <c r="KM154" s="33"/>
      <c r="KN154" s="33"/>
      <c r="KO154" s="33"/>
      <c r="KP154" s="33"/>
      <c r="KQ154" s="33"/>
      <c r="KR154" s="33"/>
      <c r="KS154" s="33"/>
      <c r="KT154" s="33"/>
      <c r="KU154" s="33"/>
      <c r="KV154" s="33"/>
      <c r="KW154" s="33"/>
      <c r="KX154" s="33"/>
      <c r="KY154" s="102"/>
      <c r="KZ154" s="41"/>
      <c r="LA154" s="41"/>
      <c r="LB154" s="41"/>
      <c r="LC154" s="41"/>
      <c r="LD154" s="41"/>
      <c r="LE154" s="41"/>
      <c r="LF154" s="44"/>
      <c r="LG154" s="33"/>
      <c r="LH154" s="33"/>
      <c r="LI154" s="33"/>
      <c r="LJ154" s="33"/>
      <c r="LK154" s="33"/>
      <c r="LL154" s="33"/>
      <c r="LM154" s="33"/>
      <c r="LN154" s="33"/>
      <c r="LO154" s="33"/>
      <c r="LP154" s="33"/>
      <c r="LQ154" s="33"/>
      <c r="LR154" s="33"/>
      <c r="LS154" s="33"/>
      <c r="LT154" s="33"/>
      <c r="LU154" s="33"/>
      <c r="LV154" s="33"/>
      <c r="LW154" s="33"/>
      <c r="LX154" s="33"/>
      <c r="LY154" s="33"/>
      <c r="LZ154" s="33"/>
      <c r="MA154" s="33"/>
      <c r="MB154" s="33"/>
      <c r="MC154" s="33"/>
      <c r="MD154" s="33"/>
      <c r="ME154" s="33"/>
      <c r="MF154" s="33"/>
      <c r="MG154" s="33"/>
      <c r="MH154" s="33"/>
      <c r="MI154" s="33"/>
      <c r="MJ154" s="33"/>
      <c r="MK154" s="33"/>
      <c r="ML154" s="33"/>
      <c r="MM154" s="33"/>
      <c r="MN154" s="33"/>
      <c r="MO154" s="33"/>
      <c r="MP154" s="33"/>
      <c r="MQ154" s="33"/>
      <c r="MR154" s="33"/>
      <c r="MS154" s="33"/>
      <c r="MT154" s="33"/>
      <c r="MU154" s="33"/>
      <c r="MV154" s="33"/>
    </row>
    <row r="155" spans="1:360" ht="0.75" customHeight="1" x14ac:dyDescent="0.25">
      <c r="A155" s="33"/>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3"/>
      <c r="AV155" s="33"/>
      <c r="AW155" s="33"/>
      <c r="AX155" s="33"/>
      <c r="AY155" s="33"/>
      <c r="AZ155" s="33"/>
      <c r="BA155" s="33"/>
      <c r="BB155" s="33"/>
      <c r="BC155" s="44"/>
      <c r="BD155" s="41"/>
      <c r="BE155" s="41"/>
      <c r="BF155" s="41"/>
      <c r="BG155" s="41"/>
      <c r="BH155" s="41"/>
      <c r="BI155" s="41"/>
      <c r="BJ155" s="41"/>
      <c r="BK155" s="41"/>
      <c r="BL155" s="41"/>
      <c r="BM155" s="41"/>
      <c r="BN155" s="41"/>
      <c r="BO155" s="41"/>
      <c r="BP155" s="41"/>
      <c r="BQ155" s="41"/>
      <c r="BR155" s="41"/>
      <c r="BS155" s="41"/>
      <c r="BT155" s="41"/>
      <c r="BU155" s="41"/>
      <c r="BV155" s="41"/>
      <c r="BW155" s="41"/>
      <c r="BX155" s="41"/>
      <c r="BY155" s="41"/>
      <c r="BZ155" s="41"/>
      <c r="CA155" s="41"/>
      <c r="CB155" s="41"/>
      <c r="CC155" s="41"/>
      <c r="CD155" s="41"/>
      <c r="CE155" s="63"/>
      <c r="CF155" s="33"/>
      <c r="CG155" s="33"/>
      <c r="CH155" s="33"/>
      <c r="CI155" s="33"/>
      <c r="CJ155" s="33"/>
      <c r="CK155" s="33"/>
      <c r="CL155" s="33"/>
      <c r="CM155" s="33"/>
      <c r="CN155" s="33"/>
      <c r="CO155" s="33"/>
      <c r="CP155" s="33"/>
      <c r="CQ155" s="33"/>
      <c r="CR155" s="33"/>
      <c r="CS155" s="33"/>
      <c r="CT155" s="33"/>
      <c r="CU155" s="33"/>
      <c r="CV155" s="33"/>
      <c r="CW155" s="33"/>
      <c r="CX155" s="33"/>
      <c r="CY155" s="33"/>
      <c r="CZ155" s="33"/>
      <c r="DA155" s="33"/>
      <c r="DB155" s="33"/>
      <c r="DC155" s="33"/>
      <c r="DD155" s="33"/>
      <c r="DE155" s="33"/>
      <c r="DF155" s="33"/>
      <c r="DG155" s="33"/>
      <c r="DH155" s="33"/>
      <c r="DI155" s="36"/>
      <c r="DJ155" s="42"/>
      <c r="DK155" s="41"/>
      <c r="DL155" s="41"/>
      <c r="DM155" s="41"/>
      <c r="DN155" s="41"/>
      <c r="DO155" s="41"/>
      <c r="DP155" s="41"/>
      <c r="DQ155" s="41"/>
      <c r="DR155" s="41"/>
      <c r="DS155" s="41"/>
      <c r="DT155" s="41"/>
      <c r="DU155" s="41"/>
      <c r="DV155" s="41"/>
      <c r="DW155" s="41"/>
      <c r="DX155" s="41"/>
      <c r="DY155" s="41"/>
      <c r="DZ155" s="41"/>
      <c r="EA155" s="41"/>
      <c r="EB155" s="41"/>
      <c r="EC155" s="41"/>
      <c r="ED155" s="41"/>
      <c r="EE155" s="81"/>
      <c r="EF155" s="33"/>
      <c r="EG155" s="33"/>
      <c r="EH155" s="33"/>
      <c r="EI155" s="33"/>
      <c r="EJ155" s="33"/>
      <c r="EK155" s="33"/>
      <c r="EL155" s="33"/>
      <c r="EM155" s="33"/>
      <c r="EN155" s="33"/>
      <c r="EO155" s="33"/>
      <c r="EP155" s="33"/>
      <c r="EQ155" s="33"/>
      <c r="ER155" s="33"/>
      <c r="ES155" s="33"/>
      <c r="ET155" s="33"/>
      <c r="EU155" s="33"/>
      <c r="EV155" s="33"/>
      <c r="EW155" s="33"/>
      <c r="EX155" s="33"/>
      <c r="EY155" s="33"/>
      <c r="EZ155" s="33"/>
      <c r="FA155" s="33"/>
      <c r="FB155" s="33"/>
      <c r="FC155" s="33"/>
      <c r="FD155" s="33"/>
      <c r="FE155" s="33"/>
      <c r="FF155" s="33"/>
      <c r="FG155" s="33"/>
      <c r="FH155" s="33"/>
      <c r="FI155" s="52"/>
      <c r="FJ155" s="41"/>
      <c r="FK155" s="41"/>
      <c r="FL155" s="41"/>
      <c r="FM155" s="41"/>
      <c r="FN155" s="41"/>
      <c r="FO155" s="41"/>
      <c r="FP155" s="44"/>
      <c r="FQ155" s="33"/>
      <c r="FR155" s="33"/>
      <c r="FS155" s="33"/>
      <c r="FT155" s="33"/>
      <c r="FU155" s="33"/>
      <c r="FV155" s="33"/>
      <c r="FW155" s="33"/>
      <c r="FX155" s="33"/>
      <c r="FY155" s="33"/>
      <c r="FZ155" s="33"/>
      <c r="GA155" s="33"/>
      <c r="GB155" s="33"/>
      <c r="GC155" s="33"/>
      <c r="GD155" s="33"/>
      <c r="GE155" s="33"/>
      <c r="GF155" s="33"/>
      <c r="GG155" s="33"/>
      <c r="GH155" s="33"/>
      <c r="GI155" s="33"/>
      <c r="GJ155" s="33"/>
      <c r="GK155" s="33"/>
      <c r="GL155" s="33"/>
      <c r="GM155" s="33"/>
      <c r="GN155" s="33"/>
      <c r="GO155" s="33"/>
      <c r="GP155" s="33"/>
      <c r="GQ155" s="33"/>
      <c r="GR155" s="33"/>
      <c r="GS155" s="33"/>
      <c r="GT155" s="33"/>
      <c r="GU155" s="33"/>
      <c r="GV155" s="33"/>
      <c r="GW155" s="33"/>
      <c r="GX155" s="33"/>
      <c r="GY155" s="33"/>
      <c r="GZ155" s="33"/>
      <c r="HA155" s="33"/>
      <c r="HB155" s="33"/>
      <c r="HC155" s="33"/>
      <c r="HD155" s="33"/>
      <c r="HE155" s="33"/>
      <c r="HF155" s="33"/>
      <c r="HG155" s="33"/>
      <c r="HH155" s="33"/>
      <c r="HI155" s="33"/>
      <c r="HJ155" s="33"/>
      <c r="HK155" s="33"/>
      <c r="HL155" s="33"/>
      <c r="HM155" s="33"/>
      <c r="HN155" s="33"/>
      <c r="HO155" s="33"/>
      <c r="HP155" s="102"/>
      <c r="HQ155" s="41"/>
      <c r="HR155" s="41"/>
      <c r="HS155" s="41"/>
      <c r="HT155" s="41"/>
      <c r="HU155" s="41"/>
      <c r="HV155" s="41"/>
      <c r="HW155" s="44"/>
      <c r="HX155" s="33"/>
      <c r="HY155" s="33"/>
      <c r="HZ155" s="33"/>
      <c r="IA155" s="33"/>
      <c r="IB155" s="33"/>
      <c r="IC155" s="33"/>
      <c r="ID155" s="33"/>
      <c r="IE155" s="33"/>
      <c r="IF155" s="33"/>
      <c r="IG155" s="33"/>
      <c r="IH155" s="33"/>
      <c r="II155" s="33"/>
      <c r="IJ155" s="33"/>
      <c r="IK155" s="33"/>
      <c r="IL155" s="33"/>
      <c r="IM155" s="33"/>
      <c r="IN155" s="33"/>
      <c r="IO155" s="33"/>
      <c r="IP155" s="33"/>
      <c r="IQ155" s="33"/>
      <c r="IR155" s="33"/>
      <c r="IS155" s="33"/>
      <c r="IT155" s="33"/>
      <c r="IU155" s="33"/>
      <c r="IV155" s="33"/>
      <c r="IW155" s="33"/>
      <c r="IX155" s="33"/>
      <c r="IY155" s="33"/>
      <c r="IZ155" s="33"/>
      <c r="JA155" s="33"/>
      <c r="JB155" s="33"/>
      <c r="JC155" s="33"/>
      <c r="JD155" s="33"/>
      <c r="JE155" s="33"/>
      <c r="JF155" s="33"/>
      <c r="JG155" s="33"/>
      <c r="JH155" s="33"/>
      <c r="JI155" s="33"/>
      <c r="JJ155" s="33"/>
      <c r="JK155" s="33"/>
      <c r="JL155" s="33"/>
      <c r="JM155" s="33"/>
      <c r="JN155" s="33"/>
      <c r="JO155" s="33"/>
      <c r="JP155" s="33"/>
      <c r="JQ155" s="33"/>
      <c r="JR155" s="33"/>
      <c r="JS155" s="33"/>
      <c r="JT155" s="33"/>
      <c r="JU155" s="33"/>
      <c r="JV155" s="33"/>
      <c r="JW155" s="102"/>
      <c r="JX155" s="41"/>
      <c r="JY155" s="41"/>
      <c r="JZ155" s="41"/>
      <c r="KA155" s="41"/>
      <c r="KB155" s="41"/>
      <c r="KC155" s="41"/>
      <c r="KD155" s="102"/>
      <c r="KE155" s="33"/>
      <c r="KF155" s="33"/>
      <c r="KG155" s="33"/>
      <c r="KH155" s="33"/>
      <c r="KI155" s="33"/>
      <c r="KJ155" s="33"/>
      <c r="KK155" s="33"/>
      <c r="KL155" s="33"/>
      <c r="KM155" s="33"/>
      <c r="KN155" s="33"/>
      <c r="KO155" s="33"/>
      <c r="KP155" s="33"/>
      <c r="KQ155" s="33"/>
      <c r="KR155" s="33"/>
      <c r="KS155" s="33"/>
      <c r="KT155" s="33"/>
      <c r="KU155" s="33"/>
      <c r="KV155" s="33"/>
      <c r="KW155" s="33"/>
      <c r="KX155" s="33"/>
      <c r="KY155" s="102"/>
      <c r="KZ155" s="41"/>
      <c r="LA155" s="41"/>
      <c r="LB155" s="41"/>
      <c r="LC155" s="41"/>
      <c r="LD155" s="41"/>
      <c r="LE155" s="41"/>
      <c r="LF155" s="44"/>
      <c r="LG155" s="33"/>
      <c r="LH155" s="33"/>
      <c r="LI155" s="33"/>
      <c r="LJ155" s="33"/>
      <c r="LK155" s="33"/>
      <c r="LL155" s="33"/>
      <c r="LM155" s="33"/>
      <c r="LN155" s="33"/>
      <c r="LO155" s="33"/>
      <c r="LP155" s="33"/>
      <c r="LQ155" s="33"/>
      <c r="LR155" s="33"/>
      <c r="LS155" s="33"/>
      <c r="LT155" s="33"/>
      <c r="LU155" s="33"/>
      <c r="LV155" s="33"/>
      <c r="LW155" s="33"/>
      <c r="LX155" s="33"/>
      <c r="LY155" s="33"/>
      <c r="LZ155" s="33"/>
      <c r="MA155" s="33"/>
      <c r="MB155" s="33"/>
      <c r="MC155" s="33"/>
      <c r="MD155" s="33"/>
      <c r="ME155" s="33"/>
      <c r="MF155" s="33"/>
      <c r="MG155" s="33"/>
      <c r="MH155" s="33"/>
      <c r="MI155" s="33"/>
      <c r="MJ155" s="33"/>
      <c r="MK155" s="33"/>
      <c r="ML155" s="33"/>
      <c r="MM155" s="33"/>
      <c r="MN155" s="33"/>
      <c r="MO155" s="33"/>
      <c r="MP155" s="33"/>
      <c r="MQ155" s="33"/>
      <c r="MR155" s="33"/>
      <c r="MS155" s="33"/>
      <c r="MT155" s="33"/>
      <c r="MU155" s="33"/>
      <c r="MV155" s="33"/>
    </row>
    <row r="156" spans="1:360" ht="0.75" customHeight="1" x14ac:dyDescent="0.25">
      <c r="A156" s="33"/>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3"/>
      <c r="AV156" s="33"/>
      <c r="AW156" s="33"/>
      <c r="AX156" s="33"/>
      <c r="AY156" s="33"/>
      <c r="AZ156" s="33"/>
      <c r="BA156" s="33"/>
      <c r="BB156" s="33"/>
      <c r="BC156" s="44"/>
      <c r="BD156" s="41"/>
      <c r="BE156" s="41"/>
      <c r="BF156" s="41"/>
      <c r="BG156" s="41"/>
      <c r="BH156" s="41"/>
      <c r="BI156" s="41"/>
      <c r="BJ156" s="41"/>
      <c r="BK156" s="41"/>
      <c r="BL156" s="41"/>
      <c r="BM156" s="41"/>
      <c r="BN156" s="41"/>
      <c r="BO156" s="41"/>
      <c r="BP156" s="41"/>
      <c r="BQ156" s="41"/>
      <c r="BR156" s="41"/>
      <c r="BS156" s="41"/>
      <c r="BT156" s="41"/>
      <c r="BU156" s="41"/>
      <c r="BV156" s="41"/>
      <c r="BW156" s="41"/>
      <c r="BX156" s="41"/>
      <c r="BY156" s="41"/>
      <c r="BZ156" s="41"/>
      <c r="CA156" s="41"/>
      <c r="CB156" s="41"/>
      <c r="CC156" s="41"/>
      <c r="CD156" s="41"/>
      <c r="CE156" s="63"/>
      <c r="CF156" s="33"/>
      <c r="CG156" s="33"/>
      <c r="CH156" s="33"/>
      <c r="CI156" s="33"/>
      <c r="CJ156" s="33"/>
      <c r="CK156" s="33"/>
      <c r="CL156" s="33"/>
      <c r="CM156" s="33"/>
      <c r="CN156" s="33"/>
      <c r="CO156" s="33"/>
      <c r="CP156" s="33"/>
      <c r="CQ156" s="33"/>
      <c r="CR156" s="33"/>
      <c r="CS156" s="33"/>
      <c r="CT156" s="33"/>
      <c r="CU156" s="33"/>
      <c r="CV156" s="33"/>
      <c r="CW156" s="33"/>
      <c r="CX156" s="33"/>
      <c r="CY156" s="33"/>
      <c r="CZ156" s="33"/>
      <c r="DA156" s="33"/>
      <c r="DB156" s="33"/>
      <c r="DC156" s="33"/>
      <c r="DD156" s="33"/>
      <c r="DE156" s="33"/>
      <c r="DF156" s="33"/>
      <c r="DG156" s="33"/>
      <c r="DH156" s="33"/>
      <c r="DI156" s="36"/>
      <c r="DJ156" s="42"/>
      <c r="DK156" s="41"/>
      <c r="DL156" s="41"/>
      <c r="DM156" s="41"/>
      <c r="DN156" s="41"/>
      <c r="DO156" s="41"/>
      <c r="DP156" s="41"/>
      <c r="DQ156" s="41"/>
      <c r="DR156" s="41"/>
      <c r="DS156" s="41"/>
      <c r="DT156" s="41"/>
      <c r="DU156" s="41"/>
      <c r="DV156" s="41"/>
      <c r="DW156" s="41"/>
      <c r="DX156" s="41"/>
      <c r="DY156" s="41"/>
      <c r="DZ156" s="41"/>
      <c r="EA156" s="41"/>
      <c r="EB156" s="41"/>
      <c r="EC156" s="41"/>
      <c r="ED156" s="41"/>
      <c r="EE156" s="81"/>
      <c r="EF156" s="33"/>
      <c r="EG156" s="33"/>
      <c r="EH156" s="33"/>
      <c r="EI156" s="33"/>
      <c r="EJ156" s="33"/>
      <c r="EK156" s="33"/>
      <c r="EL156" s="33"/>
      <c r="EM156" s="33"/>
      <c r="EN156" s="33"/>
      <c r="EO156" s="33"/>
      <c r="EP156" s="33"/>
      <c r="EQ156" s="33"/>
      <c r="ER156" s="33"/>
      <c r="ES156" s="33"/>
      <c r="ET156" s="33"/>
      <c r="EU156" s="33"/>
      <c r="EV156" s="33"/>
      <c r="EW156" s="33"/>
      <c r="EX156" s="33"/>
      <c r="EY156" s="33"/>
      <c r="EZ156" s="33"/>
      <c r="FA156" s="33"/>
      <c r="FB156" s="33"/>
      <c r="FC156" s="33"/>
      <c r="FD156" s="33"/>
      <c r="FE156" s="33"/>
      <c r="FF156" s="33"/>
      <c r="FG156" s="33"/>
      <c r="FH156" s="33"/>
      <c r="FI156" s="52"/>
      <c r="FJ156" s="41"/>
      <c r="FK156" s="41"/>
      <c r="FL156" s="41"/>
      <c r="FM156" s="41"/>
      <c r="FN156" s="41"/>
      <c r="FO156" s="41"/>
      <c r="FP156" s="44"/>
      <c r="FQ156" s="33"/>
      <c r="FR156" s="33"/>
      <c r="FS156" s="33"/>
      <c r="FT156" s="33"/>
      <c r="FU156" s="33"/>
      <c r="FV156" s="33"/>
      <c r="FW156" s="33"/>
      <c r="FX156" s="33"/>
      <c r="FY156" s="33"/>
      <c r="FZ156" s="33"/>
      <c r="GA156" s="33"/>
      <c r="GB156" s="33"/>
      <c r="GC156" s="33"/>
      <c r="GD156" s="33"/>
      <c r="GE156" s="33"/>
      <c r="GF156" s="33"/>
      <c r="GG156" s="33"/>
      <c r="GH156" s="33"/>
      <c r="GI156" s="33"/>
      <c r="GJ156" s="33"/>
      <c r="GK156" s="33"/>
      <c r="GL156" s="33"/>
      <c r="GM156" s="33"/>
      <c r="GN156" s="33"/>
      <c r="GO156" s="33"/>
      <c r="GP156" s="33"/>
      <c r="GQ156" s="33"/>
      <c r="GR156" s="33"/>
      <c r="GS156" s="33"/>
      <c r="GT156" s="33"/>
      <c r="GU156" s="33"/>
      <c r="GV156" s="33"/>
      <c r="GW156" s="33"/>
      <c r="GX156" s="33"/>
      <c r="GY156" s="33"/>
      <c r="GZ156" s="33"/>
      <c r="HA156" s="33"/>
      <c r="HB156" s="33"/>
      <c r="HC156" s="33"/>
      <c r="HD156" s="33"/>
      <c r="HE156" s="33"/>
      <c r="HF156" s="33"/>
      <c r="HG156" s="33"/>
      <c r="HH156" s="33"/>
      <c r="HI156" s="33"/>
      <c r="HJ156" s="33"/>
      <c r="HK156" s="33"/>
      <c r="HL156" s="33"/>
      <c r="HM156" s="33"/>
      <c r="HN156" s="33"/>
      <c r="HO156" s="33"/>
      <c r="HP156" s="102"/>
      <c r="HQ156" s="41"/>
      <c r="HR156" s="41"/>
      <c r="HS156" s="41"/>
      <c r="HT156" s="41"/>
      <c r="HU156" s="41"/>
      <c r="HV156" s="41"/>
      <c r="HW156" s="44"/>
      <c r="HX156" s="33"/>
      <c r="HY156" s="33"/>
      <c r="HZ156" s="33"/>
      <c r="IA156" s="33"/>
      <c r="IB156" s="33"/>
      <c r="IC156" s="33"/>
      <c r="ID156" s="33"/>
      <c r="IE156" s="33"/>
      <c r="IF156" s="33"/>
      <c r="IG156" s="33"/>
      <c r="IH156" s="33"/>
      <c r="II156" s="33"/>
      <c r="IJ156" s="33"/>
      <c r="IK156" s="33"/>
      <c r="IL156" s="33"/>
      <c r="IM156" s="33"/>
      <c r="IN156" s="33"/>
      <c r="IO156" s="33"/>
      <c r="IP156" s="33"/>
      <c r="IQ156" s="33"/>
      <c r="IR156" s="33"/>
      <c r="IS156" s="33"/>
      <c r="IT156" s="33"/>
      <c r="IU156" s="33"/>
      <c r="IV156" s="33"/>
      <c r="IW156" s="33"/>
      <c r="IX156" s="33"/>
      <c r="IY156" s="33"/>
      <c r="IZ156" s="33"/>
      <c r="JA156" s="33"/>
      <c r="JB156" s="33"/>
      <c r="JC156" s="33"/>
      <c r="JD156" s="33"/>
      <c r="JE156" s="33"/>
      <c r="JF156" s="33"/>
      <c r="JG156" s="33"/>
      <c r="JH156" s="33"/>
      <c r="JI156" s="33"/>
      <c r="JJ156" s="33"/>
      <c r="JK156" s="33"/>
      <c r="JL156" s="33"/>
      <c r="JM156" s="33"/>
      <c r="JN156" s="33"/>
      <c r="JO156" s="33"/>
      <c r="JP156" s="33"/>
      <c r="JQ156" s="33"/>
      <c r="JR156" s="33"/>
      <c r="JS156" s="33"/>
      <c r="JT156" s="33"/>
      <c r="JU156" s="33"/>
      <c r="JV156" s="33"/>
      <c r="JW156" s="102"/>
      <c r="JX156" s="41"/>
      <c r="JY156" s="41"/>
      <c r="JZ156" s="41"/>
      <c r="KA156" s="41"/>
      <c r="KB156" s="41"/>
      <c r="KC156" s="41"/>
      <c r="KD156" s="102"/>
      <c r="KE156" s="33"/>
      <c r="KF156" s="33"/>
      <c r="KG156" s="33"/>
      <c r="KH156" s="33"/>
      <c r="KI156" s="33"/>
      <c r="KJ156" s="33"/>
      <c r="KK156" s="33"/>
      <c r="KL156" s="33"/>
      <c r="KM156" s="33"/>
      <c r="KN156" s="33"/>
      <c r="KO156" s="33"/>
      <c r="KP156" s="33"/>
      <c r="KQ156" s="33"/>
      <c r="KR156" s="33"/>
      <c r="KS156" s="33"/>
      <c r="KT156" s="33"/>
      <c r="KU156" s="33"/>
      <c r="KV156" s="33"/>
      <c r="KW156" s="33"/>
      <c r="KX156" s="33"/>
      <c r="KY156" s="102"/>
      <c r="KZ156" s="41"/>
      <c r="LA156" s="41"/>
      <c r="LB156" s="41"/>
      <c r="LC156" s="41"/>
      <c r="LD156" s="41"/>
      <c r="LE156" s="41"/>
      <c r="LF156" s="44"/>
      <c r="LG156" s="33"/>
      <c r="LH156" s="33"/>
      <c r="LI156" s="33"/>
      <c r="LJ156" s="33"/>
      <c r="LK156" s="33"/>
      <c r="LL156" s="33"/>
      <c r="LM156" s="33"/>
      <c r="LN156" s="33"/>
      <c r="LO156" s="33"/>
      <c r="LP156" s="33"/>
      <c r="LQ156" s="33"/>
      <c r="LR156" s="33"/>
      <c r="LS156" s="33"/>
      <c r="LT156" s="33"/>
      <c r="LU156" s="33"/>
      <c r="LV156" s="33"/>
      <c r="LW156" s="33"/>
      <c r="LX156" s="33"/>
      <c r="LY156" s="33"/>
      <c r="LZ156" s="33"/>
      <c r="MA156" s="33"/>
      <c r="MB156" s="33"/>
      <c r="MC156" s="33"/>
      <c r="MD156" s="33"/>
      <c r="ME156" s="33"/>
      <c r="MF156" s="33"/>
      <c r="MG156" s="33"/>
      <c r="MH156" s="33"/>
      <c r="MI156" s="33"/>
      <c r="MJ156" s="33"/>
      <c r="MK156" s="33"/>
      <c r="ML156" s="33"/>
      <c r="MM156" s="33"/>
      <c r="MN156" s="33"/>
      <c r="MO156" s="33"/>
      <c r="MP156" s="33"/>
      <c r="MQ156" s="33"/>
      <c r="MR156" s="33"/>
      <c r="MS156" s="33"/>
      <c r="MT156" s="33"/>
      <c r="MU156" s="33"/>
      <c r="MV156" s="33"/>
    </row>
    <row r="157" spans="1:360" ht="0.75" customHeight="1" x14ac:dyDescent="0.25">
      <c r="A157" s="33"/>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3"/>
      <c r="AV157" s="33"/>
      <c r="AW157" s="33"/>
      <c r="AX157" s="33"/>
      <c r="AY157" s="33"/>
      <c r="AZ157" s="33"/>
      <c r="BA157" s="33"/>
      <c r="BB157" s="33"/>
      <c r="BC157" s="44"/>
      <c r="BD157" s="41"/>
      <c r="BE157" s="41"/>
      <c r="BF157" s="41"/>
      <c r="BG157" s="41"/>
      <c r="BH157" s="41"/>
      <c r="BI157" s="41"/>
      <c r="BJ157" s="41"/>
      <c r="BK157" s="41"/>
      <c r="BL157" s="41"/>
      <c r="BM157" s="41"/>
      <c r="BN157" s="41"/>
      <c r="BO157" s="41"/>
      <c r="BP157" s="41"/>
      <c r="BQ157" s="41"/>
      <c r="BR157" s="41"/>
      <c r="BS157" s="41"/>
      <c r="BT157" s="41"/>
      <c r="BU157" s="41"/>
      <c r="BV157" s="41"/>
      <c r="BW157" s="41"/>
      <c r="BX157" s="41"/>
      <c r="BY157" s="41"/>
      <c r="BZ157" s="41"/>
      <c r="CA157" s="41"/>
      <c r="CB157" s="41"/>
      <c r="CC157" s="41"/>
      <c r="CD157" s="41"/>
      <c r="CE157" s="63"/>
      <c r="CF157" s="33"/>
      <c r="CG157" s="33"/>
      <c r="CH157" s="33"/>
      <c r="CI157" s="33"/>
      <c r="CJ157" s="33"/>
      <c r="CK157" s="33"/>
      <c r="CL157" s="33"/>
      <c r="CM157" s="33"/>
      <c r="CN157" s="33"/>
      <c r="CO157" s="33"/>
      <c r="CP157" s="33"/>
      <c r="CQ157" s="33"/>
      <c r="CR157" s="33"/>
      <c r="CS157" s="33"/>
      <c r="CT157" s="33"/>
      <c r="CU157" s="33"/>
      <c r="CV157" s="33"/>
      <c r="CW157" s="33"/>
      <c r="CX157" s="33"/>
      <c r="CY157" s="33"/>
      <c r="CZ157" s="33"/>
      <c r="DA157" s="33"/>
      <c r="DB157" s="33"/>
      <c r="DC157" s="33"/>
      <c r="DD157" s="33"/>
      <c r="DE157" s="33"/>
      <c r="DF157" s="33"/>
      <c r="DG157" s="33"/>
      <c r="DH157" s="33"/>
      <c r="DI157" s="36"/>
      <c r="DJ157" s="42"/>
      <c r="DK157" s="41"/>
      <c r="DL157" s="41"/>
      <c r="DM157" s="41"/>
      <c r="DN157" s="41"/>
      <c r="DO157" s="41"/>
      <c r="DP157" s="41"/>
      <c r="DQ157" s="41"/>
      <c r="DR157" s="41"/>
      <c r="DS157" s="41"/>
      <c r="DT157" s="41"/>
      <c r="DU157" s="41"/>
      <c r="DV157" s="41"/>
      <c r="DW157" s="41"/>
      <c r="DX157" s="41"/>
      <c r="DY157" s="41"/>
      <c r="DZ157" s="41"/>
      <c r="EA157" s="41"/>
      <c r="EB157" s="41"/>
      <c r="EC157" s="41"/>
      <c r="ED157" s="41"/>
      <c r="EE157" s="81"/>
      <c r="EF157" s="33"/>
      <c r="EG157" s="33"/>
      <c r="EH157" s="33"/>
      <c r="EI157" s="33"/>
      <c r="EJ157" s="33"/>
      <c r="EK157" s="33"/>
      <c r="EL157" s="33"/>
      <c r="EM157" s="33"/>
      <c r="EN157" s="33"/>
      <c r="EO157" s="33"/>
      <c r="EP157" s="33"/>
      <c r="EQ157" s="33"/>
      <c r="ER157" s="33"/>
      <c r="ES157" s="33"/>
      <c r="ET157" s="33"/>
      <c r="EU157" s="33"/>
      <c r="EV157" s="33"/>
      <c r="EW157" s="33"/>
      <c r="EX157" s="33"/>
      <c r="EY157" s="33"/>
      <c r="EZ157" s="33"/>
      <c r="FA157" s="33"/>
      <c r="FB157" s="33"/>
      <c r="FC157" s="33"/>
      <c r="FD157" s="33"/>
      <c r="FE157" s="33"/>
      <c r="FF157" s="33"/>
      <c r="FG157" s="33"/>
      <c r="FH157" s="33"/>
      <c r="FI157" s="52"/>
      <c r="FJ157" s="41"/>
      <c r="FK157" s="41"/>
      <c r="FL157" s="41"/>
      <c r="FM157" s="41"/>
      <c r="FN157" s="41"/>
      <c r="FO157" s="41"/>
      <c r="FP157" s="44"/>
      <c r="FQ157" s="33"/>
      <c r="FR157" s="33"/>
      <c r="FS157" s="33"/>
      <c r="FT157" s="33"/>
      <c r="FU157" s="33"/>
      <c r="FV157" s="33"/>
      <c r="FW157" s="33"/>
      <c r="FX157" s="33"/>
      <c r="FY157" s="33"/>
      <c r="FZ157" s="33"/>
      <c r="GA157" s="33"/>
      <c r="GB157" s="33"/>
      <c r="GC157" s="33"/>
      <c r="GD157" s="33"/>
      <c r="GE157" s="33"/>
      <c r="GF157" s="33"/>
      <c r="GG157" s="33"/>
      <c r="GH157" s="33"/>
      <c r="GI157" s="33"/>
      <c r="GJ157" s="33"/>
      <c r="GK157" s="33"/>
      <c r="GL157" s="33"/>
      <c r="GM157" s="33"/>
      <c r="GN157" s="33"/>
      <c r="GO157" s="33"/>
      <c r="GP157" s="33"/>
      <c r="GQ157" s="33"/>
      <c r="GR157" s="33"/>
      <c r="GS157" s="33"/>
      <c r="GT157" s="33"/>
      <c r="GU157" s="33"/>
      <c r="GV157" s="33"/>
      <c r="GW157" s="33"/>
      <c r="GX157" s="33"/>
      <c r="GY157" s="33"/>
      <c r="GZ157" s="33"/>
      <c r="HA157" s="33"/>
      <c r="HB157" s="33"/>
      <c r="HC157" s="33"/>
      <c r="HD157" s="33"/>
      <c r="HE157" s="33"/>
      <c r="HF157" s="33"/>
      <c r="HG157" s="33"/>
      <c r="HH157" s="33"/>
      <c r="HI157" s="33"/>
      <c r="HJ157" s="33"/>
      <c r="HK157" s="33"/>
      <c r="HL157" s="33"/>
      <c r="HM157" s="33"/>
      <c r="HN157" s="33"/>
      <c r="HO157" s="33"/>
      <c r="HP157" s="102"/>
      <c r="HQ157" s="41"/>
      <c r="HR157" s="41"/>
      <c r="HS157" s="41"/>
      <c r="HT157" s="41"/>
      <c r="HU157" s="41"/>
      <c r="HV157" s="41"/>
      <c r="HW157" s="44"/>
      <c r="HX157" s="33"/>
      <c r="HY157" s="33"/>
      <c r="HZ157" s="33"/>
      <c r="IA157" s="33"/>
      <c r="IB157" s="33"/>
      <c r="IC157" s="33"/>
      <c r="ID157" s="33"/>
      <c r="IE157" s="33"/>
      <c r="IF157" s="33"/>
      <c r="IG157" s="33"/>
      <c r="IH157" s="33"/>
      <c r="II157" s="33"/>
      <c r="IJ157" s="33"/>
      <c r="IK157" s="33"/>
      <c r="IL157" s="33"/>
      <c r="IM157" s="33"/>
      <c r="IN157" s="33"/>
      <c r="IO157" s="33"/>
      <c r="IP157" s="33"/>
      <c r="IQ157" s="33"/>
      <c r="IR157" s="33"/>
      <c r="IS157" s="33"/>
      <c r="IT157" s="33"/>
      <c r="IU157" s="33"/>
      <c r="IV157" s="33"/>
      <c r="IW157" s="33"/>
      <c r="IX157" s="33"/>
      <c r="IY157" s="33"/>
      <c r="IZ157" s="33"/>
      <c r="JA157" s="33"/>
      <c r="JB157" s="33"/>
      <c r="JC157" s="33"/>
      <c r="JD157" s="33"/>
      <c r="JE157" s="33"/>
      <c r="JF157" s="33"/>
      <c r="JG157" s="33"/>
      <c r="JH157" s="33"/>
      <c r="JI157" s="33"/>
      <c r="JJ157" s="33"/>
      <c r="JK157" s="33"/>
      <c r="JL157" s="33"/>
      <c r="JM157" s="33"/>
      <c r="JN157" s="33"/>
      <c r="JO157" s="33"/>
      <c r="JP157" s="33"/>
      <c r="JQ157" s="33"/>
      <c r="JR157" s="33"/>
      <c r="JS157" s="33"/>
      <c r="JT157" s="33"/>
      <c r="JU157" s="33"/>
      <c r="JV157" s="33"/>
      <c r="JW157" s="102"/>
      <c r="JX157" s="41"/>
      <c r="JY157" s="41"/>
      <c r="JZ157" s="41"/>
      <c r="KA157" s="41"/>
      <c r="KB157" s="41"/>
      <c r="KC157" s="41"/>
      <c r="KD157" s="102"/>
      <c r="KE157" s="33"/>
      <c r="KF157" s="33"/>
      <c r="KG157" s="33"/>
      <c r="KH157" s="33"/>
      <c r="KI157" s="33"/>
      <c r="KJ157" s="33"/>
      <c r="KK157" s="33"/>
      <c r="KL157" s="33"/>
      <c r="KM157" s="33"/>
      <c r="KN157" s="33"/>
      <c r="KO157" s="33"/>
      <c r="KP157" s="33"/>
      <c r="KQ157" s="33"/>
      <c r="KR157" s="33"/>
      <c r="KS157" s="33"/>
      <c r="KT157" s="33"/>
      <c r="KU157" s="33"/>
      <c r="KV157" s="33"/>
      <c r="KW157" s="33"/>
      <c r="KX157" s="33"/>
      <c r="KY157" s="102"/>
      <c r="KZ157" s="41"/>
      <c r="LA157" s="41"/>
      <c r="LB157" s="41"/>
      <c r="LC157" s="41"/>
      <c r="LD157" s="41"/>
      <c r="LE157" s="41"/>
      <c r="LF157" s="44"/>
      <c r="LG157" s="33"/>
      <c r="LH157" s="33"/>
      <c r="LI157" s="33"/>
      <c r="LJ157" s="33"/>
      <c r="LK157" s="33"/>
      <c r="LL157" s="33"/>
      <c r="LM157" s="33"/>
      <c r="LN157" s="33"/>
      <c r="LO157" s="33"/>
      <c r="LP157" s="33"/>
      <c r="LQ157" s="33"/>
      <c r="LR157" s="33"/>
      <c r="LS157" s="33"/>
      <c r="LT157" s="33"/>
      <c r="LU157" s="33"/>
      <c r="LV157" s="33"/>
      <c r="LW157" s="33"/>
      <c r="LX157" s="33"/>
      <c r="LY157" s="33"/>
      <c r="LZ157" s="33"/>
      <c r="MA157" s="33"/>
      <c r="MB157" s="33"/>
      <c r="MC157" s="33"/>
      <c r="MD157" s="33"/>
      <c r="ME157" s="33"/>
      <c r="MF157" s="33"/>
      <c r="MG157" s="33"/>
      <c r="MH157" s="33"/>
      <c r="MI157" s="33"/>
      <c r="MJ157" s="33"/>
      <c r="MK157" s="33"/>
      <c r="ML157" s="33"/>
      <c r="MM157" s="33"/>
      <c r="MN157" s="33"/>
      <c r="MO157" s="33"/>
      <c r="MP157" s="33"/>
      <c r="MQ157" s="33"/>
      <c r="MR157" s="33"/>
      <c r="MS157" s="33"/>
      <c r="MT157" s="33"/>
      <c r="MU157" s="33"/>
      <c r="MV157" s="33"/>
    </row>
    <row r="158" spans="1:360" ht="0.75" customHeight="1" x14ac:dyDescent="0.25">
      <c r="A158" s="33"/>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3"/>
      <c r="AV158" s="103"/>
      <c r="AW158" s="104"/>
      <c r="AX158" s="102"/>
      <c r="AY158" s="102"/>
      <c r="AZ158" s="102"/>
      <c r="BA158" s="102"/>
      <c r="BB158" s="102"/>
      <c r="BC158" s="102"/>
      <c r="BD158" s="102"/>
      <c r="BE158" s="102"/>
      <c r="BF158" s="102"/>
      <c r="BG158" s="102"/>
      <c r="BH158" s="102"/>
      <c r="BI158" s="102"/>
      <c r="BJ158" s="102"/>
      <c r="BK158" s="102"/>
      <c r="BL158" s="102"/>
      <c r="BM158" s="102"/>
      <c r="BN158" s="102"/>
      <c r="BO158" s="102"/>
      <c r="BP158" s="102"/>
      <c r="BQ158" s="102"/>
      <c r="BR158" s="102"/>
      <c r="BS158" s="102"/>
      <c r="BT158" s="102"/>
      <c r="BU158" s="102"/>
      <c r="BV158" s="102"/>
      <c r="BW158" s="102"/>
      <c r="BX158" s="102"/>
      <c r="BY158" s="102"/>
      <c r="BZ158" s="102"/>
      <c r="CA158" s="102"/>
      <c r="CB158" s="102"/>
      <c r="CC158" s="105"/>
      <c r="CD158" s="106"/>
      <c r="CE158" s="54"/>
      <c r="CF158" s="33"/>
      <c r="CG158" s="33"/>
      <c r="CH158" s="33"/>
      <c r="CI158" s="33"/>
      <c r="CJ158" s="33"/>
      <c r="CK158" s="33"/>
      <c r="CL158" s="33"/>
      <c r="CM158" s="33"/>
      <c r="CN158" s="33"/>
      <c r="CO158" s="33"/>
      <c r="CP158" s="33"/>
      <c r="CQ158" s="33"/>
      <c r="CR158" s="33"/>
      <c r="CS158" s="33"/>
      <c r="CT158" s="33"/>
      <c r="CU158" s="33"/>
      <c r="CV158" s="33"/>
      <c r="CW158" s="33"/>
      <c r="CX158" s="33"/>
      <c r="CY158" s="33"/>
      <c r="CZ158" s="33"/>
      <c r="DA158" s="33"/>
      <c r="DB158" s="107"/>
      <c r="DC158" s="69"/>
      <c r="DD158" s="55"/>
      <c r="DE158" s="102"/>
      <c r="DF158" s="102"/>
      <c r="DG158" s="102"/>
      <c r="DH158" s="102"/>
      <c r="DI158" s="102"/>
      <c r="DJ158" s="102"/>
      <c r="DK158" s="102"/>
      <c r="DL158" s="102"/>
      <c r="DM158" s="102"/>
      <c r="DN158" s="102"/>
      <c r="DO158" s="102"/>
      <c r="DP158" s="102"/>
      <c r="DQ158" s="102"/>
      <c r="DR158" s="102"/>
      <c r="DS158" s="102"/>
      <c r="DT158" s="102"/>
      <c r="DU158" s="102"/>
      <c r="DV158" s="102"/>
      <c r="DW158" s="102"/>
      <c r="DX158" s="102"/>
      <c r="DY158" s="102"/>
      <c r="DZ158" s="102"/>
      <c r="EA158" s="102"/>
      <c r="EB158" s="102"/>
      <c r="EC158" s="102"/>
      <c r="ED158" s="102"/>
      <c r="EE158" s="102"/>
      <c r="EF158" s="102"/>
      <c r="EG158" s="102"/>
      <c r="EH158" s="102"/>
      <c r="EI158" s="102"/>
      <c r="EJ158" s="108"/>
      <c r="EK158" s="109"/>
      <c r="EL158" s="110"/>
      <c r="EM158" s="33"/>
      <c r="EN158" s="33"/>
      <c r="EO158" s="33"/>
      <c r="EP158" s="33"/>
      <c r="EQ158" s="33"/>
      <c r="ER158" s="33"/>
      <c r="ES158" s="33"/>
      <c r="ET158" s="33"/>
      <c r="EU158" s="33"/>
      <c r="EV158" s="33"/>
      <c r="EW158" s="33"/>
      <c r="EX158" s="33"/>
      <c r="EY158" s="33"/>
      <c r="EZ158" s="33"/>
      <c r="FA158" s="33"/>
      <c r="FB158" s="33"/>
      <c r="FC158" s="33"/>
      <c r="FD158" s="33"/>
      <c r="FE158" s="33"/>
      <c r="FF158" s="33"/>
      <c r="FG158" s="33"/>
      <c r="FH158" s="33"/>
      <c r="FI158" s="52"/>
      <c r="FJ158" s="41"/>
      <c r="FK158" s="41"/>
      <c r="FL158" s="41"/>
      <c r="FM158" s="41"/>
      <c r="FN158" s="41"/>
      <c r="FO158" s="41"/>
      <c r="FP158" s="44"/>
      <c r="FQ158" s="33"/>
      <c r="FR158" s="33"/>
      <c r="FS158" s="33"/>
      <c r="FT158" s="33"/>
      <c r="FU158" s="33"/>
      <c r="FV158" s="33"/>
      <c r="FW158" s="33"/>
      <c r="FX158" s="33"/>
      <c r="FY158" s="33"/>
      <c r="FZ158" s="33"/>
      <c r="GA158" s="33"/>
      <c r="GB158" s="33"/>
      <c r="GC158" s="33"/>
      <c r="GD158" s="33"/>
      <c r="GE158" s="33"/>
      <c r="GF158" s="33"/>
      <c r="GG158" s="33"/>
      <c r="GH158" s="33"/>
      <c r="GI158" s="33"/>
      <c r="GJ158" s="33"/>
      <c r="GK158" s="33"/>
      <c r="GL158" s="33"/>
      <c r="GM158" s="33"/>
      <c r="GN158" s="33"/>
      <c r="GO158" s="33"/>
      <c r="GP158" s="33"/>
      <c r="GQ158" s="33"/>
      <c r="GR158" s="33"/>
      <c r="GS158" s="33"/>
      <c r="GT158" s="33"/>
      <c r="GU158" s="33"/>
      <c r="GV158" s="33"/>
      <c r="GW158" s="33"/>
      <c r="GX158" s="33"/>
      <c r="GY158" s="33"/>
      <c r="GZ158" s="33"/>
      <c r="HA158" s="33"/>
      <c r="HB158" s="33"/>
      <c r="HC158" s="33"/>
      <c r="HD158" s="33"/>
      <c r="HE158" s="33"/>
      <c r="HF158" s="33"/>
      <c r="HG158" s="33"/>
      <c r="HH158" s="33"/>
      <c r="HI158" s="33"/>
      <c r="HJ158" s="33"/>
      <c r="HK158" s="33"/>
      <c r="HL158" s="33"/>
      <c r="HM158" s="33"/>
      <c r="HN158" s="33"/>
      <c r="HO158" s="33"/>
      <c r="HP158" s="102"/>
      <c r="HQ158" s="41"/>
      <c r="HR158" s="41"/>
      <c r="HS158" s="41"/>
      <c r="HT158" s="41"/>
      <c r="HU158" s="41"/>
      <c r="HV158" s="41"/>
      <c r="HW158" s="44"/>
      <c r="HX158" s="33"/>
      <c r="HY158" s="33"/>
      <c r="HZ158" s="33"/>
      <c r="IA158" s="33"/>
      <c r="IB158" s="33"/>
      <c r="IC158" s="33"/>
      <c r="ID158" s="33"/>
      <c r="IE158" s="33"/>
      <c r="IF158" s="33"/>
      <c r="IG158" s="33"/>
      <c r="IH158" s="33"/>
      <c r="II158" s="33"/>
      <c r="IJ158" s="33"/>
      <c r="IK158" s="33"/>
      <c r="IL158" s="33"/>
      <c r="IM158" s="33"/>
      <c r="IN158" s="33"/>
      <c r="IO158" s="33"/>
      <c r="IP158" s="33"/>
      <c r="IQ158" s="33"/>
      <c r="IR158" s="33"/>
      <c r="IS158" s="33"/>
      <c r="IT158" s="33"/>
      <c r="IU158" s="33"/>
      <c r="IV158" s="33"/>
      <c r="IW158" s="33"/>
      <c r="IX158" s="33"/>
      <c r="IY158" s="33"/>
      <c r="IZ158" s="33"/>
      <c r="JA158" s="33"/>
      <c r="JB158" s="33"/>
      <c r="JC158" s="33"/>
      <c r="JD158" s="33"/>
      <c r="JE158" s="33"/>
      <c r="JF158" s="33"/>
      <c r="JG158" s="33"/>
      <c r="JH158" s="33"/>
      <c r="JI158" s="33"/>
      <c r="JJ158" s="33"/>
      <c r="JK158" s="33"/>
      <c r="JL158" s="33"/>
      <c r="JM158" s="33"/>
      <c r="JN158" s="33"/>
      <c r="JO158" s="33"/>
      <c r="JP158" s="33"/>
      <c r="JQ158" s="33"/>
      <c r="JR158" s="33"/>
      <c r="JS158" s="33"/>
      <c r="JT158" s="33"/>
      <c r="JU158" s="33"/>
      <c r="JV158" s="33"/>
      <c r="JW158" s="102"/>
      <c r="JX158" s="41"/>
      <c r="JY158" s="41"/>
      <c r="JZ158" s="41"/>
      <c r="KA158" s="41"/>
      <c r="KB158" s="41"/>
      <c r="KC158" s="41"/>
      <c r="KD158" s="102"/>
      <c r="KE158" s="33"/>
      <c r="KF158" s="33"/>
      <c r="KG158" s="33"/>
      <c r="KH158" s="33"/>
      <c r="KI158" s="33"/>
      <c r="KJ158" s="33"/>
      <c r="KK158" s="33"/>
      <c r="KL158" s="33"/>
      <c r="KM158" s="33"/>
      <c r="KN158" s="33"/>
      <c r="KO158" s="33"/>
      <c r="KP158" s="33"/>
      <c r="KQ158" s="33"/>
      <c r="KR158" s="33"/>
      <c r="KS158" s="33"/>
      <c r="KT158" s="33"/>
      <c r="KU158" s="33"/>
      <c r="KV158" s="33"/>
      <c r="KW158" s="33"/>
      <c r="KX158" s="33"/>
      <c r="KY158" s="102"/>
      <c r="KZ158" s="41"/>
      <c r="LA158" s="41"/>
      <c r="LB158" s="41"/>
      <c r="LC158" s="41"/>
      <c r="LD158" s="41"/>
      <c r="LE158" s="41"/>
      <c r="LF158" s="44"/>
      <c r="LG158" s="33"/>
      <c r="LH158" s="33"/>
      <c r="LI158" s="33"/>
      <c r="LJ158" s="33"/>
      <c r="LK158" s="33"/>
      <c r="LL158" s="33"/>
      <c r="LM158" s="33"/>
      <c r="LN158" s="33"/>
      <c r="LO158" s="33"/>
      <c r="LP158" s="33"/>
      <c r="LQ158" s="33"/>
      <c r="LR158" s="33"/>
      <c r="LS158" s="33"/>
      <c r="LT158" s="33"/>
      <c r="LU158" s="33"/>
      <c r="LV158" s="33"/>
      <c r="LW158" s="33"/>
      <c r="LX158" s="33"/>
      <c r="LY158" s="33"/>
      <c r="LZ158" s="33"/>
      <c r="MA158" s="33"/>
      <c r="MB158" s="33"/>
      <c r="MC158" s="33"/>
      <c r="MD158" s="33"/>
      <c r="ME158" s="33"/>
      <c r="MF158" s="33"/>
      <c r="MG158" s="33"/>
      <c r="MH158" s="33"/>
      <c r="MI158" s="33"/>
      <c r="MJ158" s="33"/>
      <c r="MK158" s="33"/>
      <c r="ML158" s="33"/>
      <c r="MM158" s="33"/>
      <c r="MN158" s="33"/>
      <c r="MO158" s="33"/>
      <c r="MP158" s="33"/>
      <c r="MQ158" s="33"/>
      <c r="MR158" s="33"/>
      <c r="MS158" s="33"/>
      <c r="MT158" s="33"/>
      <c r="MU158" s="33"/>
      <c r="MV158" s="33"/>
    </row>
    <row r="159" spans="1:360" ht="0.75" customHeight="1" x14ac:dyDescent="0.25">
      <c r="A159" s="33"/>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3"/>
      <c r="AV159" s="79"/>
      <c r="AW159" s="41"/>
      <c r="AX159" s="41"/>
      <c r="AY159" s="41"/>
      <c r="AZ159" s="41"/>
      <c r="BA159" s="41"/>
      <c r="BB159" s="41"/>
      <c r="BC159" s="52"/>
      <c r="BD159" s="33"/>
      <c r="BE159" s="33"/>
      <c r="BF159" s="33"/>
      <c r="BG159" s="33"/>
      <c r="BH159" s="33"/>
      <c r="BI159" s="33"/>
      <c r="BJ159" s="33"/>
      <c r="BK159" s="33"/>
      <c r="BL159" s="33"/>
      <c r="BM159" s="33"/>
      <c r="BN159" s="33"/>
      <c r="BO159" s="33"/>
      <c r="BP159" s="33"/>
      <c r="BQ159" s="33"/>
      <c r="BR159" s="33"/>
      <c r="BS159" s="33"/>
      <c r="BT159" s="33"/>
      <c r="BU159" s="33"/>
      <c r="BV159" s="33"/>
      <c r="BW159" s="33"/>
      <c r="BX159" s="33"/>
      <c r="BY159" s="33"/>
      <c r="BZ159" s="33"/>
      <c r="CA159" s="33"/>
      <c r="CB159" s="33"/>
      <c r="CC159" s="33"/>
      <c r="CD159" s="33"/>
      <c r="CE159" s="33"/>
      <c r="CF159" s="33"/>
      <c r="CG159" s="33"/>
      <c r="CH159" s="33"/>
      <c r="CI159" s="33"/>
      <c r="CJ159" s="33"/>
      <c r="CK159" s="33"/>
      <c r="CL159" s="33"/>
      <c r="CM159" s="33"/>
      <c r="CN159" s="33"/>
      <c r="CO159" s="33"/>
      <c r="CP159" s="33"/>
      <c r="CQ159" s="33"/>
      <c r="CR159" s="33"/>
      <c r="CS159" s="33"/>
      <c r="CT159" s="33"/>
      <c r="CU159" s="33"/>
      <c r="CV159" s="33"/>
      <c r="CW159" s="33"/>
      <c r="CX159" s="33"/>
      <c r="CY159" s="33"/>
      <c r="CZ159" s="33"/>
      <c r="DA159" s="33"/>
      <c r="DB159" s="36"/>
      <c r="DC159" s="42"/>
      <c r="DD159" s="41"/>
      <c r="DE159" s="41"/>
      <c r="DF159" s="41"/>
      <c r="DG159" s="41"/>
      <c r="DH159" s="41"/>
      <c r="DI159" s="42"/>
      <c r="DJ159" s="36"/>
      <c r="DK159" s="33"/>
      <c r="DL159" s="33"/>
      <c r="DM159" s="33"/>
      <c r="DN159" s="33"/>
      <c r="DO159" s="33"/>
      <c r="DP159" s="33"/>
      <c r="DQ159" s="33"/>
      <c r="DR159" s="33"/>
      <c r="DS159" s="33"/>
      <c r="DT159" s="33"/>
      <c r="DU159" s="33"/>
      <c r="DV159" s="33"/>
      <c r="DW159" s="33"/>
      <c r="DX159" s="33"/>
      <c r="DY159" s="33"/>
      <c r="DZ159" s="33"/>
      <c r="EA159" s="33"/>
      <c r="EB159" s="33"/>
      <c r="EC159" s="33"/>
      <c r="ED159" s="33"/>
      <c r="EE159" s="79"/>
      <c r="EF159" s="41"/>
      <c r="EG159" s="41"/>
      <c r="EH159" s="41"/>
      <c r="EI159" s="41"/>
      <c r="EJ159" s="41"/>
      <c r="EK159" s="41"/>
      <c r="EL159" s="52"/>
      <c r="EM159" s="33"/>
      <c r="EN159" s="33"/>
      <c r="EO159" s="33"/>
      <c r="EP159" s="33"/>
      <c r="EQ159" s="33"/>
      <c r="ER159" s="33"/>
      <c r="ES159" s="33"/>
      <c r="ET159" s="33"/>
      <c r="EU159" s="33"/>
      <c r="EV159" s="33"/>
      <c r="EW159" s="33"/>
      <c r="EX159" s="33"/>
      <c r="EY159" s="33"/>
      <c r="EZ159" s="33"/>
      <c r="FA159" s="33"/>
      <c r="FB159" s="33"/>
      <c r="FC159" s="33"/>
      <c r="FD159" s="33"/>
      <c r="FE159" s="33"/>
      <c r="FF159" s="33"/>
      <c r="FG159" s="33"/>
      <c r="FH159" s="33"/>
      <c r="FI159" s="52"/>
      <c r="FJ159" s="41"/>
      <c r="FK159" s="41"/>
      <c r="FL159" s="41"/>
      <c r="FM159" s="41"/>
      <c r="FN159" s="41"/>
      <c r="FO159" s="41"/>
      <c r="FP159" s="44"/>
      <c r="FQ159" s="33"/>
      <c r="FR159" s="33"/>
      <c r="FS159" s="33"/>
      <c r="FT159" s="33"/>
      <c r="FU159" s="33"/>
      <c r="FV159" s="33"/>
      <c r="FW159" s="33"/>
      <c r="FX159" s="33"/>
      <c r="FY159" s="33"/>
      <c r="FZ159" s="33"/>
      <c r="GA159" s="33"/>
      <c r="GB159" s="33"/>
      <c r="GC159" s="33"/>
      <c r="GD159" s="33"/>
      <c r="GE159" s="33"/>
      <c r="GF159" s="33"/>
      <c r="GG159" s="33"/>
      <c r="GH159" s="33"/>
      <c r="GI159" s="33"/>
      <c r="GJ159" s="33"/>
      <c r="GK159" s="33"/>
      <c r="GL159" s="33"/>
      <c r="GM159" s="33"/>
      <c r="GN159" s="33"/>
      <c r="GO159" s="33"/>
      <c r="GP159" s="33"/>
      <c r="GQ159" s="33"/>
      <c r="GR159" s="33"/>
      <c r="GS159" s="33"/>
      <c r="GT159" s="33"/>
      <c r="GU159" s="33"/>
      <c r="GV159" s="33"/>
      <c r="GW159" s="33"/>
      <c r="GX159" s="33"/>
      <c r="GY159" s="33"/>
      <c r="GZ159" s="33"/>
      <c r="HA159" s="33"/>
      <c r="HB159" s="33"/>
      <c r="HC159" s="33"/>
      <c r="HD159" s="33"/>
      <c r="HE159" s="33"/>
      <c r="HF159" s="33"/>
      <c r="HG159" s="33"/>
      <c r="HH159" s="33"/>
      <c r="HI159" s="33"/>
      <c r="HJ159" s="33"/>
      <c r="HK159" s="33"/>
      <c r="HL159" s="33"/>
      <c r="HM159" s="33"/>
      <c r="HN159" s="33"/>
      <c r="HO159" s="33"/>
      <c r="HP159" s="102"/>
      <c r="HQ159" s="41"/>
      <c r="HR159" s="41"/>
      <c r="HS159" s="41"/>
      <c r="HT159" s="41"/>
      <c r="HU159" s="41"/>
      <c r="HV159" s="41"/>
      <c r="HW159" s="44"/>
      <c r="HX159" s="33"/>
      <c r="HY159" s="33"/>
      <c r="HZ159" s="33"/>
      <c r="IA159" s="33"/>
      <c r="IB159" s="33"/>
      <c r="IC159" s="33"/>
      <c r="ID159" s="33"/>
      <c r="IE159" s="33"/>
      <c r="IF159" s="33"/>
      <c r="IG159" s="33"/>
      <c r="IH159" s="33"/>
      <c r="II159" s="33"/>
      <c r="IJ159" s="33"/>
      <c r="IK159" s="33"/>
      <c r="IL159" s="33"/>
      <c r="IM159" s="33"/>
      <c r="IN159" s="33"/>
      <c r="IO159" s="33"/>
      <c r="IP159" s="33"/>
      <c r="IQ159" s="33"/>
      <c r="IR159" s="33"/>
      <c r="IS159" s="33"/>
      <c r="IT159" s="33"/>
      <c r="IU159" s="33"/>
      <c r="IV159" s="33"/>
      <c r="IW159" s="33"/>
      <c r="IX159" s="33"/>
      <c r="IY159" s="33"/>
      <c r="IZ159" s="33"/>
      <c r="JA159" s="33"/>
      <c r="JB159" s="33"/>
      <c r="JC159" s="33"/>
      <c r="JD159" s="33"/>
      <c r="JE159" s="33"/>
      <c r="JF159" s="33"/>
      <c r="JG159" s="33"/>
      <c r="JH159" s="33"/>
      <c r="JI159" s="33"/>
      <c r="JJ159" s="33"/>
      <c r="JK159" s="33"/>
      <c r="JL159" s="33"/>
      <c r="JM159" s="33"/>
      <c r="JN159" s="33"/>
      <c r="JO159" s="33"/>
      <c r="JP159" s="33"/>
      <c r="JQ159" s="33"/>
      <c r="JR159" s="33"/>
      <c r="JS159" s="33"/>
      <c r="JT159" s="33"/>
      <c r="JU159" s="33"/>
      <c r="JV159" s="33"/>
      <c r="JW159" s="102"/>
      <c r="JX159" s="41"/>
      <c r="JY159" s="41"/>
      <c r="JZ159" s="41"/>
      <c r="KA159" s="41"/>
      <c r="KB159" s="41"/>
      <c r="KC159" s="41"/>
      <c r="KD159" s="102"/>
      <c r="KE159" s="33"/>
      <c r="KF159" s="33"/>
      <c r="KG159" s="33"/>
      <c r="KH159" s="33"/>
      <c r="KI159" s="33"/>
      <c r="KJ159" s="33"/>
      <c r="KK159" s="33"/>
      <c r="KL159" s="33"/>
      <c r="KM159" s="33"/>
      <c r="KN159" s="33"/>
      <c r="KO159" s="33"/>
      <c r="KP159" s="33"/>
      <c r="KQ159" s="33"/>
      <c r="KR159" s="33"/>
      <c r="KS159" s="33"/>
      <c r="KT159" s="33"/>
      <c r="KU159" s="33"/>
      <c r="KV159" s="33"/>
      <c r="KW159" s="33"/>
      <c r="KX159" s="33"/>
      <c r="KY159" s="102"/>
      <c r="KZ159" s="41"/>
      <c r="LA159" s="41"/>
      <c r="LB159" s="41"/>
      <c r="LC159" s="41"/>
      <c r="LD159" s="41"/>
      <c r="LE159" s="41"/>
      <c r="LF159" s="44"/>
      <c r="LG159" s="33"/>
      <c r="LH159" s="33"/>
      <c r="LI159" s="33"/>
      <c r="LJ159" s="33"/>
      <c r="LK159" s="33"/>
      <c r="LL159" s="33"/>
      <c r="LM159" s="33"/>
      <c r="LN159" s="33"/>
      <c r="LO159" s="33"/>
      <c r="LP159" s="33"/>
      <c r="LQ159" s="33"/>
      <c r="LR159" s="33"/>
      <c r="LS159" s="33"/>
      <c r="LT159" s="33"/>
      <c r="LU159" s="33"/>
      <c r="LV159" s="33"/>
      <c r="LW159" s="33"/>
      <c r="LX159" s="33"/>
      <c r="LY159" s="33"/>
      <c r="LZ159" s="33"/>
      <c r="MA159" s="33"/>
      <c r="MB159" s="33"/>
      <c r="MC159" s="33"/>
      <c r="MD159" s="33"/>
      <c r="ME159" s="33"/>
      <c r="MF159" s="33"/>
      <c r="MG159" s="33"/>
      <c r="MH159" s="33"/>
      <c r="MI159" s="33"/>
      <c r="MJ159" s="33"/>
      <c r="MK159" s="33"/>
      <c r="ML159" s="33"/>
      <c r="MM159" s="33"/>
      <c r="MN159" s="33"/>
      <c r="MO159" s="33"/>
      <c r="MP159" s="33"/>
      <c r="MQ159" s="33"/>
      <c r="MR159" s="33"/>
      <c r="MS159" s="33"/>
      <c r="MT159" s="33"/>
      <c r="MU159" s="33"/>
      <c r="MV159" s="33"/>
    </row>
    <row r="160" spans="1:360" ht="0.75" customHeight="1" x14ac:dyDescent="0.25">
      <c r="A160" s="33"/>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3"/>
      <c r="AV160" s="79"/>
      <c r="AW160" s="41"/>
      <c r="AX160" s="41"/>
      <c r="AY160" s="41"/>
      <c r="AZ160" s="41"/>
      <c r="BA160" s="41"/>
      <c r="BB160" s="41"/>
      <c r="BC160" s="52"/>
      <c r="BD160" s="33"/>
      <c r="BE160" s="33"/>
      <c r="BF160" s="33"/>
      <c r="BG160" s="33"/>
      <c r="BH160" s="33"/>
      <c r="BI160" s="33"/>
      <c r="BJ160" s="33"/>
      <c r="BK160" s="33"/>
      <c r="BL160" s="33"/>
      <c r="BM160" s="33"/>
      <c r="BN160" s="33"/>
      <c r="BO160" s="33"/>
      <c r="BP160" s="33"/>
      <c r="BQ160" s="33"/>
      <c r="BR160" s="33"/>
      <c r="BS160" s="33"/>
      <c r="BT160" s="33"/>
      <c r="BU160" s="33"/>
      <c r="BV160" s="33"/>
      <c r="BW160" s="33"/>
      <c r="BX160" s="33"/>
      <c r="BY160" s="33"/>
      <c r="BZ160" s="33"/>
      <c r="CA160" s="33"/>
      <c r="CB160" s="33"/>
      <c r="CC160" s="33"/>
      <c r="CD160" s="33"/>
      <c r="CE160" s="33"/>
      <c r="CF160" s="33"/>
      <c r="CG160" s="33"/>
      <c r="CH160" s="33"/>
      <c r="CI160" s="33"/>
      <c r="CJ160" s="33"/>
      <c r="CK160" s="33"/>
      <c r="CL160" s="33"/>
      <c r="CM160" s="33"/>
      <c r="CN160" s="33"/>
      <c r="CO160" s="33"/>
      <c r="CP160" s="33"/>
      <c r="CQ160" s="33"/>
      <c r="CR160" s="33"/>
      <c r="CS160" s="33"/>
      <c r="CT160" s="33"/>
      <c r="CU160" s="33"/>
      <c r="CV160" s="33"/>
      <c r="CW160" s="33"/>
      <c r="CX160" s="33"/>
      <c r="CY160" s="33"/>
      <c r="CZ160" s="33"/>
      <c r="DA160" s="33"/>
      <c r="DB160" s="36"/>
      <c r="DC160" s="42"/>
      <c r="DD160" s="41"/>
      <c r="DE160" s="41"/>
      <c r="DF160" s="41"/>
      <c r="DG160" s="41"/>
      <c r="DH160" s="41"/>
      <c r="DI160" s="42"/>
      <c r="DJ160" s="36"/>
      <c r="DK160" s="33"/>
      <c r="DL160" s="33"/>
      <c r="DM160" s="33"/>
      <c r="DN160" s="33"/>
      <c r="DO160" s="33"/>
      <c r="DP160" s="33"/>
      <c r="DQ160" s="33"/>
      <c r="DR160" s="33"/>
      <c r="DS160" s="33"/>
      <c r="DT160" s="33"/>
      <c r="DU160" s="33"/>
      <c r="DV160" s="33"/>
      <c r="DW160" s="33"/>
      <c r="DX160" s="33"/>
      <c r="DY160" s="33"/>
      <c r="DZ160" s="33"/>
      <c r="EA160" s="33"/>
      <c r="EB160" s="33"/>
      <c r="EC160" s="33"/>
      <c r="ED160" s="33"/>
      <c r="EE160" s="79"/>
      <c r="EF160" s="41"/>
      <c r="EG160" s="41"/>
      <c r="EH160" s="41"/>
      <c r="EI160" s="41"/>
      <c r="EJ160" s="41"/>
      <c r="EK160" s="41"/>
      <c r="EL160" s="52"/>
      <c r="EM160" s="33"/>
      <c r="EN160" s="33"/>
      <c r="EO160" s="33"/>
      <c r="EP160" s="33"/>
      <c r="EQ160" s="33"/>
      <c r="ER160" s="33"/>
      <c r="ES160" s="33"/>
      <c r="ET160" s="33"/>
      <c r="EU160" s="33"/>
      <c r="EV160" s="33"/>
      <c r="EW160" s="33"/>
      <c r="EX160" s="33"/>
      <c r="EY160" s="33"/>
      <c r="EZ160" s="33"/>
      <c r="FA160" s="33"/>
      <c r="FB160" s="33"/>
      <c r="FC160" s="33"/>
      <c r="FD160" s="33"/>
      <c r="FE160" s="33"/>
      <c r="FF160" s="33"/>
      <c r="FG160" s="33"/>
      <c r="FH160" s="33"/>
      <c r="FI160" s="52"/>
      <c r="FJ160" s="41"/>
      <c r="FK160" s="41"/>
      <c r="FL160" s="41"/>
      <c r="FM160" s="41"/>
      <c r="FN160" s="41"/>
      <c r="FO160" s="41"/>
      <c r="FP160" s="44"/>
      <c r="FQ160" s="33"/>
      <c r="FR160" s="33"/>
      <c r="FS160" s="33"/>
      <c r="FT160" s="33"/>
      <c r="FU160" s="33"/>
      <c r="FV160" s="33"/>
      <c r="FW160" s="33"/>
      <c r="FX160" s="33"/>
      <c r="FY160" s="33"/>
      <c r="FZ160" s="33"/>
      <c r="GA160" s="33"/>
      <c r="GB160" s="33"/>
      <c r="GC160" s="33"/>
      <c r="GD160" s="33"/>
      <c r="GE160" s="33"/>
      <c r="GF160" s="33"/>
      <c r="GG160" s="33"/>
      <c r="GH160" s="33"/>
      <c r="GI160" s="33"/>
      <c r="GJ160" s="33"/>
      <c r="GK160" s="33"/>
      <c r="GL160" s="33"/>
      <c r="GM160" s="33"/>
      <c r="GN160" s="33"/>
      <c r="GO160" s="33"/>
      <c r="GP160" s="33"/>
      <c r="GQ160" s="33"/>
      <c r="GR160" s="33"/>
      <c r="GS160" s="33"/>
      <c r="GT160" s="33"/>
      <c r="GU160" s="33"/>
      <c r="GV160" s="33"/>
      <c r="GW160" s="33"/>
      <c r="GX160" s="33"/>
      <c r="GY160" s="33"/>
      <c r="GZ160" s="33"/>
      <c r="HA160" s="33"/>
      <c r="HB160" s="33"/>
      <c r="HC160" s="33"/>
      <c r="HD160" s="33"/>
      <c r="HE160" s="33"/>
      <c r="HF160" s="33"/>
      <c r="HG160" s="33"/>
      <c r="HH160" s="33"/>
      <c r="HI160" s="33"/>
      <c r="HJ160" s="33"/>
      <c r="HK160" s="33"/>
      <c r="HL160" s="33"/>
      <c r="HM160" s="33"/>
      <c r="HN160" s="33"/>
      <c r="HO160" s="33"/>
      <c r="HP160" s="102"/>
      <c r="HQ160" s="41"/>
      <c r="HR160" s="41"/>
      <c r="HS160" s="41"/>
      <c r="HT160" s="41"/>
      <c r="HU160" s="41"/>
      <c r="HV160" s="41"/>
      <c r="HW160" s="44"/>
      <c r="HX160" s="33"/>
      <c r="HY160" s="33"/>
      <c r="HZ160" s="33"/>
      <c r="IA160" s="33"/>
      <c r="IB160" s="33"/>
      <c r="IC160" s="33"/>
      <c r="ID160" s="33"/>
      <c r="IE160" s="33"/>
      <c r="IF160" s="33"/>
      <c r="IG160" s="33"/>
      <c r="IH160" s="33"/>
      <c r="II160" s="33"/>
      <c r="IJ160" s="33"/>
      <c r="IK160" s="33"/>
      <c r="IL160" s="33"/>
      <c r="IM160" s="33"/>
      <c r="IN160" s="33"/>
      <c r="IO160" s="33"/>
      <c r="IP160" s="33"/>
      <c r="IQ160" s="33"/>
      <c r="IR160" s="33"/>
      <c r="IS160" s="33"/>
      <c r="IT160" s="33"/>
      <c r="IU160" s="33"/>
      <c r="IV160" s="33"/>
      <c r="IW160" s="33"/>
      <c r="IX160" s="33"/>
      <c r="IY160" s="33"/>
      <c r="IZ160" s="33"/>
      <c r="JA160" s="33"/>
      <c r="JB160" s="33"/>
      <c r="JC160" s="33"/>
      <c r="JD160" s="33"/>
      <c r="JE160" s="33"/>
      <c r="JF160" s="33"/>
      <c r="JG160" s="33"/>
      <c r="JH160" s="33"/>
      <c r="JI160" s="33"/>
      <c r="JJ160" s="33"/>
      <c r="JK160" s="33"/>
      <c r="JL160" s="33"/>
      <c r="JM160" s="33"/>
      <c r="JN160" s="33"/>
      <c r="JO160" s="33"/>
      <c r="JP160" s="33"/>
      <c r="JQ160" s="33"/>
      <c r="JR160" s="33"/>
      <c r="JS160" s="33"/>
      <c r="JT160" s="33"/>
      <c r="JU160" s="33"/>
      <c r="JV160" s="33"/>
      <c r="JW160" s="102"/>
      <c r="JX160" s="41"/>
      <c r="JY160" s="41"/>
      <c r="JZ160" s="41"/>
      <c r="KA160" s="41"/>
      <c r="KB160" s="41"/>
      <c r="KC160" s="41"/>
      <c r="KD160" s="102"/>
      <c r="KE160" s="33"/>
      <c r="KF160" s="33"/>
      <c r="KG160" s="33"/>
      <c r="KH160" s="33"/>
      <c r="KI160" s="33"/>
      <c r="KJ160" s="33"/>
      <c r="KK160" s="33"/>
      <c r="KL160" s="33"/>
      <c r="KM160" s="33"/>
      <c r="KN160" s="33"/>
      <c r="KO160" s="33"/>
      <c r="KP160" s="33"/>
      <c r="KQ160" s="33"/>
      <c r="KR160" s="33"/>
      <c r="KS160" s="33"/>
      <c r="KT160" s="33"/>
      <c r="KU160" s="33"/>
      <c r="KV160" s="33"/>
      <c r="KW160" s="33"/>
      <c r="KX160" s="33"/>
      <c r="KY160" s="102"/>
      <c r="KZ160" s="41"/>
      <c r="LA160" s="41"/>
      <c r="LB160" s="41"/>
      <c r="LC160" s="41"/>
      <c r="LD160" s="41"/>
      <c r="LE160" s="41"/>
      <c r="LF160" s="44"/>
      <c r="LG160" s="33"/>
      <c r="LH160" s="33"/>
      <c r="LI160" s="33"/>
      <c r="LJ160" s="33"/>
      <c r="LK160" s="33"/>
      <c r="LL160" s="33"/>
      <c r="LM160" s="33"/>
      <c r="LN160" s="33"/>
      <c r="LO160" s="33"/>
      <c r="LP160" s="33"/>
      <c r="LQ160" s="33"/>
      <c r="LR160" s="33"/>
      <c r="LS160" s="33"/>
      <c r="LT160" s="33"/>
      <c r="LU160" s="33"/>
      <c r="LV160" s="33"/>
      <c r="LW160" s="33"/>
      <c r="LX160" s="33"/>
      <c r="LY160" s="33"/>
      <c r="LZ160" s="33"/>
      <c r="MA160" s="33"/>
      <c r="MB160" s="33"/>
      <c r="MC160" s="33"/>
      <c r="MD160" s="33"/>
      <c r="ME160" s="33"/>
      <c r="MF160" s="33"/>
      <c r="MG160" s="33"/>
      <c r="MH160" s="33"/>
      <c r="MI160" s="33"/>
      <c r="MJ160" s="33"/>
      <c r="MK160" s="33"/>
      <c r="ML160" s="33"/>
      <c r="MM160" s="33"/>
      <c r="MN160" s="33"/>
      <c r="MO160" s="33"/>
      <c r="MP160" s="33"/>
      <c r="MQ160" s="33"/>
      <c r="MR160" s="33"/>
      <c r="MS160" s="33"/>
      <c r="MT160" s="33"/>
      <c r="MU160" s="33"/>
      <c r="MV160" s="33"/>
    </row>
    <row r="161" spans="1:360" ht="0.75" customHeight="1" x14ac:dyDescent="0.25">
      <c r="A161" s="33"/>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3"/>
      <c r="AV161" s="79"/>
      <c r="AW161" s="41"/>
      <c r="AX161" s="41"/>
      <c r="AY161" s="41"/>
      <c r="AZ161" s="41"/>
      <c r="BA161" s="41"/>
      <c r="BB161" s="41"/>
      <c r="BC161" s="52"/>
      <c r="BD161" s="33"/>
      <c r="BE161" s="33"/>
      <c r="BF161" s="33"/>
      <c r="BG161" s="33"/>
      <c r="BH161" s="33"/>
      <c r="BI161" s="33"/>
      <c r="BJ161" s="33"/>
      <c r="BK161" s="33"/>
      <c r="BL161" s="33"/>
      <c r="BM161" s="33"/>
      <c r="BN161" s="33"/>
      <c r="BO161" s="33"/>
      <c r="BP161" s="33"/>
      <c r="BQ161" s="33"/>
      <c r="BR161" s="33"/>
      <c r="BS161" s="33"/>
      <c r="BT161" s="33"/>
      <c r="BU161" s="33"/>
      <c r="BV161" s="33"/>
      <c r="BW161" s="33"/>
      <c r="BX161" s="33"/>
      <c r="BY161" s="33"/>
      <c r="BZ161" s="33"/>
      <c r="CA161" s="33"/>
      <c r="CB161" s="33"/>
      <c r="CC161" s="33"/>
      <c r="CD161" s="33"/>
      <c r="CE161" s="33"/>
      <c r="CF161" s="33"/>
      <c r="CG161" s="33"/>
      <c r="CH161" s="33"/>
      <c r="CI161" s="33"/>
      <c r="CJ161" s="33"/>
      <c r="CK161" s="33"/>
      <c r="CL161" s="33"/>
      <c r="CM161" s="33"/>
      <c r="CN161" s="33"/>
      <c r="CO161" s="33"/>
      <c r="CP161" s="33"/>
      <c r="CQ161" s="33"/>
      <c r="CR161" s="33"/>
      <c r="CS161" s="33"/>
      <c r="CT161" s="33"/>
      <c r="CU161" s="33"/>
      <c r="CV161" s="33"/>
      <c r="CW161" s="33"/>
      <c r="CX161" s="33"/>
      <c r="CY161" s="33"/>
      <c r="CZ161" s="33"/>
      <c r="DA161" s="33"/>
      <c r="DB161" s="36"/>
      <c r="DC161" s="42"/>
      <c r="DD161" s="41"/>
      <c r="DE161" s="41"/>
      <c r="DF161" s="41"/>
      <c r="DG161" s="41"/>
      <c r="DH161" s="41"/>
      <c r="DI161" s="42"/>
      <c r="DJ161" s="36"/>
      <c r="DK161" s="33"/>
      <c r="DL161" s="33"/>
      <c r="DM161" s="33"/>
      <c r="DN161" s="33"/>
      <c r="DO161" s="33"/>
      <c r="DP161" s="33"/>
      <c r="DQ161" s="33"/>
      <c r="DR161" s="33"/>
      <c r="DS161" s="33"/>
      <c r="DT161" s="33"/>
      <c r="DU161" s="33"/>
      <c r="DV161" s="33"/>
      <c r="DW161" s="33"/>
      <c r="DX161" s="33"/>
      <c r="DY161" s="33"/>
      <c r="DZ161" s="33"/>
      <c r="EA161" s="33"/>
      <c r="EB161" s="33"/>
      <c r="EC161" s="33"/>
      <c r="ED161" s="33"/>
      <c r="EE161" s="79"/>
      <c r="EF161" s="41"/>
      <c r="EG161" s="41"/>
      <c r="EH161" s="41"/>
      <c r="EI161" s="41"/>
      <c r="EJ161" s="41"/>
      <c r="EK161" s="41"/>
      <c r="EL161" s="52"/>
      <c r="EM161" s="33"/>
      <c r="EN161" s="33"/>
      <c r="EO161" s="33"/>
      <c r="EP161" s="33"/>
      <c r="EQ161" s="33"/>
      <c r="ER161" s="33"/>
      <c r="ES161" s="33"/>
      <c r="ET161" s="33"/>
      <c r="EU161" s="33"/>
      <c r="EV161" s="33"/>
      <c r="EW161" s="33"/>
      <c r="EX161" s="33"/>
      <c r="EY161" s="33"/>
      <c r="EZ161" s="33"/>
      <c r="FA161" s="33"/>
      <c r="FB161" s="33"/>
      <c r="FC161" s="33"/>
      <c r="FD161" s="33"/>
      <c r="FE161" s="33"/>
      <c r="FF161" s="33"/>
      <c r="FG161" s="33"/>
      <c r="FH161" s="33"/>
      <c r="FI161" s="52"/>
      <c r="FJ161" s="41"/>
      <c r="FK161" s="41"/>
      <c r="FL161" s="41"/>
      <c r="FM161" s="41"/>
      <c r="FN161" s="41"/>
      <c r="FO161" s="41"/>
      <c r="FP161" s="44"/>
      <c r="FQ161" s="33"/>
      <c r="FR161" s="33"/>
      <c r="FS161" s="33"/>
      <c r="FT161" s="33"/>
      <c r="FU161" s="33"/>
      <c r="FV161" s="33"/>
      <c r="FW161" s="33"/>
      <c r="FX161" s="33"/>
      <c r="FY161" s="33"/>
      <c r="FZ161" s="33"/>
      <c r="GA161" s="33"/>
      <c r="GB161" s="33"/>
      <c r="GC161" s="33"/>
      <c r="GD161" s="33"/>
      <c r="GE161" s="33"/>
      <c r="GF161" s="33"/>
      <c r="GG161" s="33"/>
      <c r="GH161" s="33"/>
      <c r="GI161" s="33"/>
      <c r="GJ161" s="33"/>
      <c r="GK161" s="33"/>
      <c r="GL161" s="33"/>
      <c r="GM161" s="33"/>
      <c r="GN161" s="33"/>
      <c r="GO161" s="33"/>
      <c r="GP161" s="33"/>
      <c r="GQ161" s="33"/>
      <c r="GR161" s="33"/>
      <c r="GS161" s="33"/>
      <c r="GT161" s="33"/>
      <c r="GU161" s="33"/>
      <c r="GV161" s="33"/>
      <c r="GW161" s="33"/>
      <c r="GX161" s="33"/>
      <c r="GY161" s="33"/>
      <c r="GZ161" s="33"/>
      <c r="HA161" s="33"/>
      <c r="HB161" s="33"/>
      <c r="HC161" s="33"/>
      <c r="HD161" s="33"/>
      <c r="HE161" s="33"/>
      <c r="HF161" s="33"/>
      <c r="HG161" s="33"/>
      <c r="HH161" s="33"/>
      <c r="HI161" s="33"/>
      <c r="HJ161" s="33"/>
      <c r="HK161" s="33"/>
      <c r="HL161" s="33"/>
      <c r="HM161" s="33"/>
      <c r="HN161" s="33"/>
      <c r="HO161" s="33"/>
      <c r="HP161" s="102"/>
      <c r="HQ161" s="41"/>
      <c r="HR161" s="41"/>
      <c r="HS161" s="41"/>
      <c r="HT161" s="41"/>
      <c r="HU161" s="41"/>
      <c r="HV161" s="41"/>
      <c r="HW161" s="44"/>
      <c r="HX161" s="33"/>
      <c r="HY161" s="33"/>
      <c r="HZ161" s="33"/>
      <c r="IA161" s="33"/>
      <c r="IB161" s="33"/>
      <c r="IC161" s="33"/>
      <c r="ID161" s="33"/>
      <c r="IE161" s="33"/>
      <c r="IF161" s="33"/>
      <c r="IG161" s="33"/>
      <c r="IH161" s="33"/>
      <c r="II161" s="33"/>
      <c r="IJ161" s="33"/>
      <c r="IK161" s="33"/>
      <c r="IL161" s="33"/>
      <c r="IM161" s="33"/>
      <c r="IN161" s="33"/>
      <c r="IO161" s="33"/>
      <c r="IP161" s="33"/>
      <c r="IQ161" s="33"/>
      <c r="IR161" s="33"/>
      <c r="IS161" s="33"/>
      <c r="IT161" s="33"/>
      <c r="IU161" s="33"/>
      <c r="IV161" s="33"/>
      <c r="IW161" s="33"/>
      <c r="IX161" s="33"/>
      <c r="IY161" s="33"/>
      <c r="IZ161" s="33"/>
      <c r="JA161" s="33"/>
      <c r="JB161" s="33"/>
      <c r="JC161" s="33"/>
      <c r="JD161" s="33"/>
      <c r="JE161" s="33"/>
      <c r="JF161" s="33"/>
      <c r="JG161" s="33"/>
      <c r="JH161" s="33"/>
      <c r="JI161" s="33"/>
      <c r="JJ161" s="33"/>
      <c r="JK161" s="33"/>
      <c r="JL161" s="33"/>
      <c r="JM161" s="33"/>
      <c r="JN161" s="33"/>
      <c r="JO161" s="33"/>
      <c r="JP161" s="33"/>
      <c r="JQ161" s="33"/>
      <c r="JR161" s="33"/>
      <c r="JS161" s="33"/>
      <c r="JT161" s="33"/>
      <c r="JU161" s="33"/>
      <c r="JV161" s="33"/>
      <c r="JW161" s="102"/>
      <c r="JX161" s="41"/>
      <c r="JY161" s="41"/>
      <c r="JZ161" s="41"/>
      <c r="KA161" s="41"/>
      <c r="KB161" s="41"/>
      <c r="KC161" s="41"/>
      <c r="KD161" s="102"/>
      <c r="KE161" s="33"/>
      <c r="KF161" s="33"/>
      <c r="KG161" s="33"/>
      <c r="KH161" s="33"/>
      <c r="KI161" s="33"/>
      <c r="KJ161" s="33"/>
      <c r="KK161" s="33"/>
      <c r="KL161" s="33"/>
      <c r="KM161" s="33"/>
      <c r="KN161" s="33"/>
      <c r="KO161" s="33"/>
      <c r="KP161" s="33"/>
      <c r="KQ161" s="33"/>
      <c r="KR161" s="33"/>
      <c r="KS161" s="33"/>
      <c r="KT161" s="33"/>
      <c r="KU161" s="33"/>
      <c r="KV161" s="33"/>
      <c r="KW161" s="33"/>
      <c r="KX161" s="33"/>
      <c r="KY161" s="102"/>
      <c r="KZ161" s="41"/>
      <c r="LA161" s="41"/>
      <c r="LB161" s="41"/>
      <c r="LC161" s="41"/>
      <c r="LD161" s="41"/>
      <c r="LE161" s="41"/>
      <c r="LF161" s="44"/>
      <c r="LG161" s="33"/>
      <c r="LH161" s="33"/>
      <c r="LI161" s="33"/>
      <c r="LJ161" s="33"/>
      <c r="LK161" s="33"/>
      <c r="LL161" s="33"/>
      <c r="LM161" s="33"/>
      <c r="LN161" s="33"/>
      <c r="LO161" s="33"/>
      <c r="LP161" s="33"/>
      <c r="LQ161" s="33"/>
      <c r="LR161" s="33"/>
      <c r="LS161" s="33"/>
      <c r="LT161" s="33"/>
      <c r="LU161" s="33"/>
      <c r="LV161" s="33"/>
      <c r="LW161" s="33"/>
      <c r="LX161" s="33"/>
      <c r="LY161" s="33"/>
      <c r="LZ161" s="33"/>
      <c r="MA161" s="33"/>
      <c r="MB161" s="33"/>
      <c r="MC161" s="33"/>
      <c r="MD161" s="33"/>
      <c r="ME161" s="33"/>
      <c r="MF161" s="33"/>
      <c r="MG161" s="33"/>
      <c r="MH161" s="33"/>
      <c r="MI161" s="33"/>
      <c r="MJ161" s="33"/>
      <c r="MK161" s="33"/>
      <c r="ML161" s="33"/>
      <c r="MM161" s="33"/>
      <c r="MN161" s="33"/>
      <c r="MO161" s="33"/>
      <c r="MP161" s="33"/>
      <c r="MQ161" s="33"/>
      <c r="MR161" s="33"/>
      <c r="MS161" s="33"/>
      <c r="MT161" s="33"/>
      <c r="MU161" s="33"/>
      <c r="MV161" s="33"/>
    </row>
    <row r="162" spans="1:360" ht="0.75" customHeight="1" x14ac:dyDescent="0.25">
      <c r="A162" s="33"/>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3"/>
      <c r="AV162" s="79"/>
      <c r="AW162" s="41"/>
      <c r="AX162" s="41"/>
      <c r="AY162" s="41"/>
      <c r="AZ162" s="41"/>
      <c r="BA162" s="41"/>
      <c r="BB162" s="41"/>
      <c r="BC162" s="52"/>
      <c r="BD162" s="33"/>
      <c r="BE162" s="33"/>
      <c r="BF162" s="33"/>
      <c r="BG162" s="33"/>
      <c r="BH162" s="33"/>
      <c r="BI162" s="33"/>
      <c r="BJ162" s="33"/>
      <c r="BK162" s="33"/>
      <c r="BL162" s="33"/>
      <c r="BM162" s="33"/>
      <c r="BN162" s="33"/>
      <c r="BO162" s="33"/>
      <c r="BP162" s="33"/>
      <c r="BQ162" s="33"/>
      <c r="BR162" s="33"/>
      <c r="BS162" s="33"/>
      <c r="BT162" s="33"/>
      <c r="BU162" s="33"/>
      <c r="BV162" s="33"/>
      <c r="BW162" s="33"/>
      <c r="BX162" s="33"/>
      <c r="BY162" s="33"/>
      <c r="BZ162" s="33"/>
      <c r="CA162" s="33"/>
      <c r="CB162" s="33"/>
      <c r="CC162" s="33"/>
      <c r="CD162" s="33"/>
      <c r="CE162" s="33"/>
      <c r="CF162" s="33"/>
      <c r="CG162" s="33"/>
      <c r="CH162" s="33"/>
      <c r="CI162" s="33"/>
      <c r="CJ162" s="33"/>
      <c r="CK162" s="33"/>
      <c r="CL162" s="33"/>
      <c r="CM162" s="33"/>
      <c r="CN162" s="33"/>
      <c r="CO162" s="33"/>
      <c r="CP162" s="33"/>
      <c r="CQ162" s="33"/>
      <c r="CR162" s="33"/>
      <c r="CS162" s="33"/>
      <c r="CT162" s="33"/>
      <c r="CU162" s="33"/>
      <c r="CV162" s="33"/>
      <c r="CW162" s="33"/>
      <c r="CX162" s="33"/>
      <c r="CY162" s="33"/>
      <c r="CZ162" s="33"/>
      <c r="DA162" s="33"/>
      <c r="DB162" s="36"/>
      <c r="DC162" s="42"/>
      <c r="DD162" s="41"/>
      <c r="DE162" s="41"/>
      <c r="DF162" s="41"/>
      <c r="DG162" s="41"/>
      <c r="DH162" s="41"/>
      <c r="DI162" s="42"/>
      <c r="DJ162" s="36"/>
      <c r="DK162" s="33"/>
      <c r="DL162" s="33"/>
      <c r="DM162" s="33"/>
      <c r="DN162" s="33"/>
      <c r="DO162" s="33"/>
      <c r="DP162" s="33"/>
      <c r="DQ162" s="33"/>
      <c r="DR162" s="33"/>
      <c r="DS162" s="33"/>
      <c r="DT162" s="33"/>
      <c r="DU162" s="33"/>
      <c r="DV162" s="33"/>
      <c r="DW162" s="33"/>
      <c r="DX162" s="33"/>
      <c r="DY162" s="33"/>
      <c r="DZ162" s="33"/>
      <c r="EA162" s="33"/>
      <c r="EB162" s="33"/>
      <c r="EC162" s="33"/>
      <c r="ED162" s="33"/>
      <c r="EE162" s="79"/>
      <c r="EF162" s="41"/>
      <c r="EG162" s="41"/>
      <c r="EH162" s="41"/>
      <c r="EI162" s="41"/>
      <c r="EJ162" s="41"/>
      <c r="EK162" s="41"/>
      <c r="EL162" s="52"/>
      <c r="EM162" s="33"/>
      <c r="EN162" s="33"/>
      <c r="EO162" s="33"/>
      <c r="EP162" s="33"/>
      <c r="EQ162" s="33"/>
      <c r="ER162" s="33"/>
      <c r="ES162" s="33"/>
      <c r="ET162" s="33"/>
      <c r="EU162" s="33"/>
      <c r="EV162" s="33"/>
      <c r="EW162" s="33"/>
      <c r="EX162" s="33"/>
      <c r="EY162" s="33"/>
      <c r="EZ162" s="33"/>
      <c r="FA162" s="33"/>
      <c r="FB162" s="33"/>
      <c r="FC162" s="33"/>
      <c r="FD162" s="33"/>
      <c r="FE162" s="33"/>
      <c r="FF162" s="33"/>
      <c r="FG162" s="33"/>
      <c r="FH162" s="33"/>
      <c r="FI162" s="52"/>
      <c r="FJ162" s="41"/>
      <c r="FK162" s="41"/>
      <c r="FL162" s="41"/>
      <c r="FM162" s="41"/>
      <c r="FN162" s="41"/>
      <c r="FO162" s="41"/>
      <c r="FP162" s="44"/>
      <c r="FQ162" s="33"/>
      <c r="FR162" s="33"/>
      <c r="FS162" s="33"/>
      <c r="FT162" s="33"/>
      <c r="FU162" s="33"/>
      <c r="FV162" s="33"/>
      <c r="FW162" s="33"/>
      <c r="FX162" s="33"/>
      <c r="FY162" s="33"/>
      <c r="FZ162" s="33"/>
      <c r="GA162" s="33"/>
      <c r="GB162" s="33"/>
      <c r="GC162" s="33"/>
      <c r="GD162" s="33"/>
      <c r="GE162" s="33"/>
      <c r="GF162" s="33"/>
      <c r="GG162" s="33"/>
      <c r="GH162" s="33"/>
      <c r="GI162" s="33"/>
      <c r="GJ162" s="33"/>
      <c r="GK162" s="33"/>
      <c r="GL162" s="33"/>
      <c r="GM162" s="33"/>
      <c r="GN162" s="33"/>
      <c r="GO162" s="33"/>
      <c r="GP162" s="33"/>
      <c r="GQ162" s="33"/>
      <c r="GR162" s="33"/>
      <c r="GS162" s="33"/>
      <c r="GT162" s="33"/>
      <c r="GU162" s="33"/>
      <c r="GV162" s="33"/>
      <c r="GW162" s="33"/>
      <c r="GX162" s="33"/>
      <c r="GY162" s="33"/>
      <c r="GZ162" s="33"/>
      <c r="HA162" s="33"/>
      <c r="HB162" s="33"/>
      <c r="HC162" s="33"/>
      <c r="HD162" s="33"/>
      <c r="HE162" s="33"/>
      <c r="HF162" s="33"/>
      <c r="HG162" s="33"/>
      <c r="HH162" s="33"/>
      <c r="HI162" s="33"/>
      <c r="HJ162" s="33"/>
      <c r="HK162" s="33"/>
      <c r="HL162" s="33"/>
      <c r="HM162" s="33"/>
      <c r="HN162" s="33"/>
      <c r="HO162" s="33"/>
      <c r="HP162" s="102"/>
      <c r="HQ162" s="41"/>
      <c r="HR162" s="41"/>
      <c r="HS162" s="41"/>
      <c r="HT162" s="41"/>
      <c r="HU162" s="41"/>
      <c r="HV162" s="41"/>
      <c r="HW162" s="44"/>
      <c r="HX162" s="33"/>
      <c r="HY162" s="33"/>
      <c r="HZ162" s="33"/>
      <c r="IA162" s="33"/>
      <c r="IB162" s="33"/>
      <c r="IC162" s="33"/>
      <c r="ID162" s="33"/>
      <c r="IE162" s="33"/>
      <c r="IF162" s="33"/>
      <c r="IG162" s="33"/>
      <c r="IH162" s="33"/>
      <c r="II162" s="33"/>
      <c r="IJ162" s="33"/>
      <c r="IK162" s="33"/>
      <c r="IL162" s="33"/>
      <c r="IM162" s="33"/>
      <c r="IN162" s="33"/>
      <c r="IO162" s="33"/>
      <c r="IP162" s="33"/>
      <c r="IQ162" s="33"/>
      <c r="IR162" s="33"/>
      <c r="IS162" s="33"/>
      <c r="IT162" s="33"/>
      <c r="IU162" s="33"/>
      <c r="IV162" s="33"/>
      <c r="IW162" s="33"/>
      <c r="IX162" s="33"/>
      <c r="IY162" s="33"/>
      <c r="IZ162" s="33"/>
      <c r="JA162" s="33"/>
      <c r="JB162" s="33"/>
      <c r="JC162" s="33"/>
      <c r="JD162" s="33"/>
      <c r="JE162" s="33"/>
      <c r="JF162" s="33"/>
      <c r="JG162" s="33"/>
      <c r="JH162" s="33"/>
      <c r="JI162" s="33"/>
      <c r="JJ162" s="33"/>
      <c r="JK162" s="33"/>
      <c r="JL162" s="33"/>
      <c r="JM162" s="33"/>
      <c r="JN162" s="33"/>
      <c r="JO162" s="33"/>
      <c r="JP162" s="33"/>
      <c r="JQ162" s="33"/>
      <c r="JR162" s="33"/>
      <c r="JS162" s="33"/>
      <c r="JT162" s="33"/>
      <c r="JU162" s="33"/>
      <c r="JV162" s="33"/>
      <c r="JW162" s="102"/>
      <c r="JX162" s="41"/>
      <c r="JY162" s="41"/>
      <c r="JZ162" s="41"/>
      <c r="KA162" s="41"/>
      <c r="KB162" s="41"/>
      <c r="KC162" s="41"/>
      <c r="KD162" s="102"/>
      <c r="KE162" s="33"/>
      <c r="KF162" s="33"/>
      <c r="KG162" s="33"/>
      <c r="KH162" s="33"/>
      <c r="KI162" s="33"/>
      <c r="KJ162" s="33"/>
      <c r="KK162" s="33"/>
      <c r="KL162" s="33"/>
      <c r="KM162" s="33"/>
      <c r="KN162" s="33"/>
      <c r="KO162" s="33"/>
      <c r="KP162" s="33"/>
      <c r="KQ162" s="33"/>
      <c r="KR162" s="33"/>
      <c r="KS162" s="33"/>
      <c r="KT162" s="33"/>
      <c r="KU162" s="33"/>
      <c r="KV162" s="33"/>
      <c r="KW162" s="33"/>
      <c r="KX162" s="33"/>
      <c r="KY162" s="102"/>
      <c r="KZ162" s="41"/>
      <c r="LA162" s="41"/>
      <c r="LB162" s="41"/>
      <c r="LC162" s="41"/>
      <c r="LD162" s="41"/>
      <c r="LE162" s="41"/>
      <c r="LF162" s="44"/>
      <c r="LG162" s="33"/>
      <c r="LH162" s="33"/>
      <c r="LI162" s="33"/>
      <c r="LJ162" s="33"/>
      <c r="LK162" s="33"/>
      <c r="LL162" s="33"/>
      <c r="LM162" s="33"/>
      <c r="LN162" s="33"/>
      <c r="LO162" s="33"/>
      <c r="LP162" s="33"/>
      <c r="LQ162" s="33"/>
      <c r="LR162" s="33"/>
      <c r="LS162" s="33"/>
      <c r="LT162" s="33"/>
      <c r="LU162" s="33"/>
      <c r="LV162" s="33"/>
      <c r="LW162" s="33"/>
      <c r="LX162" s="33"/>
      <c r="LY162" s="33"/>
      <c r="LZ162" s="33"/>
      <c r="MA162" s="33"/>
      <c r="MB162" s="33"/>
      <c r="MC162" s="33"/>
      <c r="MD162" s="33"/>
      <c r="ME162" s="33"/>
      <c r="MF162" s="33"/>
      <c r="MG162" s="33"/>
      <c r="MH162" s="33"/>
      <c r="MI162" s="33"/>
      <c r="MJ162" s="33"/>
      <c r="MK162" s="33"/>
      <c r="ML162" s="33"/>
      <c r="MM162" s="33"/>
      <c r="MN162" s="33"/>
      <c r="MO162" s="33"/>
      <c r="MP162" s="33"/>
      <c r="MQ162" s="33"/>
      <c r="MR162" s="33"/>
      <c r="MS162" s="33"/>
      <c r="MT162" s="33"/>
      <c r="MU162" s="33"/>
      <c r="MV162" s="33"/>
    </row>
    <row r="163" spans="1:360" ht="0.75" customHeight="1" x14ac:dyDescent="0.25">
      <c r="A163" s="33"/>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3"/>
      <c r="AV163" s="79"/>
      <c r="AW163" s="41"/>
      <c r="AX163" s="41"/>
      <c r="AY163" s="41"/>
      <c r="AZ163" s="41"/>
      <c r="BA163" s="41"/>
      <c r="BB163" s="41"/>
      <c r="BC163" s="52"/>
      <c r="BD163" s="33"/>
      <c r="BE163" s="33"/>
      <c r="BF163" s="33"/>
      <c r="BG163" s="33"/>
      <c r="BH163" s="33"/>
      <c r="BI163" s="33"/>
      <c r="BJ163" s="33"/>
      <c r="BK163" s="33"/>
      <c r="BL163" s="33"/>
      <c r="BM163" s="33"/>
      <c r="BN163" s="33"/>
      <c r="BO163" s="33"/>
      <c r="BP163" s="33"/>
      <c r="BQ163" s="33"/>
      <c r="BR163" s="33"/>
      <c r="BS163" s="33"/>
      <c r="BT163" s="33"/>
      <c r="BU163" s="33"/>
      <c r="BV163" s="33"/>
      <c r="BW163" s="33"/>
      <c r="BX163" s="33"/>
      <c r="BY163" s="33"/>
      <c r="BZ163" s="33"/>
      <c r="CA163" s="33"/>
      <c r="CB163" s="33"/>
      <c r="CC163" s="33"/>
      <c r="CD163" s="33"/>
      <c r="CE163" s="33"/>
      <c r="CF163" s="33"/>
      <c r="CG163" s="33"/>
      <c r="CH163" s="33"/>
      <c r="CI163" s="33"/>
      <c r="CJ163" s="33"/>
      <c r="CK163" s="33"/>
      <c r="CL163" s="33"/>
      <c r="CM163" s="33"/>
      <c r="CN163" s="33"/>
      <c r="CO163" s="33"/>
      <c r="CP163" s="33"/>
      <c r="CQ163" s="33"/>
      <c r="CR163" s="33"/>
      <c r="CS163" s="33"/>
      <c r="CT163" s="33"/>
      <c r="CU163" s="33"/>
      <c r="CV163" s="33"/>
      <c r="CW163" s="33"/>
      <c r="CX163" s="33"/>
      <c r="CY163" s="33"/>
      <c r="CZ163" s="33"/>
      <c r="DA163" s="33"/>
      <c r="DB163" s="36"/>
      <c r="DC163" s="42"/>
      <c r="DD163" s="41"/>
      <c r="DE163" s="41"/>
      <c r="DF163" s="41"/>
      <c r="DG163" s="41"/>
      <c r="DH163" s="41"/>
      <c r="DI163" s="42"/>
      <c r="DJ163" s="36"/>
      <c r="DK163" s="33"/>
      <c r="DL163" s="33"/>
      <c r="DM163" s="33"/>
      <c r="DN163" s="33"/>
      <c r="DO163" s="33"/>
      <c r="DP163" s="33"/>
      <c r="DQ163" s="33"/>
      <c r="DR163" s="33"/>
      <c r="DS163" s="33"/>
      <c r="DT163" s="33"/>
      <c r="DU163" s="33"/>
      <c r="DV163" s="33"/>
      <c r="DW163" s="33"/>
      <c r="DX163" s="33"/>
      <c r="DY163" s="33"/>
      <c r="DZ163" s="33"/>
      <c r="EA163" s="33"/>
      <c r="EB163" s="33"/>
      <c r="EC163" s="33"/>
      <c r="ED163" s="33"/>
      <c r="EE163" s="79"/>
      <c r="EF163" s="41"/>
      <c r="EG163" s="41"/>
      <c r="EH163" s="41"/>
      <c r="EI163" s="41"/>
      <c r="EJ163" s="41"/>
      <c r="EK163" s="41"/>
      <c r="EL163" s="52"/>
      <c r="EM163" s="33"/>
      <c r="EN163" s="33"/>
      <c r="EO163" s="33"/>
      <c r="EP163" s="33"/>
      <c r="EQ163" s="33"/>
      <c r="ER163" s="33"/>
      <c r="ES163" s="33"/>
      <c r="ET163" s="33"/>
      <c r="EU163" s="33"/>
      <c r="EV163" s="33"/>
      <c r="EW163" s="33"/>
      <c r="EX163" s="33"/>
      <c r="EY163" s="33"/>
      <c r="EZ163" s="33"/>
      <c r="FA163" s="33"/>
      <c r="FB163" s="33"/>
      <c r="FC163" s="33"/>
      <c r="FD163" s="33"/>
      <c r="FE163" s="33"/>
      <c r="FF163" s="33"/>
      <c r="FG163" s="33"/>
      <c r="FH163" s="33"/>
      <c r="FI163" s="52"/>
      <c r="FJ163" s="41"/>
      <c r="FK163" s="41"/>
      <c r="FL163" s="41"/>
      <c r="FM163" s="41"/>
      <c r="FN163" s="41"/>
      <c r="FO163" s="41"/>
      <c r="FP163" s="44"/>
      <c r="FQ163" s="33"/>
      <c r="FR163" s="33"/>
      <c r="FS163" s="33"/>
      <c r="FT163" s="33"/>
      <c r="FU163" s="33"/>
      <c r="FV163" s="33"/>
      <c r="FW163" s="33"/>
      <c r="FX163" s="33"/>
      <c r="FY163" s="33"/>
      <c r="FZ163" s="33"/>
      <c r="GA163" s="33"/>
      <c r="GB163" s="33"/>
      <c r="GC163" s="33"/>
      <c r="GD163" s="33"/>
      <c r="GE163" s="33"/>
      <c r="GF163" s="33"/>
      <c r="GG163" s="33"/>
      <c r="GH163" s="33"/>
      <c r="GI163" s="33"/>
      <c r="GJ163" s="33"/>
      <c r="GK163" s="33"/>
      <c r="GL163" s="33"/>
      <c r="GM163" s="33"/>
      <c r="GN163" s="33"/>
      <c r="GO163" s="33"/>
      <c r="GP163" s="33"/>
      <c r="GQ163" s="33"/>
      <c r="GR163" s="33"/>
      <c r="GS163" s="33"/>
      <c r="GT163" s="33"/>
      <c r="GU163" s="33"/>
      <c r="GV163" s="33"/>
      <c r="GW163" s="33"/>
      <c r="GX163" s="33"/>
      <c r="GY163" s="33"/>
      <c r="GZ163" s="33"/>
      <c r="HA163" s="33"/>
      <c r="HB163" s="33"/>
      <c r="HC163" s="33"/>
      <c r="HD163" s="33"/>
      <c r="HE163" s="33"/>
      <c r="HF163" s="33"/>
      <c r="HG163" s="33"/>
      <c r="HH163" s="33"/>
      <c r="HI163" s="33"/>
      <c r="HJ163" s="33"/>
      <c r="HK163" s="33"/>
      <c r="HL163" s="33"/>
      <c r="HM163" s="33"/>
      <c r="HN163" s="33"/>
      <c r="HO163" s="33"/>
      <c r="HP163" s="102"/>
      <c r="HQ163" s="41"/>
      <c r="HR163" s="41"/>
      <c r="HS163" s="41"/>
      <c r="HT163" s="41"/>
      <c r="HU163" s="41"/>
      <c r="HV163" s="41"/>
      <c r="HW163" s="44"/>
      <c r="HX163" s="33"/>
      <c r="HY163" s="33"/>
      <c r="HZ163" s="33"/>
      <c r="IA163" s="33"/>
      <c r="IB163" s="33"/>
      <c r="IC163" s="33"/>
      <c r="ID163" s="33"/>
      <c r="IE163" s="33"/>
      <c r="IF163" s="33"/>
      <c r="IG163" s="33"/>
      <c r="IH163" s="33"/>
      <c r="II163" s="33"/>
      <c r="IJ163" s="33"/>
      <c r="IK163" s="33"/>
      <c r="IL163" s="33"/>
      <c r="IM163" s="33"/>
      <c r="IN163" s="33"/>
      <c r="IO163" s="33"/>
      <c r="IP163" s="33"/>
      <c r="IQ163" s="33"/>
      <c r="IR163" s="33"/>
      <c r="IS163" s="33"/>
      <c r="IT163" s="33"/>
      <c r="IU163" s="33"/>
      <c r="IV163" s="33"/>
      <c r="IW163" s="33"/>
      <c r="IX163" s="33"/>
      <c r="IY163" s="33"/>
      <c r="IZ163" s="33"/>
      <c r="JA163" s="33"/>
      <c r="JB163" s="33"/>
      <c r="JC163" s="33"/>
      <c r="JD163" s="33"/>
      <c r="JE163" s="33"/>
      <c r="JF163" s="33"/>
      <c r="JG163" s="33"/>
      <c r="JH163" s="33"/>
      <c r="JI163" s="33"/>
      <c r="JJ163" s="33"/>
      <c r="JK163" s="33"/>
      <c r="JL163" s="33"/>
      <c r="JM163" s="33"/>
      <c r="JN163" s="33"/>
      <c r="JO163" s="33"/>
      <c r="JP163" s="33"/>
      <c r="JQ163" s="33"/>
      <c r="JR163" s="33"/>
      <c r="JS163" s="33"/>
      <c r="JT163" s="33"/>
      <c r="JU163" s="33"/>
      <c r="JV163" s="33"/>
      <c r="JW163" s="102"/>
      <c r="JX163" s="41"/>
      <c r="JY163" s="41"/>
      <c r="JZ163" s="41"/>
      <c r="KA163" s="41"/>
      <c r="KB163" s="41"/>
      <c r="KC163" s="41"/>
      <c r="KD163" s="102"/>
      <c r="KE163" s="33"/>
      <c r="KF163" s="33"/>
      <c r="KG163" s="33"/>
      <c r="KH163" s="33"/>
      <c r="KI163" s="33"/>
      <c r="KJ163" s="33"/>
      <c r="KK163" s="33"/>
      <c r="KL163" s="33"/>
      <c r="KM163" s="33"/>
      <c r="KN163" s="33"/>
      <c r="KO163" s="33"/>
      <c r="KP163" s="33"/>
      <c r="KQ163" s="33"/>
      <c r="KR163" s="33"/>
      <c r="KS163" s="33"/>
      <c r="KT163" s="33"/>
      <c r="KU163" s="33"/>
      <c r="KV163" s="33"/>
      <c r="KW163" s="33"/>
      <c r="KX163" s="33"/>
      <c r="KY163" s="102"/>
      <c r="KZ163" s="41"/>
      <c r="LA163" s="41"/>
      <c r="LB163" s="41"/>
      <c r="LC163" s="41"/>
      <c r="LD163" s="41"/>
      <c r="LE163" s="41"/>
      <c r="LF163" s="44"/>
      <c r="LG163" s="33"/>
      <c r="LH163" s="33"/>
      <c r="LI163" s="33"/>
      <c r="LJ163" s="33"/>
      <c r="LK163" s="33"/>
      <c r="LL163" s="33"/>
      <c r="LM163" s="33"/>
      <c r="LN163" s="33"/>
      <c r="LO163" s="33"/>
      <c r="LP163" s="33"/>
      <c r="LQ163" s="33"/>
      <c r="LR163" s="33"/>
      <c r="LS163" s="33"/>
      <c r="LT163" s="33"/>
      <c r="LU163" s="33"/>
      <c r="LV163" s="33"/>
      <c r="LW163" s="33"/>
      <c r="LX163" s="33"/>
      <c r="LY163" s="33"/>
      <c r="LZ163" s="33"/>
      <c r="MA163" s="33"/>
      <c r="MB163" s="33"/>
      <c r="MC163" s="33"/>
      <c r="MD163" s="33"/>
      <c r="ME163" s="33"/>
      <c r="MF163" s="33"/>
      <c r="MG163" s="33"/>
      <c r="MH163" s="33"/>
      <c r="MI163" s="33"/>
      <c r="MJ163" s="33"/>
      <c r="MK163" s="33"/>
      <c r="ML163" s="33"/>
      <c r="MM163" s="33"/>
      <c r="MN163" s="33"/>
      <c r="MO163" s="33"/>
      <c r="MP163" s="33"/>
      <c r="MQ163" s="33"/>
      <c r="MR163" s="33"/>
      <c r="MS163" s="33"/>
      <c r="MT163" s="33"/>
      <c r="MU163" s="33"/>
      <c r="MV163" s="33"/>
    </row>
    <row r="164" spans="1:360" ht="0.75" customHeight="1" x14ac:dyDescent="0.25">
      <c r="A164" s="33"/>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3"/>
      <c r="AV164" s="79"/>
      <c r="AW164" s="41"/>
      <c r="AX164" s="41"/>
      <c r="AY164" s="41"/>
      <c r="AZ164" s="41"/>
      <c r="BA164" s="41"/>
      <c r="BB164" s="41"/>
      <c r="BC164" s="52"/>
      <c r="BD164" s="33"/>
      <c r="BE164" s="33"/>
      <c r="BF164" s="33"/>
      <c r="BG164" s="33"/>
      <c r="BH164" s="33"/>
      <c r="BI164" s="33"/>
      <c r="BJ164" s="33"/>
      <c r="BK164" s="33"/>
      <c r="BL164" s="33"/>
      <c r="BM164" s="33"/>
      <c r="BN164" s="33"/>
      <c r="BO164" s="33"/>
      <c r="BP164" s="33"/>
      <c r="BQ164" s="33"/>
      <c r="BR164" s="33"/>
      <c r="BS164" s="33"/>
      <c r="BT164" s="33"/>
      <c r="BU164" s="33"/>
      <c r="BV164" s="33"/>
      <c r="BW164" s="33"/>
      <c r="BX164" s="33"/>
      <c r="BY164" s="33"/>
      <c r="BZ164" s="33"/>
      <c r="CA164" s="33"/>
      <c r="CB164" s="33"/>
      <c r="CC164" s="33"/>
      <c r="CD164" s="33"/>
      <c r="CE164" s="33"/>
      <c r="CF164" s="33"/>
      <c r="CG164" s="33"/>
      <c r="CH164" s="33"/>
      <c r="CI164" s="33"/>
      <c r="CJ164" s="33"/>
      <c r="CK164" s="33"/>
      <c r="CL164" s="33"/>
      <c r="CM164" s="33"/>
      <c r="CN164" s="33"/>
      <c r="CO164" s="33"/>
      <c r="CP164" s="33"/>
      <c r="CQ164" s="33"/>
      <c r="CR164" s="33"/>
      <c r="CS164" s="33"/>
      <c r="CT164" s="33"/>
      <c r="CU164" s="33"/>
      <c r="CV164" s="33"/>
      <c r="CW164" s="33"/>
      <c r="CX164" s="33"/>
      <c r="CY164" s="33"/>
      <c r="CZ164" s="33"/>
      <c r="DA164" s="33"/>
      <c r="DB164" s="36"/>
      <c r="DC164" s="42"/>
      <c r="DD164" s="41"/>
      <c r="DE164" s="41"/>
      <c r="DF164" s="41"/>
      <c r="DG164" s="41"/>
      <c r="DH164" s="41"/>
      <c r="DI164" s="42"/>
      <c r="DJ164" s="36"/>
      <c r="DK164" s="33"/>
      <c r="DL164" s="33"/>
      <c r="DM164" s="33"/>
      <c r="DN164" s="33"/>
      <c r="DO164" s="33"/>
      <c r="DP164" s="33"/>
      <c r="DQ164" s="33"/>
      <c r="DR164" s="33"/>
      <c r="DS164" s="33"/>
      <c r="DT164" s="33"/>
      <c r="DU164" s="33"/>
      <c r="DV164" s="33"/>
      <c r="DW164" s="33"/>
      <c r="DX164" s="33"/>
      <c r="DY164" s="33"/>
      <c r="DZ164" s="33"/>
      <c r="EA164" s="33"/>
      <c r="EB164" s="33"/>
      <c r="EC164" s="33"/>
      <c r="ED164" s="33"/>
      <c r="EE164" s="79"/>
      <c r="EF164" s="41"/>
      <c r="EG164" s="41"/>
      <c r="EH164" s="41"/>
      <c r="EI164" s="41"/>
      <c r="EJ164" s="41"/>
      <c r="EK164" s="41"/>
      <c r="EL164" s="52"/>
      <c r="EM164" s="33"/>
      <c r="EN164" s="33"/>
      <c r="EO164" s="33"/>
      <c r="EP164" s="33"/>
      <c r="EQ164" s="33"/>
      <c r="ER164" s="33"/>
      <c r="ES164" s="33"/>
      <c r="ET164" s="33"/>
      <c r="EU164" s="33"/>
      <c r="EV164" s="33"/>
      <c r="EW164" s="33"/>
      <c r="EX164" s="33"/>
      <c r="EY164" s="33"/>
      <c r="EZ164" s="33"/>
      <c r="FA164" s="33"/>
      <c r="FB164" s="33"/>
      <c r="FC164" s="33"/>
      <c r="FD164" s="33"/>
      <c r="FE164" s="33"/>
      <c r="FF164" s="33"/>
      <c r="FG164" s="33"/>
      <c r="FH164" s="33"/>
      <c r="FI164" s="52"/>
      <c r="FJ164" s="41"/>
      <c r="FK164" s="41"/>
      <c r="FL164" s="41"/>
      <c r="FM164" s="41"/>
      <c r="FN164" s="41"/>
      <c r="FO164" s="41"/>
      <c r="FP164" s="44"/>
      <c r="FQ164" s="33"/>
      <c r="FR164" s="33"/>
      <c r="FS164" s="33"/>
      <c r="FT164" s="33"/>
      <c r="FU164" s="33"/>
      <c r="FV164" s="33"/>
      <c r="FW164" s="33"/>
      <c r="FX164" s="33"/>
      <c r="FY164" s="33"/>
      <c r="FZ164" s="33"/>
      <c r="GA164" s="33"/>
      <c r="GB164" s="33"/>
      <c r="GC164" s="33"/>
      <c r="GD164" s="33"/>
      <c r="GE164" s="33"/>
      <c r="GF164" s="33"/>
      <c r="GG164" s="33"/>
      <c r="GH164" s="33"/>
      <c r="GI164" s="33"/>
      <c r="GJ164" s="33"/>
      <c r="GK164" s="33"/>
      <c r="GL164" s="33"/>
      <c r="GM164" s="33"/>
      <c r="GN164" s="33"/>
      <c r="GO164" s="33"/>
      <c r="GP164" s="33"/>
      <c r="GQ164" s="33"/>
      <c r="GR164" s="33"/>
      <c r="GS164" s="33"/>
      <c r="GT164" s="33"/>
      <c r="GU164" s="33"/>
      <c r="GV164" s="33"/>
      <c r="GW164" s="33"/>
      <c r="GX164" s="33"/>
      <c r="GY164" s="33"/>
      <c r="GZ164" s="33"/>
      <c r="HA164" s="33"/>
      <c r="HB164" s="33"/>
      <c r="HC164" s="33"/>
      <c r="HD164" s="33"/>
      <c r="HE164" s="33"/>
      <c r="HF164" s="33"/>
      <c r="HG164" s="33"/>
      <c r="HH164" s="33"/>
      <c r="HI164" s="33"/>
      <c r="HJ164" s="33"/>
      <c r="HK164" s="33"/>
      <c r="HL164" s="33"/>
      <c r="HM164" s="33"/>
      <c r="HN164" s="33"/>
      <c r="HO164" s="33"/>
      <c r="HP164" s="102"/>
      <c r="HQ164" s="41"/>
      <c r="HR164" s="41"/>
      <c r="HS164" s="41"/>
      <c r="HT164" s="41"/>
      <c r="HU164" s="41"/>
      <c r="HV164" s="41"/>
      <c r="HW164" s="44"/>
      <c r="HX164" s="33"/>
      <c r="HY164" s="33"/>
      <c r="HZ164" s="33"/>
      <c r="IA164" s="33"/>
      <c r="IB164" s="33"/>
      <c r="IC164" s="33"/>
      <c r="ID164" s="33"/>
      <c r="IE164" s="33"/>
      <c r="IF164" s="33"/>
      <c r="IG164" s="33"/>
      <c r="IH164" s="33"/>
      <c r="II164" s="33"/>
      <c r="IJ164" s="33"/>
      <c r="IK164" s="33"/>
      <c r="IL164" s="33"/>
      <c r="IM164" s="33"/>
      <c r="IN164" s="33"/>
      <c r="IO164" s="33"/>
      <c r="IP164" s="33"/>
      <c r="IQ164" s="33"/>
      <c r="IR164" s="33"/>
      <c r="IS164" s="33"/>
      <c r="IT164" s="33"/>
      <c r="IU164" s="33"/>
      <c r="IV164" s="33"/>
      <c r="IW164" s="33"/>
      <c r="IX164" s="33"/>
      <c r="IY164" s="33"/>
      <c r="IZ164" s="33"/>
      <c r="JA164" s="33"/>
      <c r="JB164" s="33"/>
      <c r="JC164" s="33"/>
      <c r="JD164" s="33"/>
      <c r="JE164" s="33"/>
      <c r="JF164" s="33"/>
      <c r="JG164" s="33"/>
      <c r="JH164" s="33"/>
      <c r="JI164" s="33"/>
      <c r="JJ164" s="33"/>
      <c r="JK164" s="33"/>
      <c r="JL164" s="33"/>
      <c r="JM164" s="33"/>
      <c r="JN164" s="33"/>
      <c r="JO164" s="33"/>
      <c r="JP164" s="33"/>
      <c r="JQ164" s="33"/>
      <c r="JR164" s="33"/>
      <c r="JS164" s="33"/>
      <c r="JT164" s="33"/>
      <c r="JU164" s="33"/>
      <c r="JV164" s="33"/>
      <c r="JW164" s="102"/>
      <c r="JX164" s="41"/>
      <c r="JY164" s="41"/>
      <c r="JZ164" s="41"/>
      <c r="KA164" s="41"/>
      <c r="KB164" s="41"/>
      <c r="KC164" s="41"/>
      <c r="KD164" s="102"/>
      <c r="KE164" s="33"/>
      <c r="KF164" s="33"/>
      <c r="KG164" s="33"/>
      <c r="KH164" s="33"/>
      <c r="KI164" s="33"/>
      <c r="KJ164" s="33"/>
      <c r="KK164" s="33"/>
      <c r="KL164" s="33"/>
      <c r="KM164" s="33"/>
      <c r="KN164" s="33"/>
      <c r="KO164" s="33"/>
      <c r="KP164" s="33"/>
      <c r="KQ164" s="33"/>
      <c r="KR164" s="33"/>
      <c r="KS164" s="33"/>
      <c r="KT164" s="33"/>
      <c r="KU164" s="33"/>
      <c r="KV164" s="33"/>
      <c r="KW164" s="33"/>
      <c r="KX164" s="33"/>
      <c r="KY164" s="102"/>
      <c r="KZ164" s="41"/>
      <c r="LA164" s="41"/>
      <c r="LB164" s="41"/>
      <c r="LC164" s="41"/>
      <c r="LD164" s="41"/>
      <c r="LE164" s="41"/>
      <c r="LF164" s="44"/>
      <c r="LG164" s="33"/>
      <c r="LH164" s="33"/>
      <c r="LI164" s="33"/>
      <c r="LJ164" s="33"/>
      <c r="LK164" s="33"/>
      <c r="LL164" s="33"/>
      <c r="LM164" s="33"/>
      <c r="LN164" s="33"/>
      <c r="LO164" s="33"/>
      <c r="LP164" s="33"/>
      <c r="LQ164" s="33"/>
      <c r="LR164" s="33"/>
      <c r="LS164" s="33"/>
      <c r="LT164" s="33"/>
      <c r="LU164" s="33"/>
      <c r="LV164" s="33"/>
      <c r="LW164" s="33"/>
      <c r="LX164" s="33"/>
      <c r="LY164" s="33"/>
      <c r="LZ164" s="33"/>
      <c r="MA164" s="33"/>
      <c r="MB164" s="33"/>
      <c r="MC164" s="33"/>
      <c r="MD164" s="33"/>
      <c r="ME164" s="33"/>
      <c r="MF164" s="33"/>
      <c r="MG164" s="33"/>
      <c r="MH164" s="33"/>
      <c r="MI164" s="33"/>
      <c r="MJ164" s="33"/>
      <c r="MK164" s="33"/>
      <c r="ML164" s="33"/>
      <c r="MM164" s="33"/>
      <c r="MN164" s="33"/>
      <c r="MO164" s="33"/>
      <c r="MP164" s="33"/>
      <c r="MQ164" s="33"/>
      <c r="MR164" s="33"/>
      <c r="MS164" s="33"/>
      <c r="MT164" s="33"/>
      <c r="MU164" s="33"/>
      <c r="MV164" s="33"/>
    </row>
    <row r="165" spans="1:360" ht="0.75" customHeight="1" x14ac:dyDescent="0.25">
      <c r="A165" s="33"/>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3"/>
      <c r="AV165" s="79"/>
      <c r="AW165" s="41"/>
      <c r="AX165" s="41"/>
      <c r="AY165" s="41"/>
      <c r="AZ165" s="41"/>
      <c r="BA165" s="41"/>
      <c r="BB165" s="41"/>
      <c r="BC165" s="52"/>
      <c r="BD165" s="33"/>
      <c r="BE165" s="33"/>
      <c r="BF165" s="33"/>
      <c r="BG165" s="33"/>
      <c r="BH165" s="33"/>
      <c r="BI165" s="33"/>
      <c r="BJ165" s="33"/>
      <c r="BK165" s="33"/>
      <c r="BL165" s="33"/>
      <c r="BM165" s="33"/>
      <c r="BN165" s="33"/>
      <c r="BO165" s="33"/>
      <c r="BP165" s="33"/>
      <c r="BQ165" s="33"/>
      <c r="BR165" s="33"/>
      <c r="BS165" s="33"/>
      <c r="BT165" s="33"/>
      <c r="BU165" s="33"/>
      <c r="BV165" s="33"/>
      <c r="BW165" s="33"/>
      <c r="BX165" s="33"/>
      <c r="BY165" s="33"/>
      <c r="BZ165" s="33"/>
      <c r="CA165" s="33"/>
      <c r="CB165" s="33"/>
      <c r="CC165" s="33"/>
      <c r="CD165" s="33"/>
      <c r="CE165" s="33"/>
      <c r="CF165" s="33"/>
      <c r="CG165" s="33"/>
      <c r="CH165" s="33"/>
      <c r="CI165" s="33"/>
      <c r="CJ165" s="33"/>
      <c r="CK165" s="33"/>
      <c r="CL165" s="33"/>
      <c r="CM165" s="33"/>
      <c r="CN165" s="33"/>
      <c r="CO165" s="33"/>
      <c r="CP165" s="33"/>
      <c r="CQ165" s="33"/>
      <c r="CR165" s="33"/>
      <c r="CS165" s="33"/>
      <c r="CT165" s="33"/>
      <c r="CU165" s="33"/>
      <c r="CV165" s="33"/>
      <c r="CW165" s="33"/>
      <c r="CX165" s="33"/>
      <c r="CY165" s="33"/>
      <c r="CZ165" s="33"/>
      <c r="DA165" s="33"/>
      <c r="DB165" s="36"/>
      <c r="DC165" s="42"/>
      <c r="DD165" s="41"/>
      <c r="DE165" s="41"/>
      <c r="DF165" s="41"/>
      <c r="DG165" s="41"/>
      <c r="DH165" s="41"/>
      <c r="DI165" s="42"/>
      <c r="DJ165" s="36"/>
      <c r="DK165" s="33"/>
      <c r="DL165" s="33"/>
      <c r="DM165" s="33"/>
      <c r="DN165" s="33"/>
      <c r="DO165" s="33"/>
      <c r="DP165" s="33"/>
      <c r="DQ165" s="33"/>
      <c r="DR165" s="33"/>
      <c r="DS165" s="33"/>
      <c r="DT165" s="33"/>
      <c r="DU165" s="33"/>
      <c r="DV165" s="33"/>
      <c r="DW165" s="33"/>
      <c r="DX165" s="33"/>
      <c r="DY165" s="33"/>
      <c r="DZ165" s="33"/>
      <c r="EA165" s="33"/>
      <c r="EB165" s="33"/>
      <c r="EC165" s="33"/>
      <c r="ED165" s="33"/>
      <c r="EE165" s="79"/>
      <c r="EF165" s="41"/>
      <c r="EG165" s="41"/>
      <c r="EH165" s="41"/>
      <c r="EI165" s="41"/>
      <c r="EJ165" s="41"/>
      <c r="EK165" s="41"/>
      <c r="EL165" s="52"/>
      <c r="EM165" s="33"/>
      <c r="EN165" s="33"/>
      <c r="EO165" s="33"/>
      <c r="EP165" s="33"/>
      <c r="EQ165" s="33"/>
      <c r="ER165" s="33"/>
      <c r="ES165" s="33"/>
      <c r="ET165" s="33"/>
      <c r="EU165" s="33"/>
      <c r="EV165" s="33"/>
      <c r="EW165" s="33"/>
      <c r="EX165" s="33"/>
      <c r="EY165" s="33"/>
      <c r="EZ165" s="33"/>
      <c r="FA165" s="33"/>
      <c r="FB165" s="33"/>
      <c r="FC165" s="33"/>
      <c r="FD165" s="33"/>
      <c r="FE165" s="33"/>
      <c r="FF165" s="33"/>
      <c r="FG165" s="33"/>
      <c r="FH165" s="33"/>
      <c r="FI165" s="52"/>
      <c r="FJ165" s="41"/>
      <c r="FK165" s="41"/>
      <c r="FL165" s="41"/>
      <c r="FM165" s="41"/>
      <c r="FN165" s="41"/>
      <c r="FO165" s="41"/>
      <c r="FP165" s="44"/>
      <c r="FQ165" s="33"/>
      <c r="FR165" s="33"/>
      <c r="FS165" s="33"/>
      <c r="FT165" s="33"/>
      <c r="FU165" s="33"/>
      <c r="FV165" s="33"/>
      <c r="FW165" s="33"/>
      <c r="FX165" s="33"/>
      <c r="FY165" s="33"/>
      <c r="FZ165" s="33"/>
      <c r="GA165" s="33"/>
      <c r="GB165" s="33"/>
      <c r="GC165" s="33"/>
      <c r="GD165" s="33"/>
      <c r="GE165" s="33"/>
      <c r="GF165" s="33"/>
      <c r="GG165" s="33"/>
      <c r="GH165" s="33"/>
      <c r="GI165" s="33"/>
      <c r="GJ165" s="33"/>
      <c r="GK165" s="33"/>
      <c r="GL165" s="33"/>
      <c r="GM165" s="33"/>
      <c r="GN165" s="33"/>
      <c r="GO165" s="33"/>
      <c r="GP165" s="33"/>
      <c r="GQ165" s="33"/>
      <c r="GR165" s="33"/>
      <c r="GS165" s="33"/>
      <c r="GT165" s="33"/>
      <c r="GU165" s="33"/>
      <c r="GV165" s="33"/>
      <c r="GW165" s="33"/>
      <c r="GX165" s="33"/>
      <c r="GY165" s="33"/>
      <c r="GZ165" s="33"/>
      <c r="HA165" s="33"/>
      <c r="HB165" s="33"/>
      <c r="HC165" s="33"/>
      <c r="HD165" s="33"/>
      <c r="HE165" s="33"/>
      <c r="HF165" s="33"/>
      <c r="HG165" s="33"/>
      <c r="HH165" s="33"/>
      <c r="HI165" s="33"/>
      <c r="HJ165" s="33"/>
      <c r="HK165" s="33"/>
      <c r="HL165" s="33"/>
      <c r="HM165" s="33"/>
      <c r="HN165" s="33"/>
      <c r="HO165" s="33"/>
      <c r="HP165" s="102"/>
      <c r="HQ165" s="41"/>
      <c r="HR165" s="41"/>
      <c r="HS165" s="41"/>
      <c r="HT165" s="41"/>
      <c r="HU165" s="41"/>
      <c r="HV165" s="41"/>
      <c r="HW165" s="44"/>
      <c r="HX165" s="33"/>
      <c r="HY165" s="33"/>
      <c r="HZ165" s="33"/>
      <c r="IA165" s="33"/>
      <c r="IB165" s="33"/>
      <c r="IC165" s="33"/>
      <c r="ID165" s="33"/>
      <c r="IE165" s="33"/>
      <c r="IF165" s="33"/>
      <c r="IG165" s="33"/>
      <c r="IH165" s="33"/>
      <c r="II165" s="33"/>
      <c r="IJ165" s="33"/>
      <c r="IK165" s="33"/>
      <c r="IL165" s="33"/>
      <c r="IM165" s="33"/>
      <c r="IN165" s="33"/>
      <c r="IO165" s="33"/>
      <c r="IP165" s="33"/>
      <c r="IQ165" s="33"/>
      <c r="IR165" s="33"/>
      <c r="IS165" s="33"/>
      <c r="IT165" s="33"/>
      <c r="IU165" s="33"/>
      <c r="IV165" s="33"/>
      <c r="IW165" s="33"/>
      <c r="IX165" s="33"/>
      <c r="IY165" s="33"/>
      <c r="IZ165" s="33"/>
      <c r="JA165" s="33"/>
      <c r="JB165" s="33"/>
      <c r="JC165" s="33"/>
      <c r="JD165" s="33"/>
      <c r="JE165" s="33"/>
      <c r="JF165" s="33"/>
      <c r="JG165" s="33"/>
      <c r="JH165" s="33"/>
      <c r="JI165" s="33"/>
      <c r="JJ165" s="33"/>
      <c r="JK165" s="33"/>
      <c r="JL165" s="33"/>
      <c r="JM165" s="33"/>
      <c r="JN165" s="33"/>
      <c r="JO165" s="33"/>
      <c r="JP165" s="33"/>
      <c r="JQ165" s="33"/>
      <c r="JR165" s="33"/>
      <c r="JS165" s="33"/>
      <c r="JT165" s="33"/>
      <c r="JU165" s="33"/>
      <c r="JV165" s="33"/>
      <c r="JW165" s="102"/>
      <c r="JX165" s="41"/>
      <c r="JY165" s="41"/>
      <c r="JZ165" s="41"/>
      <c r="KA165" s="41"/>
      <c r="KB165" s="41"/>
      <c r="KC165" s="41"/>
      <c r="KD165" s="102"/>
      <c r="KE165" s="33"/>
      <c r="KF165" s="33"/>
      <c r="KG165" s="33"/>
      <c r="KH165" s="33"/>
      <c r="KI165" s="33"/>
      <c r="KJ165" s="33"/>
      <c r="KK165" s="33"/>
      <c r="KL165" s="33"/>
      <c r="KM165" s="33"/>
      <c r="KN165" s="33"/>
      <c r="KO165" s="33"/>
      <c r="KP165" s="33"/>
      <c r="KQ165" s="33"/>
      <c r="KR165" s="33"/>
      <c r="KS165" s="33"/>
      <c r="KT165" s="33"/>
      <c r="KU165" s="33"/>
      <c r="KV165" s="33"/>
      <c r="KW165" s="33"/>
      <c r="KX165" s="33"/>
      <c r="KY165" s="102"/>
      <c r="KZ165" s="41"/>
      <c r="LA165" s="41"/>
      <c r="LB165" s="41"/>
      <c r="LC165" s="41"/>
      <c r="LD165" s="41"/>
      <c r="LE165" s="41"/>
      <c r="LF165" s="44"/>
      <c r="LG165" s="33"/>
      <c r="LH165" s="33"/>
      <c r="LI165" s="33"/>
      <c r="LJ165" s="33"/>
      <c r="LK165" s="33"/>
      <c r="LL165" s="33"/>
      <c r="LM165" s="33"/>
      <c r="LN165" s="33"/>
      <c r="LO165" s="33"/>
      <c r="LP165" s="33"/>
      <c r="LQ165" s="33"/>
      <c r="LR165" s="33"/>
      <c r="LS165" s="33"/>
      <c r="LT165" s="33"/>
      <c r="LU165" s="33"/>
      <c r="LV165" s="33"/>
      <c r="LW165" s="33"/>
      <c r="LX165" s="33"/>
      <c r="LY165" s="33"/>
      <c r="LZ165" s="33"/>
      <c r="MA165" s="33"/>
      <c r="MB165" s="33"/>
      <c r="MC165" s="33"/>
      <c r="MD165" s="33"/>
      <c r="ME165" s="33"/>
      <c r="MF165" s="33"/>
      <c r="MG165" s="33"/>
      <c r="MH165" s="33"/>
      <c r="MI165" s="33"/>
      <c r="MJ165" s="33"/>
      <c r="MK165" s="33"/>
      <c r="ML165" s="33"/>
      <c r="MM165" s="33"/>
      <c r="MN165" s="33"/>
      <c r="MO165" s="33"/>
      <c r="MP165" s="33"/>
      <c r="MQ165" s="33"/>
      <c r="MR165" s="33"/>
      <c r="MS165" s="33"/>
      <c r="MT165" s="33"/>
      <c r="MU165" s="33"/>
      <c r="MV165" s="33"/>
    </row>
    <row r="166" spans="1:360" ht="0.75" customHeight="1" x14ac:dyDescent="0.25">
      <c r="A166" s="33"/>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3"/>
      <c r="AV166" s="79"/>
      <c r="AW166" s="41"/>
      <c r="AX166" s="41"/>
      <c r="AY166" s="41"/>
      <c r="AZ166" s="41"/>
      <c r="BA166" s="41"/>
      <c r="BB166" s="41"/>
      <c r="BC166" s="52"/>
      <c r="BD166" s="33"/>
      <c r="BE166" s="33"/>
      <c r="BF166" s="33"/>
      <c r="BG166" s="33"/>
      <c r="BH166" s="33"/>
      <c r="BI166" s="33"/>
      <c r="BJ166" s="33"/>
      <c r="BK166" s="33"/>
      <c r="BL166" s="33"/>
      <c r="BM166" s="33"/>
      <c r="BN166" s="33"/>
      <c r="BO166" s="33"/>
      <c r="BP166" s="33"/>
      <c r="BQ166" s="33"/>
      <c r="BR166" s="33"/>
      <c r="BS166" s="33"/>
      <c r="BT166" s="33"/>
      <c r="BU166" s="33"/>
      <c r="BV166" s="33"/>
      <c r="BW166" s="33"/>
      <c r="BX166" s="33"/>
      <c r="BY166" s="33"/>
      <c r="BZ166" s="33"/>
      <c r="CA166" s="33"/>
      <c r="CB166" s="33"/>
      <c r="CC166" s="33"/>
      <c r="CD166" s="33"/>
      <c r="CE166" s="33"/>
      <c r="CF166" s="33"/>
      <c r="CG166" s="33"/>
      <c r="CH166" s="33"/>
      <c r="CI166" s="33"/>
      <c r="CJ166" s="33"/>
      <c r="CK166" s="33"/>
      <c r="CL166" s="33"/>
      <c r="CM166" s="33"/>
      <c r="CN166" s="33"/>
      <c r="CO166" s="33"/>
      <c r="CP166" s="33"/>
      <c r="CQ166" s="33"/>
      <c r="CR166" s="33"/>
      <c r="CS166" s="33"/>
      <c r="CT166" s="33"/>
      <c r="CU166" s="33"/>
      <c r="CV166" s="33"/>
      <c r="CW166" s="33"/>
      <c r="CX166" s="33"/>
      <c r="CY166" s="33"/>
      <c r="CZ166" s="33"/>
      <c r="DA166" s="33"/>
      <c r="DB166" s="36"/>
      <c r="DC166" s="42"/>
      <c r="DD166" s="41"/>
      <c r="DE166" s="41"/>
      <c r="DF166" s="41"/>
      <c r="DG166" s="41"/>
      <c r="DH166" s="41"/>
      <c r="DI166" s="42"/>
      <c r="DJ166" s="36"/>
      <c r="DK166" s="33"/>
      <c r="DL166" s="33"/>
      <c r="DM166" s="33"/>
      <c r="DN166" s="33"/>
      <c r="DO166" s="33"/>
      <c r="DP166" s="33"/>
      <c r="DQ166" s="33"/>
      <c r="DR166" s="33"/>
      <c r="DS166" s="33"/>
      <c r="DT166" s="33"/>
      <c r="DU166" s="33"/>
      <c r="DV166" s="33"/>
      <c r="DW166" s="33"/>
      <c r="DX166" s="33"/>
      <c r="DY166" s="33"/>
      <c r="DZ166" s="33"/>
      <c r="EA166" s="33"/>
      <c r="EB166" s="33"/>
      <c r="EC166" s="33"/>
      <c r="ED166" s="33"/>
      <c r="EE166" s="79"/>
      <c r="EF166" s="41"/>
      <c r="EG166" s="41"/>
      <c r="EH166" s="41"/>
      <c r="EI166" s="41"/>
      <c r="EJ166" s="41"/>
      <c r="EK166" s="41"/>
      <c r="EL166" s="52"/>
      <c r="EM166" s="33"/>
      <c r="EN166" s="33"/>
      <c r="EO166" s="33"/>
      <c r="EP166" s="33"/>
      <c r="EQ166" s="33"/>
      <c r="ER166" s="33"/>
      <c r="ES166" s="33"/>
      <c r="ET166" s="33"/>
      <c r="EU166" s="33"/>
      <c r="EV166" s="33"/>
      <c r="EW166" s="33"/>
      <c r="EX166" s="33"/>
      <c r="EY166" s="33"/>
      <c r="EZ166" s="33"/>
      <c r="FA166" s="33"/>
      <c r="FB166" s="33"/>
      <c r="FC166" s="33"/>
      <c r="FD166" s="33"/>
      <c r="FE166" s="33"/>
      <c r="FF166" s="33"/>
      <c r="FG166" s="33"/>
      <c r="FH166" s="33"/>
      <c r="FI166" s="52"/>
      <c r="FJ166" s="41"/>
      <c r="FK166" s="41"/>
      <c r="FL166" s="41"/>
      <c r="FM166" s="41"/>
      <c r="FN166" s="41"/>
      <c r="FO166" s="41"/>
      <c r="FP166" s="44"/>
      <c r="FQ166" s="33"/>
      <c r="FR166" s="33"/>
      <c r="FS166" s="33"/>
      <c r="FT166" s="33"/>
      <c r="FU166" s="33"/>
      <c r="FV166" s="33"/>
      <c r="FW166" s="33"/>
      <c r="FX166" s="33"/>
      <c r="FY166" s="33"/>
      <c r="FZ166" s="33"/>
      <c r="GA166" s="33"/>
      <c r="GB166" s="33"/>
      <c r="GC166" s="33"/>
      <c r="GD166" s="33"/>
      <c r="GE166" s="33"/>
      <c r="GF166" s="33"/>
      <c r="GG166" s="33"/>
      <c r="GH166" s="33"/>
      <c r="GI166" s="33"/>
      <c r="GJ166" s="33"/>
      <c r="GK166" s="33"/>
      <c r="GL166" s="33"/>
      <c r="GM166" s="33"/>
      <c r="GN166" s="33"/>
      <c r="GO166" s="33"/>
      <c r="GP166" s="33"/>
      <c r="GQ166" s="33"/>
      <c r="GR166" s="33"/>
      <c r="GS166" s="33"/>
      <c r="GT166" s="33"/>
      <c r="GU166" s="33"/>
      <c r="GV166" s="33"/>
      <c r="GW166" s="33"/>
      <c r="GX166" s="33"/>
      <c r="GY166" s="33"/>
      <c r="GZ166" s="33"/>
      <c r="HA166" s="33"/>
      <c r="HB166" s="33"/>
      <c r="HC166" s="33"/>
      <c r="HD166" s="33"/>
      <c r="HE166" s="33"/>
      <c r="HF166" s="33"/>
      <c r="HG166" s="33"/>
      <c r="HH166" s="33"/>
      <c r="HI166" s="33"/>
      <c r="HJ166" s="33"/>
      <c r="HK166" s="33"/>
      <c r="HL166" s="33"/>
      <c r="HM166" s="33"/>
      <c r="HN166" s="33"/>
      <c r="HO166" s="33"/>
      <c r="HP166" s="102"/>
      <c r="HQ166" s="41"/>
      <c r="HR166" s="41"/>
      <c r="HS166" s="41"/>
      <c r="HT166" s="41"/>
      <c r="HU166" s="41"/>
      <c r="HV166" s="41"/>
      <c r="HW166" s="44"/>
      <c r="HX166" s="33"/>
      <c r="HY166" s="33"/>
      <c r="HZ166" s="33"/>
      <c r="IA166" s="33"/>
      <c r="IB166" s="33"/>
      <c r="IC166" s="33"/>
      <c r="ID166" s="33"/>
      <c r="IE166" s="33"/>
      <c r="IF166" s="33"/>
      <c r="IG166" s="33"/>
      <c r="IH166" s="33"/>
      <c r="II166" s="33"/>
      <c r="IJ166" s="33"/>
      <c r="IK166" s="33"/>
      <c r="IL166" s="33"/>
      <c r="IM166" s="33"/>
      <c r="IN166" s="33"/>
      <c r="IO166" s="33"/>
      <c r="IP166" s="33"/>
      <c r="IQ166" s="33"/>
      <c r="IR166" s="33"/>
      <c r="IS166" s="33"/>
      <c r="IT166" s="33"/>
      <c r="IU166" s="33"/>
      <c r="IV166" s="33"/>
      <c r="IW166" s="33"/>
      <c r="IX166" s="33"/>
      <c r="IY166" s="33"/>
      <c r="IZ166" s="33"/>
      <c r="JA166" s="33"/>
      <c r="JB166" s="33"/>
      <c r="JC166" s="33"/>
      <c r="JD166" s="33"/>
      <c r="JE166" s="33"/>
      <c r="JF166" s="33"/>
      <c r="JG166" s="33"/>
      <c r="JH166" s="33"/>
      <c r="JI166" s="33"/>
      <c r="JJ166" s="33"/>
      <c r="JK166" s="33"/>
      <c r="JL166" s="33"/>
      <c r="JM166" s="33"/>
      <c r="JN166" s="33"/>
      <c r="JO166" s="33"/>
      <c r="JP166" s="33"/>
      <c r="JQ166" s="33"/>
      <c r="JR166" s="33"/>
      <c r="JS166" s="33"/>
      <c r="JT166" s="33"/>
      <c r="JU166" s="33"/>
      <c r="JV166" s="33"/>
      <c r="JW166" s="102"/>
      <c r="JX166" s="41"/>
      <c r="JY166" s="41"/>
      <c r="JZ166" s="41"/>
      <c r="KA166" s="41"/>
      <c r="KB166" s="41"/>
      <c r="KC166" s="41"/>
      <c r="KD166" s="102"/>
      <c r="KE166" s="33"/>
      <c r="KF166" s="33"/>
      <c r="KG166" s="33"/>
      <c r="KH166" s="33"/>
      <c r="KI166" s="33"/>
      <c r="KJ166" s="33"/>
      <c r="KK166" s="33"/>
      <c r="KL166" s="33"/>
      <c r="KM166" s="33"/>
      <c r="KN166" s="33"/>
      <c r="KO166" s="33"/>
      <c r="KP166" s="33"/>
      <c r="KQ166" s="33"/>
      <c r="KR166" s="33"/>
      <c r="KS166" s="33"/>
      <c r="KT166" s="33"/>
      <c r="KU166" s="33"/>
      <c r="KV166" s="33"/>
      <c r="KW166" s="33"/>
      <c r="KX166" s="33"/>
      <c r="KY166" s="102"/>
      <c r="KZ166" s="41"/>
      <c r="LA166" s="41"/>
      <c r="LB166" s="41"/>
      <c r="LC166" s="41"/>
      <c r="LD166" s="41"/>
      <c r="LE166" s="41"/>
      <c r="LF166" s="44"/>
      <c r="LG166" s="33"/>
      <c r="LH166" s="33"/>
      <c r="LI166" s="33"/>
      <c r="LJ166" s="33"/>
      <c r="LK166" s="33"/>
      <c r="LL166" s="33"/>
      <c r="LM166" s="33"/>
      <c r="LN166" s="33"/>
      <c r="LO166" s="33"/>
      <c r="LP166" s="33"/>
      <c r="LQ166" s="33"/>
      <c r="LR166" s="33"/>
      <c r="LS166" s="33"/>
      <c r="LT166" s="33"/>
      <c r="LU166" s="33"/>
      <c r="LV166" s="33"/>
      <c r="LW166" s="33"/>
      <c r="LX166" s="33"/>
      <c r="LY166" s="33"/>
      <c r="LZ166" s="33"/>
      <c r="MA166" s="33"/>
      <c r="MB166" s="33"/>
      <c r="MC166" s="33"/>
      <c r="MD166" s="33"/>
      <c r="ME166" s="33"/>
      <c r="MF166" s="33"/>
      <c r="MG166" s="33"/>
      <c r="MH166" s="33"/>
      <c r="MI166" s="33"/>
      <c r="MJ166" s="33"/>
      <c r="MK166" s="33"/>
      <c r="ML166" s="33"/>
      <c r="MM166" s="33"/>
      <c r="MN166" s="33"/>
      <c r="MO166" s="33"/>
      <c r="MP166" s="33"/>
      <c r="MQ166" s="33"/>
      <c r="MR166" s="33"/>
      <c r="MS166" s="33"/>
      <c r="MT166" s="33"/>
      <c r="MU166" s="33"/>
      <c r="MV166" s="33"/>
    </row>
    <row r="167" spans="1:360" ht="0.75" customHeight="1" x14ac:dyDescent="0.25">
      <c r="A167" s="33"/>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3"/>
      <c r="AV167" s="79"/>
      <c r="AW167" s="41"/>
      <c r="AX167" s="41"/>
      <c r="AY167" s="41"/>
      <c r="AZ167" s="41"/>
      <c r="BA167" s="41"/>
      <c r="BB167" s="41"/>
      <c r="BC167" s="52"/>
      <c r="BD167" s="33"/>
      <c r="BE167" s="33"/>
      <c r="BF167" s="33"/>
      <c r="BG167" s="33"/>
      <c r="BH167" s="33"/>
      <c r="BI167" s="33"/>
      <c r="BJ167" s="33"/>
      <c r="BK167" s="33"/>
      <c r="BL167" s="33"/>
      <c r="BM167" s="33"/>
      <c r="BN167" s="33"/>
      <c r="BO167" s="33"/>
      <c r="BP167" s="33"/>
      <c r="BQ167" s="33"/>
      <c r="BR167" s="33"/>
      <c r="BS167" s="33"/>
      <c r="BT167" s="33"/>
      <c r="BU167" s="33"/>
      <c r="BV167" s="33"/>
      <c r="BW167" s="33"/>
      <c r="BX167" s="33"/>
      <c r="BY167" s="33"/>
      <c r="BZ167" s="33"/>
      <c r="CA167" s="33"/>
      <c r="CB167" s="33"/>
      <c r="CC167" s="33"/>
      <c r="CD167" s="33"/>
      <c r="CE167" s="33"/>
      <c r="CF167" s="33"/>
      <c r="CG167" s="33"/>
      <c r="CH167" s="33"/>
      <c r="CI167" s="33"/>
      <c r="CJ167" s="33"/>
      <c r="CK167" s="33"/>
      <c r="CL167" s="33"/>
      <c r="CM167" s="33"/>
      <c r="CN167" s="33"/>
      <c r="CO167" s="33"/>
      <c r="CP167" s="33"/>
      <c r="CQ167" s="33"/>
      <c r="CR167" s="33"/>
      <c r="CS167" s="33"/>
      <c r="CT167" s="33"/>
      <c r="CU167" s="33"/>
      <c r="CV167" s="33"/>
      <c r="CW167" s="33"/>
      <c r="CX167" s="33"/>
      <c r="CY167" s="33"/>
      <c r="CZ167" s="33"/>
      <c r="DA167" s="33"/>
      <c r="DB167" s="36"/>
      <c r="DC167" s="42"/>
      <c r="DD167" s="41"/>
      <c r="DE167" s="41"/>
      <c r="DF167" s="41"/>
      <c r="DG167" s="41"/>
      <c r="DH167" s="41"/>
      <c r="DI167" s="42"/>
      <c r="DJ167" s="36"/>
      <c r="DK167" s="33"/>
      <c r="DL167" s="33"/>
      <c r="DM167" s="33"/>
      <c r="DN167" s="33"/>
      <c r="DO167" s="33"/>
      <c r="DP167" s="33"/>
      <c r="DQ167" s="33"/>
      <c r="DR167" s="33"/>
      <c r="DS167" s="33"/>
      <c r="DT167" s="33"/>
      <c r="DU167" s="33"/>
      <c r="DV167" s="33"/>
      <c r="DW167" s="33"/>
      <c r="DX167" s="33"/>
      <c r="DY167" s="33"/>
      <c r="DZ167" s="33"/>
      <c r="EA167" s="33"/>
      <c r="EB167" s="33"/>
      <c r="EC167" s="33"/>
      <c r="ED167" s="33"/>
      <c r="EE167" s="79"/>
      <c r="EF167" s="41"/>
      <c r="EG167" s="41"/>
      <c r="EH167" s="41"/>
      <c r="EI167" s="41"/>
      <c r="EJ167" s="41"/>
      <c r="EK167" s="41"/>
      <c r="EL167" s="52"/>
      <c r="EM167" s="33"/>
      <c r="EN167" s="33"/>
      <c r="EO167" s="33"/>
      <c r="EP167" s="33"/>
      <c r="EQ167" s="33"/>
      <c r="ER167" s="33"/>
      <c r="ES167" s="33"/>
      <c r="ET167" s="33"/>
      <c r="EU167" s="33"/>
      <c r="EV167" s="33"/>
      <c r="EW167" s="33"/>
      <c r="EX167" s="33"/>
      <c r="EY167" s="33"/>
      <c r="EZ167" s="33"/>
      <c r="FA167" s="33"/>
      <c r="FB167" s="33"/>
      <c r="FC167" s="33"/>
      <c r="FD167" s="33"/>
      <c r="FE167" s="33"/>
      <c r="FF167" s="33"/>
      <c r="FG167" s="33"/>
      <c r="FH167" s="33"/>
      <c r="FI167" s="52"/>
      <c r="FJ167" s="41"/>
      <c r="FK167" s="41"/>
      <c r="FL167" s="41"/>
      <c r="FM167" s="41"/>
      <c r="FN167" s="41"/>
      <c r="FO167" s="41"/>
      <c r="FP167" s="44"/>
      <c r="FQ167" s="33"/>
      <c r="FR167" s="33"/>
      <c r="FS167" s="33"/>
      <c r="FT167" s="33"/>
      <c r="FU167" s="33"/>
      <c r="FV167" s="33"/>
      <c r="FW167" s="33"/>
      <c r="FX167" s="33"/>
      <c r="FY167" s="33"/>
      <c r="FZ167" s="33"/>
      <c r="GA167" s="33"/>
      <c r="GB167" s="33"/>
      <c r="GC167" s="33"/>
      <c r="GD167" s="33"/>
      <c r="GE167" s="33"/>
      <c r="GF167" s="33"/>
      <c r="GG167" s="33"/>
      <c r="GH167" s="33"/>
      <c r="GI167" s="33"/>
      <c r="GJ167" s="33"/>
      <c r="GK167" s="33"/>
      <c r="GL167" s="33"/>
      <c r="GM167" s="33"/>
      <c r="GN167" s="33"/>
      <c r="GO167" s="33"/>
      <c r="GP167" s="33"/>
      <c r="GQ167" s="33"/>
      <c r="GR167" s="33"/>
      <c r="GS167" s="33"/>
      <c r="GT167" s="33"/>
      <c r="GU167" s="33"/>
      <c r="GV167" s="33"/>
      <c r="GW167" s="33"/>
      <c r="GX167" s="33"/>
      <c r="GY167" s="33"/>
      <c r="GZ167" s="33"/>
      <c r="HA167" s="33"/>
      <c r="HB167" s="33"/>
      <c r="HC167" s="33"/>
      <c r="HD167" s="33"/>
      <c r="HE167" s="33"/>
      <c r="HF167" s="33"/>
      <c r="HG167" s="33"/>
      <c r="HH167" s="33"/>
      <c r="HI167" s="33"/>
      <c r="HJ167" s="33"/>
      <c r="HK167" s="33"/>
      <c r="HL167" s="33"/>
      <c r="HM167" s="33"/>
      <c r="HN167" s="33"/>
      <c r="HO167" s="33"/>
      <c r="HP167" s="102"/>
      <c r="HQ167" s="41"/>
      <c r="HR167" s="41"/>
      <c r="HS167" s="41"/>
      <c r="HT167" s="41"/>
      <c r="HU167" s="41"/>
      <c r="HV167" s="41"/>
      <c r="HW167" s="44"/>
      <c r="HX167" s="33"/>
      <c r="HY167" s="33"/>
      <c r="HZ167" s="33"/>
      <c r="IA167" s="33"/>
      <c r="IB167" s="33"/>
      <c r="IC167" s="33"/>
      <c r="ID167" s="33"/>
      <c r="IE167" s="33"/>
      <c r="IF167" s="33"/>
      <c r="IG167" s="33"/>
      <c r="IH167" s="33"/>
      <c r="II167" s="33"/>
      <c r="IJ167" s="33"/>
      <c r="IK167" s="33"/>
      <c r="IL167" s="33"/>
      <c r="IM167" s="33"/>
      <c r="IN167" s="33"/>
      <c r="IO167" s="33"/>
      <c r="IP167" s="33"/>
      <c r="IQ167" s="33"/>
      <c r="IR167" s="33"/>
      <c r="IS167" s="33"/>
      <c r="IT167" s="33"/>
      <c r="IU167" s="33"/>
      <c r="IV167" s="33"/>
      <c r="IW167" s="33"/>
      <c r="IX167" s="33"/>
      <c r="IY167" s="33"/>
      <c r="IZ167" s="33"/>
      <c r="JA167" s="33"/>
      <c r="JB167" s="33"/>
      <c r="JC167" s="33"/>
      <c r="JD167" s="33"/>
      <c r="JE167" s="33"/>
      <c r="JF167" s="33"/>
      <c r="JG167" s="33"/>
      <c r="JH167" s="33"/>
      <c r="JI167" s="33"/>
      <c r="JJ167" s="33"/>
      <c r="JK167" s="33"/>
      <c r="JL167" s="33"/>
      <c r="JM167" s="33"/>
      <c r="JN167" s="33"/>
      <c r="JO167" s="33"/>
      <c r="JP167" s="33"/>
      <c r="JQ167" s="33"/>
      <c r="JR167" s="33"/>
      <c r="JS167" s="33"/>
      <c r="JT167" s="33"/>
      <c r="JU167" s="33"/>
      <c r="JV167" s="33"/>
      <c r="JW167" s="102"/>
      <c r="JX167" s="41"/>
      <c r="JY167" s="41"/>
      <c r="JZ167" s="41"/>
      <c r="KA167" s="41"/>
      <c r="KB167" s="41"/>
      <c r="KC167" s="41"/>
      <c r="KD167" s="102"/>
      <c r="KE167" s="33"/>
      <c r="KF167" s="33"/>
      <c r="KG167" s="33"/>
      <c r="KH167" s="33"/>
      <c r="KI167" s="33"/>
      <c r="KJ167" s="33"/>
      <c r="KK167" s="33"/>
      <c r="KL167" s="33"/>
      <c r="KM167" s="33"/>
      <c r="KN167" s="33"/>
      <c r="KO167" s="33"/>
      <c r="KP167" s="33"/>
      <c r="KQ167" s="33"/>
      <c r="KR167" s="33"/>
      <c r="KS167" s="33"/>
      <c r="KT167" s="33"/>
      <c r="KU167" s="33"/>
      <c r="KV167" s="33"/>
      <c r="KW167" s="33"/>
      <c r="KX167" s="33"/>
      <c r="KY167" s="102"/>
      <c r="KZ167" s="41"/>
      <c r="LA167" s="41"/>
      <c r="LB167" s="41"/>
      <c r="LC167" s="41"/>
      <c r="LD167" s="41"/>
      <c r="LE167" s="41"/>
      <c r="LF167" s="44"/>
      <c r="LG167" s="33"/>
      <c r="LH167" s="33"/>
      <c r="LI167" s="33"/>
      <c r="LJ167" s="33"/>
      <c r="LK167" s="33"/>
      <c r="LL167" s="33"/>
      <c r="LM167" s="33"/>
      <c r="LN167" s="33"/>
      <c r="LO167" s="33"/>
      <c r="LP167" s="33"/>
      <c r="LQ167" s="33"/>
      <c r="LR167" s="33"/>
      <c r="LS167" s="33"/>
      <c r="LT167" s="33"/>
      <c r="LU167" s="33"/>
      <c r="LV167" s="33"/>
      <c r="LW167" s="33"/>
      <c r="LX167" s="33"/>
      <c r="LY167" s="33"/>
      <c r="LZ167" s="33"/>
      <c r="MA167" s="33"/>
      <c r="MB167" s="33"/>
      <c r="MC167" s="33"/>
      <c r="MD167" s="33"/>
      <c r="ME167" s="33"/>
      <c r="MF167" s="33"/>
      <c r="MG167" s="33"/>
      <c r="MH167" s="33"/>
      <c r="MI167" s="33"/>
      <c r="MJ167" s="33"/>
      <c r="MK167" s="33"/>
      <c r="ML167" s="33"/>
      <c r="MM167" s="33"/>
      <c r="MN167" s="33"/>
      <c r="MO167" s="33"/>
      <c r="MP167" s="33"/>
      <c r="MQ167" s="33"/>
      <c r="MR167" s="33"/>
      <c r="MS167" s="33"/>
      <c r="MT167" s="33"/>
      <c r="MU167" s="33"/>
      <c r="MV167" s="33"/>
    </row>
    <row r="168" spans="1:360" ht="0.75" customHeight="1" x14ac:dyDescent="0.25">
      <c r="A168" s="33"/>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3"/>
      <c r="AV168" s="79"/>
      <c r="AW168" s="41"/>
      <c r="AX168" s="41"/>
      <c r="AY168" s="41"/>
      <c r="AZ168" s="41"/>
      <c r="BA168" s="41"/>
      <c r="BB168" s="41"/>
      <c r="BC168" s="52"/>
      <c r="BD168" s="33"/>
      <c r="BE168" s="33"/>
      <c r="BF168" s="33"/>
      <c r="BG168" s="33"/>
      <c r="BH168" s="33"/>
      <c r="BI168" s="33"/>
      <c r="BJ168" s="33"/>
      <c r="BK168" s="33"/>
      <c r="BL168" s="33"/>
      <c r="BM168" s="33"/>
      <c r="BN168" s="33"/>
      <c r="BO168" s="33"/>
      <c r="BP168" s="33"/>
      <c r="BQ168" s="33"/>
      <c r="BR168" s="33"/>
      <c r="BS168" s="33"/>
      <c r="BT168" s="33"/>
      <c r="BU168" s="33"/>
      <c r="BV168" s="33"/>
      <c r="BW168" s="33"/>
      <c r="BX168" s="33"/>
      <c r="BY168" s="33"/>
      <c r="BZ168" s="33"/>
      <c r="CA168" s="33"/>
      <c r="CB168" s="33"/>
      <c r="CC168" s="33"/>
      <c r="CD168" s="33"/>
      <c r="CE168" s="33"/>
      <c r="CF168" s="33"/>
      <c r="CG168" s="33"/>
      <c r="CH168" s="33"/>
      <c r="CI168" s="33"/>
      <c r="CJ168" s="33"/>
      <c r="CK168" s="33"/>
      <c r="CL168" s="33"/>
      <c r="CM168" s="33"/>
      <c r="CN168" s="33"/>
      <c r="CO168" s="33"/>
      <c r="CP168" s="33"/>
      <c r="CQ168" s="33"/>
      <c r="CR168" s="33"/>
      <c r="CS168" s="33"/>
      <c r="CT168" s="33"/>
      <c r="CU168" s="33"/>
      <c r="CV168" s="33"/>
      <c r="CW168" s="33"/>
      <c r="CX168" s="33"/>
      <c r="CY168" s="33"/>
      <c r="CZ168" s="33"/>
      <c r="DA168" s="33"/>
      <c r="DB168" s="36"/>
      <c r="DC168" s="42"/>
      <c r="DD168" s="41"/>
      <c r="DE168" s="41"/>
      <c r="DF168" s="41"/>
      <c r="DG168" s="41"/>
      <c r="DH168" s="41"/>
      <c r="DI168" s="42"/>
      <c r="DJ168" s="36"/>
      <c r="DK168" s="33"/>
      <c r="DL168" s="33"/>
      <c r="DM168" s="33"/>
      <c r="DN168" s="33"/>
      <c r="DO168" s="33"/>
      <c r="DP168" s="33"/>
      <c r="DQ168" s="33"/>
      <c r="DR168" s="33"/>
      <c r="DS168" s="33"/>
      <c r="DT168" s="33"/>
      <c r="DU168" s="33"/>
      <c r="DV168" s="33"/>
      <c r="DW168" s="33"/>
      <c r="DX168" s="33"/>
      <c r="DY168" s="33"/>
      <c r="DZ168" s="33"/>
      <c r="EA168" s="33"/>
      <c r="EB168" s="33"/>
      <c r="EC168" s="33"/>
      <c r="ED168" s="33"/>
      <c r="EE168" s="79"/>
      <c r="EF168" s="41"/>
      <c r="EG168" s="41"/>
      <c r="EH168" s="41"/>
      <c r="EI168" s="41"/>
      <c r="EJ168" s="41"/>
      <c r="EK168" s="41"/>
      <c r="EL168" s="52"/>
      <c r="EM168" s="33"/>
      <c r="EN168" s="33"/>
      <c r="EO168" s="33"/>
      <c r="EP168" s="33"/>
      <c r="EQ168" s="33"/>
      <c r="ER168" s="33"/>
      <c r="ES168" s="33"/>
      <c r="ET168" s="33"/>
      <c r="EU168" s="33"/>
      <c r="EV168" s="33"/>
      <c r="EW168" s="33"/>
      <c r="EX168" s="33"/>
      <c r="EY168" s="33"/>
      <c r="EZ168" s="33"/>
      <c r="FA168" s="33"/>
      <c r="FB168" s="33"/>
      <c r="FC168" s="33"/>
      <c r="FD168" s="33"/>
      <c r="FE168" s="33"/>
      <c r="FF168" s="33"/>
      <c r="FG168" s="33"/>
      <c r="FH168" s="33"/>
      <c r="FI168" s="52"/>
      <c r="FJ168" s="41"/>
      <c r="FK168" s="41"/>
      <c r="FL168" s="41"/>
      <c r="FM168" s="41"/>
      <c r="FN168" s="41"/>
      <c r="FO168" s="41"/>
      <c r="FP168" s="44"/>
      <c r="FQ168" s="33"/>
      <c r="FR168" s="33"/>
      <c r="FS168" s="33"/>
      <c r="FT168" s="33"/>
      <c r="FU168" s="33"/>
      <c r="FV168" s="33"/>
      <c r="FW168" s="33"/>
      <c r="FX168" s="33"/>
      <c r="FY168" s="33"/>
      <c r="FZ168" s="33"/>
      <c r="GA168" s="33"/>
      <c r="GB168" s="33"/>
      <c r="GC168" s="33"/>
      <c r="GD168" s="33"/>
      <c r="GE168" s="33"/>
      <c r="GF168" s="33"/>
      <c r="GG168" s="33"/>
      <c r="GH168" s="33"/>
      <c r="GI168" s="33"/>
      <c r="GJ168" s="33"/>
      <c r="GK168" s="33"/>
      <c r="GL168" s="33"/>
      <c r="GM168" s="33"/>
      <c r="GN168" s="33"/>
      <c r="GO168" s="33"/>
      <c r="GP168" s="33"/>
      <c r="GQ168" s="33"/>
      <c r="GR168" s="33"/>
      <c r="GS168" s="33"/>
      <c r="GT168" s="33"/>
      <c r="GU168" s="33"/>
      <c r="GV168" s="33"/>
      <c r="GW168" s="33"/>
      <c r="GX168" s="33"/>
      <c r="GY168" s="33"/>
      <c r="GZ168" s="33"/>
      <c r="HA168" s="33"/>
      <c r="HB168" s="33"/>
      <c r="HC168" s="33"/>
      <c r="HD168" s="33"/>
      <c r="HE168" s="33"/>
      <c r="HF168" s="33"/>
      <c r="HG168" s="33"/>
      <c r="HH168" s="33"/>
      <c r="HI168" s="33"/>
      <c r="HJ168" s="33"/>
      <c r="HK168" s="33"/>
      <c r="HL168" s="33"/>
      <c r="HM168" s="33"/>
      <c r="HN168" s="33"/>
      <c r="HO168" s="33"/>
      <c r="HP168" s="102"/>
      <c r="HQ168" s="41"/>
      <c r="HR168" s="41"/>
      <c r="HS168" s="41"/>
      <c r="HT168" s="41"/>
      <c r="HU168" s="41"/>
      <c r="HV168" s="41"/>
      <c r="HW168" s="44"/>
      <c r="HX168" s="33"/>
      <c r="HY168" s="33"/>
      <c r="HZ168" s="33"/>
      <c r="IA168" s="33"/>
      <c r="IB168" s="33"/>
      <c r="IC168" s="33"/>
      <c r="ID168" s="33"/>
      <c r="IE168" s="33"/>
      <c r="IF168" s="33"/>
      <c r="IG168" s="33"/>
      <c r="IH168" s="33"/>
      <c r="II168" s="33"/>
      <c r="IJ168" s="33"/>
      <c r="IK168" s="33"/>
      <c r="IL168" s="33"/>
      <c r="IM168" s="33"/>
      <c r="IN168" s="33"/>
      <c r="IO168" s="33"/>
      <c r="IP168" s="33"/>
      <c r="IQ168" s="33"/>
      <c r="IR168" s="33"/>
      <c r="IS168" s="33"/>
      <c r="IT168" s="33"/>
      <c r="IU168" s="33"/>
      <c r="IV168" s="33"/>
      <c r="IW168" s="33"/>
      <c r="IX168" s="33"/>
      <c r="IY168" s="33"/>
      <c r="IZ168" s="33"/>
      <c r="JA168" s="33"/>
      <c r="JB168" s="33"/>
      <c r="JC168" s="33"/>
      <c r="JD168" s="33"/>
      <c r="JE168" s="33"/>
      <c r="JF168" s="33"/>
      <c r="JG168" s="33"/>
      <c r="JH168" s="33"/>
      <c r="JI168" s="33"/>
      <c r="JJ168" s="33"/>
      <c r="JK168" s="33"/>
      <c r="JL168" s="33"/>
      <c r="JM168" s="33"/>
      <c r="JN168" s="33"/>
      <c r="JO168" s="33"/>
      <c r="JP168" s="33"/>
      <c r="JQ168" s="33"/>
      <c r="JR168" s="33"/>
      <c r="JS168" s="33"/>
      <c r="JT168" s="33"/>
      <c r="JU168" s="33"/>
      <c r="JV168" s="33"/>
      <c r="JW168" s="102"/>
      <c r="JX168" s="41"/>
      <c r="JY168" s="41"/>
      <c r="JZ168" s="41"/>
      <c r="KA168" s="41"/>
      <c r="KB168" s="41"/>
      <c r="KC168" s="41"/>
      <c r="KD168" s="102"/>
      <c r="KE168" s="33"/>
      <c r="KF168" s="33"/>
      <c r="KG168" s="33"/>
      <c r="KH168" s="33"/>
      <c r="KI168" s="33"/>
      <c r="KJ168" s="33"/>
      <c r="KK168" s="33"/>
      <c r="KL168" s="33"/>
      <c r="KM168" s="33"/>
      <c r="KN168" s="33"/>
      <c r="KO168" s="33"/>
      <c r="KP168" s="33"/>
      <c r="KQ168" s="33"/>
      <c r="KR168" s="33"/>
      <c r="KS168" s="33"/>
      <c r="KT168" s="33"/>
      <c r="KU168" s="33"/>
      <c r="KV168" s="33"/>
      <c r="KW168" s="33"/>
      <c r="KX168" s="33"/>
      <c r="KY168" s="102"/>
      <c r="KZ168" s="41"/>
      <c r="LA168" s="41"/>
      <c r="LB168" s="41"/>
      <c r="LC168" s="41"/>
      <c r="LD168" s="41"/>
      <c r="LE168" s="41"/>
      <c r="LF168" s="44"/>
      <c r="LG168" s="33"/>
      <c r="LH168" s="33"/>
      <c r="LI168" s="33"/>
      <c r="LJ168" s="33"/>
      <c r="LK168" s="33"/>
      <c r="LL168" s="33"/>
      <c r="LM168" s="33"/>
      <c r="LN168" s="33"/>
      <c r="LO168" s="33"/>
      <c r="LP168" s="33"/>
      <c r="LQ168" s="33"/>
      <c r="LR168" s="33"/>
      <c r="LS168" s="33"/>
      <c r="LT168" s="33"/>
      <c r="LU168" s="33"/>
      <c r="LV168" s="33"/>
      <c r="LW168" s="33"/>
      <c r="LX168" s="33"/>
      <c r="LY168" s="33"/>
      <c r="LZ168" s="33"/>
      <c r="MA168" s="33"/>
      <c r="MB168" s="33"/>
      <c r="MC168" s="33"/>
      <c r="MD168" s="33"/>
      <c r="ME168" s="33"/>
      <c r="MF168" s="33"/>
      <c r="MG168" s="33"/>
      <c r="MH168" s="33"/>
      <c r="MI168" s="33"/>
      <c r="MJ168" s="33"/>
      <c r="MK168" s="33"/>
      <c r="ML168" s="33"/>
      <c r="MM168" s="33"/>
      <c r="MN168" s="33"/>
      <c r="MO168" s="33"/>
      <c r="MP168" s="33"/>
      <c r="MQ168" s="33"/>
      <c r="MR168" s="33"/>
      <c r="MS168" s="33"/>
      <c r="MT168" s="33"/>
      <c r="MU168" s="33"/>
      <c r="MV168" s="33"/>
    </row>
    <row r="169" spans="1:360" ht="0.75" customHeight="1" x14ac:dyDescent="0.25">
      <c r="A169" s="33"/>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3"/>
      <c r="AV169" s="79"/>
      <c r="AW169" s="41"/>
      <c r="AX169" s="41"/>
      <c r="AY169" s="41"/>
      <c r="AZ169" s="41"/>
      <c r="BA169" s="41"/>
      <c r="BB169" s="41"/>
      <c r="BC169" s="52"/>
      <c r="BD169" s="33"/>
      <c r="BE169" s="33"/>
      <c r="BF169" s="33"/>
      <c r="BG169" s="33"/>
      <c r="BH169" s="33"/>
      <c r="BI169" s="33"/>
      <c r="BJ169" s="33"/>
      <c r="BK169" s="33"/>
      <c r="BL169" s="33"/>
      <c r="BM169" s="33"/>
      <c r="BN169" s="33"/>
      <c r="BO169" s="33"/>
      <c r="BP169" s="33"/>
      <c r="BQ169" s="33"/>
      <c r="BR169" s="33"/>
      <c r="BS169" s="33"/>
      <c r="BT169" s="33"/>
      <c r="BU169" s="33"/>
      <c r="BV169" s="33"/>
      <c r="BW169" s="33"/>
      <c r="BX169" s="33"/>
      <c r="BY169" s="33"/>
      <c r="BZ169" s="33"/>
      <c r="CA169" s="33"/>
      <c r="CB169" s="33"/>
      <c r="CC169" s="33"/>
      <c r="CD169" s="33"/>
      <c r="CE169" s="33"/>
      <c r="CF169" s="33"/>
      <c r="CG169" s="33"/>
      <c r="CH169" s="33"/>
      <c r="CI169" s="33"/>
      <c r="CJ169" s="33"/>
      <c r="CK169" s="33"/>
      <c r="CL169" s="33"/>
      <c r="CM169" s="33"/>
      <c r="CN169" s="33"/>
      <c r="CO169" s="33"/>
      <c r="CP169" s="33"/>
      <c r="CQ169" s="33"/>
      <c r="CR169" s="33"/>
      <c r="CS169" s="33"/>
      <c r="CT169" s="33"/>
      <c r="CU169" s="33"/>
      <c r="CV169" s="33"/>
      <c r="CW169" s="33"/>
      <c r="CX169" s="33"/>
      <c r="CY169" s="33"/>
      <c r="CZ169" s="33"/>
      <c r="DA169" s="33"/>
      <c r="DB169" s="36"/>
      <c r="DC169" s="42"/>
      <c r="DD169" s="41"/>
      <c r="DE169" s="41"/>
      <c r="DF169" s="41"/>
      <c r="DG169" s="41"/>
      <c r="DH169" s="41"/>
      <c r="DI169" s="42"/>
      <c r="DJ169" s="36"/>
      <c r="DK169" s="33"/>
      <c r="DL169" s="33"/>
      <c r="DM169" s="33"/>
      <c r="DN169" s="33"/>
      <c r="DO169" s="33"/>
      <c r="DP169" s="33"/>
      <c r="DQ169" s="33"/>
      <c r="DR169" s="33"/>
      <c r="DS169" s="33"/>
      <c r="DT169" s="33"/>
      <c r="DU169" s="33"/>
      <c r="DV169" s="33"/>
      <c r="DW169" s="33"/>
      <c r="DX169" s="33"/>
      <c r="DY169" s="33"/>
      <c r="DZ169" s="33"/>
      <c r="EA169" s="33"/>
      <c r="EB169" s="33"/>
      <c r="EC169" s="33"/>
      <c r="ED169" s="33"/>
      <c r="EE169" s="79"/>
      <c r="EF169" s="41"/>
      <c r="EG169" s="41"/>
      <c r="EH169" s="41"/>
      <c r="EI169" s="41"/>
      <c r="EJ169" s="41"/>
      <c r="EK169" s="41"/>
      <c r="EL169" s="52"/>
      <c r="EM169" s="33"/>
      <c r="EN169" s="33"/>
      <c r="EO169" s="33"/>
      <c r="EP169" s="33"/>
      <c r="EQ169" s="33"/>
      <c r="ER169" s="33"/>
      <c r="ES169" s="33"/>
      <c r="ET169" s="33"/>
      <c r="EU169" s="33"/>
      <c r="EV169" s="33"/>
      <c r="EW169" s="33"/>
      <c r="EX169" s="33"/>
      <c r="EY169" s="33"/>
      <c r="EZ169" s="33"/>
      <c r="FA169" s="33"/>
      <c r="FB169" s="33"/>
      <c r="FC169" s="33"/>
      <c r="FD169" s="33"/>
      <c r="FE169" s="33"/>
      <c r="FF169" s="33"/>
      <c r="FG169" s="33"/>
      <c r="FH169" s="33"/>
      <c r="FI169" s="52"/>
      <c r="FJ169" s="41"/>
      <c r="FK169" s="41"/>
      <c r="FL169" s="41"/>
      <c r="FM169" s="41"/>
      <c r="FN169" s="41"/>
      <c r="FO169" s="41"/>
      <c r="FP169" s="44"/>
      <c r="FQ169" s="33"/>
      <c r="FR169" s="33"/>
      <c r="FS169" s="33"/>
      <c r="FT169" s="33"/>
      <c r="FU169" s="33"/>
      <c r="FV169" s="33"/>
      <c r="FW169" s="33"/>
      <c r="FX169" s="33"/>
      <c r="FY169" s="33"/>
      <c r="FZ169" s="33"/>
      <c r="GA169" s="33"/>
      <c r="GB169" s="33"/>
      <c r="GC169" s="33"/>
      <c r="GD169" s="33"/>
      <c r="GE169" s="33"/>
      <c r="GF169" s="33"/>
      <c r="GG169" s="33"/>
      <c r="GH169" s="33"/>
      <c r="GI169" s="33"/>
      <c r="GJ169" s="33"/>
      <c r="GK169" s="33"/>
      <c r="GL169" s="33"/>
      <c r="GM169" s="33"/>
      <c r="GN169" s="33"/>
      <c r="GO169" s="33"/>
      <c r="GP169" s="33"/>
      <c r="GQ169" s="33"/>
      <c r="GR169" s="33"/>
      <c r="GS169" s="33"/>
      <c r="GT169" s="33"/>
      <c r="GU169" s="33"/>
      <c r="GV169" s="33"/>
      <c r="GW169" s="33"/>
      <c r="GX169" s="33"/>
      <c r="GY169" s="33"/>
      <c r="GZ169" s="33"/>
      <c r="HA169" s="33"/>
      <c r="HB169" s="33"/>
      <c r="HC169" s="33"/>
      <c r="HD169" s="33"/>
      <c r="HE169" s="33"/>
      <c r="HF169" s="33"/>
      <c r="HG169" s="33"/>
      <c r="HH169" s="33"/>
      <c r="HI169" s="33"/>
      <c r="HJ169" s="33"/>
      <c r="HK169" s="33"/>
      <c r="HL169" s="33"/>
      <c r="HM169" s="33"/>
      <c r="HN169" s="33"/>
      <c r="HO169" s="33"/>
      <c r="HP169" s="102"/>
      <c r="HQ169" s="41"/>
      <c r="HR169" s="41"/>
      <c r="HS169" s="41"/>
      <c r="HT169" s="41"/>
      <c r="HU169" s="41"/>
      <c r="HV169" s="41"/>
      <c r="HW169" s="44"/>
      <c r="HX169" s="33"/>
      <c r="HY169" s="33"/>
      <c r="HZ169" s="33"/>
      <c r="IA169" s="33"/>
      <c r="IB169" s="33"/>
      <c r="IC169" s="33"/>
      <c r="ID169" s="33"/>
      <c r="IE169" s="33"/>
      <c r="IF169" s="33"/>
      <c r="IG169" s="33"/>
      <c r="IH169" s="33"/>
      <c r="II169" s="33"/>
      <c r="IJ169" s="33"/>
      <c r="IK169" s="33"/>
      <c r="IL169" s="33"/>
      <c r="IM169" s="33"/>
      <c r="IN169" s="33"/>
      <c r="IO169" s="33"/>
      <c r="IP169" s="33"/>
      <c r="IQ169" s="33"/>
      <c r="IR169" s="33"/>
      <c r="IS169" s="33"/>
      <c r="IT169" s="33"/>
      <c r="IU169" s="33"/>
      <c r="IV169" s="33"/>
      <c r="IW169" s="33"/>
      <c r="IX169" s="33"/>
      <c r="IY169" s="33"/>
      <c r="IZ169" s="33"/>
      <c r="JA169" s="33"/>
      <c r="JB169" s="33"/>
      <c r="JC169" s="33"/>
      <c r="JD169" s="33"/>
      <c r="JE169" s="33"/>
      <c r="JF169" s="33"/>
      <c r="JG169" s="33"/>
      <c r="JH169" s="33"/>
      <c r="JI169" s="33"/>
      <c r="JJ169" s="33"/>
      <c r="JK169" s="33"/>
      <c r="JL169" s="33"/>
      <c r="JM169" s="33"/>
      <c r="JN169" s="33"/>
      <c r="JO169" s="33"/>
      <c r="JP169" s="33"/>
      <c r="JQ169" s="33"/>
      <c r="JR169" s="33"/>
      <c r="JS169" s="33"/>
      <c r="JT169" s="33"/>
      <c r="JU169" s="33"/>
      <c r="JV169" s="33"/>
      <c r="JW169" s="102"/>
      <c r="JX169" s="41"/>
      <c r="JY169" s="41"/>
      <c r="JZ169" s="41"/>
      <c r="KA169" s="41"/>
      <c r="KB169" s="41"/>
      <c r="KC169" s="41"/>
      <c r="KD169" s="102"/>
      <c r="KE169" s="33"/>
      <c r="KF169" s="33"/>
      <c r="KG169" s="33"/>
      <c r="KH169" s="33"/>
      <c r="KI169" s="33"/>
      <c r="KJ169" s="33"/>
      <c r="KK169" s="33"/>
      <c r="KL169" s="33"/>
      <c r="KM169" s="33"/>
      <c r="KN169" s="33"/>
      <c r="KO169" s="33"/>
      <c r="KP169" s="33"/>
      <c r="KQ169" s="33"/>
      <c r="KR169" s="33"/>
      <c r="KS169" s="33"/>
      <c r="KT169" s="33"/>
      <c r="KU169" s="33"/>
      <c r="KV169" s="33"/>
      <c r="KW169" s="33"/>
      <c r="KX169" s="33"/>
      <c r="KY169" s="102"/>
      <c r="KZ169" s="41"/>
      <c r="LA169" s="41"/>
      <c r="LB169" s="41"/>
      <c r="LC169" s="41"/>
      <c r="LD169" s="41"/>
      <c r="LE169" s="41"/>
      <c r="LF169" s="44"/>
      <c r="LG169" s="33"/>
      <c r="LH169" s="33"/>
      <c r="LI169" s="33"/>
      <c r="LJ169" s="33"/>
      <c r="LK169" s="33"/>
      <c r="LL169" s="33"/>
      <c r="LM169" s="33"/>
      <c r="LN169" s="33"/>
      <c r="LO169" s="33"/>
      <c r="LP169" s="33"/>
      <c r="LQ169" s="33"/>
      <c r="LR169" s="33"/>
      <c r="LS169" s="33"/>
      <c r="LT169" s="33"/>
      <c r="LU169" s="33"/>
      <c r="LV169" s="33"/>
      <c r="LW169" s="33"/>
      <c r="LX169" s="33"/>
      <c r="LY169" s="33"/>
      <c r="LZ169" s="33"/>
      <c r="MA169" s="33"/>
      <c r="MB169" s="33"/>
      <c r="MC169" s="33"/>
      <c r="MD169" s="33"/>
      <c r="ME169" s="33"/>
      <c r="MF169" s="33"/>
      <c r="MG169" s="33"/>
      <c r="MH169" s="33"/>
      <c r="MI169" s="33"/>
      <c r="MJ169" s="33"/>
      <c r="MK169" s="33"/>
      <c r="ML169" s="33"/>
      <c r="MM169" s="33"/>
      <c r="MN169" s="33"/>
      <c r="MO169" s="33"/>
      <c r="MP169" s="33"/>
      <c r="MQ169" s="33"/>
      <c r="MR169" s="33"/>
      <c r="MS169" s="33"/>
      <c r="MT169" s="33"/>
      <c r="MU169" s="33"/>
      <c r="MV169" s="33"/>
    </row>
    <row r="170" spans="1:360" ht="0.75" customHeight="1" x14ac:dyDescent="0.25">
      <c r="A170" s="33"/>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3"/>
      <c r="AV170" s="79"/>
      <c r="AW170" s="41"/>
      <c r="AX170" s="41"/>
      <c r="AY170" s="41"/>
      <c r="AZ170" s="41"/>
      <c r="BA170" s="41"/>
      <c r="BB170" s="41"/>
      <c r="BC170" s="52"/>
      <c r="BD170" s="33"/>
      <c r="BE170" s="33"/>
      <c r="BF170" s="33"/>
      <c r="BG170" s="33"/>
      <c r="BH170" s="33"/>
      <c r="BI170" s="33"/>
      <c r="BJ170" s="33"/>
      <c r="BK170" s="33"/>
      <c r="BL170" s="33"/>
      <c r="BM170" s="33"/>
      <c r="BN170" s="33"/>
      <c r="BO170" s="33"/>
      <c r="BP170" s="33"/>
      <c r="BQ170" s="33"/>
      <c r="BR170" s="33"/>
      <c r="BS170" s="33"/>
      <c r="BT170" s="33"/>
      <c r="BU170" s="33"/>
      <c r="BV170" s="33"/>
      <c r="BW170" s="33"/>
      <c r="BX170" s="33"/>
      <c r="BY170" s="33"/>
      <c r="BZ170" s="33"/>
      <c r="CA170" s="33"/>
      <c r="CB170" s="33"/>
      <c r="CC170" s="33"/>
      <c r="CD170" s="33"/>
      <c r="CE170" s="33"/>
      <c r="CF170" s="33"/>
      <c r="CG170" s="33"/>
      <c r="CH170" s="33"/>
      <c r="CI170" s="33"/>
      <c r="CJ170" s="33"/>
      <c r="CK170" s="33"/>
      <c r="CL170" s="33"/>
      <c r="CM170" s="33"/>
      <c r="CN170" s="33"/>
      <c r="CO170" s="33"/>
      <c r="CP170" s="33"/>
      <c r="CQ170" s="33"/>
      <c r="CR170" s="33"/>
      <c r="CS170" s="33"/>
      <c r="CT170" s="33"/>
      <c r="CU170" s="33"/>
      <c r="CV170" s="33"/>
      <c r="CW170" s="33"/>
      <c r="CX170" s="33"/>
      <c r="CY170" s="33"/>
      <c r="CZ170" s="33"/>
      <c r="DA170" s="33"/>
      <c r="DB170" s="36"/>
      <c r="DC170" s="42"/>
      <c r="DD170" s="41"/>
      <c r="DE170" s="41"/>
      <c r="DF170" s="41"/>
      <c r="DG170" s="41"/>
      <c r="DH170" s="41"/>
      <c r="DI170" s="42"/>
      <c r="DJ170" s="36"/>
      <c r="DK170" s="33"/>
      <c r="DL170" s="33"/>
      <c r="DM170" s="33"/>
      <c r="DN170" s="33"/>
      <c r="DO170" s="33"/>
      <c r="DP170" s="33"/>
      <c r="DQ170" s="33"/>
      <c r="DR170" s="33"/>
      <c r="DS170" s="33"/>
      <c r="DT170" s="33"/>
      <c r="DU170" s="33"/>
      <c r="DV170" s="33"/>
      <c r="DW170" s="33"/>
      <c r="DX170" s="33"/>
      <c r="DY170" s="33"/>
      <c r="DZ170" s="33"/>
      <c r="EA170" s="33"/>
      <c r="EB170" s="33"/>
      <c r="EC170" s="33"/>
      <c r="ED170" s="33"/>
      <c r="EE170" s="79"/>
      <c r="EF170" s="41"/>
      <c r="EG170" s="41"/>
      <c r="EH170" s="41"/>
      <c r="EI170" s="41"/>
      <c r="EJ170" s="41"/>
      <c r="EK170" s="41"/>
      <c r="EL170" s="52"/>
      <c r="EM170" s="33"/>
      <c r="EN170" s="33"/>
      <c r="EO170" s="33"/>
      <c r="EP170" s="33"/>
      <c r="EQ170" s="33"/>
      <c r="ER170" s="33"/>
      <c r="ES170" s="33"/>
      <c r="ET170" s="33"/>
      <c r="EU170" s="33"/>
      <c r="EV170" s="33"/>
      <c r="EW170" s="33"/>
      <c r="EX170" s="33"/>
      <c r="EY170" s="33"/>
      <c r="EZ170" s="33"/>
      <c r="FA170" s="33"/>
      <c r="FB170" s="33"/>
      <c r="FC170" s="33"/>
      <c r="FD170" s="33"/>
      <c r="FE170" s="33"/>
      <c r="FF170" s="33"/>
      <c r="FG170" s="33"/>
      <c r="FH170" s="33"/>
      <c r="FI170" s="52"/>
      <c r="FJ170" s="41"/>
      <c r="FK170" s="41"/>
      <c r="FL170" s="41"/>
      <c r="FM170" s="41"/>
      <c r="FN170" s="41"/>
      <c r="FO170" s="41"/>
      <c r="FP170" s="44"/>
      <c r="FQ170" s="33"/>
      <c r="FR170" s="33"/>
      <c r="FS170" s="33"/>
      <c r="FT170" s="33"/>
      <c r="FU170" s="33"/>
      <c r="FV170" s="33"/>
      <c r="FW170" s="33"/>
      <c r="FX170" s="33"/>
      <c r="FY170" s="33"/>
      <c r="FZ170" s="33"/>
      <c r="GA170" s="33"/>
      <c r="GB170" s="33"/>
      <c r="GC170" s="33"/>
      <c r="GD170" s="33"/>
      <c r="GE170" s="33"/>
      <c r="GF170" s="33"/>
      <c r="GG170" s="33"/>
      <c r="GH170" s="33"/>
      <c r="GI170" s="33"/>
      <c r="GJ170" s="33"/>
      <c r="GK170" s="33"/>
      <c r="GL170" s="33"/>
      <c r="GM170" s="33"/>
      <c r="GN170" s="33"/>
      <c r="GO170" s="33"/>
      <c r="GP170" s="33"/>
      <c r="GQ170" s="33"/>
      <c r="GR170" s="33"/>
      <c r="GS170" s="33"/>
      <c r="GT170" s="33"/>
      <c r="GU170" s="33"/>
      <c r="GV170" s="33"/>
      <c r="GW170" s="33"/>
      <c r="GX170" s="33"/>
      <c r="GY170" s="33"/>
      <c r="GZ170" s="33"/>
      <c r="HA170" s="33"/>
      <c r="HB170" s="33"/>
      <c r="HC170" s="33"/>
      <c r="HD170" s="33"/>
      <c r="HE170" s="33"/>
      <c r="HF170" s="33"/>
      <c r="HG170" s="33"/>
      <c r="HH170" s="33"/>
      <c r="HI170" s="33"/>
      <c r="HJ170" s="33"/>
      <c r="HK170" s="33"/>
      <c r="HL170" s="33"/>
      <c r="HM170" s="33"/>
      <c r="HN170" s="33"/>
      <c r="HO170" s="33"/>
      <c r="HP170" s="102"/>
      <c r="HQ170" s="41"/>
      <c r="HR170" s="41"/>
      <c r="HS170" s="41"/>
      <c r="HT170" s="41"/>
      <c r="HU170" s="41"/>
      <c r="HV170" s="41"/>
      <c r="HW170" s="44"/>
      <c r="HX170" s="33"/>
      <c r="HY170" s="33"/>
      <c r="HZ170" s="33"/>
      <c r="IA170" s="33"/>
      <c r="IB170" s="33"/>
      <c r="IC170" s="33"/>
      <c r="ID170" s="33"/>
      <c r="IE170" s="33"/>
      <c r="IF170" s="33"/>
      <c r="IG170" s="33"/>
      <c r="IH170" s="33"/>
      <c r="II170" s="33"/>
      <c r="IJ170" s="33"/>
      <c r="IK170" s="33"/>
      <c r="IL170" s="33"/>
      <c r="IM170" s="33"/>
      <c r="IN170" s="33"/>
      <c r="IO170" s="33"/>
      <c r="IP170" s="33"/>
      <c r="IQ170" s="33"/>
      <c r="IR170" s="33"/>
      <c r="IS170" s="33"/>
      <c r="IT170" s="33"/>
      <c r="IU170" s="33"/>
      <c r="IV170" s="33"/>
      <c r="IW170" s="33"/>
      <c r="IX170" s="33"/>
      <c r="IY170" s="33"/>
      <c r="IZ170" s="33"/>
      <c r="JA170" s="33"/>
      <c r="JB170" s="33"/>
      <c r="JC170" s="33"/>
      <c r="JD170" s="33"/>
      <c r="JE170" s="33"/>
      <c r="JF170" s="33"/>
      <c r="JG170" s="33"/>
      <c r="JH170" s="33"/>
      <c r="JI170" s="33"/>
      <c r="JJ170" s="33"/>
      <c r="JK170" s="33"/>
      <c r="JL170" s="33"/>
      <c r="JM170" s="33"/>
      <c r="JN170" s="33"/>
      <c r="JO170" s="33"/>
      <c r="JP170" s="33"/>
      <c r="JQ170" s="33"/>
      <c r="JR170" s="33"/>
      <c r="JS170" s="33"/>
      <c r="JT170" s="33"/>
      <c r="JU170" s="33"/>
      <c r="JV170" s="33"/>
      <c r="JW170" s="102"/>
      <c r="JX170" s="41"/>
      <c r="JY170" s="41"/>
      <c r="JZ170" s="41"/>
      <c r="KA170" s="41"/>
      <c r="KB170" s="41"/>
      <c r="KC170" s="41"/>
      <c r="KD170" s="102"/>
      <c r="KE170" s="33"/>
      <c r="KF170" s="33"/>
      <c r="KG170" s="33"/>
      <c r="KH170" s="33"/>
      <c r="KI170" s="33"/>
      <c r="KJ170" s="33"/>
      <c r="KK170" s="33"/>
      <c r="KL170" s="33"/>
      <c r="KM170" s="33"/>
      <c r="KN170" s="33"/>
      <c r="KO170" s="33"/>
      <c r="KP170" s="33"/>
      <c r="KQ170" s="33"/>
      <c r="KR170" s="33"/>
      <c r="KS170" s="33"/>
      <c r="KT170" s="33"/>
      <c r="KU170" s="33"/>
      <c r="KV170" s="33"/>
      <c r="KW170" s="33"/>
      <c r="KX170" s="33"/>
      <c r="KY170" s="102"/>
      <c r="KZ170" s="41"/>
      <c r="LA170" s="41"/>
      <c r="LB170" s="41"/>
      <c r="LC170" s="41"/>
      <c r="LD170" s="41"/>
      <c r="LE170" s="41"/>
      <c r="LF170" s="44"/>
      <c r="LG170" s="33"/>
      <c r="LH170" s="33"/>
      <c r="LI170" s="33"/>
      <c r="LJ170" s="33"/>
      <c r="LK170" s="33"/>
      <c r="LL170" s="33"/>
      <c r="LM170" s="33"/>
      <c r="LN170" s="33"/>
      <c r="LO170" s="33"/>
      <c r="LP170" s="33"/>
      <c r="LQ170" s="33"/>
      <c r="LR170" s="33"/>
      <c r="LS170" s="33"/>
      <c r="LT170" s="33"/>
      <c r="LU170" s="33"/>
      <c r="LV170" s="33"/>
      <c r="LW170" s="33"/>
      <c r="LX170" s="33"/>
      <c r="LY170" s="33"/>
      <c r="LZ170" s="33"/>
      <c r="MA170" s="33"/>
      <c r="MB170" s="33"/>
      <c r="MC170" s="33"/>
      <c r="MD170" s="33"/>
      <c r="ME170" s="33"/>
      <c r="MF170" s="33"/>
      <c r="MG170" s="33"/>
      <c r="MH170" s="33"/>
      <c r="MI170" s="33"/>
      <c r="MJ170" s="33"/>
      <c r="MK170" s="33"/>
      <c r="ML170" s="33"/>
      <c r="MM170" s="33"/>
      <c r="MN170" s="33"/>
      <c r="MO170" s="33"/>
      <c r="MP170" s="33"/>
      <c r="MQ170" s="33"/>
      <c r="MR170" s="33"/>
      <c r="MS170" s="33"/>
      <c r="MT170" s="33"/>
      <c r="MU170" s="33"/>
      <c r="MV170" s="33"/>
    </row>
    <row r="171" spans="1:360" ht="0.75" customHeight="1" x14ac:dyDescent="0.25">
      <c r="A171" s="33"/>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3"/>
      <c r="AV171" s="79"/>
      <c r="AW171" s="41"/>
      <c r="AX171" s="41"/>
      <c r="AY171" s="41"/>
      <c r="AZ171" s="41"/>
      <c r="BA171" s="41"/>
      <c r="BB171" s="41"/>
      <c r="BC171" s="52"/>
      <c r="BD171" s="33"/>
      <c r="BE171" s="33"/>
      <c r="BF171" s="33"/>
      <c r="BG171" s="33"/>
      <c r="BH171" s="33"/>
      <c r="BI171" s="33"/>
      <c r="BJ171" s="33"/>
      <c r="BK171" s="33"/>
      <c r="BL171" s="33"/>
      <c r="BM171" s="33"/>
      <c r="BN171" s="33"/>
      <c r="BO171" s="33"/>
      <c r="BP171" s="33"/>
      <c r="BQ171" s="33"/>
      <c r="BR171" s="33"/>
      <c r="BS171" s="33"/>
      <c r="BT171" s="33"/>
      <c r="BU171" s="33"/>
      <c r="BV171" s="33"/>
      <c r="BW171" s="33"/>
      <c r="BX171" s="33"/>
      <c r="BY171" s="33"/>
      <c r="BZ171" s="33"/>
      <c r="CA171" s="33"/>
      <c r="CB171" s="33"/>
      <c r="CC171" s="33"/>
      <c r="CD171" s="33"/>
      <c r="CE171" s="33"/>
      <c r="CF171" s="33"/>
      <c r="CG171" s="33"/>
      <c r="CH171" s="33"/>
      <c r="CI171" s="33"/>
      <c r="CJ171" s="33"/>
      <c r="CK171" s="33"/>
      <c r="CL171" s="33"/>
      <c r="CM171" s="33"/>
      <c r="CN171" s="33"/>
      <c r="CO171" s="33"/>
      <c r="CP171" s="33"/>
      <c r="CQ171" s="33"/>
      <c r="CR171" s="33"/>
      <c r="CS171" s="33"/>
      <c r="CT171" s="33"/>
      <c r="CU171" s="33"/>
      <c r="CV171" s="33"/>
      <c r="CW171" s="33"/>
      <c r="CX171" s="33"/>
      <c r="CY171" s="33"/>
      <c r="CZ171" s="33"/>
      <c r="DA171" s="33"/>
      <c r="DB171" s="36"/>
      <c r="DC171" s="42"/>
      <c r="DD171" s="41"/>
      <c r="DE171" s="41"/>
      <c r="DF171" s="41"/>
      <c r="DG171" s="41"/>
      <c r="DH171" s="41"/>
      <c r="DI171" s="42"/>
      <c r="DJ171" s="36"/>
      <c r="DK171" s="33"/>
      <c r="DL171" s="33"/>
      <c r="DM171" s="33"/>
      <c r="DN171" s="33"/>
      <c r="DO171" s="33"/>
      <c r="DP171" s="33"/>
      <c r="DQ171" s="33"/>
      <c r="DR171" s="33"/>
      <c r="DS171" s="33"/>
      <c r="DT171" s="33"/>
      <c r="DU171" s="33"/>
      <c r="DV171" s="33"/>
      <c r="DW171" s="33"/>
      <c r="DX171" s="33"/>
      <c r="DY171" s="33"/>
      <c r="DZ171" s="33"/>
      <c r="EA171" s="33"/>
      <c r="EB171" s="33"/>
      <c r="EC171" s="33"/>
      <c r="ED171" s="33"/>
      <c r="EE171" s="79"/>
      <c r="EF171" s="41"/>
      <c r="EG171" s="41"/>
      <c r="EH171" s="41"/>
      <c r="EI171" s="41"/>
      <c r="EJ171" s="41"/>
      <c r="EK171" s="41"/>
      <c r="EL171" s="52"/>
      <c r="EM171" s="33"/>
      <c r="EN171" s="33"/>
      <c r="EO171" s="33"/>
      <c r="EP171" s="33"/>
      <c r="EQ171" s="33"/>
      <c r="ER171" s="33"/>
      <c r="ES171" s="33"/>
      <c r="ET171" s="33"/>
      <c r="EU171" s="33"/>
      <c r="EV171" s="33"/>
      <c r="EW171" s="33"/>
      <c r="EX171" s="33"/>
      <c r="EY171" s="33"/>
      <c r="EZ171" s="33"/>
      <c r="FA171" s="33"/>
      <c r="FB171" s="33"/>
      <c r="FC171" s="33"/>
      <c r="FD171" s="33"/>
      <c r="FE171" s="33"/>
      <c r="FF171" s="33"/>
      <c r="FG171" s="33"/>
      <c r="FH171" s="33"/>
      <c r="FI171" s="52"/>
      <c r="FJ171" s="41"/>
      <c r="FK171" s="41"/>
      <c r="FL171" s="41"/>
      <c r="FM171" s="41"/>
      <c r="FN171" s="41"/>
      <c r="FO171" s="41"/>
      <c r="FP171" s="44"/>
      <c r="FQ171" s="33"/>
      <c r="FR171" s="33"/>
      <c r="FS171" s="33"/>
      <c r="FT171" s="33"/>
      <c r="FU171" s="33"/>
      <c r="FV171" s="33"/>
      <c r="FW171" s="33"/>
      <c r="FX171" s="33"/>
      <c r="FY171" s="33"/>
      <c r="FZ171" s="33"/>
      <c r="GA171" s="33"/>
      <c r="GB171" s="33"/>
      <c r="GC171" s="33"/>
      <c r="GD171" s="33"/>
      <c r="GE171" s="33"/>
      <c r="GF171" s="33"/>
      <c r="GG171" s="33"/>
      <c r="GH171" s="33"/>
      <c r="GI171" s="33"/>
      <c r="GJ171" s="33"/>
      <c r="GK171" s="33"/>
      <c r="GL171" s="33"/>
      <c r="GM171" s="33"/>
      <c r="GN171" s="33"/>
      <c r="GO171" s="33"/>
      <c r="GP171" s="33"/>
      <c r="GQ171" s="33"/>
      <c r="GR171" s="33"/>
      <c r="GS171" s="33"/>
      <c r="GT171" s="33"/>
      <c r="GU171" s="33"/>
      <c r="GV171" s="33"/>
      <c r="GW171" s="33"/>
      <c r="GX171" s="33"/>
      <c r="GY171" s="33"/>
      <c r="GZ171" s="33"/>
      <c r="HA171" s="33"/>
      <c r="HB171" s="33"/>
      <c r="HC171" s="33"/>
      <c r="HD171" s="33"/>
      <c r="HE171" s="33"/>
      <c r="HF171" s="33"/>
      <c r="HG171" s="33"/>
      <c r="HH171" s="33"/>
      <c r="HI171" s="33"/>
      <c r="HJ171" s="33"/>
      <c r="HK171" s="33"/>
      <c r="HL171" s="33"/>
      <c r="HM171" s="33"/>
      <c r="HN171" s="33"/>
      <c r="HO171" s="33"/>
      <c r="HP171" s="102"/>
      <c r="HQ171" s="41"/>
      <c r="HR171" s="41"/>
      <c r="HS171" s="41"/>
      <c r="HT171" s="41"/>
      <c r="HU171" s="41"/>
      <c r="HV171" s="41"/>
      <c r="HW171" s="44"/>
      <c r="HX171" s="33"/>
      <c r="HY171" s="33"/>
      <c r="HZ171" s="33"/>
      <c r="IA171" s="33"/>
      <c r="IB171" s="33"/>
      <c r="IC171" s="33"/>
      <c r="ID171" s="33"/>
      <c r="IE171" s="33"/>
      <c r="IF171" s="33"/>
      <c r="IG171" s="33"/>
      <c r="IH171" s="33"/>
      <c r="II171" s="33"/>
      <c r="IJ171" s="33"/>
      <c r="IK171" s="33"/>
      <c r="IL171" s="33"/>
      <c r="IM171" s="33"/>
      <c r="IN171" s="33"/>
      <c r="IO171" s="33"/>
      <c r="IP171" s="33"/>
      <c r="IQ171" s="33"/>
      <c r="IR171" s="33"/>
      <c r="IS171" s="33"/>
      <c r="IT171" s="33"/>
      <c r="IU171" s="33"/>
      <c r="IV171" s="33"/>
      <c r="IW171" s="33"/>
      <c r="IX171" s="33"/>
      <c r="IY171" s="33"/>
      <c r="IZ171" s="33"/>
      <c r="JA171" s="33"/>
      <c r="JB171" s="33"/>
      <c r="JC171" s="33"/>
      <c r="JD171" s="33"/>
      <c r="JE171" s="33"/>
      <c r="JF171" s="33"/>
      <c r="JG171" s="33"/>
      <c r="JH171" s="33"/>
      <c r="JI171" s="33"/>
      <c r="JJ171" s="33"/>
      <c r="JK171" s="33"/>
      <c r="JL171" s="33"/>
      <c r="JM171" s="33"/>
      <c r="JN171" s="33"/>
      <c r="JO171" s="33"/>
      <c r="JP171" s="33"/>
      <c r="JQ171" s="33"/>
      <c r="JR171" s="33"/>
      <c r="JS171" s="33"/>
      <c r="JT171" s="33"/>
      <c r="JU171" s="33"/>
      <c r="JV171" s="33"/>
      <c r="JW171" s="102"/>
      <c r="JX171" s="41"/>
      <c r="JY171" s="41"/>
      <c r="JZ171" s="41"/>
      <c r="KA171" s="41"/>
      <c r="KB171" s="41"/>
      <c r="KC171" s="41"/>
      <c r="KD171" s="102"/>
      <c r="KE171" s="33"/>
      <c r="KF171" s="33"/>
      <c r="KG171" s="33"/>
      <c r="KH171" s="33"/>
      <c r="KI171" s="33"/>
      <c r="KJ171" s="33"/>
      <c r="KK171" s="33"/>
      <c r="KL171" s="33"/>
      <c r="KM171" s="33"/>
      <c r="KN171" s="33"/>
      <c r="KO171" s="33"/>
      <c r="KP171" s="33"/>
      <c r="KQ171" s="33"/>
      <c r="KR171" s="33"/>
      <c r="KS171" s="33"/>
      <c r="KT171" s="33"/>
      <c r="KU171" s="33"/>
      <c r="KV171" s="33"/>
      <c r="KW171" s="33"/>
      <c r="KX171" s="33"/>
      <c r="KY171" s="102"/>
      <c r="KZ171" s="41"/>
      <c r="LA171" s="41"/>
      <c r="LB171" s="41"/>
      <c r="LC171" s="41"/>
      <c r="LD171" s="41"/>
      <c r="LE171" s="41"/>
      <c r="LF171" s="44"/>
      <c r="LG171" s="33"/>
      <c r="LH171" s="33"/>
      <c r="LI171" s="33"/>
      <c r="LJ171" s="33"/>
      <c r="LK171" s="33"/>
      <c r="LL171" s="33"/>
      <c r="LM171" s="33"/>
      <c r="LN171" s="33"/>
      <c r="LO171" s="33"/>
      <c r="LP171" s="33"/>
      <c r="LQ171" s="33"/>
      <c r="LR171" s="33"/>
      <c r="LS171" s="33"/>
      <c r="LT171" s="33"/>
      <c r="LU171" s="33"/>
      <c r="LV171" s="33"/>
      <c r="LW171" s="33"/>
      <c r="LX171" s="33"/>
      <c r="LY171" s="33"/>
      <c r="LZ171" s="33"/>
      <c r="MA171" s="33"/>
      <c r="MB171" s="33"/>
      <c r="MC171" s="33"/>
      <c r="MD171" s="33"/>
      <c r="ME171" s="33"/>
      <c r="MF171" s="33"/>
      <c r="MG171" s="33"/>
      <c r="MH171" s="33"/>
      <c r="MI171" s="33"/>
      <c r="MJ171" s="33"/>
      <c r="MK171" s="33"/>
      <c r="ML171" s="33"/>
      <c r="MM171" s="33"/>
      <c r="MN171" s="33"/>
      <c r="MO171" s="33"/>
      <c r="MP171" s="33"/>
      <c r="MQ171" s="33"/>
      <c r="MR171" s="33"/>
      <c r="MS171" s="33"/>
      <c r="MT171" s="33"/>
      <c r="MU171" s="33"/>
      <c r="MV171" s="33"/>
    </row>
    <row r="172" spans="1:360" ht="0.75" customHeight="1" x14ac:dyDescent="0.25">
      <c r="A172" s="33"/>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3"/>
      <c r="AV172" s="79"/>
      <c r="AW172" s="41"/>
      <c r="AX172" s="41"/>
      <c r="AY172" s="41"/>
      <c r="AZ172" s="41"/>
      <c r="BA172" s="41"/>
      <c r="BB172" s="41"/>
      <c r="BC172" s="111"/>
      <c r="BD172" s="103"/>
      <c r="BE172" s="102"/>
      <c r="BF172" s="102"/>
      <c r="BG172" s="102"/>
      <c r="BH172" s="102"/>
      <c r="BI172" s="102"/>
      <c r="BJ172" s="102"/>
      <c r="BK172" s="102"/>
      <c r="BL172" s="102"/>
      <c r="BM172" s="102"/>
      <c r="BN172" s="102"/>
      <c r="BO172" s="102"/>
      <c r="BP172" s="102"/>
      <c r="BQ172" s="102"/>
      <c r="BR172" s="102"/>
      <c r="BS172" s="102"/>
      <c r="BT172" s="102"/>
      <c r="BU172" s="102"/>
      <c r="BV172" s="102"/>
      <c r="BW172" s="102"/>
      <c r="BX172" s="102"/>
      <c r="BY172" s="102"/>
      <c r="BZ172" s="102"/>
      <c r="CA172" s="102"/>
      <c r="CB172" s="102"/>
      <c r="CC172" s="105"/>
      <c r="CD172" s="106"/>
      <c r="CE172" s="54"/>
      <c r="CF172" s="33"/>
      <c r="CG172" s="33"/>
      <c r="CH172" s="33"/>
      <c r="CI172" s="33"/>
      <c r="CJ172" s="33"/>
      <c r="CK172" s="33"/>
      <c r="CL172" s="33"/>
      <c r="CM172" s="33"/>
      <c r="CN172" s="33"/>
      <c r="CO172" s="33"/>
      <c r="CP172" s="33"/>
      <c r="CQ172" s="33"/>
      <c r="CR172" s="33"/>
      <c r="CS172" s="33"/>
      <c r="CT172" s="33"/>
      <c r="CU172" s="33"/>
      <c r="CV172" s="33"/>
      <c r="CW172" s="33"/>
      <c r="CX172" s="33"/>
      <c r="CY172" s="33"/>
      <c r="CZ172" s="33"/>
      <c r="DA172" s="33"/>
      <c r="DB172" s="36"/>
      <c r="DC172" s="42"/>
      <c r="DD172" s="41"/>
      <c r="DE172" s="41"/>
      <c r="DF172" s="41"/>
      <c r="DG172" s="41"/>
      <c r="DH172" s="41"/>
      <c r="DI172" s="42"/>
      <c r="DJ172" s="36"/>
      <c r="DK172" s="33"/>
      <c r="DL172" s="33"/>
      <c r="DM172" s="33"/>
      <c r="DN172" s="33"/>
      <c r="DO172" s="33"/>
      <c r="DP172" s="107"/>
      <c r="DQ172" s="69"/>
      <c r="DR172" s="55"/>
      <c r="DS172" s="102"/>
      <c r="DT172" s="102"/>
      <c r="DU172" s="102"/>
      <c r="DV172" s="108"/>
      <c r="DW172" s="109"/>
      <c r="DX172" s="110"/>
      <c r="DY172" s="33"/>
      <c r="DZ172" s="33"/>
      <c r="EA172" s="33"/>
      <c r="EB172" s="33"/>
      <c r="EC172" s="33"/>
      <c r="ED172" s="33"/>
      <c r="EE172" s="79"/>
      <c r="EF172" s="41"/>
      <c r="EG172" s="41"/>
      <c r="EH172" s="41"/>
      <c r="EI172" s="41"/>
      <c r="EJ172" s="41"/>
      <c r="EK172" s="41"/>
      <c r="EL172" s="52"/>
      <c r="EM172" s="33"/>
      <c r="EN172" s="33"/>
      <c r="EO172" s="33"/>
      <c r="EP172" s="33"/>
      <c r="EQ172" s="33"/>
      <c r="ER172" s="33"/>
      <c r="ES172" s="33"/>
      <c r="ET172" s="33"/>
      <c r="EU172" s="33"/>
      <c r="EV172" s="33"/>
      <c r="EW172" s="33"/>
      <c r="EX172" s="33"/>
      <c r="EY172" s="33"/>
      <c r="EZ172" s="33"/>
      <c r="FA172" s="33"/>
      <c r="FB172" s="33"/>
      <c r="FC172" s="33"/>
      <c r="FD172" s="33"/>
      <c r="FE172" s="33"/>
      <c r="FF172" s="33"/>
      <c r="FG172" s="33"/>
      <c r="FH172" s="33"/>
      <c r="FI172" s="52"/>
      <c r="FJ172" s="41"/>
      <c r="FK172" s="41"/>
      <c r="FL172" s="41"/>
      <c r="FM172" s="41"/>
      <c r="FN172" s="41"/>
      <c r="FO172" s="41"/>
      <c r="FP172" s="44"/>
      <c r="FQ172" s="33"/>
      <c r="FR172" s="33"/>
      <c r="FS172" s="33"/>
      <c r="FT172" s="33"/>
      <c r="FU172" s="33"/>
      <c r="FV172" s="33"/>
      <c r="FW172" s="33"/>
      <c r="FX172" s="33"/>
      <c r="FY172" s="33"/>
      <c r="FZ172" s="33"/>
      <c r="GA172" s="33"/>
      <c r="GB172" s="33"/>
      <c r="GC172" s="33"/>
      <c r="GD172" s="33"/>
      <c r="GE172" s="33"/>
      <c r="GF172" s="33"/>
      <c r="GG172" s="33"/>
      <c r="GH172" s="33"/>
      <c r="GI172" s="33"/>
      <c r="GJ172" s="33"/>
      <c r="GK172" s="33"/>
      <c r="GL172" s="33"/>
      <c r="GM172" s="33"/>
      <c r="GN172" s="33"/>
      <c r="GO172" s="33"/>
      <c r="GP172" s="33"/>
      <c r="GQ172" s="33"/>
      <c r="GR172" s="33"/>
      <c r="GS172" s="33"/>
      <c r="GT172" s="33"/>
      <c r="GU172" s="33"/>
      <c r="GV172" s="33"/>
      <c r="GW172" s="33"/>
      <c r="GX172" s="33"/>
      <c r="GY172" s="33"/>
      <c r="GZ172" s="33"/>
      <c r="HA172" s="33"/>
      <c r="HB172" s="33"/>
      <c r="HC172" s="33"/>
      <c r="HD172" s="33"/>
      <c r="HE172" s="33"/>
      <c r="HF172" s="33"/>
      <c r="HG172" s="33"/>
      <c r="HH172" s="33"/>
      <c r="HI172" s="33"/>
      <c r="HJ172" s="33"/>
      <c r="HK172" s="33"/>
      <c r="HL172" s="33"/>
      <c r="HM172" s="33"/>
      <c r="HN172" s="33"/>
      <c r="HO172" s="33"/>
      <c r="HP172" s="102"/>
      <c r="HQ172" s="41"/>
      <c r="HR172" s="41"/>
      <c r="HS172" s="41"/>
      <c r="HT172" s="41"/>
      <c r="HU172" s="41"/>
      <c r="HV172" s="41"/>
      <c r="HW172" s="44"/>
      <c r="HX172" s="33"/>
      <c r="HY172" s="33"/>
      <c r="HZ172" s="33"/>
      <c r="IA172" s="33"/>
      <c r="IB172" s="33"/>
      <c r="IC172" s="33"/>
      <c r="ID172" s="33"/>
      <c r="IE172" s="33"/>
      <c r="IF172" s="33"/>
      <c r="IG172" s="33"/>
      <c r="IH172" s="33"/>
      <c r="II172" s="33"/>
      <c r="IJ172" s="33"/>
      <c r="IK172" s="33"/>
      <c r="IL172" s="33"/>
      <c r="IM172" s="33"/>
      <c r="IN172" s="33"/>
      <c r="IO172" s="33"/>
      <c r="IP172" s="33"/>
      <c r="IQ172" s="33"/>
      <c r="IR172" s="33"/>
      <c r="IS172" s="33"/>
      <c r="IT172" s="33"/>
      <c r="IU172" s="33"/>
      <c r="IV172" s="33"/>
      <c r="IW172" s="33"/>
      <c r="IX172" s="33"/>
      <c r="IY172" s="33"/>
      <c r="IZ172" s="33"/>
      <c r="JA172" s="33"/>
      <c r="JB172" s="33"/>
      <c r="JC172" s="33"/>
      <c r="JD172" s="33"/>
      <c r="JE172" s="33"/>
      <c r="JF172" s="33"/>
      <c r="JG172" s="33"/>
      <c r="JH172" s="33"/>
      <c r="JI172" s="33"/>
      <c r="JJ172" s="33"/>
      <c r="JK172" s="33"/>
      <c r="JL172" s="33"/>
      <c r="JM172" s="33"/>
      <c r="JN172" s="33"/>
      <c r="JO172" s="33"/>
      <c r="JP172" s="33"/>
      <c r="JQ172" s="33"/>
      <c r="JR172" s="33"/>
      <c r="JS172" s="33"/>
      <c r="JT172" s="33"/>
      <c r="JU172" s="33"/>
      <c r="JV172" s="33"/>
      <c r="JW172" s="102"/>
      <c r="JX172" s="41"/>
      <c r="JY172" s="41"/>
      <c r="JZ172" s="41"/>
      <c r="KA172" s="41"/>
      <c r="KB172" s="41"/>
      <c r="KC172" s="41"/>
      <c r="KD172" s="87"/>
      <c r="KE172" s="112"/>
      <c r="KF172" s="102"/>
      <c r="KG172" s="102"/>
      <c r="KH172" s="102"/>
      <c r="KI172" s="102"/>
      <c r="KJ172" s="102"/>
      <c r="KK172" s="102"/>
      <c r="KL172" s="102"/>
      <c r="KM172" s="102"/>
      <c r="KN172" s="102"/>
      <c r="KO172" s="102"/>
      <c r="KP172" s="102"/>
      <c r="KQ172" s="102"/>
      <c r="KR172" s="102"/>
      <c r="KS172" s="102"/>
      <c r="KT172" s="102"/>
      <c r="KU172" s="102"/>
      <c r="KV172" s="102"/>
      <c r="KW172" s="102"/>
      <c r="KX172" s="112"/>
      <c r="KY172" s="87"/>
      <c r="KZ172" s="41"/>
      <c r="LA172" s="41"/>
      <c r="LB172" s="41"/>
      <c r="LC172" s="41"/>
      <c r="LD172" s="41"/>
      <c r="LE172" s="41"/>
      <c r="LF172" s="44"/>
      <c r="LG172" s="33"/>
      <c r="LH172" s="33"/>
      <c r="LI172" s="33"/>
      <c r="LJ172" s="33"/>
      <c r="LK172" s="33"/>
      <c r="LL172" s="33"/>
      <c r="LM172" s="33"/>
      <c r="LN172" s="33"/>
      <c r="LO172" s="33"/>
      <c r="LP172" s="33"/>
      <c r="LQ172" s="33"/>
      <c r="LR172" s="33"/>
      <c r="LS172" s="33"/>
      <c r="LT172" s="33"/>
      <c r="LU172" s="33"/>
      <c r="LV172" s="33"/>
      <c r="LW172" s="33"/>
      <c r="LX172" s="33"/>
      <c r="LY172" s="33"/>
      <c r="LZ172" s="33"/>
      <c r="MA172" s="33"/>
      <c r="MB172" s="33"/>
      <c r="MC172" s="33"/>
      <c r="MD172" s="33"/>
      <c r="ME172" s="33"/>
      <c r="MF172" s="33"/>
      <c r="MG172" s="33"/>
      <c r="MH172" s="33"/>
      <c r="MI172" s="33"/>
      <c r="MJ172" s="33"/>
      <c r="MK172" s="33"/>
      <c r="ML172" s="33"/>
      <c r="MM172" s="33"/>
      <c r="MN172" s="33"/>
      <c r="MO172" s="33"/>
      <c r="MP172" s="33"/>
      <c r="MQ172" s="33"/>
      <c r="MR172" s="33"/>
      <c r="MS172" s="33"/>
      <c r="MT172" s="33"/>
      <c r="MU172" s="33"/>
      <c r="MV172" s="33"/>
    </row>
    <row r="173" spans="1:360" ht="0.75" customHeight="1" x14ac:dyDescent="0.25">
      <c r="A173" s="33"/>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3"/>
      <c r="AV173" s="79"/>
      <c r="AW173" s="41"/>
      <c r="AX173" s="41"/>
      <c r="AY173" s="41"/>
      <c r="AZ173" s="41"/>
      <c r="BA173" s="41"/>
      <c r="BB173" s="41"/>
      <c r="BC173" s="41"/>
      <c r="BD173" s="41"/>
      <c r="BE173" s="41"/>
      <c r="BF173" s="41"/>
      <c r="BG173" s="41"/>
      <c r="BH173" s="41"/>
      <c r="BI173" s="41"/>
      <c r="BJ173" s="41"/>
      <c r="BK173" s="41"/>
      <c r="BL173" s="41"/>
      <c r="BM173" s="41"/>
      <c r="BN173" s="41"/>
      <c r="BO173" s="41"/>
      <c r="BP173" s="41"/>
      <c r="BQ173" s="41"/>
      <c r="BR173" s="41"/>
      <c r="BS173" s="41"/>
      <c r="BT173" s="41"/>
      <c r="BU173" s="41"/>
      <c r="BV173" s="41"/>
      <c r="BW173" s="41"/>
      <c r="BX173" s="41"/>
      <c r="BY173" s="41"/>
      <c r="BZ173" s="41"/>
      <c r="CA173" s="41"/>
      <c r="CB173" s="41"/>
      <c r="CC173" s="41"/>
      <c r="CD173" s="41"/>
      <c r="CE173" s="63"/>
      <c r="CF173" s="33"/>
      <c r="CG173" s="33"/>
      <c r="CH173" s="33"/>
      <c r="CI173" s="33"/>
      <c r="CJ173" s="33"/>
      <c r="CK173" s="33"/>
      <c r="CL173" s="33"/>
      <c r="CM173" s="33"/>
      <c r="CN173" s="33"/>
      <c r="CO173" s="33"/>
      <c r="CP173" s="33"/>
      <c r="CQ173" s="33"/>
      <c r="CR173" s="33"/>
      <c r="CS173" s="33"/>
      <c r="CT173" s="33"/>
      <c r="CU173" s="33"/>
      <c r="CV173" s="33"/>
      <c r="CW173" s="33"/>
      <c r="CX173" s="33"/>
      <c r="CY173" s="33"/>
      <c r="CZ173" s="33"/>
      <c r="DA173" s="33"/>
      <c r="DB173" s="36"/>
      <c r="DC173" s="42"/>
      <c r="DD173" s="41"/>
      <c r="DE173" s="41"/>
      <c r="DF173" s="41"/>
      <c r="DG173" s="41"/>
      <c r="DH173" s="41"/>
      <c r="DI173" s="42"/>
      <c r="DJ173" s="36"/>
      <c r="DK173" s="33"/>
      <c r="DL173" s="33"/>
      <c r="DM173" s="33"/>
      <c r="DN173" s="33"/>
      <c r="DO173" s="33"/>
      <c r="DP173" s="36"/>
      <c r="DQ173" s="42"/>
      <c r="DR173" s="41"/>
      <c r="DS173" s="41"/>
      <c r="DT173" s="41"/>
      <c r="DU173" s="41"/>
      <c r="DV173" s="41"/>
      <c r="DW173" s="41"/>
      <c r="DX173" s="52"/>
      <c r="DY173" s="33"/>
      <c r="DZ173" s="33"/>
      <c r="EA173" s="33"/>
      <c r="EB173" s="33"/>
      <c r="EC173" s="33"/>
      <c r="ED173" s="33"/>
      <c r="EE173" s="79"/>
      <c r="EF173" s="41"/>
      <c r="EG173" s="41"/>
      <c r="EH173" s="41"/>
      <c r="EI173" s="41"/>
      <c r="EJ173" s="41"/>
      <c r="EK173" s="41"/>
      <c r="EL173" s="52"/>
      <c r="EM173" s="33"/>
      <c r="EN173" s="33"/>
      <c r="EO173" s="33"/>
      <c r="EP173" s="33"/>
      <c r="EQ173" s="33"/>
      <c r="ER173" s="33"/>
      <c r="ES173" s="33"/>
      <c r="ET173" s="33"/>
      <c r="EU173" s="33"/>
      <c r="EV173" s="33"/>
      <c r="EW173" s="33"/>
      <c r="EX173" s="33"/>
      <c r="EY173" s="33"/>
      <c r="EZ173" s="33"/>
      <c r="FA173" s="33"/>
      <c r="FB173" s="33"/>
      <c r="FC173" s="33"/>
      <c r="FD173" s="33"/>
      <c r="FE173" s="33"/>
      <c r="FF173" s="33"/>
      <c r="FG173" s="33"/>
      <c r="FH173" s="33"/>
      <c r="FI173" s="52"/>
      <c r="FJ173" s="41"/>
      <c r="FK173" s="41"/>
      <c r="FL173" s="41"/>
      <c r="FM173" s="41"/>
      <c r="FN173" s="41"/>
      <c r="FO173" s="41"/>
      <c r="FP173" s="44"/>
      <c r="FQ173" s="33"/>
      <c r="FR173" s="33"/>
      <c r="FS173" s="33"/>
      <c r="FT173" s="33"/>
      <c r="FU173" s="33"/>
      <c r="FV173" s="33"/>
      <c r="FW173" s="33"/>
      <c r="FX173" s="33"/>
      <c r="FY173" s="33"/>
      <c r="FZ173" s="33"/>
      <c r="GA173" s="33"/>
      <c r="GB173" s="33"/>
      <c r="GC173" s="33"/>
      <c r="GD173" s="33"/>
      <c r="GE173" s="33"/>
      <c r="GF173" s="33"/>
      <c r="GG173" s="33"/>
      <c r="GH173" s="33"/>
      <c r="GI173" s="33"/>
      <c r="GJ173" s="33"/>
      <c r="GK173" s="33"/>
      <c r="GL173" s="33"/>
      <c r="GM173" s="33"/>
      <c r="GN173" s="33"/>
      <c r="GO173" s="33"/>
      <c r="GP173" s="33"/>
      <c r="GQ173" s="33"/>
      <c r="GR173" s="33"/>
      <c r="GS173" s="33"/>
      <c r="GT173" s="33"/>
      <c r="GU173" s="33"/>
      <c r="GV173" s="33"/>
      <c r="GW173" s="33"/>
      <c r="GX173" s="33"/>
      <c r="GY173" s="33"/>
      <c r="GZ173" s="33"/>
      <c r="HA173" s="33"/>
      <c r="HB173" s="33"/>
      <c r="HC173" s="33"/>
      <c r="HD173" s="33"/>
      <c r="HE173" s="33"/>
      <c r="HF173" s="33"/>
      <c r="HG173" s="33"/>
      <c r="HH173" s="33"/>
      <c r="HI173" s="33"/>
      <c r="HJ173" s="33"/>
      <c r="HK173" s="33"/>
      <c r="HL173" s="33"/>
      <c r="HM173" s="33"/>
      <c r="HN173" s="33"/>
      <c r="HO173" s="33"/>
      <c r="HP173" s="102"/>
      <c r="HQ173" s="41"/>
      <c r="HR173" s="41"/>
      <c r="HS173" s="41"/>
      <c r="HT173" s="41"/>
      <c r="HU173" s="41"/>
      <c r="HV173" s="41"/>
      <c r="HW173" s="44"/>
      <c r="HX173" s="33"/>
      <c r="HY173" s="33"/>
      <c r="HZ173" s="33"/>
      <c r="IA173" s="33"/>
      <c r="IB173" s="33"/>
      <c r="IC173" s="33"/>
      <c r="ID173" s="33"/>
      <c r="IE173" s="33"/>
      <c r="IF173" s="33"/>
      <c r="IG173" s="33"/>
      <c r="IH173" s="33"/>
      <c r="II173" s="33"/>
      <c r="IJ173" s="33"/>
      <c r="IK173" s="33"/>
      <c r="IL173" s="33"/>
      <c r="IM173" s="33"/>
      <c r="IN173" s="33"/>
      <c r="IO173" s="33"/>
      <c r="IP173" s="33"/>
      <c r="IQ173" s="33"/>
      <c r="IR173" s="33"/>
      <c r="IS173" s="33"/>
      <c r="IT173" s="33"/>
      <c r="IU173" s="33"/>
      <c r="IV173" s="33"/>
      <c r="IW173" s="33"/>
      <c r="IX173" s="33"/>
      <c r="IY173" s="33"/>
      <c r="IZ173" s="33"/>
      <c r="JA173" s="33"/>
      <c r="JB173" s="33"/>
      <c r="JC173" s="33"/>
      <c r="JD173" s="33"/>
      <c r="JE173" s="33"/>
      <c r="JF173" s="33"/>
      <c r="JG173" s="33"/>
      <c r="JH173" s="33"/>
      <c r="JI173" s="33"/>
      <c r="JJ173" s="33"/>
      <c r="JK173" s="33"/>
      <c r="JL173" s="33"/>
      <c r="JM173" s="33"/>
      <c r="JN173" s="33"/>
      <c r="JO173" s="33"/>
      <c r="JP173" s="33"/>
      <c r="JQ173" s="33"/>
      <c r="JR173" s="33"/>
      <c r="JS173" s="33"/>
      <c r="JT173" s="33"/>
      <c r="JU173" s="33"/>
      <c r="JV173" s="33"/>
      <c r="JW173" s="102"/>
      <c r="JX173" s="41"/>
      <c r="JY173" s="41"/>
      <c r="JZ173" s="41"/>
      <c r="KA173" s="41"/>
      <c r="KB173" s="41"/>
      <c r="KC173" s="41"/>
      <c r="KD173" s="41"/>
      <c r="KE173" s="41"/>
      <c r="KF173" s="41"/>
      <c r="KG173" s="41"/>
      <c r="KH173" s="41"/>
      <c r="KI173" s="41"/>
      <c r="KJ173" s="41"/>
      <c r="KK173" s="41"/>
      <c r="KL173" s="41"/>
      <c r="KM173" s="41"/>
      <c r="KN173" s="41"/>
      <c r="KO173" s="41"/>
      <c r="KP173" s="41"/>
      <c r="KQ173" s="41"/>
      <c r="KR173" s="41"/>
      <c r="KS173" s="41"/>
      <c r="KT173" s="41"/>
      <c r="KU173" s="41"/>
      <c r="KV173" s="41"/>
      <c r="KW173" s="41"/>
      <c r="KX173" s="41"/>
      <c r="KY173" s="41"/>
      <c r="KZ173" s="41"/>
      <c r="LA173" s="41"/>
      <c r="LB173" s="41"/>
      <c r="LC173" s="41"/>
      <c r="LD173" s="41"/>
      <c r="LE173" s="41"/>
      <c r="LF173" s="44"/>
      <c r="LG173" s="33"/>
      <c r="LH173" s="33"/>
      <c r="LI173" s="33"/>
      <c r="LJ173" s="33"/>
      <c r="LK173" s="33"/>
      <c r="LL173" s="33"/>
      <c r="LM173" s="33"/>
      <c r="LN173" s="33"/>
      <c r="LO173" s="33"/>
      <c r="LP173" s="33"/>
      <c r="LQ173" s="33"/>
      <c r="LR173" s="33"/>
      <c r="LS173" s="33"/>
      <c r="LT173" s="33"/>
      <c r="LU173" s="33"/>
      <c r="LV173" s="33"/>
      <c r="LW173" s="33"/>
      <c r="LX173" s="33"/>
      <c r="LY173" s="33"/>
      <c r="LZ173" s="33"/>
      <c r="MA173" s="33"/>
      <c r="MB173" s="33"/>
      <c r="MC173" s="33"/>
      <c r="MD173" s="33"/>
      <c r="ME173" s="33"/>
      <c r="MF173" s="33"/>
      <c r="MG173" s="33"/>
      <c r="MH173" s="33"/>
      <c r="MI173" s="33"/>
      <c r="MJ173" s="33"/>
      <c r="MK173" s="33"/>
      <c r="ML173" s="33"/>
      <c r="MM173" s="33"/>
      <c r="MN173" s="33"/>
      <c r="MO173" s="33"/>
      <c r="MP173" s="33"/>
      <c r="MQ173" s="33"/>
      <c r="MR173" s="33"/>
      <c r="MS173" s="33"/>
      <c r="MT173" s="33"/>
      <c r="MU173" s="33"/>
      <c r="MV173" s="33"/>
    </row>
    <row r="174" spans="1:360" ht="0.75" customHeight="1" x14ac:dyDescent="0.25">
      <c r="A174" s="33"/>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3"/>
      <c r="AV174" s="79"/>
      <c r="AW174" s="41"/>
      <c r="AX174" s="41"/>
      <c r="AY174" s="41"/>
      <c r="AZ174" s="41"/>
      <c r="BA174" s="41"/>
      <c r="BB174" s="41"/>
      <c r="BC174" s="41"/>
      <c r="BD174" s="41"/>
      <c r="BE174" s="41"/>
      <c r="BF174" s="41"/>
      <c r="BG174" s="41"/>
      <c r="BH174" s="41"/>
      <c r="BI174" s="41"/>
      <c r="BJ174" s="41"/>
      <c r="BK174" s="41"/>
      <c r="BL174" s="41"/>
      <c r="BM174" s="41"/>
      <c r="BN174" s="41"/>
      <c r="BO174" s="41"/>
      <c r="BP174" s="41"/>
      <c r="BQ174" s="41"/>
      <c r="BR174" s="41"/>
      <c r="BS174" s="41"/>
      <c r="BT174" s="41"/>
      <c r="BU174" s="41"/>
      <c r="BV174" s="41"/>
      <c r="BW174" s="41"/>
      <c r="BX174" s="41"/>
      <c r="BY174" s="41"/>
      <c r="BZ174" s="41"/>
      <c r="CA174" s="41"/>
      <c r="CB174" s="41"/>
      <c r="CC174" s="41"/>
      <c r="CD174" s="41"/>
      <c r="CE174" s="63"/>
      <c r="CF174" s="33"/>
      <c r="CG174" s="33"/>
      <c r="CH174" s="33"/>
      <c r="CI174" s="33"/>
      <c r="CJ174" s="33"/>
      <c r="CK174" s="33"/>
      <c r="CL174" s="33"/>
      <c r="CM174" s="33"/>
      <c r="CN174" s="33"/>
      <c r="CO174" s="33"/>
      <c r="CP174" s="33"/>
      <c r="CQ174" s="33"/>
      <c r="CR174" s="33"/>
      <c r="CS174" s="33"/>
      <c r="CT174" s="33"/>
      <c r="CU174" s="33"/>
      <c r="CV174" s="33"/>
      <c r="CW174" s="33"/>
      <c r="CX174" s="33"/>
      <c r="CY174" s="33"/>
      <c r="CZ174" s="33"/>
      <c r="DA174" s="33"/>
      <c r="DB174" s="36"/>
      <c r="DC174" s="42"/>
      <c r="DD174" s="41"/>
      <c r="DE174" s="41"/>
      <c r="DF174" s="41"/>
      <c r="DG174" s="41"/>
      <c r="DH174" s="41"/>
      <c r="DI174" s="42"/>
      <c r="DJ174" s="36"/>
      <c r="DK174" s="33"/>
      <c r="DL174" s="33"/>
      <c r="DM174" s="33"/>
      <c r="DN174" s="33"/>
      <c r="DO174" s="33"/>
      <c r="DP174" s="36"/>
      <c r="DQ174" s="42"/>
      <c r="DR174" s="41"/>
      <c r="DS174" s="41"/>
      <c r="DT174" s="41"/>
      <c r="DU174" s="41"/>
      <c r="DV174" s="41"/>
      <c r="DW174" s="41"/>
      <c r="DX174" s="52"/>
      <c r="DY174" s="33"/>
      <c r="DZ174" s="33"/>
      <c r="EA174" s="33"/>
      <c r="EB174" s="33"/>
      <c r="EC174" s="33"/>
      <c r="ED174" s="33"/>
      <c r="EE174" s="79"/>
      <c r="EF174" s="41"/>
      <c r="EG174" s="41"/>
      <c r="EH174" s="41"/>
      <c r="EI174" s="41"/>
      <c r="EJ174" s="41"/>
      <c r="EK174" s="41"/>
      <c r="EL174" s="52"/>
      <c r="EM174" s="33"/>
      <c r="EN174" s="33"/>
      <c r="EO174" s="33"/>
      <c r="EP174" s="33"/>
      <c r="EQ174" s="33"/>
      <c r="ER174" s="33"/>
      <c r="ES174" s="33"/>
      <c r="ET174" s="33"/>
      <c r="EU174" s="33"/>
      <c r="EV174" s="33"/>
      <c r="EW174" s="33"/>
      <c r="EX174" s="33"/>
      <c r="EY174" s="33"/>
      <c r="EZ174" s="33"/>
      <c r="FA174" s="33"/>
      <c r="FB174" s="33"/>
      <c r="FC174" s="33"/>
      <c r="FD174" s="33"/>
      <c r="FE174" s="33"/>
      <c r="FF174" s="33"/>
      <c r="FG174" s="33"/>
      <c r="FH174" s="33"/>
      <c r="FI174" s="52"/>
      <c r="FJ174" s="41"/>
      <c r="FK174" s="41"/>
      <c r="FL174" s="41"/>
      <c r="FM174" s="41"/>
      <c r="FN174" s="41"/>
      <c r="FO174" s="41"/>
      <c r="FP174" s="44"/>
      <c r="FQ174" s="33"/>
      <c r="FR174" s="33"/>
      <c r="FS174" s="33"/>
      <c r="FT174" s="33"/>
      <c r="FU174" s="33"/>
      <c r="FV174" s="33"/>
      <c r="FW174" s="33"/>
      <c r="FX174" s="33"/>
      <c r="FY174" s="33"/>
      <c r="FZ174" s="33"/>
      <c r="GA174" s="33"/>
      <c r="GB174" s="33"/>
      <c r="GC174" s="33"/>
      <c r="GD174" s="33"/>
      <c r="GE174" s="33"/>
      <c r="GF174" s="33"/>
      <c r="GG174" s="33"/>
      <c r="GH174" s="33"/>
      <c r="GI174" s="33"/>
      <c r="GJ174" s="33"/>
      <c r="GK174" s="33"/>
      <c r="GL174" s="33"/>
      <c r="GM174" s="33"/>
      <c r="GN174" s="33"/>
      <c r="GO174" s="33"/>
      <c r="GP174" s="33"/>
      <c r="GQ174" s="33"/>
      <c r="GR174" s="33"/>
      <c r="GS174" s="33"/>
      <c r="GT174" s="33"/>
      <c r="GU174" s="33"/>
      <c r="GV174" s="33"/>
      <c r="GW174" s="33"/>
      <c r="GX174" s="33"/>
      <c r="GY174" s="33"/>
      <c r="GZ174" s="33"/>
      <c r="HA174" s="33"/>
      <c r="HB174" s="33"/>
      <c r="HC174" s="33"/>
      <c r="HD174" s="33"/>
      <c r="HE174" s="33"/>
      <c r="HF174" s="33"/>
      <c r="HG174" s="33"/>
      <c r="HH174" s="33"/>
      <c r="HI174" s="33"/>
      <c r="HJ174" s="33"/>
      <c r="HK174" s="33"/>
      <c r="HL174" s="33"/>
      <c r="HM174" s="33"/>
      <c r="HN174" s="33"/>
      <c r="HO174" s="33"/>
      <c r="HP174" s="102"/>
      <c r="HQ174" s="41"/>
      <c r="HR174" s="41"/>
      <c r="HS174" s="41"/>
      <c r="HT174" s="41"/>
      <c r="HU174" s="41"/>
      <c r="HV174" s="41"/>
      <c r="HW174" s="44"/>
      <c r="HX174" s="33"/>
      <c r="HY174" s="33"/>
      <c r="HZ174" s="33"/>
      <c r="IA174" s="33"/>
      <c r="IB174" s="33"/>
      <c r="IC174" s="33"/>
      <c r="ID174" s="33"/>
      <c r="IE174" s="33"/>
      <c r="IF174" s="33"/>
      <c r="IG174" s="33"/>
      <c r="IH174" s="33"/>
      <c r="II174" s="33"/>
      <c r="IJ174" s="33"/>
      <c r="IK174" s="33"/>
      <c r="IL174" s="33"/>
      <c r="IM174" s="33"/>
      <c r="IN174" s="33"/>
      <c r="IO174" s="33"/>
      <c r="IP174" s="33"/>
      <c r="IQ174" s="33"/>
      <c r="IR174" s="33"/>
      <c r="IS174" s="33"/>
      <c r="IT174" s="33"/>
      <c r="IU174" s="33"/>
      <c r="IV174" s="33"/>
      <c r="IW174" s="33"/>
      <c r="IX174" s="33"/>
      <c r="IY174" s="33"/>
      <c r="IZ174" s="33"/>
      <c r="JA174" s="33"/>
      <c r="JB174" s="33"/>
      <c r="JC174" s="33"/>
      <c r="JD174" s="33"/>
      <c r="JE174" s="33"/>
      <c r="JF174" s="33"/>
      <c r="JG174" s="33"/>
      <c r="JH174" s="33"/>
      <c r="JI174" s="33"/>
      <c r="JJ174" s="33"/>
      <c r="JK174" s="33"/>
      <c r="JL174" s="33"/>
      <c r="JM174" s="33"/>
      <c r="JN174" s="33"/>
      <c r="JO174" s="33"/>
      <c r="JP174" s="33"/>
      <c r="JQ174" s="33"/>
      <c r="JR174" s="33"/>
      <c r="JS174" s="33"/>
      <c r="JT174" s="33"/>
      <c r="JU174" s="33"/>
      <c r="JV174" s="33"/>
      <c r="JW174" s="102"/>
      <c r="JX174" s="41"/>
      <c r="JY174" s="41"/>
      <c r="JZ174" s="41"/>
      <c r="KA174" s="41"/>
      <c r="KB174" s="41"/>
      <c r="KC174" s="41"/>
      <c r="KD174" s="41"/>
      <c r="KE174" s="41"/>
      <c r="KF174" s="41"/>
      <c r="KG174" s="41"/>
      <c r="KH174" s="41"/>
      <c r="KI174" s="41"/>
      <c r="KJ174" s="41"/>
      <c r="KK174" s="41"/>
      <c r="KL174" s="41"/>
      <c r="KM174" s="41"/>
      <c r="KN174" s="41"/>
      <c r="KO174" s="41"/>
      <c r="KP174" s="41"/>
      <c r="KQ174" s="41"/>
      <c r="KR174" s="41"/>
      <c r="KS174" s="41"/>
      <c r="KT174" s="41"/>
      <c r="KU174" s="41"/>
      <c r="KV174" s="41"/>
      <c r="KW174" s="41"/>
      <c r="KX174" s="41"/>
      <c r="KY174" s="41"/>
      <c r="KZ174" s="41"/>
      <c r="LA174" s="41"/>
      <c r="LB174" s="41"/>
      <c r="LC174" s="41"/>
      <c r="LD174" s="41"/>
      <c r="LE174" s="41"/>
      <c r="LF174" s="44"/>
      <c r="LG174" s="33"/>
      <c r="LH174" s="33"/>
      <c r="LI174" s="33"/>
      <c r="LJ174" s="33"/>
      <c r="LK174" s="33"/>
      <c r="LL174" s="33"/>
      <c r="LM174" s="33"/>
      <c r="LN174" s="33"/>
      <c r="LO174" s="33"/>
      <c r="LP174" s="33"/>
      <c r="LQ174" s="33"/>
      <c r="LR174" s="33"/>
      <c r="LS174" s="33"/>
      <c r="LT174" s="33"/>
      <c r="LU174" s="33"/>
      <c r="LV174" s="33"/>
      <c r="LW174" s="33"/>
      <c r="LX174" s="33"/>
      <c r="LY174" s="33"/>
      <c r="LZ174" s="33"/>
      <c r="MA174" s="33"/>
      <c r="MB174" s="33"/>
      <c r="MC174" s="33"/>
      <c r="MD174" s="33"/>
      <c r="ME174" s="33"/>
      <c r="MF174" s="33"/>
      <c r="MG174" s="33"/>
      <c r="MH174" s="33"/>
      <c r="MI174" s="33"/>
      <c r="MJ174" s="33"/>
      <c r="MK174" s="33"/>
      <c r="ML174" s="33"/>
      <c r="MM174" s="33"/>
      <c r="MN174" s="33"/>
      <c r="MO174" s="33"/>
      <c r="MP174" s="33"/>
      <c r="MQ174" s="33"/>
      <c r="MR174" s="33"/>
      <c r="MS174" s="33"/>
      <c r="MT174" s="33"/>
      <c r="MU174" s="33"/>
      <c r="MV174" s="33"/>
    </row>
    <row r="175" spans="1:360" ht="0.75" customHeight="1" x14ac:dyDescent="0.25">
      <c r="A175" s="33"/>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3"/>
      <c r="AV175" s="79"/>
      <c r="AW175" s="41"/>
      <c r="AX175" s="41"/>
      <c r="AY175" s="41"/>
      <c r="AZ175" s="41"/>
      <c r="BA175" s="41"/>
      <c r="BB175" s="41"/>
      <c r="BC175" s="41"/>
      <c r="BD175" s="41"/>
      <c r="BE175" s="41"/>
      <c r="BF175" s="41"/>
      <c r="BG175" s="41"/>
      <c r="BH175" s="41"/>
      <c r="BI175" s="41"/>
      <c r="BJ175" s="41"/>
      <c r="BK175" s="41"/>
      <c r="BL175" s="41"/>
      <c r="BM175" s="41"/>
      <c r="BN175" s="41"/>
      <c r="BO175" s="41"/>
      <c r="BP175" s="41"/>
      <c r="BQ175" s="41"/>
      <c r="BR175" s="41"/>
      <c r="BS175" s="41"/>
      <c r="BT175" s="41"/>
      <c r="BU175" s="41"/>
      <c r="BV175" s="41"/>
      <c r="BW175" s="41"/>
      <c r="BX175" s="41"/>
      <c r="BY175" s="41"/>
      <c r="BZ175" s="41"/>
      <c r="CA175" s="41"/>
      <c r="CB175" s="41"/>
      <c r="CC175" s="41"/>
      <c r="CD175" s="41"/>
      <c r="CE175" s="63"/>
      <c r="CF175" s="33"/>
      <c r="CG175" s="33"/>
      <c r="CH175" s="33"/>
      <c r="CI175" s="33"/>
      <c r="CJ175" s="33"/>
      <c r="CK175" s="33"/>
      <c r="CL175" s="33"/>
      <c r="CM175" s="33"/>
      <c r="CN175" s="33"/>
      <c r="CO175" s="33"/>
      <c r="CP175" s="33"/>
      <c r="CQ175" s="33"/>
      <c r="CR175" s="33"/>
      <c r="CS175" s="33"/>
      <c r="CT175" s="33"/>
      <c r="CU175" s="33"/>
      <c r="CV175" s="33"/>
      <c r="CW175" s="33"/>
      <c r="CX175" s="33"/>
      <c r="CY175" s="33"/>
      <c r="CZ175" s="33"/>
      <c r="DA175" s="33"/>
      <c r="DB175" s="36"/>
      <c r="DC175" s="42"/>
      <c r="DD175" s="41"/>
      <c r="DE175" s="41"/>
      <c r="DF175" s="41"/>
      <c r="DG175" s="41"/>
      <c r="DH175" s="41"/>
      <c r="DI175" s="42"/>
      <c r="DJ175" s="36"/>
      <c r="DK175" s="33"/>
      <c r="DL175" s="33"/>
      <c r="DM175" s="33"/>
      <c r="DN175" s="33"/>
      <c r="DO175" s="33"/>
      <c r="DP175" s="36"/>
      <c r="DQ175" s="42"/>
      <c r="DR175" s="41"/>
      <c r="DS175" s="41"/>
      <c r="DT175" s="41"/>
      <c r="DU175" s="41"/>
      <c r="DV175" s="41"/>
      <c r="DW175" s="41"/>
      <c r="DX175" s="52"/>
      <c r="DY175" s="33"/>
      <c r="DZ175" s="33"/>
      <c r="EA175" s="33"/>
      <c r="EB175" s="33"/>
      <c r="EC175" s="33"/>
      <c r="ED175" s="33"/>
      <c r="EE175" s="79"/>
      <c r="EF175" s="41"/>
      <c r="EG175" s="41"/>
      <c r="EH175" s="41"/>
      <c r="EI175" s="41"/>
      <c r="EJ175" s="41"/>
      <c r="EK175" s="41"/>
      <c r="EL175" s="52"/>
      <c r="EM175" s="33"/>
      <c r="EN175" s="33"/>
      <c r="EO175" s="33"/>
      <c r="EP175" s="33"/>
      <c r="EQ175" s="33"/>
      <c r="ER175" s="33"/>
      <c r="ES175" s="33"/>
      <c r="ET175" s="33"/>
      <c r="EU175" s="33"/>
      <c r="EV175" s="33"/>
      <c r="EW175" s="33"/>
      <c r="EX175" s="33"/>
      <c r="EY175" s="33"/>
      <c r="EZ175" s="33"/>
      <c r="FA175" s="33"/>
      <c r="FB175" s="33"/>
      <c r="FC175" s="33"/>
      <c r="FD175" s="33"/>
      <c r="FE175" s="33"/>
      <c r="FF175" s="33"/>
      <c r="FG175" s="33"/>
      <c r="FH175" s="33"/>
      <c r="FI175" s="52"/>
      <c r="FJ175" s="41"/>
      <c r="FK175" s="41"/>
      <c r="FL175" s="41"/>
      <c r="FM175" s="41"/>
      <c r="FN175" s="41"/>
      <c r="FO175" s="41"/>
      <c r="FP175" s="44"/>
      <c r="FQ175" s="33"/>
      <c r="FR175" s="33"/>
      <c r="FS175" s="33"/>
      <c r="FT175" s="33"/>
      <c r="FU175" s="33"/>
      <c r="FV175" s="33"/>
      <c r="FW175" s="33"/>
      <c r="FX175" s="33"/>
      <c r="FY175" s="33"/>
      <c r="FZ175" s="33"/>
      <c r="GA175" s="33"/>
      <c r="GB175" s="33"/>
      <c r="GC175" s="33"/>
      <c r="GD175" s="33"/>
      <c r="GE175" s="33"/>
      <c r="GF175" s="33"/>
      <c r="GG175" s="33"/>
      <c r="GH175" s="33"/>
      <c r="GI175" s="33"/>
      <c r="GJ175" s="33"/>
      <c r="GK175" s="33"/>
      <c r="GL175" s="33"/>
      <c r="GM175" s="33"/>
      <c r="GN175" s="33"/>
      <c r="GO175" s="33"/>
      <c r="GP175" s="33"/>
      <c r="GQ175" s="33"/>
      <c r="GR175" s="33"/>
      <c r="GS175" s="33"/>
      <c r="GT175" s="33"/>
      <c r="GU175" s="33"/>
      <c r="GV175" s="33"/>
      <c r="GW175" s="33"/>
      <c r="GX175" s="33"/>
      <c r="GY175" s="33"/>
      <c r="GZ175" s="33"/>
      <c r="HA175" s="33"/>
      <c r="HB175" s="33"/>
      <c r="HC175" s="33"/>
      <c r="HD175" s="33"/>
      <c r="HE175" s="33"/>
      <c r="HF175" s="33"/>
      <c r="HG175" s="33"/>
      <c r="HH175" s="33"/>
      <c r="HI175" s="33"/>
      <c r="HJ175" s="33"/>
      <c r="HK175" s="33"/>
      <c r="HL175" s="33"/>
      <c r="HM175" s="33"/>
      <c r="HN175" s="33"/>
      <c r="HO175" s="33"/>
      <c r="HP175" s="102"/>
      <c r="HQ175" s="41"/>
      <c r="HR175" s="41"/>
      <c r="HS175" s="41"/>
      <c r="HT175" s="41"/>
      <c r="HU175" s="41"/>
      <c r="HV175" s="41"/>
      <c r="HW175" s="44"/>
      <c r="HX175" s="33"/>
      <c r="HY175" s="33"/>
      <c r="HZ175" s="33"/>
      <c r="IA175" s="33"/>
      <c r="IB175" s="33"/>
      <c r="IC175" s="33"/>
      <c r="ID175" s="33"/>
      <c r="IE175" s="33"/>
      <c r="IF175" s="33"/>
      <c r="IG175" s="33"/>
      <c r="IH175" s="33"/>
      <c r="II175" s="33"/>
      <c r="IJ175" s="33"/>
      <c r="IK175" s="33"/>
      <c r="IL175" s="33"/>
      <c r="IM175" s="33"/>
      <c r="IN175" s="33"/>
      <c r="IO175" s="33"/>
      <c r="IP175" s="33"/>
      <c r="IQ175" s="33"/>
      <c r="IR175" s="33"/>
      <c r="IS175" s="33"/>
      <c r="IT175" s="33"/>
      <c r="IU175" s="33"/>
      <c r="IV175" s="33"/>
      <c r="IW175" s="33"/>
      <c r="IX175" s="33"/>
      <c r="IY175" s="33"/>
      <c r="IZ175" s="33"/>
      <c r="JA175" s="33"/>
      <c r="JB175" s="33"/>
      <c r="JC175" s="33"/>
      <c r="JD175" s="33"/>
      <c r="JE175" s="33"/>
      <c r="JF175" s="33"/>
      <c r="JG175" s="33"/>
      <c r="JH175" s="33"/>
      <c r="JI175" s="33"/>
      <c r="JJ175" s="33"/>
      <c r="JK175" s="33"/>
      <c r="JL175" s="33"/>
      <c r="JM175" s="33"/>
      <c r="JN175" s="33"/>
      <c r="JO175" s="33"/>
      <c r="JP175" s="33"/>
      <c r="JQ175" s="33"/>
      <c r="JR175" s="33"/>
      <c r="JS175" s="33"/>
      <c r="JT175" s="33"/>
      <c r="JU175" s="33"/>
      <c r="JV175" s="33"/>
      <c r="JW175" s="102"/>
      <c r="JX175" s="41"/>
      <c r="JY175" s="41"/>
      <c r="JZ175" s="41"/>
      <c r="KA175" s="41"/>
      <c r="KB175" s="41"/>
      <c r="KC175" s="41"/>
      <c r="KD175" s="41"/>
      <c r="KE175" s="41"/>
      <c r="KF175" s="41"/>
      <c r="KG175" s="41"/>
      <c r="KH175" s="41"/>
      <c r="KI175" s="41"/>
      <c r="KJ175" s="41"/>
      <c r="KK175" s="41"/>
      <c r="KL175" s="41"/>
      <c r="KM175" s="41"/>
      <c r="KN175" s="41"/>
      <c r="KO175" s="41"/>
      <c r="KP175" s="41"/>
      <c r="KQ175" s="41"/>
      <c r="KR175" s="41"/>
      <c r="KS175" s="41"/>
      <c r="KT175" s="41"/>
      <c r="KU175" s="41"/>
      <c r="KV175" s="41"/>
      <c r="KW175" s="41"/>
      <c r="KX175" s="41"/>
      <c r="KY175" s="41"/>
      <c r="KZ175" s="41"/>
      <c r="LA175" s="41"/>
      <c r="LB175" s="41"/>
      <c r="LC175" s="41"/>
      <c r="LD175" s="41"/>
      <c r="LE175" s="41"/>
      <c r="LF175" s="44"/>
      <c r="LG175" s="33"/>
      <c r="LH175" s="33"/>
      <c r="LI175" s="33"/>
      <c r="LJ175" s="33"/>
      <c r="LK175" s="33"/>
      <c r="LL175" s="33"/>
      <c r="LM175" s="33"/>
      <c r="LN175" s="33"/>
      <c r="LO175" s="33"/>
      <c r="LP175" s="33"/>
      <c r="LQ175" s="33"/>
      <c r="LR175" s="33"/>
      <c r="LS175" s="33"/>
      <c r="LT175" s="33"/>
      <c r="LU175" s="33"/>
      <c r="LV175" s="33"/>
      <c r="LW175" s="33"/>
      <c r="LX175" s="33"/>
      <c r="LY175" s="33"/>
      <c r="LZ175" s="33"/>
      <c r="MA175" s="33"/>
      <c r="MB175" s="33"/>
      <c r="MC175" s="33"/>
      <c r="MD175" s="33"/>
      <c r="ME175" s="33"/>
      <c r="MF175" s="33"/>
      <c r="MG175" s="33"/>
      <c r="MH175" s="33"/>
      <c r="MI175" s="33"/>
      <c r="MJ175" s="33"/>
      <c r="MK175" s="33"/>
      <c r="ML175" s="33"/>
      <c r="MM175" s="33"/>
      <c r="MN175" s="33"/>
      <c r="MO175" s="33"/>
      <c r="MP175" s="33"/>
      <c r="MQ175" s="33"/>
      <c r="MR175" s="33"/>
      <c r="MS175" s="33"/>
      <c r="MT175" s="33"/>
      <c r="MU175" s="33"/>
      <c r="MV175" s="33"/>
    </row>
    <row r="176" spans="1:360" ht="0.75" customHeight="1" x14ac:dyDescent="0.25">
      <c r="A176" s="33"/>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3"/>
      <c r="AV176" s="79"/>
      <c r="AW176" s="41"/>
      <c r="AX176" s="41"/>
      <c r="AY176" s="41"/>
      <c r="AZ176" s="41"/>
      <c r="BA176" s="41"/>
      <c r="BB176" s="41"/>
      <c r="BC176" s="41"/>
      <c r="BD176" s="41"/>
      <c r="BE176" s="41"/>
      <c r="BF176" s="41"/>
      <c r="BG176" s="41"/>
      <c r="BH176" s="41"/>
      <c r="BI176" s="41"/>
      <c r="BJ176" s="41"/>
      <c r="BK176" s="41"/>
      <c r="BL176" s="41"/>
      <c r="BM176" s="41"/>
      <c r="BN176" s="41"/>
      <c r="BO176" s="41"/>
      <c r="BP176" s="41"/>
      <c r="BQ176" s="41"/>
      <c r="BR176" s="41"/>
      <c r="BS176" s="41"/>
      <c r="BT176" s="41"/>
      <c r="BU176" s="41"/>
      <c r="BV176" s="41"/>
      <c r="BW176" s="41"/>
      <c r="BX176" s="41"/>
      <c r="BY176" s="41"/>
      <c r="BZ176" s="41"/>
      <c r="CA176" s="41"/>
      <c r="CB176" s="41"/>
      <c r="CC176" s="41"/>
      <c r="CD176" s="41"/>
      <c r="CE176" s="63"/>
      <c r="CF176" s="33"/>
      <c r="CG176" s="33"/>
      <c r="CH176" s="33"/>
      <c r="CI176" s="33"/>
      <c r="CJ176" s="33"/>
      <c r="CK176" s="33"/>
      <c r="CL176" s="33"/>
      <c r="CM176" s="33"/>
      <c r="CN176" s="33"/>
      <c r="CO176" s="33"/>
      <c r="CP176" s="33"/>
      <c r="CQ176" s="33"/>
      <c r="CR176" s="33"/>
      <c r="CS176" s="33"/>
      <c r="CT176" s="33"/>
      <c r="CU176" s="33"/>
      <c r="CV176" s="33"/>
      <c r="CW176" s="33"/>
      <c r="CX176" s="33"/>
      <c r="CY176" s="33"/>
      <c r="CZ176" s="33"/>
      <c r="DA176" s="33"/>
      <c r="DB176" s="36"/>
      <c r="DC176" s="42"/>
      <c r="DD176" s="41"/>
      <c r="DE176" s="41"/>
      <c r="DF176" s="41"/>
      <c r="DG176" s="41"/>
      <c r="DH176" s="41"/>
      <c r="DI176" s="42"/>
      <c r="DJ176" s="36"/>
      <c r="DK176" s="33"/>
      <c r="DL176" s="33"/>
      <c r="DM176" s="33"/>
      <c r="DN176" s="33"/>
      <c r="DO176" s="33"/>
      <c r="DP176" s="36"/>
      <c r="DQ176" s="42"/>
      <c r="DR176" s="41"/>
      <c r="DS176" s="41"/>
      <c r="DT176" s="41"/>
      <c r="DU176" s="41"/>
      <c r="DV176" s="41"/>
      <c r="DW176" s="41"/>
      <c r="DX176" s="52"/>
      <c r="DY176" s="33"/>
      <c r="DZ176" s="33"/>
      <c r="EA176" s="33"/>
      <c r="EB176" s="33"/>
      <c r="EC176" s="33"/>
      <c r="ED176" s="33"/>
      <c r="EE176" s="79"/>
      <c r="EF176" s="41"/>
      <c r="EG176" s="41"/>
      <c r="EH176" s="41"/>
      <c r="EI176" s="41"/>
      <c r="EJ176" s="41"/>
      <c r="EK176" s="41"/>
      <c r="EL176" s="52"/>
      <c r="EM176" s="33"/>
      <c r="EN176" s="33"/>
      <c r="EO176" s="33"/>
      <c r="EP176" s="33"/>
      <c r="EQ176" s="33"/>
      <c r="ER176" s="33"/>
      <c r="ES176" s="33"/>
      <c r="ET176" s="33"/>
      <c r="EU176" s="33"/>
      <c r="EV176" s="33"/>
      <c r="EW176" s="33"/>
      <c r="EX176" s="33"/>
      <c r="EY176" s="33"/>
      <c r="EZ176" s="33"/>
      <c r="FA176" s="33"/>
      <c r="FB176" s="33"/>
      <c r="FC176" s="33"/>
      <c r="FD176" s="33"/>
      <c r="FE176" s="33"/>
      <c r="FF176" s="33"/>
      <c r="FG176" s="33"/>
      <c r="FH176" s="33"/>
      <c r="FI176" s="52"/>
      <c r="FJ176" s="41"/>
      <c r="FK176" s="41"/>
      <c r="FL176" s="41"/>
      <c r="FM176" s="41"/>
      <c r="FN176" s="41"/>
      <c r="FO176" s="41"/>
      <c r="FP176" s="44"/>
      <c r="FQ176" s="33"/>
      <c r="FR176" s="33"/>
      <c r="FS176" s="33"/>
      <c r="FT176" s="33"/>
      <c r="FU176" s="33"/>
      <c r="FV176" s="33"/>
      <c r="FW176" s="33"/>
      <c r="FX176" s="33"/>
      <c r="FY176" s="33"/>
      <c r="FZ176" s="33"/>
      <c r="GA176" s="33"/>
      <c r="GB176" s="33"/>
      <c r="GC176" s="33"/>
      <c r="GD176" s="33"/>
      <c r="GE176" s="33"/>
      <c r="GF176" s="33"/>
      <c r="GG176" s="33"/>
      <c r="GH176" s="33"/>
      <c r="GI176" s="33"/>
      <c r="GJ176" s="33"/>
      <c r="GK176" s="33"/>
      <c r="GL176" s="33"/>
      <c r="GM176" s="33"/>
      <c r="GN176" s="33"/>
      <c r="GO176" s="33"/>
      <c r="GP176" s="33"/>
      <c r="GQ176" s="33"/>
      <c r="GR176" s="33"/>
      <c r="GS176" s="33"/>
      <c r="GT176" s="33"/>
      <c r="GU176" s="33"/>
      <c r="GV176" s="33"/>
      <c r="GW176" s="33"/>
      <c r="GX176" s="33"/>
      <c r="GY176" s="33"/>
      <c r="GZ176" s="33"/>
      <c r="HA176" s="33"/>
      <c r="HB176" s="33"/>
      <c r="HC176" s="33"/>
      <c r="HD176" s="33"/>
      <c r="HE176" s="33"/>
      <c r="HF176" s="33"/>
      <c r="HG176" s="33"/>
      <c r="HH176" s="33"/>
      <c r="HI176" s="33"/>
      <c r="HJ176" s="33"/>
      <c r="HK176" s="33"/>
      <c r="HL176" s="33"/>
      <c r="HM176" s="33"/>
      <c r="HN176" s="33"/>
      <c r="HO176" s="33"/>
      <c r="HP176" s="102"/>
      <c r="HQ176" s="41"/>
      <c r="HR176" s="41"/>
      <c r="HS176" s="41"/>
      <c r="HT176" s="41"/>
      <c r="HU176" s="41"/>
      <c r="HV176" s="41"/>
      <c r="HW176" s="44"/>
      <c r="HX176" s="33"/>
      <c r="HY176" s="33"/>
      <c r="HZ176" s="33"/>
      <c r="IA176" s="33"/>
      <c r="IB176" s="33"/>
      <c r="IC176" s="33"/>
      <c r="ID176" s="33"/>
      <c r="IE176" s="33"/>
      <c r="IF176" s="33"/>
      <c r="IG176" s="33"/>
      <c r="IH176" s="33"/>
      <c r="II176" s="33"/>
      <c r="IJ176" s="33"/>
      <c r="IK176" s="33"/>
      <c r="IL176" s="33"/>
      <c r="IM176" s="33"/>
      <c r="IN176" s="33"/>
      <c r="IO176" s="33"/>
      <c r="IP176" s="33"/>
      <c r="IQ176" s="33"/>
      <c r="IR176" s="33"/>
      <c r="IS176" s="33"/>
      <c r="IT176" s="33"/>
      <c r="IU176" s="33"/>
      <c r="IV176" s="33"/>
      <c r="IW176" s="33"/>
      <c r="IX176" s="33"/>
      <c r="IY176" s="33"/>
      <c r="IZ176" s="33"/>
      <c r="JA176" s="33"/>
      <c r="JB176" s="33"/>
      <c r="JC176" s="33"/>
      <c r="JD176" s="33"/>
      <c r="JE176" s="33"/>
      <c r="JF176" s="33"/>
      <c r="JG176" s="33"/>
      <c r="JH176" s="33"/>
      <c r="JI176" s="33"/>
      <c r="JJ176" s="33"/>
      <c r="JK176" s="33"/>
      <c r="JL176" s="33"/>
      <c r="JM176" s="33"/>
      <c r="JN176" s="33"/>
      <c r="JO176" s="33"/>
      <c r="JP176" s="33"/>
      <c r="JQ176" s="33"/>
      <c r="JR176" s="33"/>
      <c r="JS176" s="33"/>
      <c r="JT176" s="33"/>
      <c r="JU176" s="33"/>
      <c r="JV176" s="33"/>
      <c r="JW176" s="102"/>
      <c r="JX176" s="41"/>
      <c r="JY176" s="41"/>
      <c r="JZ176" s="41"/>
      <c r="KA176" s="41"/>
      <c r="KB176" s="41"/>
      <c r="KC176" s="41"/>
      <c r="KD176" s="41"/>
      <c r="KE176" s="41"/>
      <c r="KF176" s="41"/>
      <c r="KG176" s="41"/>
      <c r="KH176" s="41"/>
      <c r="KI176" s="41"/>
      <c r="KJ176" s="41"/>
      <c r="KK176" s="41"/>
      <c r="KL176" s="41"/>
      <c r="KM176" s="41"/>
      <c r="KN176" s="41"/>
      <c r="KO176" s="41"/>
      <c r="KP176" s="41"/>
      <c r="KQ176" s="41"/>
      <c r="KR176" s="41"/>
      <c r="KS176" s="41"/>
      <c r="KT176" s="41"/>
      <c r="KU176" s="41"/>
      <c r="KV176" s="41"/>
      <c r="KW176" s="41"/>
      <c r="KX176" s="41"/>
      <c r="KY176" s="41"/>
      <c r="KZ176" s="41"/>
      <c r="LA176" s="41"/>
      <c r="LB176" s="41"/>
      <c r="LC176" s="41"/>
      <c r="LD176" s="41"/>
      <c r="LE176" s="41"/>
      <c r="LF176" s="44"/>
      <c r="LG176" s="33"/>
      <c r="LH176" s="33"/>
      <c r="LI176" s="33"/>
      <c r="LJ176" s="33"/>
      <c r="LK176" s="33"/>
      <c r="LL176" s="33"/>
      <c r="LM176" s="33"/>
      <c r="LN176" s="33"/>
      <c r="LO176" s="33"/>
      <c r="LP176" s="33"/>
      <c r="LQ176" s="33"/>
      <c r="LR176" s="33"/>
      <c r="LS176" s="33"/>
      <c r="LT176" s="33"/>
      <c r="LU176" s="33"/>
      <c r="LV176" s="33"/>
      <c r="LW176" s="33"/>
      <c r="LX176" s="33"/>
      <c r="LY176" s="33"/>
      <c r="LZ176" s="33"/>
      <c r="MA176" s="33"/>
      <c r="MB176" s="33"/>
      <c r="MC176" s="33"/>
      <c r="MD176" s="33"/>
      <c r="ME176" s="33"/>
      <c r="MF176" s="33"/>
      <c r="MG176" s="33"/>
      <c r="MH176" s="33"/>
      <c r="MI176" s="33"/>
      <c r="MJ176" s="33"/>
      <c r="MK176" s="33"/>
      <c r="ML176" s="33"/>
      <c r="MM176" s="33"/>
      <c r="MN176" s="33"/>
      <c r="MO176" s="33"/>
      <c r="MP176" s="33"/>
      <c r="MQ176" s="33"/>
      <c r="MR176" s="33"/>
      <c r="MS176" s="33"/>
      <c r="MT176" s="33"/>
      <c r="MU176" s="33"/>
      <c r="MV176" s="33"/>
    </row>
    <row r="177" spans="1:360" ht="0.75" customHeight="1" x14ac:dyDescent="0.25">
      <c r="A177" s="33"/>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3"/>
      <c r="AV177" s="79"/>
      <c r="AW177" s="41"/>
      <c r="AX177" s="41"/>
      <c r="AY177" s="41"/>
      <c r="AZ177" s="41"/>
      <c r="BA177" s="41"/>
      <c r="BB177" s="41"/>
      <c r="BC177" s="41"/>
      <c r="BD177" s="41"/>
      <c r="BE177" s="41"/>
      <c r="BF177" s="41"/>
      <c r="BG177" s="41"/>
      <c r="BH177" s="41"/>
      <c r="BI177" s="41"/>
      <c r="BJ177" s="41"/>
      <c r="BK177" s="41"/>
      <c r="BL177" s="41"/>
      <c r="BM177" s="41"/>
      <c r="BN177" s="41"/>
      <c r="BO177" s="41"/>
      <c r="BP177" s="41"/>
      <c r="BQ177" s="41"/>
      <c r="BR177" s="41"/>
      <c r="BS177" s="41"/>
      <c r="BT177" s="41"/>
      <c r="BU177" s="41"/>
      <c r="BV177" s="41"/>
      <c r="BW177" s="41"/>
      <c r="BX177" s="41"/>
      <c r="BY177" s="41"/>
      <c r="BZ177" s="41"/>
      <c r="CA177" s="41"/>
      <c r="CB177" s="41"/>
      <c r="CC177" s="41"/>
      <c r="CD177" s="41"/>
      <c r="CE177" s="63"/>
      <c r="CF177" s="33"/>
      <c r="CG177" s="33"/>
      <c r="CH177" s="33"/>
      <c r="CI177" s="33"/>
      <c r="CJ177" s="33"/>
      <c r="CK177" s="33"/>
      <c r="CL177" s="33"/>
      <c r="CM177" s="33"/>
      <c r="CN177" s="33"/>
      <c r="CO177" s="33"/>
      <c r="CP177" s="33"/>
      <c r="CQ177" s="33"/>
      <c r="CR177" s="33"/>
      <c r="CS177" s="33"/>
      <c r="CT177" s="33"/>
      <c r="CU177" s="33"/>
      <c r="CV177" s="33"/>
      <c r="CW177" s="33"/>
      <c r="CX177" s="33"/>
      <c r="CY177" s="33"/>
      <c r="CZ177" s="33"/>
      <c r="DA177" s="33"/>
      <c r="DB177" s="36"/>
      <c r="DC177" s="42"/>
      <c r="DD177" s="41"/>
      <c r="DE177" s="41"/>
      <c r="DF177" s="41"/>
      <c r="DG177" s="41"/>
      <c r="DH177" s="41"/>
      <c r="DI177" s="42"/>
      <c r="DJ177" s="36"/>
      <c r="DK177" s="33"/>
      <c r="DL177" s="33"/>
      <c r="DM177" s="33"/>
      <c r="DN177" s="33"/>
      <c r="DO177" s="33"/>
      <c r="DP177" s="36"/>
      <c r="DQ177" s="42"/>
      <c r="DR177" s="41"/>
      <c r="DS177" s="41"/>
      <c r="DT177" s="41"/>
      <c r="DU177" s="41"/>
      <c r="DV177" s="41"/>
      <c r="DW177" s="41"/>
      <c r="DX177" s="52"/>
      <c r="DY177" s="33"/>
      <c r="DZ177" s="33"/>
      <c r="EA177" s="33"/>
      <c r="EB177" s="33"/>
      <c r="EC177" s="33"/>
      <c r="ED177" s="33"/>
      <c r="EE177" s="79"/>
      <c r="EF177" s="41"/>
      <c r="EG177" s="41"/>
      <c r="EH177" s="41"/>
      <c r="EI177" s="41"/>
      <c r="EJ177" s="41"/>
      <c r="EK177" s="41"/>
      <c r="EL177" s="52"/>
      <c r="EM177" s="33"/>
      <c r="EN177" s="33"/>
      <c r="EO177" s="33"/>
      <c r="EP177" s="33"/>
      <c r="EQ177" s="33"/>
      <c r="ER177" s="33"/>
      <c r="ES177" s="33"/>
      <c r="ET177" s="33"/>
      <c r="EU177" s="33"/>
      <c r="EV177" s="33"/>
      <c r="EW177" s="33"/>
      <c r="EX177" s="33"/>
      <c r="EY177" s="33"/>
      <c r="EZ177" s="33"/>
      <c r="FA177" s="33"/>
      <c r="FB177" s="33"/>
      <c r="FC177" s="33"/>
      <c r="FD177" s="33"/>
      <c r="FE177" s="33"/>
      <c r="FF177" s="33"/>
      <c r="FG177" s="33"/>
      <c r="FH177" s="33"/>
      <c r="FI177" s="52"/>
      <c r="FJ177" s="41"/>
      <c r="FK177" s="41"/>
      <c r="FL177" s="41"/>
      <c r="FM177" s="41"/>
      <c r="FN177" s="41"/>
      <c r="FO177" s="41"/>
      <c r="FP177" s="44"/>
      <c r="FQ177" s="33"/>
      <c r="FR177" s="33"/>
      <c r="FS177" s="33"/>
      <c r="FT177" s="33"/>
      <c r="FU177" s="33"/>
      <c r="FV177" s="33"/>
      <c r="FW177" s="33"/>
      <c r="FX177" s="33"/>
      <c r="FY177" s="33"/>
      <c r="FZ177" s="33"/>
      <c r="GA177" s="33"/>
      <c r="GB177" s="33"/>
      <c r="GC177" s="33"/>
      <c r="GD177" s="33"/>
      <c r="GE177" s="33"/>
      <c r="GF177" s="33"/>
      <c r="GG177" s="33"/>
      <c r="GH177" s="33"/>
      <c r="GI177" s="33"/>
      <c r="GJ177" s="33"/>
      <c r="GK177" s="33"/>
      <c r="GL177" s="33"/>
      <c r="GM177" s="33"/>
      <c r="GN177" s="33"/>
      <c r="GO177" s="33"/>
      <c r="GP177" s="33"/>
      <c r="GQ177" s="33"/>
      <c r="GR177" s="33"/>
      <c r="GS177" s="33"/>
      <c r="GT177" s="33"/>
      <c r="GU177" s="33"/>
      <c r="GV177" s="33"/>
      <c r="GW177" s="33"/>
      <c r="GX177" s="33"/>
      <c r="GY177" s="33"/>
      <c r="GZ177" s="33"/>
      <c r="HA177" s="33"/>
      <c r="HB177" s="33"/>
      <c r="HC177" s="33"/>
      <c r="HD177" s="33"/>
      <c r="HE177" s="33"/>
      <c r="HF177" s="33"/>
      <c r="HG177" s="33"/>
      <c r="HH177" s="33"/>
      <c r="HI177" s="33"/>
      <c r="HJ177" s="33"/>
      <c r="HK177" s="33"/>
      <c r="HL177" s="33"/>
      <c r="HM177" s="33"/>
      <c r="HN177" s="33"/>
      <c r="HO177" s="33"/>
      <c r="HP177" s="102"/>
      <c r="HQ177" s="41"/>
      <c r="HR177" s="41"/>
      <c r="HS177" s="41"/>
      <c r="HT177" s="41"/>
      <c r="HU177" s="41"/>
      <c r="HV177" s="41"/>
      <c r="HW177" s="44"/>
      <c r="HX177" s="33"/>
      <c r="HY177" s="33"/>
      <c r="HZ177" s="33"/>
      <c r="IA177" s="33"/>
      <c r="IB177" s="33"/>
      <c r="IC177" s="33"/>
      <c r="ID177" s="33"/>
      <c r="IE177" s="33"/>
      <c r="IF177" s="33"/>
      <c r="IG177" s="33"/>
      <c r="IH177" s="33"/>
      <c r="II177" s="33"/>
      <c r="IJ177" s="33"/>
      <c r="IK177" s="33"/>
      <c r="IL177" s="33"/>
      <c r="IM177" s="33"/>
      <c r="IN177" s="33"/>
      <c r="IO177" s="33"/>
      <c r="IP177" s="33"/>
      <c r="IQ177" s="33"/>
      <c r="IR177" s="33"/>
      <c r="IS177" s="33"/>
      <c r="IT177" s="33"/>
      <c r="IU177" s="33"/>
      <c r="IV177" s="33"/>
      <c r="IW177" s="33"/>
      <c r="IX177" s="33"/>
      <c r="IY177" s="33"/>
      <c r="IZ177" s="33"/>
      <c r="JA177" s="33"/>
      <c r="JB177" s="33"/>
      <c r="JC177" s="33"/>
      <c r="JD177" s="33"/>
      <c r="JE177" s="33"/>
      <c r="JF177" s="33"/>
      <c r="JG177" s="33"/>
      <c r="JH177" s="33"/>
      <c r="JI177" s="33"/>
      <c r="JJ177" s="33"/>
      <c r="JK177" s="33"/>
      <c r="JL177" s="33"/>
      <c r="JM177" s="33"/>
      <c r="JN177" s="33"/>
      <c r="JO177" s="33"/>
      <c r="JP177" s="33"/>
      <c r="JQ177" s="33"/>
      <c r="JR177" s="33"/>
      <c r="JS177" s="33"/>
      <c r="JT177" s="33"/>
      <c r="JU177" s="33"/>
      <c r="JV177" s="33"/>
      <c r="JW177" s="102"/>
      <c r="JX177" s="41"/>
      <c r="JY177" s="41"/>
      <c r="JZ177" s="41"/>
      <c r="KA177" s="41"/>
      <c r="KB177" s="41"/>
      <c r="KC177" s="41"/>
      <c r="KD177" s="41"/>
      <c r="KE177" s="41"/>
      <c r="KF177" s="41"/>
      <c r="KG177" s="41"/>
      <c r="KH177" s="41"/>
      <c r="KI177" s="41"/>
      <c r="KJ177" s="41"/>
      <c r="KK177" s="41"/>
      <c r="KL177" s="41"/>
      <c r="KM177" s="41"/>
      <c r="KN177" s="41"/>
      <c r="KO177" s="41"/>
      <c r="KP177" s="41"/>
      <c r="KQ177" s="41"/>
      <c r="KR177" s="41"/>
      <c r="KS177" s="41"/>
      <c r="KT177" s="41"/>
      <c r="KU177" s="41"/>
      <c r="KV177" s="41"/>
      <c r="KW177" s="41"/>
      <c r="KX177" s="41"/>
      <c r="KY177" s="41"/>
      <c r="KZ177" s="41"/>
      <c r="LA177" s="41"/>
      <c r="LB177" s="41"/>
      <c r="LC177" s="41"/>
      <c r="LD177" s="41"/>
      <c r="LE177" s="41"/>
      <c r="LF177" s="44"/>
      <c r="LG177" s="33"/>
      <c r="LH177" s="33"/>
      <c r="LI177" s="33"/>
      <c r="LJ177" s="33"/>
      <c r="LK177" s="33"/>
      <c r="LL177" s="33"/>
      <c r="LM177" s="33"/>
      <c r="LN177" s="33"/>
      <c r="LO177" s="33"/>
      <c r="LP177" s="33"/>
      <c r="LQ177" s="33"/>
      <c r="LR177" s="33"/>
      <c r="LS177" s="33"/>
      <c r="LT177" s="33"/>
      <c r="LU177" s="33"/>
      <c r="LV177" s="33"/>
      <c r="LW177" s="33"/>
      <c r="LX177" s="33"/>
      <c r="LY177" s="33"/>
      <c r="LZ177" s="33"/>
      <c r="MA177" s="33"/>
      <c r="MB177" s="33"/>
      <c r="MC177" s="33"/>
      <c r="MD177" s="33"/>
      <c r="ME177" s="33"/>
      <c r="MF177" s="33"/>
      <c r="MG177" s="33"/>
      <c r="MH177" s="33"/>
      <c r="MI177" s="33"/>
      <c r="MJ177" s="33"/>
      <c r="MK177" s="33"/>
      <c r="ML177" s="33"/>
      <c r="MM177" s="33"/>
      <c r="MN177" s="33"/>
      <c r="MO177" s="33"/>
      <c r="MP177" s="33"/>
      <c r="MQ177" s="33"/>
      <c r="MR177" s="33"/>
      <c r="MS177" s="33"/>
      <c r="MT177" s="33"/>
      <c r="MU177" s="33"/>
      <c r="MV177" s="33"/>
    </row>
    <row r="178" spans="1:360" ht="0.75" customHeight="1" x14ac:dyDescent="0.25">
      <c r="A178" s="33"/>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79"/>
      <c r="AW178" s="41"/>
      <c r="AX178" s="41"/>
      <c r="AY178" s="41"/>
      <c r="AZ178" s="41"/>
      <c r="BA178" s="41"/>
      <c r="BB178" s="41"/>
      <c r="BC178" s="41"/>
      <c r="BD178" s="41"/>
      <c r="BE178" s="41"/>
      <c r="BF178" s="41"/>
      <c r="BG178" s="41"/>
      <c r="BH178" s="41"/>
      <c r="BI178" s="41"/>
      <c r="BJ178" s="41"/>
      <c r="BK178" s="41"/>
      <c r="BL178" s="41"/>
      <c r="BM178" s="41"/>
      <c r="BN178" s="41"/>
      <c r="BO178" s="41"/>
      <c r="BP178" s="41"/>
      <c r="BQ178" s="41"/>
      <c r="BR178" s="41"/>
      <c r="BS178" s="41"/>
      <c r="BT178" s="41"/>
      <c r="BU178" s="41"/>
      <c r="BV178" s="41"/>
      <c r="BW178" s="41"/>
      <c r="BX178" s="41"/>
      <c r="BY178" s="41"/>
      <c r="BZ178" s="41"/>
      <c r="CA178" s="41"/>
      <c r="CB178" s="41"/>
      <c r="CC178" s="41"/>
      <c r="CD178" s="41"/>
      <c r="CE178" s="63"/>
      <c r="CF178" s="33"/>
      <c r="CG178" s="33"/>
      <c r="CH178" s="33"/>
      <c r="CI178" s="33"/>
      <c r="CJ178" s="33"/>
      <c r="CK178" s="33"/>
      <c r="CL178" s="33"/>
      <c r="CM178" s="33"/>
      <c r="CN178" s="33"/>
      <c r="CO178" s="33"/>
      <c r="CP178" s="33"/>
      <c r="CQ178" s="33"/>
      <c r="CR178" s="33"/>
      <c r="CS178" s="33"/>
      <c r="CT178" s="33"/>
      <c r="CU178" s="33"/>
      <c r="CV178" s="33"/>
      <c r="CW178" s="33"/>
      <c r="CX178" s="33"/>
      <c r="CY178" s="33"/>
      <c r="CZ178" s="33"/>
      <c r="DA178" s="33"/>
      <c r="DB178" s="36"/>
      <c r="DC178" s="42"/>
      <c r="DD178" s="41"/>
      <c r="DE178" s="41"/>
      <c r="DF178" s="41"/>
      <c r="DG178" s="41"/>
      <c r="DH178" s="41"/>
      <c r="DI178" s="42"/>
      <c r="DJ178" s="36"/>
      <c r="DK178" s="33"/>
      <c r="DL178" s="33"/>
      <c r="DM178" s="33"/>
      <c r="DN178" s="33"/>
      <c r="DO178" s="33"/>
      <c r="DP178" s="36"/>
      <c r="DQ178" s="42"/>
      <c r="DR178" s="41"/>
      <c r="DS178" s="41"/>
      <c r="DT178" s="41"/>
      <c r="DU178" s="41"/>
      <c r="DV178" s="41"/>
      <c r="DW178" s="41"/>
      <c r="DX178" s="52"/>
      <c r="DY178" s="33"/>
      <c r="DZ178" s="33"/>
      <c r="EA178" s="33"/>
      <c r="EB178" s="33"/>
      <c r="EC178" s="33"/>
      <c r="ED178" s="33"/>
      <c r="EE178" s="79"/>
      <c r="EF178" s="41"/>
      <c r="EG178" s="41"/>
      <c r="EH178" s="41"/>
      <c r="EI178" s="41"/>
      <c r="EJ178" s="41"/>
      <c r="EK178" s="41"/>
      <c r="EL178" s="52"/>
      <c r="EM178" s="33"/>
      <c r="EN178" s="33"/>
      <c r="EO178" s="33"/>
      <c r="EP178" s="33"/>
      <c r="EQ178" s="33"/>
      <c r="ER178" s="33"/>
      <c r="ES178" s="33"/>
      <c r="ET178" s="33"/>
      <c r="EU178" s="33"/>
      <c r="EV178" s="33"/>
      <c r="EW178" s="33"/>
      <c r="EX178" s="33"/>
      <c r="EY178" s="33"/>
      <c r="EZ178" s="33"/>
      <c r="FA178" s="33"/>
      <c r="FB178" s="33"/>
      <c r="FC178" s="33"/>
      <c r="FD178" s="33"/>
      <c r="FE178" s="33"/>
      <c r="FF178" s="33"/>
      <c r="FG178" s="33"/>
      <c r="FH178" s="33"/>
      <c r="FI178" s="52"/>
      <c r="FJ178" s="41"/>
      <c r="FK178" s="41"/>
      <c r="FL178" s="41"/>
      <c r="FM178" s="41"/>
      <c r="FN178" s="41"/>
      <c r="FO178" s="41"/>
      <c r="FP178" s="44"/>
      <c r="FQ178" s="33"/>
      <c r="FR178" s="33"/>
      <c r="FS178" s="33"/>
      <c r="FT178" s="33"/>
      <c r="FU178" s="33"/>
      <c r="FV178" s="33"/>
      <c r="FW178" s="33"/>
      <c r="FX178" s="33"/>
      <c r="FY178" s="33"/>
      <c r="FZ178" s="33"/>
      <c r="GA178" s="33"/>
      <c r="GB178" s="33"/>
      <c r="GC178" s="33"/>
      <c r="GD178" s="33"/>
      <c r="GE178" s="33"/>
      <c r="GF178" s="33"/>
      <c r="GG178" s="33"/>
      <c r="GH178" s="33"/>
      <c r="GI178" s="33"/>
      <c r="GJ178" s="33"/>
      <c r="GK178" s="33"/>
      <c r="GL178" s="33"/>
      <c r="GM178" s="33"/>
      <c r="GN178" s="33"/>
      <c r="GO178" s="33"/>
      <c r="GP178" s="33"/>
      <c r="GQ178" s="33"/>
      <c r="GR178" s="33"/>
      <c r="GS178" s="33"/>
      <c r="GT178" s="33"/>
      <c r="GU178" s="33"/>
      <c r="GV178" s="33"/>
      <c r="GW178" s="33"/>
      <c r="GX178" s="33"/>
      <c r="GY178" s="33"/>
      <c r="GZ178" s="33"/>
      <c r="HA178" s="33"/>
      <c r="HB178" s="33"/>
      <c r="HC178" s="33"/>
      <c r="HD178" s="33"/>
      <c r="HE178" s="33"/>
      <c r="HF178" s="33"/>
      <c r="HG178" s="33"/>
      <c r="HH178" s="33"/>
      <c r="HI178" s="33"/>
      <c r="HJ178" s="33"/>
      <c r="HK178" s="33"/>
      <c r="HL178" s="33"/>
      <c r="HM178" s="33"/>
      <c r="HN178" s="33"/>
      <c r="HO178" s="33"/>
      <c r="HP178" s="102"/>
      <c r="HQ178" s="41"/>
      <c r="HR178" s="41"/>
      <c r="HS178" s="41"/>
      <c r="HT178" s="41"/>
      <c r="HU178" s="41"/>
      <c r="HV178" s="41"/>
      <c r="HW178" s="44"/>
      <c r="HX178" s="33"/>
      <c r="HY178" s="33"/>
      <c r="HZ178" s="33"/>
      <c r="IA178" s="33"/>
      <c r="IB178" s="33"/>
      <c r="IC178" s="33"/>
      <c r="ID178" s="33"/>
      <c r="IE178" s="33"/>
      <c r="IF178" s="33"/>
      <c r="IG178" s="33"/>
      <c r="IH178" s="33"/>
      <c r="II178" s="33"/>
      <c r="IJ178" s="33"/>
      <c r="IK178" s="33"/>
      <c r="IL178" s="33"/>
      <c r="IM178" s="33"/>
      <c r="IN178" s="33"/>
      <c r="IO178" s="33"/>
      <c r="IP178" s="33"/>
      <c r="IQ178" s="33"/>
      <c r="IR178" s="33"/>
      <c r="IS178" s="33"/>
      <c r="IT178" s="33"/>
      <c r="IU178" s="33"/>
      <c r="IV178" s="33"/>
      <c r="IW178" s="33"/>
      <c r="IX178" s="33"/>
      <c r="IY178" s="33"/>
      <c r="IZ178" s="33"/>
      <c r="JA178" s="33"/>
      <c r="JB178" s="33"/>
      <c r="JC178" s="33"/>
      <c r="JD178" s="33"/>
      <c r="JE178" s="33"/>
      <c r="JF178" s="33"/>
      <c r="JG178" s="33"/>
      <c r="JH178" s="33"/>
      <c r="JI178" s="33"/>
      <c r="JJ178" s="33"/>
      <c r="JK178" s="33"/>
      <c r="JL178" s="33"/>
      <c r="JM178" s="33"/>
      <c r="JN178" s="33"/>
      <c r="JO178" s="33"/>
      <c r="JP178" s="33"/>
      <c r="JQ178" s="33"/>
      <c r="JR178" s="33"/>
      <c r="JS178" s="33"/>
      <c r="JT178" s="33"/>
      <c r="JU178" s="33"/>
      <c r="JV178" s="33"/>
      <c r="JW178" s="102"/>
      <c r="JX178" s="41"/>
      <c r="JY178" s="41"/>
      <c r="JZ178" s="41"/>
      <c r="KA178" s="41"/>
      <c r="KB178" s="41"/>
      <c r="KC178" s="41"/>
      <c r="KD178" s="41"/>
      <c r="KE178" s="41"/>
      <c r="KF178" s="41"/>
      <c r="KG178" s="41"/>
      <c r="KH178" s="41"/>
      <c r="KI178" s="41"/>
      <c r="KJ178" s="41"/>
      <c r="KK178" s="41"/>
      <c r="KL178" s="41"/>
      <c r="KM178" s="41"/>
      <c r="KN178" s="41"/>
      <c r="KO178" s="41"/>
      <c r="KP178" s="41"/>
      <c r="KQ178" s="41"/>
      <c r="KR178" s="41"/>
      <c r="KS178" s="41"/>
      <c r="KT178" s="41"/>
      <c r="KU178" s="41"/>
      <c r="KV178" s="41"/>
      <c r="KW178" s="41"/>
      <c r="KX178" s="41"/>
      <c r="KY178" s="41"/>
      <c r="KZ178" s="41"/>
      <c r="LA178" s="41"/>
      <c r="LB178" s="41"/>
      <c r="LC178" s="41"/>
      <c r="LD178" s="41"/>
      <c r="LE178" s="41"/>
      <c r="LF178" s="44"/>
      <c r="LG178" s="33"/>
      <c r="LH178" s="33"/>
      <c r="LI178" s="33"/>
      <c r="LJ178" s="33"/>
      <c r="LK178" s="33"/>
      <c r="LL178" s="33"/>
      <c r="LM178" s="33"/>
      <c r="LN178" s="33"/>
      <c r="LO178" s="33"/>
      <c r="LP178" s="33"/>
      <c r="LQ178" s="33"/>
      <c r="LR178" s="33"/>
      <c r="LS178" s="33"/>
      <c r="LT178" s="33"/>
      <c r="LU178" s="33"/>
      <c r="LV178" s="33"/>
      <c r="LW178" s="33"/>
      <c r="LX178" s="33"/>
      <c r="LY178" s="33"/>
      <c r="LZ178" s="33"/>
      <c r="MA178" s="33"/>
      <c r="MB178" s="33"/>
      <c r="MC178" s="33"/>
      <c r="MD178" s="33"/>
      <c r="ME178" s="33"/>
      <c r="MF178" s="33"/>
      <c r="MG178" s="33"/>
      <c r="MH178" s="33"/>
      <c r="MI178" s="33"/>
      <c r="MJ178" s="33"/>
      <c r="MK178" s="33"/>
      <c r="ML178" s="33"/>
      <c r="MM178" s="33"/>
      <c r="MN178" s="33"/>
      <c r="MO178" s="33"/>
      <c r="MP178" s="33"/>
      <c r="MQ178" s="33"/>
      <c r="MR178" s="33"/>
      <c r="MS178" s="33"/>
      <c r="MT178" s="33"/>
      <c r="MU178" s="33"/>
      <c r="MV178" s="33"/>
    </row>
    <row r="179" spans="1:360" ht="0.75" customHeight="1" x14ac:dyDescent="0.25">
      <c r="A179" s="33"/>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113"/>
      <c r="AW179" s="114"/>
      <c r="AX179" s="59"/>
      <c r="AY179" s="59"/>
      <c r="AZ179" s="59"/>
      <c r="BA179" s="59"/>
      <c r="BB179" s="59"/>
      <c r="BC179" s="59"/>
      <c r="BD179" s="59"/>
      <c r="BE179" s="59"/>
      <c r="BF179" s="59"/>
      <c r="BG179" s="59"/>
      <c r="BH179" s="59"/>
      <c r="BI179" s="59"/>
      <c r="BJ179" s="59"/>
      <c r="BK179" s="59"/>
      <c r="BL179" s="59"/>
      <c r="BM179" s="59"/>
      <c r="BN179" s="59"/>
      <c r="BO179" s="59"/>
      <c r="BP179" s="59"/>
      <c r="BQ179" s="59"/>
      <c r="BR179" s="59"/>
      <c r="BS179" s="59"/>
      <c r="BT179" s="59"/>
      <c r="BU179" s="59"/>
      <c r="BV179" s="59"/>
      <c r="BW179" s="115"/>
      <c r="BX179" s="116"/>
      <c r="BY179" s="41"/>
      <c r="BZ179" s="41"/>
      <c r="CA179" s="41"/>
      <c r="CB179" s="41"/>
      <c r="CC179" s="41"/>
      <c r="CD179" s="41"/>
      <c r="CE179" s="63"/>
      <c r="CF179" s="33"/>
      <c r="CG179" s="33"/>
      <c r="CH179" s="33"/>
      <c r="CI179" s="33"/>
      <c r="CJ179" s="33"/>
      <c r="CK179" s="33"/>
      <c r="CL179" s="33"/>
      <c r="CM179" s="33"/>
      <c r="CN179" s="33"/>
      <c r="CO179" s="33"/>
      <c r="CP179" s="33"/>
      <c r="CQ179" s="33"/>
      <c r="CR179" s="33"/>
      <c r="CS179" s="33"/>
      <c r="CT179" s="33"/>
      <c r="CU179" s="33"/>
      <c r="CV179" s="33"/>
      <c r="CW179" s="33"/>
      <c r="CX179" s="33"/>
      <c r="CY179" s="33"/>
      <c r="CZ179" s="33"/>
      <c r="DA179" s="33"/>
      <c r="DB179" s="36"/>
      <c r="DC179" s="42"/>
      <c r="DD179" s="41"/>
      <c r="DE179" s="41"/>
      <c r="DF179" s="41"/>
      <c r="DG179" s="41"/>
      <c r="DH179" s="41"/>
      <c r="DI179" s="42"/>
      <c r="DJ179" s="36"/>
      <c r="DK179" s="33"/>
      <c r="DL179" s="33"/>
      <c r="DM179" s="33"/>
      <c r="DN179" s="33"/>
      <c r="DO179" s="33"/>
      <c r="DP179" s="94"/>
      <c r="DQ179" s="95"/>
      <c r="DR179" s="96"/>
      <c r="DS179" s="59"/>
      <c r="DT179" s="59"/>
      <c r="DU179" s="59"/>
      <c r="DV179" s="100"/>
      <c r="DW179" s="99"/>
      <c r="DX179" s="57"/>
      <c r="DY179" s="33"/>
      <c r="DZ179" s="33"/>
      <c r="EA179" s="33"/>
      <c r="EB179" s="33"/>
      <c r="EC179" s="33"/>
      <c r="ED179" s="33"/>
      <c r="EE179" s="79"/>
      <c r="EF179" s="41"/>
      <c r="EG179" s="41"/>
      <c r="EH179" s="41"/>
      <c r="EI179" s="41"/>
      <c r="EJ179" s="41"/>
      <c r="EK179" s="41"/>
      <c r="EL179" s="52"/>
      <c r="EM179" s="33"/>
      <c r="EN179" s="33"/>
      <c r="EO179" s="33"/>
      <c r="EP179" s="33"/>
      <c r="EQ179" s="33"/>
      <c r="ER179" s="33"/>
      <c r="ES179" s="33"/>
      <c r="ET179" s="33"/>
      <c r="EU179" s="33"/>
      <c r="EV179" s="33"/>
      <c r="EW179" s="33"/>
      <c r="EX179" s="33"/>
      <c r="EY179" s="33"/>
      <c r="EZ179" s="33"/>
      <c r="FA179" s="33"/>
      <c r="FB179" s="33"/>
      <c r="FC179" s="33"/>
      <c r="FD179" s="33"/>
      <c r="FE179" s="33"/>
      <c r="FF179" s="33"/>
      <c r="FG179" s="33"/>
      <c r="FH179" s="33"/>
      <c r="FI179" s="52"/>
      <c r="FJ179" s="41"/>
      <c r="FK179" s="41"/>
      <c r="FL179" s="41"/>
      <c r="FM179" s="41"/>
      <c r="FN179" s="41"/>
      <c r="FO179" s="41"/>
      <c r="FP179" s="44"/>
      <c r="FQ179" s="33"/>
      <c r="FR179" s="33"/>
      <c r="FS179" s="33"/>
      <c r="FT179" s="33"/>
      <c r="FU179" s="33"/>
      <c r="FV179" s="33"/>
      <c r="FW179" s="33"/>
      <c r="FX179" s="33"/>
      <c r="FY179" s="33"/>
      <c r="FZ179" s="33"/>
      <c r="GA179" s="33"/>
      <c r="GB179" s="33"/>
      <c r="GC179" s="33"/>
      <c r="GD179" s="33"/>
      <c r="GE179" s="33"/>
      <c r="GF179" s="33"/>
      <c r="GG179" s="33"/>
      <c r="GH179" s="33"/>
      <c r="GI179" s="33"/>
      <c r="GJ179" s="33"/>
      <c r="GK179" s="33"/>
      <c r="GL179" s="33"/>
      <c r="GM179" s="33"/>
      <c r="GN179" s="33"/>
      <c r="GO179" s="33"/>
      <c r="GP179" s="33"/>
      <c r="GQ179" s="33"/>
      <c r="GR179" s="33"/>
      <c r="GS179" s="33"/>
      <c r="GT179" s="33"/>
      <c r="GU179" s="33"/>
      <c r="GV179" s="33"/>
      <c r="GW179" s="33"/>
      <c r="GX179" s="33"/>
      <c r="GY179" s="33"/>
      <c r="GZ179" s="33"/>
      <c r="HA179" s="33"/>
      <c r="HB179" s="33"/>
      <c r="HC179" s="33"/>
      <c r="HD179" s="33"/>
      <c r="HE179" s="33"/>
      <c r="HF179" s="33"/>
      <c r="HG179" s="33"/>
      <c r="HH179" s="33"/>
      <c r="HI179" s="33"/>
      <c r="HJ179" s="33"/>
      <c r="HK179" s="33"/>
      <c r="HL179" s="33"/>
      <c r="HM179" s="33"/>
      <c r="HN179" s="33"/>
      <c r="HO179" s="33"/>
      <c r="HP179" s="102"/>
      <c r="HQ179" s="41"/>
      <c r="HR179" s="41"/>
      <c r="HS179" s="41"/>
      <c r="HT179" s="41"/>
      <c r="HU179" s="41"/>
      <c r="HV179" s="41"/>
      <c r="HW179" s="44"/>
      <c r="HX179" s="33"/>
      <c r="HY179" s="33"/>
      <c r="HZ179" s="33"/>
      <c r="IA179" s="33"/>
      <c r="IB179" s="33"/>
      <c r="IC179" s="33"/>
      <c r="ID179" s="33"/>
      <c r="IE179" s="33"/>
      <c r="IF179" s="33"/>
      <c r="IG179" s="33"/>
      <c r="IH179" s="33"/>
      <c r="II179" s="33"/>
      <c r="IJ179" s="33"/>
      <c r="IK179" s="33"/>
      <c r="IL179" s="33"/>
      <c r="IM179" s="33"/>
      <c r="IN179" s="33"/>
      <c r="IO179" s="33"/>
      <c r="IP179" s="33"/>
      <c r="IQ179" s="33"/>
      <c r="IR179" s="33"/>
      <c r="IS179" s="33"/>
      <c r="IT179" s="33"/>
      <c r="IU179" s="33"/>
      <c r="IV179" s="33"/>
      <c r="IW179" s="33"/>
      <c r="IX179" s="33"/>
      <c r="IY179" s="33"/>
      <c r="IZ179" s="33"/>
      <c r="JA179" s="33"/>
      <c r="JB179" s="33"/>
      <c r="JC179" s="33"/>
      <c r="JD179" s="33"/>
      <c r="JE179" s="33"/>
      <c r="JF179" s="33"/>
      <c r="JG179" s="33"/>
      <c r="JH179" s="33"/>
      <c r="JI179" s="33"/>
      <c r="JJ179" s="33"/>
      <c r="JK179" s="33"/>
      <c r="JL179" s="33"/>
      <c r="JM179" s="33"/>
      <c r="JN179" s="33"/>
      <c r="JO179" s="33"/>
      <c r="JP179" s="33"/>
      <c r="JQ179" s="33"/>
      <c r="JR179" s="33"/>
      <c r="JS179" s="33"/>
      <c r="JT179" s="33"/>
      <c r="JU179" s="33"/>
      <c r="JV179" s="33"/>
      <c r="JW179" s="101"/>
      <c r="JX179" s="44"/>
      <c r="JY179" s="59"/>
      <c r="JZ179" s="59"/>
      <c r="KA179" s="59"/>
      <c r="KB179" s="59"/>
      <c r="KC179" s="59"/>
      <c r="KD179" s="59"/>
      <c r="KE179" s="59"/>
      <c r="KF179" s="59"/>
      <c r="KG179" s="59"/>
      <c r="KH179" s="59"/>
      <c r="KI179" s="59"/>
      <c r="KJ179" s="59"/>
      <c r="KK179" s="59"/>
      <c r="KL179" s="59"/>
      <c r="KM179" s="59"/>
      <c r="KN179" s="59"/>
      <c r="KO179" s="59"/>
      <c r="KP179" s="59"/>
      <c r="KQ179" s="59"/>
      <c r="KR179" s="59"/>
      <c r="KS179" s="59"/>
      <c r="KT179" s="59"/>
      <c r="KU179" s="59"/>
      <c r="KV179" s="59"/>
      <c r="KW179" s="59"/>
      <c r="KX179" s="115"/>
      <c r="KY179" s="116"/>
      <c r="KZ179" s="41"/>
      <c r="LA179" s="41"/>
      <c r="LB179" s="41"/>
      <c r="LC179" s="41"/>
      <c r="LD179" s="41"/>
      <c r="LE179" s="41"/>
      <c r="LF179" s="44"/>
      <c r="LG179" s="33"/>
      <c r="LH179" s="33"/>
      <c r="LI179" s="33"/>
      <c r="LJ179" s="33"/>
      <c r="LK179" s="33"/>
      <c r="LL179" s="33"/>
      <c r="LM179" s="33"/>
      <c r="LN179" s="33"/>
      <c r="LO179" s="33"/>
      <c r="LP179" s="33"/>
      <c r="LQ179" s="33"/>
      <c r="LR179" s="33"/>
      <c r="LS179" s="33"/>
      <c r="LT179" s="33"/>
      <c r="LU179" s="33"/>
      <c r="LV179" s="33"/>
      <c r="LW179" s="33"/>
      <c r="LX179" s="33"/>
      <c r="LY179" s="33"/>
      <c r="LZ179" s="33"/>
      <c r="MA179" s="33"/>
      <c r="MB179" s="33"/>
      <c r="MC179" s="33"/>
      <c r="MD179" s="33"/>
      <c r="ME179" s="33"/>
      <c r="MF179" s="33"/>
      <c r="MG179" s="33"/>
      <c r="MH179" s="33"/>
      <c r="MI179" s="33"/>
      <c r="MJ179" s="33"/>
      <c r="MK179" s="33"/>
      <c r="ML179" s="33"/>
      <c r="MM179" s="33"/>
      <c r="MN179" s="33"/>
      <c r="MO179" s="33"/>
      <c r="MP179" s="33"/>
      <c r="MQ179" s="33"/>
      <c r="MR179" s="33"/>
      <c r="MS179" s="33"/>
      <c r="MT179" s="33"/>
      <c r="MU179" s="33"/>
      <c r="MV179" s="33"/>
    </row>
    <row r="180" spans="1:360" ht="0.75" customHeight="1" x14ac:dyDescent="0.25">
      <c r="A180" s="33"/>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102"/>
      <c r="BY180" s="41"/>
      <c r="BZ180" s="41"/>
      <c r="CA180" s="41"/>
      <c r="CB180" s="41"/>
      <c r="CC180" s="41"/>
      <c r="CD180" s="41"/>
      <c r="CE180" s="63"/>
      <c r="CF180" s="33"/>
      <c r="CG180" s="33"/>
      <c r="CH180" s="33"/>
      <c r="CI180" s="33"/>
      <c r="CJ180" s="33"/>
      <c r="CK180" s="33"/>
      <c r="CL180" s="33"/>
      <c r="CM180" s="33"/>
      <c r="CN180" s="33"/>
      <c r="CO180" s="33"/>
      <c r="CP180" s="33"/>
      <c r="CQ180" s="33"/>
      <c r="CR180" s="33"/>
      <c r="CS180" s="33"/>
      <c r="CT180" s="33"/>
      <c r="CU180" s="33"/>
      <c r="CV180" s="33"/>
      <c r="CW180" s="33"/>
      <c r="CX180" s="33"/>
      <c r="CY180" s="33"/>
      <c r="CZ180" s="33"/>
      <c r="DA180" s="33"/>
      <c r="DB180" s="36"/>
      <c r="DC180" s="42"/>
      <c r="DD180" s="41"/>
      <c r="DE180" s="41"/>
      <c r="DF180" s="41"/>
      <c r="DG180" s="41"/>
      <c r="DH180" s="41"/>
      <c r="DI180" s="42"/>
      <c r="DJ180" s="36"/>
      <c r="DK180" s="33"/>
      <c r="DL180" s="33"/>
      <c r="DM180" s="33"/>
      <c r="DN180" s="33"/>
      <c r="DO180" s="33"/>
      <c r="DP180" s="33"/>
      <c r="DQ180" s="33"/>
      <c r="DR180" s="33"/>
      <c r="DS180" s="33"/>
      <c r="DT180" s="33"/>
      <c r="DU180" s="33"/>
      <c r="DV180" s="33"/>
      <c r="DW180" s="33"/>
      <c r="DX180" s="33"/>
      <c r="DY180" s="33"/>
      <c r="DZ180" s="33"/>
      <c r="EA180" s="33"/>
      <c r="EB180" s="33"/>
      <c r="EC180" s="33"/>
      <c r="ED180" s="33"/>
      <c r="EE180" s="79"/>
      <c r="EF180" s="41"/>
      <c r="EG180" s="41"/>
      <c r="EH180" s="41"/>
      <c r="EI180" s="41"/>
      <c r="EJ180" s="41"/>
      <c r="EK180" s="41"/>
      <c r="EL180" s="52"/>
      <c r="EM180" s="33"/>
      <c r="EN180" s="33"/>
      <c r="EO180" s="33"/>
      <c r="EP180" s="33"/>
      <c r="EQ180" s="33"/>
      <c r="ER180" s="33"/>
      <c r="ES180" s="33"/>
      <c r="ET180" s="33"/>
      <c r="EU180" s="33"/>
      <c r="EV180" s="33"/>
      <c r="EW180" s="33"/>
      <c r="EX180" s="33"/>
      <c r="EY180" s="33"/>
      <c r="EZ180" s="33"/>
      <c r="FA180" s="33"/>
      <c r="FB180" s="33"/>
      <c r="FC180" s="33"/>
      <c r="FD180" s="33"/>
      <c r="FE180" s="33"/>
      <c r="FF180" s="33"/>
      <c r="FG180" s="33"/>
      <c r="FH180" s="33"/>
      <c r="FI180" s="52"/>
      <c r="FJ180" s="41"/>
      <c r="FK180" s="41"/>
      <c r="FL180" s="41"/>
      <c r="FM180" s="41"/>
      <c r="FN180" s="41"/>
      <c r="FO180" s="41"/>
      <c r="FP180" s="44"/>
      <c r="FQ180" s="33"/>
      <c r="FR180" s="33"/>
      <c r="FS180" s="33"/>
      <c r="FT180" s="33"/>
      <c r="FU180" s="33"/>
      <c r="FV180" s="33"/>
      <c r="FW180" s="33"/>
      <c r="FX180" s="33"/>
      <c r="FY180" s="33"/>
      <c r="FZ180" s="33"/>
      <c r="GA180" s="33"/>
      <c r="GB180" s="33"/>
      <c r="GC180" s="33"/>
      <c r="GD180" s="33"/>
      <c r="GE180" s="33"/>
      <c r="GF180" s="33"/>
      <c r="GG180" s="33"/>
      <c r="GH180" s="33"/>
      <c r="GI180" s="33"/>
      <c r="GJ180" s="33"/>
      <c r="GK180" s="33"/>
      <c r="GL180" s="33"/>
      <c r="GM180" s="33"/>
      <c r="GN180" s="33"/>
      <c r="GO180" s="33"/>
      <c r="GP180" s="33"/>
      <c r="GQ180" s="33"/>
      <c r="GR180" s="33"/>
      <c r="GS180" s="33"/>
      <c r="GT180" s="33"/>
      <c r="GU180" s="33"/>
      <c r="GV180" s="33"/>
      <c r="GW180" s="33"/>
      <c r="GX180" s="33"/>
      <c r="GY180" s="33"/>
      <c r="GZ180" s="33"/>
      <c r="HA180" s="33"/>
      <c r="HB180" s="33"/>
      <c r="HC180" s="33"/>
      <c r="HD180" s="33"/>
      <c r="HE180" s="33"/>
      <c r="HF180" s="33"/>
      <c r="HG180" s="33"/>
      <c r="HH180" s="33"/>
      <c r="HI180" s="33"/>
      <c r="HJ180" s="33"/>
      <c r="HK180" s="33"/>
      <c r="HL180" s="33"/>
      <c r="HM180" s="33"/>
      <c r="HN180" s="33"/>
      <c r="HO180" s="33"/>
      <c r="HP180" s="102"/>
      <c r="HQ180" s="41"/>
      <c r="HR180" s="41"/>
      <c r="HS180" s="41"/>
      <c r="HT180" s="41"/>
      <c r="HU180" s="41"/>
      <c r="HV180" s="41"/>
      <c r="HW180" s="44"/>
      <c r="HX180" s="33"/>
      <c r="HY180" s="33"/>
      <c r="HZ180" s="33"/>
      <c r="IA180" s="33"/>
      <c r="IB180" s="33"/>
      <c r="IC180" s="33"/>
      <c r="ID180" s="33"/>
      <c r="IE180" s="33"/>
      <c r="IF180" s="33"/>
      <c r="IG180" s="33"/>
      <c r="IH180" s="33"/>
      <c r="II180" s="33"/>
      <c r="IJ180" s="33"/>
      <c r="IK180" s="33"/>
      <c r="IL180" s="33"/>
      <c r="IM180" s="33"/>
      <c r="IN180" s="33"/>
      <c r="IO180" s="33"/>
      <c r="IP180" s="33"/>
      <c r="IQ180" s="33"/>
      <c r="IR180" s="33"/>
      <c r="IS180" s="33"/>
      <c r="IT180" s="33"/>
      <c r="IU180" s="33"/>
      <c r="IV180" s="33"/>
      <c r="IW180" s="33"/>
      <c r="IX180" s="33"/>
      <c r="IY180" s="33"/>
      <c r="IZ180" s="33"/>
      <c r="JA180" s="33"/>
      <c r="JB180" s="33"/>
      <c r="JC180" s="33"/>
      <c r="JD180" s="33"/>
      <c r="JE180" s="33"/>
      <c r="JF180" s="33"/>
      <c r="JG180" s="33"/>
      <c r="JH180" s="33"/>
      <c r="JI180" s="33"/>
      <c r="JJ180" s="33"/>
      <c r="JK180" s="33"/>
      <c r="JL180" s="33"/>
      <c r="JM180" s="33"/>
      <c r="JN180" s="33"/>
      <c r="JO180" s="33"/>
      <c r="JP180" s="33"/>
      <c r="JQ180" s="33"/>
      <c r="JR180" s="33"/>
      <c r="JS180" s="33"/>
      <c r="JT180" s="33"/>
      <c r="JU180" s="33"/>
      <c r="JV180" s="33"/>
      <c r="JW180" s="33"/>
      <c r="JX180" s="33"/>
      <c r="JY180" s="33"/>
      <c r="JZ180" s="33"/>
      <c r="KA180" s="33"/>
      <c r="KB180" s="33"/>
      <c r="KC180" s="33"/>
      <c r="KD180" s="33"/>
      <c r="KE180" s="33"/>
      <c r="KF180" s="33"/>
      <c r="KG180" s="33"/>
      <c r="KH180" s="33"/>
      <c r="KI180" s="33"/>
      <c r="KJ180" s="33"/>
      <c r="KK180" s="33"/>
      <c r="KL180" s="33"/>
      <c r="KM180" s="33"/>
      <c r="KN180" s="33"/>
      <c r="KO180" s="33"/>
      <c r="KP180" s="33"/>
      <c r="KQ180" s="33"/>
      <c r="KR180" s="33"/>
      <c r="KS180" s="33"/>
      <c r="KT180" s="33"/>
      <c r="KU180" s="33"/>
      <c r="KV180" s="33"/>
      <c r="KW180" s="33"/>
      <c r="KX180" s="33"/>
      <c r="KY180" s="102"/>
      <c r="KZ180" s="41"/>
      <c r="LA180" s="41"/>
      <c r="LB180" s="41"/>
      <c r="LC180" s="41"/>
      <c r="LD180" s="41"/>
      <c r="LE180" s="41"/>
      <c r="LF180" s="44"/>
      <c r="LG180" s="33"/>
      <c r="LH180" s="33"/>
      <c r="LI180" s="33"/>
      <c r="LJ180" s="33"/>
      <c r="LK180" s="33"/>
      <c r="LL180" s="33"/>
      <c r="LM180" s="33"/>
      <c r="LN180" s="33"/>
      <c r="LO180" s="33"/>
      <c r="LP180" s="33"/>
      <c r="LQ180" s="33"/>
      <c r="LR180" s="33"/>
      <c r="LS180" s="33"/>
      <c r="LT180" s="33"/>
      <c r="LU180" s="33"/>
      <c r="LV180" s="33"/>
      <c r="LW180" s="33"/>
      <c r="LX180" s="33"/>
      <c r="LY180" s="33"/>
      <c r="LZ180" s="33"/>
      <c r="MA180" s="33"/>
      <c r="MB180" s="33"/>
      <c r="MC180" s="33"/>
      <c r="MD180" s="33"/>
      <c r="ME180" s="33"/>
      <c r="MF180" s="33"/>
      <c r="MG180" s="33"/>
      <c r="MH180" s="33"/>
      <c r="MI180" s="33"/>
      <c r="MJ180" s="33"/>
      <c r="MK180" s="33"/>
      <c r="ML180" s="33"/>
      <c r="MM180" s="33"/>
      <c r="MN180" s="33"/>
      <c r="MO180" s="33"/>
      <c r="MP180" s="33"/>
      <c r="MQ180" s="33"/>
      <c r="MR180" s="33"/>
      <c r="MS180" s="33"/>
      <c r="MT180" s="33"/>
      <c r="MU180" s="33"/>
      <c r="MV180" s="33"/>
    </row>
    <row r="181" spans="1:360" ht="0.75" customHeight="1" x14ac:dyDescent="0.25">
      <c r="A181" s="33"/>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c r="BV181" s="33"/>
      <c r="BW181" s="33"/>
      <c r="BX181" s="102"/>
      <c r="BY181" s="41"/>
      <c r="BZ181" s="41"/>
      <c r="CA181" s="41"/>
      <c r="CB181" s="41"/>
      <c r="CC181" s="41"/>
      <c r="CD181" s="41"/>
      <c r="CE181" s="63"/>
      <c r="CF181" s="33"/>
      <c r="CG181" s="33"/>
      <c r="CH181" s="33"/>
      <c r="CI181" s="33"/>
      <c r="CJ181" s="33"/>
      <c r="CK181" s="33"/>
      <c r="CL181" s="33"/>
      <c r="CM181" s="33"/>
      <c r="CN181" s="33"/>
      <c r="CO181" s="33"/>
      <c r="CP181" s="33"/>
      <c r="CQ181" s="33"/>
      <c r="CR181" s="33"/>
      <c r="CS181" s="33"/>
      <c r="CT181" s="33"/>
      <c r="CU181" s="33"/>
      <c r="CV181" s="33"/>
      <c r="CW181" s="33"/>
      <c r="CX181" s="33"/>
      <c r="CY181" s="33"/>
      <c r="CZ181" s="33"/>
      <c r="DA181" s="33"/>
      <c r="DB181" s="36"/>
      <c r="DC181" s="42"/>
      <c r="DD181" s="41"/>
      <c r="DE181" s="41"/>
      <c r="DF181" s="41"/>
      <c r="DG181" s="41"/>
      <c r="DH181" s="41"/>
      <c r="DI181" s="42"/>
      <c r="DJ181" s="36"/>
      <c r="DK181" s="33"/>
      <c r="DL181" s="33"/>
      <c r="DM181" s="33"/>
      <c r="DN181" s="33"/>
      <c r="DO181" s="33"/>
      <c r="DP181" s="33"/>
      <c r="DQ181" s="33"/>
      <c r="DR181" s="33"/>
      <c r="DS181" s="33"/>
      <c r="DT181" s="33"/>
      <c r="DU181" s="33"/>
      <c r="DV181" s="33"/>
      <c r="DW181" s="33"/>
      <c r="DX181" s="33"/>
      <c r="DY181" s="33"/>
      <c r="DZ181" s="33"/>
      <c r="EA181" s="33"/>
      <c r="EB181" s="33"/>
      <c r="EC181" s="33"/>
      <c r="ED181" s="33"/>
      <c r="EE181" s="79"/>
      <c r="EF181" s="41"/>
      <c r="EG181" s="41"/>
      <c r="EH181" s="41"/>
      <c r="EI181" s="41"/>
      <c r="EJ181" s="41"/>
      <c r="EK181" s="41"/>
      <c r="EL181" s="52"/>
      <c r="EM181" s="33"/>
      <c r="EN181" s="33"/>
      <c r="EO181" s="33"/>
      <c r="EP181" s="33"/>
      <c r="EQ181" s="33"/>
      <c r="ER181" s="33"/>
      <c r="ES181" s="33"/>
      <c r="ET181" s="33"/>
      <c r="EU181" s="33"/>
      <c r="EV181" s="33"/>
      <c r="EW181" s="33"/>
      <c r="EX181" s="33"/>
      <c r="EY181" s="33"/>
      <c r="EZ181" s="33"/>
      <c r="FA181" s="33"/>
      <c r="FB181" s="33"/>
      <c r="FC181" s="33"/>
      <c r="FD181" s="33"/>
      <c r="FE181" s="33"/>
      <c r="FF181" s="33"/>
      <c r="FG181" s="33"/>
      <c r="FH181" s="33"/>
      <c r="FI181" s="52"/>
      <c r="FJ181" s="41"/>
      <c r="FK181" s="41"/>
      <c r="FL181" s="41"/>
      <c r="FM181" s="41"/>
      <c r="FN181" s="41"/>
      <c r="FO181" s="41"/>
      <c r="FP181" s="44"/>
      <c r="FQ181" s="33"/>
      <c r="FR181" s="33"/>
      <c r="FS181" s="33"/>
      <c r="FT181" s="33"/>
      <c r="FU181" s="33"/>
      <c r="FV181" s="33"/>
      <c r="FW181" s="33"/>
      <c r="FX181" s="33"/>
      <c r="FY181" s="33"/>
      <c r="FZ181" s="33"/>
      <c r="GA181" s="33"/>
      <c r="GB181" s="33"/>
      <c r="GC181" s="33"/>
      <c r="GD181" s="33"/>
      <c r="GE181" s="33"/>
      <c r="GF181" s="33"/>
      <c r="GG181" s="33"/>
      <c r="GH181" s="33"/>
      <c r="GI181" s="33"/>
      <c r="GJ181" s="33"/>
      <c r="GK181" s="33"/>
      <c r="GL181" s="33"/>
      <c r="GM181" s="33"/>
      <c r="GN181" s="33"/>
      <c r="GO181" s="33"/>
      <c r="GP181" s="33"/>
      <c r="GQ181" s="33"/>
      <c r="GR181" s="33"/>
      <c r="GS181" s="33"/>
      <c r="GT181" s="33"/>
      <c r="GU181" s="33"/>
      <c r="GV181" s="33"/>
      <c r="GW181" s="33"/>
      <c r="GX181" s="33"/>
      <c r="GY181" s="33"/>
      <c r="GZ181" s="33"/>
      <c r="HA181" s="33"/>
      <c r="HB181" s="33"/>
      <c r="HC181" s="33"/>
      <c r="HD181" s="33"/>
      <c r="HE181" s="33"/>
      <c r="HF181" s="33"/>
      <c r="HG181" s="33"/>
      <c r="HH181" s="33"/>
      <c r="HI181" s="33"/>
      <c r="HJ181" s="33"/>
      <c r="HK181" s="33"/>
      <c r="HL181" s="33"/>
      <c r="HM181" s="33"/>
      <c r="HN181" s="33"/>
      <c r="HO181" s="33"/>
      <c r="HP181" s="102"/>
      <c r="HQ181" s="41"/>
      <c r="HR181" s="41"/>
      <c r="HS181" s="41"/>
      <c r="HT181" s="41"/>
      <c r="HU181" s="41"/>
      <c r="HV181" s="41"/>
      <c r="HW181" s="44"/>
      <c r="HX181" s="33"/>
      <c r="HY181" s="33"/>
      <c r="HZ181" s="33"/>
      <c r="IA181" s="33"/>
      <c r="IB181" s="33"/>
      <c r="IC181" s="33"/>
      <c r="ID181" s="33"/>
      <c r="IE181" s="33"/>
      <c r="IF181" s="33"/>
      <c r="IG181" s="33"/>
      <c r="IH181" s="33"/>
      <c r="II181" s="33"/>
      <c r="IJ181" s="33"/>
      <c r="IK181" s="33"/>
      <c r="IL181" s="33"/>
      <c r="IM181" s="33"/>
      <c r="IN181" s="33"/>
      <c r="IO181" s="33"/>
      <c r="IP181" s="33"/>
      <c r="IQ181" s="33"/>
      <c r="IR181" s="33"/>
      <c r="IS181" s="33"/>
      <c r="IT181" s="33"/>
      <c r="IU181" s="33"/>
      <c r="IV181" s="33"/>
      <c r="IW181" s="33"/>
      <c r="IX181" s="33"/>
      <c r="IY181" s="33"/>
      <c r="IZ181" s="33"/>
      <c r="JA181" s="33"/>
      <c r="JB181" s="33"/>
      <c r="JC181" s="33"/>
      <c r="JD181" s="33"/>
      <c r="JE181" s="33"/>
      <c r="JF181" s="33"/>
      <c r="JG181" s="33"/>
      <c r="JH181" s="33"/>
      <c r="JI181" s="33"/>
      <c r="JJ181" s="33"/>
      <c r="JK181" s="33"/>
      <c r="JL181" s="33"/>
      <c r="JM181" s="33"/>
      <c r="JN181" s="33"/>
      <c r="JO181" s="33"/>
      <c r="JP181" s="33"/>
      <c r="JQ181" s="33"/>
      <c r="JR181" s="33"/>
      <c r="JS181" s="33"/>
      <c r="JT181" s="33"/>
      <c r="JU181" s="33"/>
      <c r="JV181" s="33"/>
      <c r="JW181" s="33"/>
      <c r="JX181" s="33"/>
      <c r="JY181" s="33"/>
      <c r="JZ181" s="33"/>
      <c r="KA181" s="33"/>
      <c r="KB181" s="33"/>
      <c r="KC181" s="33"/>
      <c r="KD181" s="33"/>
      <c r="KE181" s="33"/>
      <c r="KF181" s="33"/>
      <c r="KG181" s="33"/>
      <c r="KH181" s="33"/>
      <c r="KI181" s="33"/>
      <c r="KJ181" s="33"/>
      <c r="KK181" s="33"/>
      <c r="KL181" s="33"/>
      <c r="KM181" s="33"/>
      <c r="KN181" s="33"/>
      <c r="KO181" s="33"/>
      <c r="KP181" s="33"/>
      <c r="KQ181" s="33"/>
      <c r="KR181" s="33"/>
      <c r="KS181" s="33"/>
      <c r="KT181" s="33"/>
      <c r="KU181" s="33"/>
      <c r="KV181" s="33"/>
      <c r="KW181" s="33"/>
      <c r="KX181" s="33"/>
      <c r="KY181" s="102"/>
      <c r="KZ181" s="41"/>
      <c r="LA181" s="41"/>
      <c r="LB181" s="41"/>
      <c r="LC181" s="41"/>
      <c r="LD181" s="41"/>
      <c r="LE181" s="41"/>
      <c r="LF181" s="44"/>
      <c r="LG181" s="33"/>
      <c r="LH181" s="33"/>
      <c r="LI181" s="33"/>
      <c r="LJ181" s="33"/>
      <c r="LK181" s="33"/>
      <c r="LL181" s="33"/>
      <c r="LM181" s="33"/>
      <c r="LN181" s="33"/>
      <c r="LO181" s="33"/>
      <c r="LP181" s="33"/>
      <c r="LQ181" s="33"/>
      <c r="LR181" s="33"/>
      <c r="LS181" s="33"/>
      <c r="LT181" s="33"/>
      <c r="LU181" s="33"/>
      <c r="LV181" s="33"/>
      <c r="LW181" s="33"/>
      <c r="LX181" s="33"/>
      <c r="LY181" s="33"/>
      <c r="LZ181" s="33"/>
      <c r="MA181" s="33"/>
      <c r="MB181" s="33"/>
      <c r="MC181" s="33"/>
      <c r="MD181" s="33"/>
      <c r="ME181" s="33"/>
      <c r="MF181" s="33"/>
      <c r="MG181" s="33"/>
      <c r="MH181" s="33"/>
      <c r="MI181" s="33"/>
      <c r="MJ181" s="33"/>
      <c r="MK181" s="33"/>
      <c r="ML181" s="33"/>
      <c r="MM181" s="33"/>
      <c r="MN181" s="33"/>
      <c r="MO181" s="33"/>
      <c r="MP181" s="33"/>
      <c r="MQ181" s="33"/>
      <c r="MR181" s="33"/>
      <c r="MS181" s="33"/>
      <c r="MT181" s="33"/>
      <c r="MU181" s="33"/>
      <c r="MV181" s="33"/>
    </row>
    <row r="182" spans="1:360" ht="0.75" customHeight="1" x14ac:dyDescent="0.25">
      <c r="A182" s="33"/>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c r="BV182" s="33"/>
      <c r="BW182" s="33"/>
      <c r="BX182" s="102"/>
      <c r="BY182" s="41"/>
      <c r="BZ182" s="41"/>
      <c r="CA182" s="41"/>
      <c r="CB182" s="41"/>
      <c r="CC182" s="41"/>
      <c r="CD182" s="41"/>
      <c r="CE182" s="63"/>
      <c r="CF182" s="33"/>
      <c r="CG182" s="33"/>
      <c r="CH182" s="33"/>
      <c r="CI182" s="33"/>
      <c r="CJ182" s="33"/>
      <c r="CK182" s="33"/>
      <c r="CL182" s="33"/>
      <c r="CM182" s="33"/>
      <c r="CN182" s="33"/>
      <c r="CO182" s="33"/>
      <c r="CP182" s="33"/>
      <c r="CQ182" s="33"/>
      <c r="CR182" s="33"/>
      <c r="CS182" s="33"/>
      <c r="CT182" s="33"/>
      <c r="CU182" s="33"/>
      <c r="CV182" s="33"/>
      <c r="CW182" s="33"/>
      <c r="CX182" s="33"/>
      <c r="CY182" s="33"/>
      <c r="CZ182" s="33"/>
      <c r="DA182" s="33"/>
      <c r="DB182" s="36"/>
      <c r="DC182" s="42"/>
      <c r="DD182" s="41"/>
      <c r="DE182" s="41"/>
      <c r="DF182" s="41"/>
      <c r="DG182" s="41"/>
      <c r="DH182" s="41"/>
      <c r="DI182" s="42"/>
      <c r="DJ182" s="36"/>
      <c r="DK182" s="33"/>
      <c r="DL182" s="33"/>
      <c r="DM182" s="33"/>
      <c r="DN182" s="33"/>
      <c r="DO182" s="33"/>
      <c r="DP182" s="33"/>
      <c r="DQ182" s="33"/>
      <c r="DR182" s="33"/>
      <c r="DS182" s="33"/>
      <c r="DT182" s="33"/>
      <c r="DU182" s="33"/>
      <c r="DV182" s="33"/>
      <c r="DW182" s="33"/>
      <c r="DX182" s="33"/>
      <c r="DY182" s="33"/>
      <c r="DZ182" s="33"/>
      <c r="EA182" s="33"/>
      <c r="EB182" s="33"/>
      <c r="EC182" s="33"/>
      <c r="ED182" s="33"/>
      <c r="EE182" s="79"/>
      <c r="EF182" s="41"/>
      <c r="EG182" s="41"/>
      <c r="EH182" s="41"/>
      <c r="EI182" s="41"/>
      <c r="EJ182" s="41"/>
      <c r="EK182" s="41"/>
      <c r="EL182" s="52"/>
      <c r="EM182" s="33"/>
      <c r="EN182" s="33"/>
      <c r="EO182" s="33"/>
      <c r="EP182" s="33"/>
      <c r="EQ182" s="33"/>
      <c r="ER182" s="33"/>
      <c r="ES182" s="33"/>
      <c r="ET182" s="33"/>
      <c r="EU182" s="33"/>
      <c r="EV182" s="33"/>
      <c r="EW182" s="33"/>
      <c r="EX182" s="33"/>
      <c r="EY182" s="33"/>
      <c r="EZ182" s="33"/>
      <c r="FA182" s="33"/>
      <c r="FB182" s="33"/>
      <c r="FC182" s="33"/>
      <c r="FD182" s="33"/>
      <c r="FE182" s="33"/>
      <c r="FF182" s="33"/>
      <c r="FG182" s="33"/>
      <c r="FH182" s="33"/>
      <c r="FI182" s="52"/>
      <c r="FJ182" s="41"/>
      <c r="FK182" s="41"/>
      <c r="FL182" s="41"/>
      <c r="FM182" s="41"/>
      <c r="FN182" s="41"/>
      <c r="FO182" s="41"/>
      <c r="FP182" s="44"/>
      <c r="FQ182" s="33"/>
      <c r="FR182" s="33"/>
      <c r="FS182" s="33"/>
      <c r="FT182" s="33"/>
      <c r="FU182" s="33"/>
      <c r="FV182" s="33"/>
      <c r="FW182" s="33"/>
      <c r="FX182" s="33"/>
      <c r="FY182" s="33"/>
      <c r="FZ182" s="33"/>
      <c r="GA182" s="33"/>
      <c r="GB182" s="33"/>
      <c r="GC182" s="33"/>
      <c r="GD182" s="33"/>
      <c r="GE182" s="33"/>
      <c r="GF182" s="33"/>
      <c r="GG182" s="33"/>
      <c r="GH182" s="33"/>
      <c r="GI182" s="33"/>
      <c r="GJ182" s="33"/>
      <c r="GK182" s="33"/>
      <c r="GL182" s="33"/>
      <c r="GM182" s="33"/>
      <c r="GN182" s="33"/>
      <c r="GO182" s="33"/>
      <c r="GP182" s="33"/>
      <c r="GQ182" s="33"/>
      <c r="GR182" s="33"/>
      <c r="GS182" s="33"/>
      <c r="GT182" s="33"/>
      <c r="GU182" s="33"/>
      <c r="GV182" s="33"/>
      <c r="GW182" s="33"/>
      <c r="GX182" s="33"/>
      <c r="GY182" s="33"/>
      <c r="GZ182" s="33"/>
      <c r="HA182" s="33"/>
      <c r="HB182" s="33"/>
      <c r="HC182" s="33"/>
      <c r="HD182" s="33"/>
      <c r="HE182" s="33"/>
      <c r="HF182" s="33"/>
      <c r="HG182" s="33"/>
      <c r="HH182" s="33"/>
      <c r="HI182" s="33"/>
      <c r="HJ182" s="33"/>
      <c r="HK182" s="33"/>
      <c r="HL182" s="33"/>
      <c r="HM182" s="33"/>
      <c r="HN182" s="33"/>
      <c r="HO182" s="33"/>
      <c r="HP182" s="102"/>
      <c r="HQ182" s="41"/>
      <c r="HR182" s="41"/>
      <c r="HS182" s="41"/>
      <c r="HT182" s="41"/>
      <c r="HU182" s="41"/>
      <c r="HV182" s="41"/>
      <c r="HW182" s="44"/>
      <c r="HX182" s="33"/>
      <c r="HY182" s="33"/>
      <c r="HZ182" s="33"/>
      <c r="IA182" s="33"/>
      <c r="IB182" s="33"/>
      <c r="IC182" s="33"/>
      <c r="ID182" s="33"/>
      <c r="IE182" s="33"/>
      <c r="IF182" s="33"/>
      <c r="IG182" s="33"/>
      <c r="IH182" s="33"/>
      <c r="II182" s="33"/>
      <c r="IJ182" s="33"/>
      <c r="IK182" s="33"/>
      <c r="IL182" s="33"/>
      <c r="IM182" s="33"/>
      <c r="IN182" s="33"/>
      <c r="IO182" s="33"/>
      <c r="IP182" s="33"/>
      <c r="IQ182" s="33"/>
      <c r="IR182" s="33"/>
      <c r="IS182" s="33"/>
      <c r="IT182" s="33"/>
      <c r="IU182" s="33"/>
      <c r="IV182" s="33"/>
      <c r="IW182" s="33"/>
      <c r="IX182" s="33"/>
      <c r="IY182" s="33"/>
      <c r="IZ182" s="33"/>
      <c r="JA182" s="33"/>
      <c r="JB182" s="33"/>
      <c r="JC182" s="33"/>
      <c r="JD182" s="33"/>
      <c r="JE182" s="33"/>
      <c r="JF182" s="33"/>
      <c r="JG182" s="33"/>
      <c r="JH182" s="33"/>
      <c r="JI182" s="33"/>
      <c r="JJ182" s="33"/>
      <c r="JK182" s="33"/>
      <c r="JL182" s="33"/>
      <c r="JM182" s="33"/>
      <c r="JN182" s="33"/>
      <c r="JO182" s="33"/>
      <c r="JP182" s="33"/>
      <c r="JQ182" s="33"/>
      <c r="JR182" s="33"/>
      <c r="JS182" s="33"/>
      <c r="JT182" s="33"/>
      <c r="JU182" s="33"/>
      <c r="JV182" s="33"/>
      <c r="JW182" s="33"/>
      <c r="JX182" s="33"/>
      <c r="JY182" s="33"/>
      <c r="JZ182" s="33"/>
      <c r="KA182" s="33"/>
      <c r="KB182" s="33"/>
      <c r="KC182" s="33"/>
      <c r="KD182" s="33"/>
      <c r="KE182" s="33"/>
      <c r="KF182" s="33"/>
      <c r="KG182" s="33"/>
      <c r="KH182" s="33"/>
      <c r="KI182" s="33"/>
      <c r="KJ182" s="33"/>
      <c r="KK182" s="33"/>
      <c r="KL182" s="33"/>
      <c r="KM182" s="33"/>
      <c r="KN182" s="33"/>
      <c r="KO182" s="33"/>
      <c r="KP182" s="33"/>
      <c r="KQ182" s="33"/>
      <c r="KR182" s="33"/>
      <c r="KS182" s="33"/>
      <c r="KT182" s="33"/>
      <c r="KU182" s="33"/>
      <c r="KV182" s="33"/>
      <c r="KW182" s="33"/>
      <c r="KX182" s="33"/>
      <c r="KY182" s="102"/>
      <c r="KZ182" s="41"/>
      <c r="LA182" s="41"/>
      <c r="LB182" s="41"/>
      <c r="LC182" s="41"/>
      <c r="LD182" s="41"/>
      <c r="LE182" s="41"/>
      <c r="LF182" s="44"/>
      <c r="LG182" s="33"/>
      <c r="LH182" s="33"/>
      <c r="LI182" s="33"/>
      <c r="LJ182" s="33"/>
      <c r="LK182" s="33"/>
      <c r="LL182" s="33"/>
      <c r="LM182" s="33"/>
      <c r="LN182" s="33"/>
      <c r="LO182" s="33"/>
      <c r="LP182" s="33"/>
      <c r="LQ182" s="33"/>
      <c r="LR182" s="33"/>
      <c r="LS182" s="33"/>
      <c r="LT182" s="33"/>
      <c r="LU182" s="33"/>
      <c r="LV182" s="33"/>
      <c r="LW182" s="33"/>
      <c r="LX182" s="33"/>
      <c r="LY182" s="33"/>
      <c r="LZ182" s="33"/>
      <c r="MA182" s="33"/>
      <c r="MB182" s="33"/>
      <c r="MC182" s="33"/>
      <c r="MD182" s="33"/>
      <c r="ME182" s="33"/>
      <c r="MF182" s="33"/>
      <c r="MG182" s="33"/>
      <c r="MH182" s="33"/>
      <c r="MI182" s="33"/>
      <c r="MJ182" s="33"/>
      <c r="MK182" s="33"/>
      <c r="ML182" s="33"/>
      <c r="MM182" s="33"/>
      <c r="MN182" s="33"/>
      <c r="MO182" s="33"/>
      <c r="MP182" s="33"/>
      <c r="MQ182" s="33"/>
      <c r="MR182" s="33"/>
      <c r="MS182" s="33"/>
      <c r="MT182" s="33"/>
      <c r="MU182" s="33"/>
      <c r="MV182" s="33"/>
    </row>
    <row r="183" spans="1:360" ht="0.75" customHeight="1" x14ac:dyDescent="0.25">
      <c r="A183" s="33"/>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c r="BV183" s="33"/>
      <c r="BW183" s="33"/>
      <c r="BX183" s="102"/>
      <c r="BY183" s="41"/>
      <c r="BZ183" s="41"/>
      <c r="CA183" s="41"/>
      <c r="CB183" s="41"/>
      <c r="CC183" s="41"/>
      <c r="CD183" s="41"/>
      <c r="CE183" s="63"/>
      <c r="CF183" s="33"/>
      <c r="CG183" s="33"/>
      <c r="CH183" s="33"/>
      <c r="CI183" s="33"/>
      <c r="CJ183" s="33"/>
      <c r="CK183" s="33"/>
      <c r="CL183" s="33"/>
      <c r="CM183" s="33"/>
      <c r="CN183" s="33"/>
      <c r="CO183" s="33"/>
      <c r="CP183" s="33"/>
      <c r="CQ183" s="33"/>
      <c r="CR183" s="33"/>
      <c r="CS183" s="33"/>
      <c r="CT183" s="33"/>
      <c r="CU183" s="33"/>
      <c r="CV183" s="33"/>
      <c r="CW183" s="33"/>
      <c r="CX183" s="33"/>
      <c r="CY183" s="33"/>
      <c r="CZ183" s="33"/>
      <c r="DA183" s="33"/>
      <c r="DB183" s="36"/>
      <c r="DC183" s="42"/>
      <c r="DD183" s="41"/>
      <c r="DE183" s="41"/>
      <c r="DF183" s="41"/>
      <c r="DG183" s="41"/>
      <c r="DH183" s="41"/>
      <c r="DI183" s="42"/>
      <c r="DJ183" s="36"/>
      <c r="DK183" s="33"/>
      <c r="DL183" s="33"/>
      <c r="DM183" s="33"/>
      <c r="DN183" s="33"/>
      <c r="DO183" s="33"/>
      <c r="DP183" s="33"/>
      <c r="DQ183" s="33"/>
      <c r="DR183" s="33"/>
      <c r="DS183" s="33"/>
      <c r="DT183" s="33"/>
      <c r="DU183" s="33"/>
      <c r="DV183" s="33"/>
      <c r="DW183" s="33"/>
      <c r="DX183" s="33"/>
      <c r="DY183" s="33"/>
      <c r="DZ183" s="33"/>
      <c r="EA183" s="33"/>
      <c r="EB183" s="33"/>
      <c r="EC183" s="33"/>
      <c r="ED183" s="33"/>
      <c r="EE183" s="79"/>
      <c r="EF183" s="41"/>
      <c r="EG183" s="41"/>
      <c r="EH183" s="41"/>
      <c r="EI183" s="41"/>
      <c r="EJ183" s="41"/>
      <c r="EK183" s="41"/>
      <c r="EL183" s="52"/>
      <c r="EM183" s="33"/>
      <c r="EN183" s="33"/>
      <c r="EO183" s="33"/>
      <c r="EP183" s="33"/>
      <c r="EQ183" s="33"/>
      <c r="ER183" s="33"/>
      <c r="ES183" s="33"/>
      <c r="ET183" s="33"/>
      <c r="EU183" s="33"/>
      <c r="EV183" s="33"/>
      <c r="EW183" s="33"/>
      <c r="EX183" s="33"/>
      <c r="EY183" s="33"/>
      <c r="EZ183" s="33"/>
      <c r="FA183" s="33"/>
      <c r="FB183" s="33"/>
      <c r="FC183" s="33"/>
      <c r="FD183" s="33"/>
      <c r="FE183" s="33"/>
      <c r="FF183" s="33"/>
      <c r="FG183" s="33"/>
      <c r="FH183" s="33"/>
      <c r="FI183" s="52"/>
      <c r="FJ183" s="41"/>
      <c r="FK183" s="41"/>
      <c r="FL183" s="41"/>
      <c r="FM183" s="41"/>
      <c r="FN183" s="41"/>
      <c r="FO183" s="41"/>
      <c r="FP183" s="44"/>
      <c r="FQ183" s="33"/>
      <c r="FR183" s="33"/>
      <c r="FS183" s="33"/>
      <c r="FT183" s="33"/>
      <c r="FU183" s="33"/>
      <c r="FV183" s="33"/>
      <c r="FW183" s="33"/>
      <c r="FX183" s="33"/>
      <c r="FY183" s="33"/>
      <c r="FZ183" s="33"/>
      <c r="GA183" s="33"/>
      <c r="GB183" s="33"/>
      <c r="GC183" s="33"/>
      <c r="GD183" s="33"/>
      <c r="GE183" s="33"/>
      <c r="GF183" s="33"/>
      <c r="GG183" s="33"/>
      <c r="GH183" s="33"/>
      <c r="GI183" s="33"/>
      <c r="GJ183" s="33"/>
      <c r="GK183" s="33"/>
      <c r="GL183" s="33"/>
      <c r="GM183" s="33"/>
      <c r="GN183" s="33"/>
      <c r="GO183" s="33"/>
      <c r="GP183" s="33"/>
      <c r="GQ183" s="33"/>
      <c r="GR183" s="33"/>
      <c r="GS183" s="33"/>
      <c r="GT183" s="33"/>
      <c r="GU183" s="33"/>
      <c r="GV183" s="33"/>
      <c r="GW183" s="33"/>
      <c r="GX183" s="33"/>
      <c r="GY183" s="33"/>
      <c r="GZ183" s="33"/>
      <c r="HA183" s="33"/>
      <c r="HB183" s="33"/>
      <c r="HC183" s="33"/>
      <c r="HD183" s="33"/>
      <c r="HE183" s="33"/>
      <c r="HF183" s="33"/>
      <c r="HG183" s="33"/>
      <c r="HH183" s="33"/>
      <c r="HI183" s="33"/>
      <c r="HJ183" s="33"/>
      <c r="HK183" s="33"/>
      <c r="HL183" s="33"/>
      <c r="HM183" s="33"/>
      <c r="HN183" s="33"/>
      <c r="HO183" s="33"/>
      <c r="HP183" s="102"/>
      <c r="HQ183" s="41"/>
      <c r="HR183" s="41"/>
      <c r="HS183" s="41"/>
      <c r="HT183" s="41"/>
      <c r="HU183" s="41"/>
      <c r="HV183" s="41"/>
      <c r="HW183" s="44"/>
      <c r="HX183" s="33"/>
      <c r="HY183" s="33"/>
      <c r="HZ183" s="33"/>
      <c r="IA183" s="33"/>
      <c r="IB183" s="33"/>
      <c r="IC183" s="33"/>
      <c r="ID183" s="33"/>
      <c r="IE183" s="33"/>
      <c r="IF183" s="33"/>
      <c r="IG183" s="33"/>
      <c r="IH183" s="33"/>
      <c r="II183" s="33"/>
      <c r="IJ183" s="33"/>
      <c r="IK183" s="33"/>
      <c r="IL183" s="33"/>
      <c r="IM183" s="33"/>
      <c r="IN183" s="33"/>
      <c r="IO183" s="33"/>
      <c r="IP183" s="33"/>
      <c r="IQ183" s="33"/>
      <c r="IR183" s="33"/>
      <c r="IS183" s="33"/>
      <c r="IT183" s="33"/>
      <c r="IU183" s="33"/>
      <c r="IV183" s="33"/>
      <c r="IW183" s="33"/>
      <c r="IX183" s="33"/>
      <c r="IY183" s="33"/>
      <c r="IZ183" s="33"/>
      <c r="JA183" s="33"/>
      <c r="JB183" s="33"/>
      <c r="JC183" s="33"/>
      <c r="JD183" s="33"/>
      <c r="JE183" s="33"/>
      <c r="JF183" s="33"/>
      <c r="JG183" s="33"/>
      <c r="JH183" s="33"/>
      <c r="JI183" s="33"/>
      <c r="JJ183" s="33"/>
      <c r="JK183" s="33"/>
      <c r="JL183" s="33"/>
      <c r="JM183" s="33"/>
      <c r="JN183" s="33"/>
      <c r="JO183" s="33"/>
      <c r="JP183" s="33"/>
      <c r="JQ183" s="33"/>
      <c r="JR183" s="33"/>
      <c r="JS183" s="33"/>
      <c r="JT183" s="33"/>
      <c r="JU183" s="33"/>
      <c r="JV183" s="33"/>
      <c r="JW183" s="33"/>
      <c r="JX183" s="33"/>
      <c r="JY183" s="33"/>
      <c r="JZ183" s="33"/>
      <c r="KA183" s="33"/>
      <c r="KB183" s="33"/>
      <c r="KC183" s="33"/>
      <c r="KD183" s="33"/>
      <c r="KE183" s="33"/>
      <c r="KF183" s="33"/>
      <c r="KG183" s="33"/>
      <c r="KH183" s="33"/>
      <c r="KI183" s="33"/>
      <c r="KJ183" s="33"/>
      <c r="KK183" s="33"/>
      <c r="KL183" s="33"/>
      <c r="KM183" s="33"/>
      <c r="KN183" s="33"/>
      <c r="KO183" s="33"/>
      <c r="KP183" s="33"/>
      <c r="KQ183" s="33"/>
      <c r="KR183" s="33"/>
      <c r="KS183" s="33"/>
      <c r="KT183" s="33"/>
      <c r="KU183" s="33"/>
      <c r="KV183" s="33"/>
      <c r="KW183" s="33"/>
      <c r="KX183" s="33"/>
      <c r="KY183" s="102"/>
      <c r="KZ183" s="41"/>
      <c r="LA183" s="41"/>
      <c r="LB183" s="41"/>
      <c r="LC183" s="41"/>
      <c r="LD183" s="41"/>
      <c r="LE183" s="41"/>
      <c r="LF183" s="44"/>
      <c r="LG183" s="33"/>
      <c r="LH183" s="33"/>
      <c r="LI183" s="33"/>
      <c r="LJ183" s="33"/>
      <c r="LK183" s="33"/>
      <c r="LL183" s="33"/>
      <c r="LM183" s="33"/>
      <c r="LN183" s="33"/>
      <c r="LO183" s="33"/>
      <c r="LP183" s="33"/>
      <c r="LQ183" s="33"/>
      <c r="LR183" s="33"/>
      <c r="LS183" s="33"/>
      <c r="LT183" s="33"/>
      <c r="LU183" s="33"/>
      <c r="LV183" s="33"/>
      <c r="LW183" s="33"/>
      <c r="LX183" s="33"/>
      <c r="LY183" s="33"/>
      <c r="LZ183" s="33"/>
      <c r="MA183" s="33"/>
      <c r="MB183" s="33"/>
      <c r="MC183" s="33"/>
      <c r="MD183" s="33"/>
      <c r="ME183" s="33"/>
      <c r="MF183" s="33"/>
      <c r="MG183" s="33"/>
      <c r="MH183" s="33"/>
      <c r="MI183" s="33"/>
      <c r="MJ183" s="33"/>
      <c r="MK183" s="33"/>
      <c r="ML183" s="33"/>
      <c r="MM183" s="33"/>
      <c r="MN183" s="33"/>
      <c r="MO183" s="33"/>
      <c r="MP183" s="33"/>
      <c r="MQ183" s="33"/>
      <c r="MR183" s="33"/>
      <c r="MS183" s="33"/>
      <c r="MT183" s="33"/>
      <c r="MU183" s="33"/>
      <c r="MV183" s="33"/>
    </row>
    <row r="184" spans="1:360" ht="0.75" customHeight="1" x14ac:dyDescent="0.25">
      <c r="A184" s="33"/>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c r="BV184" s="33"/>
      <c r="BW184" s="33"/>
      <c r="BX184" s="102"/>
      <c r="BY184" s="41"/>
      <c r="BZ184" s="41"/>
      <c r="CA184" s="41"/>
      <c r="CB184" s="41"/>
      <c r="CC184" s="41"/>
      <c r="CD184" s="41"/>
      <c r="CE184" s="63"/>
      <c r="CF184" s="33"/>
      <c r="CG184" s="33"/>
      <c r="CH184" s="33"/>
      <c r="CI184" s="33"/>
      <c r="CJ184" s="33"/>
      <c r="CK184" s="33"/>
      <c r="CL184" s="33"/>
      <c r="CM184" s="33"/>
      <c r="CN184" s="33"/>
      <c r="CO184" s="33"/>
      <c r="CP184" s="33"/>
      <c r="CQ184" s="33"/>
      <c r="CR184" s="33"/>
      <c r="CS184" s="33"/>
      <c r="CT184" s="33"/>
      <c r="CU184" s="33"/>
      <c r="CV184" s="33"/>
      <c r="CW184" s="33"/>
      <c r="CX184" s="33"/>
      <c r="CY184" s="33"/>
      <c r="CZ184" s="33"/>
      <c r="DA184" s="33"/>
      <c r="DB184" s="36"/>
      <c r="DC184" s="42"/>
      <c r="DD184" s="41"/>
      <c r="DE184" s="41"/>
      <c r="DF184" s="41"/>
      <c r="DG184" s="41"/>
      <c r="DH184" s="41"/>
      <c r="DI184" s="42"/>
      <c r="DJ184" s="36"/>
      <c r="DK184" s="33"/>
      <c r="DL184" s="33"/>
      <c r="DM184" s="33"/>
      <c r="DN184" s="33"/>
      <c r="DO184" s="33"/>
      <c r="DP184" s="33"/>
      <c r="DQ184" s="33"/>
      <c r="DR184" s="33"/>
      <c r="DS184" s="33"/>
      <c r="DT184" s="33"/>
      <c r="DU184" s="33"/>
      <c r="DV184" s="33"/>
      <c r="DW184" s="33"/>
      <c r="DX184" s="33"/>
      <c r="DY184" s="33"/>
      <c r="DZ184" s="33"/>
      <c r="EA184" s="33"/>
      <c r="EB184" s="33"/>
      <c r="EC184" s="33"/>
      <c r="ED184" s="33"/>
      <c r="EE184" s="79"/>
      <c r="EF184" s="41"/>
      <c r="EG184" s="41"/>
      <c r="EH184" s="41"/>
      <c r="EI184" s="41"/>
      <c r="EJ184" s="41"/>
      <c r="EK184" s="41"/>
      <c r="EL184" s="52"/>
      <c r="EM184" s="33"/>
      <c r="EN184" s="33"/>
      <c r="EO184" s="33"/>
      <c r="EP184" s="33"/>
      <c r="EQ184" s="33"/>
      <c r="ER184" s="33"/>
      <c r="ES184" s="33"/>
      <c r="ET184" s="33"/>
      <c r="EU184" s="33"/>
      <c r="EV184" s="33"/>
      <c r="EW184" s="33"/>
      <c r="EX184" s="33"/>
      <c r="EY184" s="33"/>
      <c r="EZ184" s="33"/>
      <c r="FA184" s="33"/>
      <c r="FB184" s="33"/>
      <c r="FC184" s="33"/>
      <c r="FD184" s="33"/>
      <c r="FE184" s="33"/>
      <c r="FF184" s="33"/>
      <c r="FG184" s="33"/>
      <c r="FH184" s="33"/>
      <c r="FI184" s="52"/>
      <c r="FJ184" s="41"/>
      <c r="FK184" s="41"/>
      <c r="FL184" s="41"/>
      <c r="FM184" s="41"/>
      <c r="FN184" s="41"/>
      <c r="FO184" s="41"/>
      <c r="FP184" s="44"/>
      <c r="FQ184" s="33"/>
      <c r="FR184" s="33"/>
      <c r="FS184" s="33"/>
      <c r="FT184" s="33"/>
      <c r="FU184" s="33"/>
      <c r="FV184" s="33"/>
      <c r="FW184" s="33"/>
      <c r="FX184" s="33"/>
      <c r="FY184" s="33"/>
      <c r="FZ184" s="33"/>
      <c r="GA184" s="33"/>
      <c r="GB184" s="33"/>
      <c r="GC184" s="33"/>
      <c r="GD184" s="33"/>
      <c r="GE184" s="33"/>
      <c r="GF184" s="33"/>
      <c r="GG184" s="33"/>
      <c r="GH184" s="33"/>
      <c r="GI184" s="33"/>
      <c r="GJ184" s="33"/>
      <c r="GK184" s="33"/>
      <c r="GL184" s="33"/>
      <c r="GM184" s="33"/>
      <c r="GN184" s="33"/>
      <c r="GO184" s="33"/>
      <c r="GP184" s="33"/>
      <c r="GQ184" s="33"/>
      <c r="GR184" s="33"/>
      <c r="GS184" s="33"/>
      <c r="GT184" s="33"/>
      <c r="GU184" s="33"/>
      <c r="GV184" s="33"/>
      <c r="GW184" s="33"/>
      <c r="GX184" s="33"/>
      <c r="GY184" s="33"/>
      <c r="GZ184" s="33"/>
      <c r="HA184" s="33"/>
      <c r="HB184" s="33"/>
      <c r="HC184" s="33"/>
      <c r="HD184" s="33"/>
      <c r="HE184" s="33"/>
      <c r="HF184" s="33"/>
      <c r="HG184" s="33"/>
      <c r="HH184" s="33"/>
      <c r="HI184" s="33"/>
      <c r="HJ184" s="33"/>
      <c r="HK184" s="33"/>
      <c r="HL184" s="33"/>
      <c r="HM184" s="33"/>
      <c r="HN184" s="33"/>
      <c r="HO184" s="33"/>
      <c r="HP184" s="102"/>
      <c r="HQ184" s="41"/>
      <c r="HR184" s="41"/>
      <c r="HS184" s="41"/>
      <c r="HT184" s="41"/>
      <c r="HU184" s="41"/>
      <c r="HV184" s="41"/>
      <c r="HW184" s="44"/>
      <c r="HX184" s="33"/>
      <c r="HY184" s="33"/>
      <c r="HZ184" s="33"/>
      <c r="IA184" s="33"/>
      <c r="IB184" s="33"/>
      <c r="IC184" s="33"/>
      <c r="ID184" s="33"/>
      <c r="IE184" s="33"/>
      <c r="IF184" s="33"/>
      <c r="IG184" s="33"/>
      <c r="IH184" s="33"/>
      <c r="II184" s="33"/>
      <c r="IJ184" s="33"/>
      <c r="IK184" s="33"/>
      <c r="IL184" s="33"/>
      <c r="IM184" s="33"/>
      <c r="IN184" s="33"/>
      <c r="IO184" s="33"/>
      <c r="IP184" s="33"/>
      <c r="IQ184" s="33"/>
      <c r="IR184" s="33"/>
      <c r="IS184" s="33"/>
      <c r="IT184" s="33"/>
      <c r="IU184" s="33"/>
      <c r="IV184" s="33"/>
      <c r="IW184" s="33"/>
      <c r="IX184" s="33"/>
      <c r="IY184" s="33"/>
      <c r="IZ184" s="33"/>
      <c r="JA184" s="33"/>
      <c r="JB184" s="33"/>
      <c r="JC184" s="33"/>
      <c r="JD184" s="33"/>
      <c r="JE184" s="33"/>
      <c r="JF184" s="33"/>
      <c r="JG184" s="33"/>
      <c r="JH184" s="33"/>
      <c r="JI184" s="33"/>
      <c r="JJ184" s="33"/>
      <c r="JK184" s="33"/>
      <c r="JL184" s="33"/>
      <c r="JM184" s="33"/>
      <c r="JN184" s="33"/>
      <c r="JO184" s="33"/>
      <c r="JP184" s="33"/>
      <c r="JQ184" s="33"/>
      <c r="JR184" s="33"/>
      <c r="JS184" s="33"/>
      <c r="JT184" s="33"/>
      <c r="JU184" s="33"/>
      <c r="JV184" s="33"/>
      <c r="JW184" s="33"/>
      <c r="JX184" s="33"/>
      <c r="JY184" s="33"/>
      <c r="JZ184" s="33"/>
      <c r="KA184" s="33"/>
      <c r="KB184" s="33"/>
      <c r="KC184" s="33"/>
      <c r="KD184" s="33"/>
      <c r="KE184" s="33"/>
      <c r="KF184" s="33"/>
      <c r="KG184" s="33"/>
      <c r="KH184" s="33"/>
      <c r="KI184" s="33"/>
      <c r="KJ184" s="33"/>
      <c r="KK184" s="33"/>
      <c r="KL184" s="33"/>
      <c r="KM184" s="33"/>
      <c r="KN184" s="33"/>
      <c r="KO184" s="33"/>
      <c r="KP184" s="33"/>
      <c r="KQ184" s="33"/>
      <c r="KR184" s="33"/>
      <c r="KS184" s="33"/>
      <c r="KT184" s="33"/>
      <c r="KU184" s="33"/>
      <c r="KV184" s="33"/>
      <c r="KW184" s="33"/>
      <c r="KX184" s="33"/>
      <c r="KY184" s="102"/>
      <c r="KZ184" s="41"/>
      <c r="LA184" s="41"/>
      <c r="LB184" s="41"/>
      <c r="LC184" s="41"/>
      <c r="LD184" s="41"/>
      <c r="LE184" s="41"/>
      <c r="LF184" s="44"/>
      <c r="LG184" s="33"/>
      <c r="LH184" s="33"/>
      <c r="LI184" s="33"/>
      <c r="LJ184" s="33"/>
      <c r="LK184" s="33"/>
      <c r="LL184" s="33"/>
      <c r="LM184" s="33"/>
      <c r="LN184" s="33"/>
      <c r="LO184" s="33"/>
      <c r="LP184" s="33"/>
      <c r="LQ184" s="33"/>
      <c r="LR184" s="33"/>
      <c r="LS184" s="33"/>
      <c r="LT184" s="33"/>
      <c r="LU184" s="33"/>
      <c r="LV184" s="33"/>
      <c r="LW184" s="33"/>
      <c r="LX184" s="33"/>
      <c r="LY184" s="33"/>
      <c r="LZ184" s="33"/>
      <c r="MA184" s="33"/>
      <c r="MB184" s="33"/>
      <c r="MC184" s="33"/>
      <c r="MD184" s="33"/>
      <c r="ME184" s="33"/>
      <c r="MF184" s="33"/>
      <c r="MG184" s="33"/>
      <c r="MH184" s="33"/>
      <c r="MI184" s="33"/>
      <c r="MJ184" s="33"/>
      <c r="MK184" s="33"/>
      <c r="ML184" s="33"/>
      <c r="MM184" s="33"/>
      <c r="MN184" s="33"/>
      <c r="MO184" s="33"/>
      <c r="MP184" s="33"/>
      <c r="MQ184" s="33"/>
      <c r="MR184" s="33"/>
      <c r="MS184" s="33"/>
      <c r="MT184" s="33"/>
      <c r="MU184" s="33"/>
      <c r="MV184" s="33"/>
    </row>
    <row r="185" spans="1:360" ht="0.75" customHeight="1" x14ac:dyDescent="0.25">
      <c r="A185" s="33"/>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c r="BV185" s="33"/>
      <c r="BW185" s="33"/>
      <c r="BX185" s="102"/>
      <c r="BY185" s="41"/>
      <c r="BZ185" s="41"/>
      <c r="CA185" s="41"/>
      <c r="CB185" s="41"/>
      <c r="CC185" s="41"/>
      <c r="CD185" s="41"/>
      <c r="CE185" s="63"/>
      <c r="CF185" s="33"/>
      <c r="CG185" s="33"/>
      <c r="CH185" s="33"/>
      <c r="CI185" s="33"/>
      <c r="CJ185" s="33"/>
      <c r="CK185" s="33"/>
      <c r="CL185" s="33"/>
      <c r="CM185" s="33"/>
      <c r="CN185" s="33"/>
      <c r="CO185" s="33"/>
      <c r="CP185" s="33"/>
      <c r="CQ185" s="33"/>
      <c r="CR185" s="33"/>
      <c r="CS185" s="33"/>
      <c r="CT185" s="33"/>
      <c r="CU185" s="33"/>
      <c r="CV185" s="33"/>
      <c r="CW185" s="33"/>
      <c r="CX185" s="33"/>
      <c r="CY185" s="33"/>
      <c r="CZ185" s="33"/>
      <c r="DA185" s="33"/>
      <c r="DB185" s="36"/>
      <c r="DC185" s="42"/>
      <c r="DD185" s="41"/>
      <c r="DE185" s="41"/>
      <c r="DF185" s="41"/>
      <c r="DG185" s="41"/>
      <c r="DH185" s="41"/>
      <c r="DI185" s="42"/>
      <c r="DJ185" s="36"/>
      <c r="DK185" s="33"/>
      <c r="DL185" s="33"/>
      <c r="DM185" s="33"/>
      <c r="DN185" s="33"/>
      <c r="DO185" s="33"/>
      <c r="DP185" s="33"/>
      <c r="DQ185" s="33"/>
      <c r="DR185" s="33"/>
      <c r="DS185" s="33"/>
      <c r="DT185" s="33"/>
      <c r="DU185" s="33"/>
      <c r="DV185" s="33"/>
      <c r="DW185" s="33"/>
      <c r="DX185" s="33"/>
      <c r="DY185" s="33"/>
      <c r="DZ185" s="33"/>
      <c r="EA185" s="33"/>
      <c r="EB185" s="33"/>
      <c r="EC185" s="33"/>
      <c r="ED185" s="33"/>
      <c r="EE185" s="79"/>
      <c r="EF185" s="41"/>
      <c r="EG185" s="41"/>
      <c r="EH185" s="41"/>
      <c r="EI185" s="41"/>
      <c r="EJ185" s="41"/>
      <c r="EK185" s="41"/>
      <c r="EL185" s="52"/>
      <c r="EM185" s="33"/>
      <c r="EN185" s="33"/>
      <c r="EO185" s="33"/>
      <c r="EP185" s="33"/>
      <c r="EQ185" s="33"/>
      <c r="ER185" s="33"/>
      <c r="ES185" s="33"/>
      <c r="ET185" s="33"/>
      <c r="EU185" s="33"/>
      <c r="EV185" s="33"/>
      <c r="EW185" s="33"/>
      <c r="EX185" s="33"/>
      <c r="EY185" s="33"/>
      <c r="EZ185" s="33"/>
      <c r="FA185" s="33"/>
      <c r="FB185" s="33"/>
      <c r="FC185" s="33"/>
      <c r="FD185" s="33"/>
      <c r="FE185" s="33"/>
      <c r="FF185" s="33"/>
      <c r="FG185" s="33"/>
      <c r="FH185" s="33"/>
      <c r="FI185" s="52"/>
      <c r="FJ185" s="41"/>
      <c r="FK185" s="41"/>
      <c r="FL185" s="41"/>
      <c r="FM185" s="41"/>
      <c r="FN185" s="41"/>
      <c r="FO185" s="41"/>
      <c r="FP185" s="44"/>
      <c r="FQ185" s="33"/>
      <c r="FR185" s="33"/>
      <c r="FS185" s="33"/>
      <c r="FT185" s="33"/>
      <c r="FU185" s="33"/>
      <c r="FV185" s="33"/>
      <c r="FW185" s="33"/>
      <c r="FX185" s="33"/>
      <c r="FY185" s="33"/>
      <c r="FZ185" s="33"/>
      <c r="GA185" s="33"/>
      <c r="GB185" s="33"/>
      <c r="GC185" s="33"/>
      <c r="GD185" s="33"/>
      <c r="GE185" s="33"/>
      <c r="GF185" s="33"/>
      <c r="GG185" s="33"/>
      <c r="GH185" s="33"/>
      <c r="GI185" s="33"/>
      <c r="GJ185" s="33"/>
      <c r="GK185" s="33"/>
      <c r="GL185" s="33"/>
      <c r="GM185" s="33"/>
      <c r="GN185" s="33"/>
      <c r="GO185" s="33"/>
      <c r="GP185" s="33"/>
      <c r="GQ185" s="33"/>
      <c r="GR185" s="33"/>
      <c r="GS185" s="33"/>
      <c r="GT185" s="33"/>
      <c r="GU185" s="33"/>
      <c r="GV185" s="33"/>
      <c r="GW185" s="33"/>
      <c r="GX185" s="33"/>
      <c r="GY185" s="33"/>
      <c r="GZ185" s="33"/>
      <c r="HA185" s="33"/>
      <c r="HB185" s="33"/>
      <c r="HC185" s="33"/>
      <c r="HD185" s="33"/>
      <c r="HE185" s="33"/>
      <c r="HF185" s="33"/>
      <c r="HG185" s="33"/>
      <c r="HH185" s="33"/>
      <c r="HI185" s="33"/>
      <c r="HJ185" s="33"/>
      <c r="HK185" s="33"/>
      <c r="HL185" s="33"/>
      <c r="HM185" s="33"/>
      <c r="HN185" s="33"/>
      <c r="HO185" s="33"/>
      <c r="HP185" s="102"/>
      <c r="HQ185" s="41"/>
      <c r="HR185" s="41"/>
      <c r="HS185" s="41"/>
      <c r="HT185" s="41"/>
      <c r="HU185" s="41"/>
      <c r="HV185" s="41"/>
      <c r="HW185" s="44"/>
      <c r="HX185" s="33"/>
      <c r="HY185" s="33"/>
      <c r="HZ185" s="33"/>
      <c r="IA185" s="33"/>
      <c r="IB185" s="33"/>
      <c r="IC185" s="33"/>
      <c r="ID185" s="33"/>
      <c r="IE185" s="33"/>
      <c r="IF185" s="33"/>
      <c r="IG185" s="33"/>
      <c r="IH185" s="33"/>
      <c r="II185" s="33"/>
      <c r="IJ185" s="33"/>
      <c r="IK185" s="33"/>
      <c r="IL185" s="33"/>
      <c r="IM185" s="33"/>
      <c r="IN185" s="33"/>
      <c r="IO185" s="33"/>
      <c r="IP185" s="33"/>
      <c r="IQ185" s="33"/>
      <c r="IR185" s="33"/>
      <c r="IS185" s="33"/>
      <c r="IT185" s="33"/>
      <c r="IU185" s="33"/>
      <c r="IV185" s="33"/>
      <c r="IW185" s="33"/>
      <c r="IX185" s="33"/>
      <c r="IY185" s="33"/>
      <c r="IZ185" s="33"/>
      <c r="JA185" s="33"/>
      <c r="JB185" s="33"/>
      <c r="JC185" s="33"/>
      <c r="JD185" s="33"/>
      <c r="JE185" s="33"/>
      <c r="JF185" s="33"/>
      <c r="JG185" s="33"/>
      <c r="JH185" s="33"/>
      <c r="JI185" s="33"/>
      <c r="JJ185" s="33"/>
      <c r="JK185" s="33"/>
      <c r="JL185" s="33"/>
      <c r="JM185" s="33"/>
      <c r="JN185" s="33"/>
      <c r="JO185" s="33"/>
      <c r="JP185" s="33"/>
      <c r="JQ185" s="33"/>
      <c r="JR185" s="33"/>
      <c r="JS185" s="33"/>
      <c r="JT185" s="33"/>
      <c r="JU185" s="33"/>
      <c r="JV185" s="33"/>
      <c r="JW185" s="33"/>
      <c r="JX185" s="33"/>
      <c r="JY185" s="33"/>
      <c r="JZ185" s="33"/>
      <c r="KA185" s="33"/>
      <c r="KB185" s="33"/>
      <c r="KC185" s="33"/>
      <c r="KD185" s="33"/>
      <c r="KE185" s="33"/>
      <c r="KF185" s="33"/>
      <c r="KG185" s="33"/>
      <c r="KH185" s="33"/>
      <c r="KI185" s="33"/>
      <c r="KJ185" s="33"/>
      <c r="KK185" s="33"/>
      <c r="KL185" s="33"/>
      <c r="KM185" s="33"/>
      <c r="KN185" s="33"/>
      <c r="KO185" s="33"/>
      <c r="KP185" s="33"/>
      <c r="KQ185" s="33"/>
      <c r="KR185" s="33"/>
      <c r="KS185" s="33"/>
      <c r="KT185" s="33"/>
      <c r="KU185" s="33"/>
      <c r="KV185" s="33"/>
      <c r="KW185" s="33"/>
      <c r="KX185" s="33"/>
      <c r="KY185" s="102"/>
      <c r="KZ185" s="41"/>
      <c r="LA185" s="41"/>
      <c r="LB185" s="41"/>
      <c r="LC185" s="41"/>
      <c r="LD185" s="41"/>
      <c r="LE185" s="41"/>
      <c r="LF185" s="44"/>
      <c r="LG185" s="33"/>
      <c r="LH185" s="33"/>
      <c r="LI185" s="33"/>
      <c r="LJ185" s="33"/>
      <c r="LK185" s="33"/>
      <c r="LL185" s="33"/>
      <c r="LM185" s="33"/>
      <c r="LN185" s="33"/>
      <c r="LO185" s="33"/>
      <c r="LP185" s="33"/>
      <c r="LQ185" s="33"/>
      <c r="LR185" s="33"/>
      <c r="LS185" s="33"/>
      <c r="LT185" s="33"/>
      <c r="LU185" s="33"/>
      <c r="LV185" s="33"/>
      <c r="LW185" s="33"/>
      <c r="LX185" s="33"/>
      <c r="LY185" s="33"/>
      <c r="LZ185" s="33"/>
      <c r="MA185" s="33"/>
      <c r="MB185" s="33"/>
      <c r="MC185" s="33"/>
      <c r="MD185" s="33"/>
      <c r="ME185" s="33"/>
      <c r="MF185" s="33"/>
      <c r="MG185" s="33"/>
      <c r="MH185" s="33"/>
      <c r="MI185" s="33"/>
      <c r="MJ185" s="33"/>
      <c r="MK185" s="33"/>
      <c r="ML185" s="33"/>
      <c r="MM185" s="33"/>
      <c r="MN185" s="33"/>
      <c r="MO185" s="33"/>
      <c r="MP185" s="33"/>
      <c r="MQ185" s="33"/>
      <c r="MR185" s="33"/>
      <c r="MS185" s="33"/>
      <c r="MT185" s="33"/>
      <c r="MU185" s="33"/>
      <c r="MV185" s="33"/>
    </row>
    <row r="186" spans="1:360" ht="0.75" customHeight="1" x14ac:dyDescent="0.25">
      <c r="A186" s="33"/>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c r="BV186" s="33"/>
      <c r="BW186" s="33"/>
      <c r="BX186" s="102"/>
      <c r="BY186" s="41"/>
      <c r="BZ186" s="41"/>
      <c r="CA186" s="41"/>
      <c r="CB186" s="41"/>
      <c r="CC186" s="41"/>
      <c r="CD186" s="41"/>
      <c r="CE186" s="63"/>
      <c r="CF186" s="33"/>
      <c r="CG186" s="33"/>
      <c r="CH186" s="33"/>
      <c r="CI186" s="33"/>
      <c r="CJ186" s="33"/>
      <c r="CK186" s="33"/>
      <c r="CL186" s="33"/>
      <c r="CM186" s="33"/>
      <c r="CN186" s="33"/>
      <c r="CO186" s="33"/>
      <c r="CP186" s="33"/>
      <c r="CQ186" s="33"/>
      <c r="CR186" s="33"/>
      <c r="CS186" s="33"/>
      <c r="CT186" s="33"/>
      <c r="CU186" s="33"/>
      <c r="CV186" s="33"/>
      <c r="CW186" s="33"/>
      <c r="CX186" s="33"/>
      <c r="CY186" s="33"/>
      <c r="CZ186" s="33"/>
      <c r="DA186" s="33"/>
      <c r="DB186" s="36"/>
      <c r="DC186" s="42"/>
      <c r="DD186" s="41"/>
      <c r="DE186" s="41"/>
      <c r="DF186" s="41"/>
      <c r="DG186" s="41"/>
      <c r="DH186" s="41"/>
      <c r="DI186" s="42"/>
      <c r="DJ186" s="36"/>
      <c r="DK186" s="33"/>
      <c r="DL186" s="33"/>
      <c r="DM186" s="33"/>
      <c r="DN186" s="33"/>
      <c r="DO186" s="33"/>
      <c r="DP186" s="33"/>
      <c r="DQ186" s="33"/>
      <c r="DR186" s="33"/>
      <c r="DS186" s="33"/>
      <c r="DT186" s="33"/>
      <c r="DU186" s="33"/>
      <c r="DV186" s="33"/>
      <c r="DW186" s="33"/>
      <c r="DX186" s="33"/>
      <c r="DY186" s="33"/>
      <c r="DZ186" s="33"/>
      <c r="EA186" s="33"/>
      <c r="EB186" s="33"/>
      <c r="EC186" s="33"/>
      <c r="ED186" s="33"/>
      <c r="EE186" s="79"/>
      <c r="EF186" s="41"/>
      <c r="EG186" s="41"/>
      <c r="EH186" s="41"/>
      <c r="EI186" s="41"/>
      <c r="EJ186" s="41"/>
      <c r="EK186" s="41"/>
      <c r="EL186" s="52"/>
      <c r="EM186" s="33"/>
      <c r="EN186" s="33"/>
      <c r="EO186" s="33"/>
      <c r="EP186" s="33"/>
      <c r="EQ186" s="33"/>
      <c r="ER186" s="33"/>
      <c r="ES186" s="33"/>
      <c r="ET186" s="33"/>
      <c r="EU186" s="33"/>
      <c r="EV186" s="33"/>
      <c r="EW186" s="33"/>
      <c r="EX186" s="33"/>
      <c r="EY186" s="33"/>
      <c r="EZ186" s="33"/>
      <c r="FA186" s="33"/>
      <c r="FB186" s="33"/>
      <c r="FC186" s="33"/>
      <c r="FD186" s="33"/>
      <c r="FE186" s="33"/>
      <c r="FF186" s="33"/>
      <c r="FG186" s="33"/>
      <c r="FH186" s="33"/>
      <c r="FI186" s="52"/>
      <c r="FJ186" s="41"/>
      <c r="FK186" s="41"/>
      <c r="FL186" s="41"/>
      <c r="FM186" s="41"/>
      <c r="FN186" s="41"/>
      <c r="FO186" s="41"/>
      <c r="FP186" s="44"/>
      <c r="FQ186" s="33"/>
      <c r="FR186" s="33"/>
      <c r="FS186" s="33"/>
      <c r="FT186" s="33"/>
      <c r="FU186" s="33"/>
      <c r="FV186" s="33"/>
      <c r="FW186" s="33"/>
      <c r="FX186" s="33"/>
      <c r="FY186" s="33"/>
      <c r="FZ186" s="33"/>
      <c r="GA186" s="33"/>
      <c r="GB186" s="33"/>
      <c r="GC186" s="33"/>
      <c r="GD186" s="33"/>
      <c r="GE186" s="33"/>
      <c r="GF186" s="33"/>
      <c r="GG186" s="33"/>
      <c r="GH186" s="33"/>
      <c r="GI186" s="33"/>
      <c r="GJ186" s="33"/>
      <c r="GK186" s="33"/>
      <c r="GL186" s="33"/>
      <c r="GM186" s="33"/>
      <c r="GN186" s="33"/>
      <c r="GO186" s="33"/>
      <c r="GP186" s="33"/>
      <c r="GQ186" s="33"/>
      <c r="GR186" s="33"/>
      <c r="GS186" s="33"/>
      <c r="GT186" s="33"/>
      <c r="GU186" s="33"/>
      <c r="GV186" s="33"/>
      <c r="GW186" s="33"/>
      <c r="GX186" s="33"/>
      <c r="GY186" s="33"/>
      <c r="GZ186" s="33"/>
      <c r="HA186" s="33"/>
      <c r="HB186" s="33"/>
      <c r="HC186" s="33"/>
      <c r="HD186" s="33"/>
      <c r="HE186" s="33"/>
      <c r="HF186" s="33"/>
      <c r="HG186" s="33"/>
      <c r="HH186" s="33"/>
      <c r="HI186" s="33"/>
      <c r="HJ186" s="33"/>
      <c r="HK186" s="33"/>
      <c r="HL186" s="33"/>
      <c r="HM186" s="33"/>
      <c r="HN186" s="33"/>
      <c r="HO186" s="33"/>
      <c r="HP186" s="102"/>
      <c r="HQ186" s="41"/>
      <c r="HR186" s="41"/>
      <c r="HS186" s="41"/>
      <c r="HT186" s="41"/>
      <c r="HU186" s="41"/>
      <c r="HV186" s="41"/>
      <c r="HW186" s="44"/>
      <c r="HX186" s="33"/>
      <c r="HY186" s="33"/>
      <c r="HZ186" s="33"/>
      <c r="IA186" s="33"/>
      <c r="IB186" s="33"/>
      <c r="IC186" s="33"/>
      <c r="ID186" s="33"/>
      <c r="IE186" s="33"/>
      <c r="IF186" s="33"/>
      <c r="IG186" s="33"/>
      <c r="IH186" s="33"/>
      <c r="II186" s="33"/>
      <c r="IJ186" s="33"/>
      <c r="IK186" s="33"/>
      <c r="IL186" s="33"/>
      <c r="IM186" s="33"/>
      <c r="IN186" s="33"/>
      <c r="IO186" s="33"/>
      <c r="IP186" s="33"/>
      <c r="IQ186" s="33"/>
      <c r="IR186" s="33"/>
      <c r="IS186" s="33"/>
      <c r="IT186" s="33"/>
      <c r="IU186" s="33"/>
      <c r="IV186" s="33"/>
      <c r="IW186" s="33"/>
      <c r="IX186" s="33"/>
      <c r="IY186" s="33"/>
      <c r="IZ186" s="33"/>
      <c r="JA186" s="33"/>
      <c r="JB186" s="33"/>
      <c r="JC186" s="33"/>
      <c r="JD186" s="33"/>
      <c r="JE186" s="33"/>
      <c r="JF186" s="33"/>
      <c r="JG186" s="33"/>
      <c r="JH186" s="33"/>
      <c r="JI186" s="33"/>
      <c r="JJ186" s="33"/>
      <c r="JK186" s="33"/>
      <c r="JL186" s="33"/>
      <c r="JM186" s="33"/>
      <c r="JN186" s="33"/>
      <c r="JO186" s="33"/>
      <c r="JP186" s="33"/>
      <c r="JQ186" s="33"/>
      <c r="JR186" s="33"/>
      <c r="JS186" s="33"/>
      <c r="JT186" s="33"/>
      <c r="JU186" s="33"/>
      <c r="JV186" s="33"/>
      <c r="JW186" s="33"/>
      <c r="JX186" s="33"/>
      <c r="JY186" s="33"/>
      <c r="JZ186" s="33"/>
      <c r="KA186" s="33"/>
      <c r="KB186" s="33"/>
      <c r="KC186" s="33"/>
      <c r="KD186" s="33"/>
      <c r="KE186" s="33"/>
      <c r="KF186" s="33"/>
      <c r="KG186" s="33"/>
      <c r="KH186" s="33"/>
      <c r="KI186" s="33"/>
      <c r="KJ186" s="33"/>
      <c r="KK186" s="33"/>
      <c r="KL186" s="33"/>
      <c r="KM186" s="33"/>
      <c r="KN186" s="33"/>
      <c r="KO186" s="33"/>
      <c r="KP186" s="33"/>
      <c r="KQ186" s="33"/>
      <c r="KR186" s="33"/>
      <c r="KS186" s="33"/>
      <c r="KT186" s="33"/>
      <c r="KU186" s="33"/>
      <c r="KV186" s="33"/>
      <c r="KW186" s="33"/>
      <c r="KX186" s="33"/>
      <c r="KY186" s="102"/>
      <c r="KZ186" s="41"/>
      <c r="LA186" s="41"/>
      <c r="LB186" s="41"/>
      <c r="LC186" s="41"/>
      <c r="LD186" s="41"/>
      <c r="LE186" s="41"/>
      <c r="LF186" s="44"/>
      <c r="LG186" s="33"/>
      <c r="LH186" s="33"/>
      <c r="LI186" s="33"/>
      <c r="LJ186" s="33"/>
      <c r="LK186" s="33"/>
      <c r="LL186" s="33"/>
      <c r="LM186" s="33"/>
      <c r="LN186" s="33"/>
      <c r="LO186" s="33"/>
      <c r="LP186" s="33"/>
      <c r="LQ186" s="33"/>
      <c r="LR186" s="33"/>
      <c r="LS186" s="33"/>
      <c r="LT186" s="33"/>
      <c r="LU186" s="33"/>
      <c r="LV186" s="33"/>
      <c r="LW186" s="33"/>
      <c r="LX186" s="33"/>
      <c r="LY186" s="33"/>
      <c r="LZ186" s="33"/>
      <c r="MA186" s="33"/>
      <c r="MB186" s="33"/>
      <c r="MC186" s="33"/>
      <c r="MD186" s="33"/>
      <c r="ME186" s="33"/>
      <c r="MF186" s="33"/>
      <c r="MG186" s="33"/>
      <c r="MH186" s="33"/>
      <c r="MI186" s="33"/>
      <c r="MJ186" s="33"/>
      <c r="MK186" s="33"/>
      <c r="ML186" s="33"/>
      <c r="MM186" s="33"/>
      <c r="MN186" s="33"/>
      <c r="MO186" s="33"/>
      <c r="MP186" s="33"/>
      <c r="MQ186" s="33"/>
      <c r="MR186" s="33"/>
      <c r="MS186" s="33"/>
      <c r="MT186" s="33"/>
      <c r="MU186" s="33"/>
      <c r="MV186" s="33"/>
    </row>
    <row r="187" spans="1:360" ht="0.75" customHeight="1" x14ac:dyDescent="0.25">
      <c r="A187" s="33"/>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c r="BV187" s="33"/>
      <c r="BW187" s="33"/>
      <c r="BX187" s="102"/>
      <c r="BY187" s="41"/>
      <c r="BZ187" s="41"/>
      <c r="CA187" s="41"/>
      <c r="CB187" s="41"/>
      <c r="CC187" s="41"/>
      <c r="CD187" s="41"/>
      <c r="CE187" s="63"/>
      <c r="CF187" s="33"/>
      <c r="CG187" s="33"/>
      <c r="CH187" s="33"/>
      <c r="CI187" s="33"/>
      <c r="CJ187" s="33"/>
      <c r="CK187" s="33"/>
      <c r="CL187" s="33"/>
      <c r="CM187" s="33"/>
      <c r="CN187" s="33"/>
      <c r="CO187" s="33"/>
      <c r="CP187" s="33"/>
      <c r="CQ187" s="33"/>
      <c r="CR187" s="33"/>
      <c r="CS187" s="33"/>
      <c r="CT187" s="33"/>
      <c r="CU187" s="33"/>
      <c r="CV187" s="33"/>
      <c r="CW187" s="33"/>
      <c r="CX187" s="33"/>
      <c r="CY187" s="33"/>
      <c r="CZ187" s="33"/>
      <c r="DA187" s="33"/>
      <c r="DB187" s="36"/>
      <c r="DC187" s="42"/>
      <c r="DD187" s="41"/>
      <c r="DE187" s="41"/>
      <c r="DF187" s="41"/>
      <c r="DG187" s="41"/>
      <c r="DH187" s="41"/>
      <c r="DI187" s="42"/>
      <c r="DJ187" s="36"/>
      <c r="DK187" s="33"/>
      <c r="DL187" s="33"/>
      <c r="DM187" s="33"/>
      <c r="DN187" s="33"/>
      <c r="DO187" s="33"/>
      <c r="DP187" s="33"/>
      <c r="DQ187" s="33"/>
      <c r="DR187" s="33"/>
      <c r="DS187" s="33"/>
      <c r="DT187" s="33"/>
      <c r="DU187" s="33"/>
      <c r="DV187" s="33"/>
      <c r="DW187" s="33"/>
      <c r="DX187" s="33"/>
      <c r="DY187" s="33"/>
      <c r="DZ187" s="33"/>
      <c r="EA187" s="33"/>
      <c r="EB187" s="33"/>
      <c r="EC187" s="33"/>
      <c r="ED187" s="33"/>
      <c r="EE187" s="79"/>
      <c r="EF187" s="41"/>
      <c r="EG187" s="41"/>
      <c r="EH187" s="41"/>
      <c r="EI187" s="41"/>
      <c r="EJ187" s="41"/>
      <c r="EK187" s="41"/>
      <c r="EL187" s="52"/>
      <c r="EM187" s="33"/>
      <c r="EN187" s="33"/>
      <c r="EO187" s="33"/>
      <c r="EP187" s="33"/>
      <c r="EQ187" s="33"/>
      <c r="ER187" s="33"/>
      <c r="ES187" s="33"/>
      <c r="ET187" s="33"/>
      <c r="EU187" s="33"/>
      <c r="EV187" s="33"/>
      <c r="EW187" s="33"/>
      <c r="EX187" s="33"/>
      <c r="EY187" s="33"/>
      <c r="EZ187" s="33"/>
      <c r="FA187" s="33"/>
      <c r="FB187" s="33"/>
      <c r="FC187" s="33"/>
      <c r="FD187" s="33"/>
      <c r="FE187" s="33"/>
      <c r="FF187" s="33"/>
      <c r="FG187" s="33"/>
      <c r="FH187" s="33"/>
      <c r="FI187" s="52"/>
      <c r="FJ187" s="41"/>
      <c r="FK187" s="41"/>
      <c r="FL187" s="41"/>
      <c r="FM187" s="41"/>
      <c r="FN187" s="41"/>
      <c r="FO187" s="41"/>
      <c r="FP187" s="44"/>
      <c r="FQ187" s="33"/>
      <c r="FR187" s="33"/>
      <c r="FS187" s="33"/>
      <c r="FT187" s="33"/>
      <c r="FU187" s="33"/>
      <c r="FV187" s="33"/>
      <c r="FW187" s="33"/>
      <c r="FX187" s="33"/>
      <c r="FY187" s="33"/>
      <c r="FZ187" s="33"/>
      <c r="GA187" s="33"/>
      <c r="GB187" s="33"/>
      <c r="GC187" s="33"/>
      <c r="GD187" s="33"/>
      <c r="GE187" s="33"/>
      <c r="GF187" s="33"/>
      <c r="GG187" s="33"/>
      <c r="GH187" s="33"/>
      <c r="GI187" s="33"/>
      <c r="GJ187" s="33"/>
      <c r="GK187" s="33"/>
      <c r="GL187" s="33"/>
      <c r="GM187" s="33"/>
      <c r="GN187" s="33"/>
      <c r="GO187" s="33"/>
      <c r="GP187" s="33"/>
      <c r="GQ187" s="33"/>
      <c r="GR187" s="33"/>
      <c r="GS187" s="33"/>
      <c r="GT187" s="33"/>
      <c r="GU187" s="33"/>
      <c r="GV187" s="33"/>
      <c r="GW187" s="33"/>
      <c r="GX187" s="33"/>
      <c r="GY187" s="33"/>
      <c r="GZ187" s="33"/>
      <c r="HA187" s="33"/>
      <c r="HB187" s="33"/>
      <c r="HC187" s="33"/>
      <c r="HD187" s="33"/>
      <c r="HE187" s="33"/>
      <c r="HF187" s="33"/>
      <c r="HG187" s="33"/>
      <c r="HH187" s="33"/>
      <c r="HI187" s="33"/>
      <c r="HJ187" s="33"/>
      <c r="HK187" s="33"/>
      <c r="HL187" s="33"/>
      <c r="HM187" s="33"/>
      <c r="HN187" s="33"/>
      <c r="HO187" s="33"/>
      <c r="HP187" s="102"/>
      <c r="HQ187" s="41"/>
      <c r="HR187" s="41"/>
      <c r="HS187" s="41"/>
      <c r="HT187" s="41"/>
      <c r="HU187" s="41"/>
      <c r="HV187" s="41"/>
      <c r="HW187" s="44"/>
      <c r="HX187" s="33"/>
      <c r="HY187" s="33"/>
      <c r="HZ187" s="33"/>
      <c r="IA187" s="33"/>
      <c r="IB187" s="33"/>
      <c r="IC187" s="33"/>
      <c r="ID187" s="33"/>
      <c r="IE187" s="33"/>
      <c r="IF187" s="33"/>
      <c r="IG187" s="33"/>
      <c r="IH187" s="33"/>
      <c r="II187" s="33"/>
      <c r="IJ187" s="33"/>
      <c r="IK187" s="33"/>
      <c r="IL187" s="33"/>
      <c r="IM187" s="33"/>
      <c r="IN187" s="33"/>
      <c r="IO187" s="33"/>
      <c r="IP187" s="33"/>
      <c r="IQ187" s="33"/>
      <c r="IR187" s="33"/>
      <c r="IS187" s="33"/>
      <c r="IT187" s="33"/>
      <c r="IU187" s="33"/>
      <c r="IV187" s="33"/>
      <c r="IW187" s="33"/>
      <c r="IX187" s="33"/>
      <c r="IY187" s="33"/>
      <c r="IZ187" s="33"/>
      <c r="JA187" s="33"/>
      <c r="JB187" s="33"/>
      <c r="JC187" s="33"/>
      <c r="JD187" s="33"/>
      <c r="JE187" s="33"/>
      <c r="JF187" s="33"/>
      <c r="JG187" s="33"/>
      <c r="JH187" s="33"/>
      <c r="JI187" s="33"/>
      <c r="JJ187" s="33"/>
      <c r="JK187" s="33"/>
      <c r="JL187" s="33"/>
      <c r="JM187" s="33"/>
      <c r="JN187" s="33"/>
      <c r="JO187" s="33"/>
      <c r="JP187" s="33"/>
      <c r="JQ187" s="33"/>
      <c r="JR187" s="33"/>
      <c r="JS187" s="33"/>
      <c r="JT187" s="33"/>
      <c r="JU187" s="33"/>
      <c r="JV187" s="33"/>
      <c r="JW187" s="33"/>
      <c r="JX187" s="33"/>
      <c r="JY187" s="33"/>
      <c r="JZ187" s="33"/>
      <c r="KA187" s="33"/>
      <c r="KB187" s="33"/>
      <c r="KC187" s="33"/>
      <c r="KD187" s="33"/>
      <c r="KE187" s="33"/>
      <c r="KF187" s="33"/>
      <c r="KG187" s="33"/>
      <c r="KH187" s="33"/>
      <c r="KI187" s="33"/>
      <c r="KJ187" s="33"/>
      <c r="KK187" s="33"/>
      <c r="KL187" s="33"/>
      <c r="KM187" s="33"/>
      <c r="KN187" s="33"/>
      <c r="KO187" s="33"/>
      <c r="KP187" s="33"/>
      <c r="KQ187" s="33"/>
      <c r="KR187" s="33"/>
      <c r="KS187" s="33"/>
      <c r="KT187" s="33"/>
      <c r="KU187" s="33"/>
      <c r="KV187" s="33"/>
      <c r="KW187" s="33"/>
      <c r="KX187" s="33"/>
      <c r="KY187" s="102"/>
      <c r="KZ187" s="41"/>
      <c r="LA187" s="41"/>
      <c r="LB187" s="41"/>
      <c r="LC187" s="41"/>
      <c r="LD187" s="41"/>
      <c r="LE187" s="41"/>
      <c r="LF187" s="44"/>
      <c r="LG187" s="33"/>
      <c r="LH187" s="33"/>
      <c r="LI187" s="33"/>
      <c r="LJ187" s="33"/>
      <c r="LK187" s="33"/>
      <c r="LL187" s="33"/>
      <c r="LM187" s="33"/>
      <c r="LN187" s="33"/>
      <c r="LO187" s="33"/>
      <c r="LP187" s="33"/>
      <c r="LQ187" s="33"/>
      <c r="LR187" s="33"/>
      <c r="LS187" s="33"/>
      <c r="LT187" s="33"/>
      <c r="LU187" s="33"/>
      <c r="LV187" s="33"/>
      <c r="LW187" s="33"/>
      <c r="LX187" s="33"/>
      <c r="LY187" s="33"/>
      <c r="LZ187" s="33"/>
      <c r="MA187" s="33"/>
      <c r="MB187" s="33"/>
      <c r="MC187" s="33"/>
      <c r="MD187" s="33"/>
      <c r="ME187" s="33"/>
      <c r="MF187" s="33"/>
      <c r="MG187" s="33"/>
      <c r="MH187" s="33"/>
      <c r="MI187" s="33"/>
      <c r="MJ187" s="33"/>
      <c r="MK187" s="33"/>
      <c r="ML187" s="33"/>
      <c r="MM187" s="33"/>
      <c r="MN187" s="33"/>
      <c r="MO187" s="33"/>
      <c r="MP187" s="33"/>
      <c r="MQ187" s="33"/>
      <c r="MR187" s="33"/>
      <c r="MS187" s="33"/>
      <c r="MT187" s="33"/>
      <c r="MU187" s="33"/>
      <c r="MV187" s="33"/>
    </row>
    <row r="188" spans="1:360" ht="0.75" customHeight="1" x14ac:dyDescent="0.25">
      <c r="A188" s="33"/>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c r="BV188" s="33"/>
      <c r="BW188" s="33"/>
      <c r="BX188" s="102"/>
      <c r="BY188" s="41"/>
      <c r="BZ188" s="41"/>
      <c r="CA188" s="41"/>
      <c r="CB188" s="41"/>
      <c r="CC188" s="41"/>
      <c r="CD188" s="41"/>
      <c r="CE188" s="63"/>
      <c r="CF188" s="33"/>
      <c r="CG188" s="33"/>
      <c r="CH188" s="33"/>
      <c r="CI188" s="33"/>
      <c r="CJ188" s="33"/>
      <c r="CK188" s="33"/>
      <c r="CL188" s="33"/>
      <c r="CM188" s="33"/>
      <c r="CN188" s="33"/>
      <c r="CO188" s="33"/>
      <c r="CP188" s="33"/>
      <c r="CQ188" s="33"/>
      <c r="CR188" s="33"/>
      <c r="CS188" s="33"/>
      <c r="CT188" s="33"/>
      <c r="CU188" s="33"/>
      <c r="CV188" s="33"/>
      <c r="CW188" s="33"/>
      <c r="CX188" s="33"/>
      <c r="CY188" s="33"/>
      <c r="CZ188" s="33"/>
      <c r="DA188" s="33"/>
      <c r="DB188" s="36"/>
      <c r="DC188" s="42"/>
      <c r="DD188" s="41"/>
      <c r="DE188" s="41"/>
      <c r="DF188" s="41"/>
      <c r="DG188" s="41"/>
      <c r="DH188" s="41"/>
      <c r="DI188" s="42"/>
      <c r="DJ188" s="36"/>
      <c r="DK188" s="33"/>
      <c r="DL188" s="33"/>
      <c r="DM188" s="33"/>
      <c r="DN188" s="33"/>
      <c r="DO188" s="33"/>
      <c r="DP188" s="33"/>
      <c r="DQ188" s="33"/>
      <c r="DR188" s="33"/>
      <c r="DS188" s="33"/>
      <c r="DT188" s="33"/>
      <c r="DU188" s="33"/>
      <c r="DV188" s="33"/>
      <c r="DW188" s="33"/>
      <c r="DX188" s="33"/>
      <c r="DY188" s="33"/>
      <c r="DZ188" s="33"/>
      <c r="EA188" s="33"/>
      <c r="EB188" s="33"/>
      <c r="EC188" s="33"/>
      <c r="ED188" s="33"/>
      <c r="EE188" s="79"/>
      <c r="EF188" s="41"/>
      <c r="EG188" s="41"/>
      <c r="EH188" s="41"/>
      <c r="EI188" s="41"/>
      <c r="EJ188" s="41"/>
      <c r="EK188" s="41"/>
      <c r="EL188" s="52"/>
      <c r="EM188" s="33"/>
      <c r="EN188" s="33"/>
      <c r="EO188" s="33"/>
      <c r="EP188" s="33"/>
      <c r="EQ188" s="33"/>
      <c r="ER188" s="33"/>
      <c r="ES188" s="33"/>
      <c r="ET188" s="33"/>
      <c r="EU188" s="33"/>
      <c r="EV188" s="33"/>
      <c r="EW188" s="33"/>
      <c r="EX188" s="33"/>
      <c r="EY188" s="33"/>
      <c r="EZ188" s="33"/>
      <c r="FA188" s="33"/>
      <c r="FB188" s="33"/>
      <c r="FC188" s="33"/>
      <c r="FD188" s="33"/>
      <c r="FE188" s="33"/>
      <c r="FF188" s="33"/>
      <c r="FG188" s="33"/>
      <c r="FH188" s="33"/>
      <c r="FI188" s="52"/>
      <c r="FJ188" s="41"/>
      <c r="FK188" s="41"/>
      <c r="FL188" s="41"/>
      <c r="FM188" s="41"/>
      <c r="FN188" s="41"/>
      <c r="FO188" s="41"/>
      <c r="FP188" s="44"/>
      <c r="FQ188" s="33"/>
      <c r="FR188" s="33"/>
      <c r="FS188" s="33"/>
      <c r="FT188" s="33"/>
      <c r="FU188" s="33"/>
      <c r="FV188" s="33"/>
      <c r="FW188" s="33"/>
      <c r="FX188" s="33"/>
      <c r="FY188" s="33"/>
      <c r="FZ188" s="33"/>
      <c r="GA188" s="33"/>
      <c r="GB188" s="33"/>
      <c r="GC188" s="33"/>
      <c r="GD188" s="33"/>
      <c r="GE188" s="33"/>
      <c r="GF188" s="33"/>
      <c r="GG188" s="33"/>
      <c r="GH188" s="33"/>
      <c r="GI188" s="33"/>
      <c r="GJ188" s="33"/>
      <c r="GK188" s="33"/>
      <c r="GL188" s="33"/>
      <c r="GM188" s="33"/>
      <c r="GN188" s="33"/>
      <c r="GO188" s="33"/>
      <c r="GP188" s="33"/>
      <c r="GQ188" s="33"/>
      <c r="GR188" s="33"/>
      <c r="GS188" s="33"/>
      <c r="GT188" s="33"/>
      <c r="GU188" s="33"/>
      <c r="GV188" s="33"/>
      <c r="GW188" s="33"/>
      <c r="GX188" s="33"/>
      <c r="GY188" s="33"/>
      <c r="GZ188" s="33"/>
      <c r="HA188" s="33"/>
      <c r="HB188" s="33"/>
      <c r="HC188" s="33"/>
      <c r="HD188" s="33"/>
      <c r="HE188" s="33"/>
      <c r="HF188" s="33"/>
      <c r="HG188" s="33"/>
      <c r="HH188" s="33"/>
      <c r="HI188" s="33"/>
      <c r="HJ188" s="33"/>
      <c r="HK188" s="33"/>
      <c r="HL188" s="33"/>
      <c r="HM188" s="33"/>
      <c r="HN188" s="33"/>
      <c r="HO188" s="33"/>
      <c r="HP188" s="102"/>
      <c r="HQ188" s="41"/>
      <c r="HR188" s="41"/>
      <c r="HS188" s="41"/>
      <c r="HT188" s="41"/>
      <c r="HU188" s="41"/>
      <c r="HV188" s="41"/>
      <c r="HW188" s="44"/>
      <c r="HX188" s="33"/>
      <c r="HY188" s="33"/>
      <c r="HZ188" s="33"/>
      <c r="IA188" s="33"/>
      <c r="IB188" s="33"/>
      <c r="IC188" s="33"/>
      <c r="ID188" s="33"/>
      <c r="IE188" s="33"/>
      <c r="IF188" s="33"/>
      <c r="IG188" s="33"/>
      <c r="IH188" s="33"/>
      <c r="II188" s="33"/>
      <c r="IJ188" s="33"/>
      <c r="IK188" s="33"/>
      <c r="IL188" s="33"/>
      <c r="IM188" s="33"/>
      <c r="IN188" s="33"/>
      <c r="IO188" s="33"/>
      <c r="IP188" s="33"/>
      <c r="IQ188" s="33"/>
      <c r="IR188" s="33"/>
      <c r="IS188" s="33"/>
      <c r="IT188" s="33"/>
      <c r="IU188" s="33"/>
      <c r="IV188" s="33"/>
      <c r="IW188" s="33"/>
      <c r="IX188" s="33"/>
      <c r="IY188" s="33"/>
      <c r="IZ188" s="33"/>
      <c r="JA188" s="33"/>
      <c r="JB188" s="33"/>
      <c r="JC188" s="33"/>
      <c r="JD188" s="33"/>
      <c r="JE188" s="33"/>
      <c r="JF188" s="33"/>
      <c r="JG188" s="33"/>
      <c r="JH188" s="33"/>
      <c r="JI188" s="33"/>
      <c r="JJ188" s="33"/>
      <c r="JK188" s="33"/>
      <c r="JL188" s="33"/>
      <c r="JM188" s="33"/>
      <c r="JN188" s="33"/>
      <c r="JO188" s="33"/>
      <c r="JP188" s="33"/>
      <c r="JQ188" s="33"/>
      <c r="JR188" s="33"/>
      <c r="JS188" s="33"/>
      <c r="JT188" s="33"/>
      <c r="JU188" s="33"/>
      <c r="JV188" s="33"/>
      <c r="JW188" s="33"/>
      <c r="JX188" s="33"/>
      <c r="JY188" s="33"/>
      <c r="JZ188" s="33"/>
      <c r="KA188" s="33"/>
      <c r="KB188" s="33"/>
      <c r="KC188" s="33"/>
      <c r="KD188" s="33"/>
      <c r="KE188" s="33"/>
      <c r="KF188" s="33"/>
      <c r="KG188" s="33"/>
      <c r="KH188" s="33"/>
      <c r="KI188" s="33"/>
      <c r="KJ188" s="33"/>
      <c r="KK188" s="33"/>
      <c r="KL188" s="33"/>
      <c r="KM188" s="33"/>
      <c r="KN188" s="33"/>
      <c r="KO188" s="33"/>
      <c r="KP188" s="33"/>
      <c r="KQ188" s="33"/>
      <c r="KR188" s="33"/>
      <c r="KS188" s="33"/>
      <c r="KT188" s="33"/>
      <c r="KU188" s="33"/>
      <c r="KV188" s="33"/>
      <c r="KW188" s="33"/>
      <c r="KX188" s="33"/>
      <c r="KY188" s="102"/>
      <c r="KZ188" s="41"/>
      <c r="LA188" s="41"/>
      <c r="LB188" s="41"/>
      <c r="LC188" s="41"/>
      <c r="LD188" s="41"/>
      <c r="LE188" s="41"/>
      <c r="LF188" s="44"/>
      <c r="LG188" s="33"/>
      <c r="LH188" s="33"/>
      <c r="LI188" s="33"/>
      <c r="LJ188" s="33"/>
      <c r="LK188" s="33"/>
      <c r="LL188" s="33"/>
      <c r="LM188" s="33"/>
      <c r="LN188" s="33"/>
      <c r="LO188" s="33"/>
      <c r="LP188" s="33"/>
      <c r="LQ188" s="33"/>
      <c r="LR188" s="33"/>
      <c r="LS188" s="33"/>
      <c r="LT188" s="33"/>
      <c r="LU188" s="33"/>
      <c r="LV188" s="33"/>
      <c r="LW188" s="33"/>
      <c r="LX188" s="33"/>
      <c r="LY188" s="33"/>
      <c r="LZ188" s="33"/>
      <c r="MA188" s="33"/>
      <c r="MB188" s="33"/>
      <c r="MC188" s="33"/>
      <c r="MD188" s="33"/>
      <c r="ME188" s="33"/>
      <c r="MF188" s="33"/>
      <c r="MG188" s="33"/>
      <c r="MH188" s="33"/>
      <c r="MI188" s="33"/>
      <c r="MJ188" s="33"/>
      <c r="MK188" s="33"/>
      <c r="ML188" s="33"/>
      <c r="MM188" s="33"/>
      <c r="MN188" s="33"/>
      <c r="MO188" s="33"/>
      <c r="MP188" s="33"/>
      <c r="MQ188" s="33"/>
      <c r="MR188" s="33"/>
      <c r="MS188" s="33"/>
      <c r="MT188" s="33"/>
      <c r="MU188" s="33"/>
      <c r="MV188" s="33"/>
    </row>
    <row r="189" spans="1:360" ht="0.75" customHeight="1" x14ac:dyDescent="0.25">
      <c r="A189" s="33"/>
      <c r="B189" s="33"/>
      <c r="C189" s="33"/>
      <c r="D189" s="33"/>
      <c r="E189" s="33"/>
      <c r="F189" s="33"/>
      <c r="G189" s="33"/>
      <c r="H189" s="33"/>
      <c r="I189" s="33"/>
      <c r="J189" s="33"/>
      <c r="K189" s="33"/>
      <c r="L189" s="33"/>
      <c r="M189" s="33"/>
      <c r="N189" s="33"/>
      <c r="O189" s="33"/>
      <c r="P189" s="33"/>
      <c r="Q189" s="33"/>
      <c r="R189" s="33"/>
      <c r="S189" s="33"/>
      <c r="T189" s="33"/>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c r="BV189" s="33"/>
      <c r="BW189" s="33"/>
      <c r="BX189" s="102"/>
      <c r="BY189" s="41"/>
      <c r="BZ189" s="41"/>
      <c r="CA189" s="41"/>
      <c r="CB189" s="41"/>
      <c r="CC189" s="41"/>
      <c r="CD189" s="41"/>
      <c r="CE189" s="63"/>
      <c r="CF189" s="33"/>
      <c r="CG189" s="33"/>
      <c r="CH189" s="33"/>
      <c r="CI189" s="33"/>
      <c r="CJ189" s="33"/>
      <c r="CK189" s="33"/>
      <c r="CL189" s="33"/>
      <c r="CM189" s="33"/>
      <c r="CN189" s="33"/>
      <c r="CO189" s="33"/>
      <c r="CP189" s="33"/>
      <c r="CQ189" s="33"/>
      <c r="CR189" s="33"/>
      <c r="CS189" s="33"/>
      <c r="CT189" s="33"/>
      <c r="CU189" s="33"/>
      <c r="CV189" s="33"/>
      <c r="CW189" s="33"/>
      <c r="CX189" s="33"/>
      <c r="CY189" s="33"/>
      <c r="CZ189" s="33"/>
      <c r="DA189" s="33"/>
      <c r="DB189" s="36"/>
      <c r="DC189" s="42"/>
      <c r="DD189" s="41"/>
      <c r="DE189" s="41"/>
      <c r="DF189" s="41"/>
      <c r="DG189" s="41"/>
      <c r="DH189" s="41"/>
      <c r="DI189" s="42"/>
      <c r="DJ189" s="36"/>
      <c r="DK189" s="33"/>
      <c r="DL189" s="33"/>
      <c r="DM189" s="33"/>
      <c r="DN189" s="33"/>
      <c r="DO189" s="33"/>
      <c r="DP189" s="33"/>
      <c r="DQ189" s="33"/>
      <c r="DR189" s="33"/>
      <c r="DS189" s="33"/>
      <c r="DT189" s="33"/>
      <c r="DU189" s="33"/>
      <c r="DV189" s="33"/>
      <c r="DW189" s="33"/>
      <c r="DX189" s="33"/>
      <c r="DY189" s="33"/>
      <c r="DZ189" s="33"/>
      <c r="EA189" s="33"/>
      <c r="EB189" s="33"/>
      <c r="EC189" s="33"/>
      <c r="ED189" s="33"/>
      <c r="EE189" s="79"/>
      <c r="EF189" s="41"/>
      <c r="EG189" s="41"/>
      <c r="EH189" s="41"/>
      <c r="EI189" s="41"/>
      <c r="EJ189" s="41"/>
      <c r="EK189" s="41"/>
      <c r="EL189" s="52"/>
      <c r="EM189" s="33"/>
      <c r="EN189" s="33"/>
      <c r="EO189" s="33"/>
      <c r="EP189" s="33"/>
      <c r="EQ189" s="33"/>
      <c r="ER189" s="33"/>
      <c r="ES189" s="33"/>
      <c r="ET189" s="33"/>
      <c r="EU189" s="33"/>
      <c r="EV189" s="33"/>
      <c r="EW189" s="33"/>
      <c r="EX189" s="33"/>
      <c r="EY189" s="33"/>
      <c r="EZ189" s="33"/>
      <c r="FA189" s="33"/>
      <c r="FB189" s="33"/>
      <c r="FC189" s="33"/>
      <c r="FD189" s="33"/>
      <c r="FE189" s="33"/>
      <c r="FF189" s="33"/>
      <c r="FG189" s="33"/>
      <c r="FH189" s="33"/>
      <c r="FI189" s="52"/>
      <c r="FJ189" s="41"/>
      <c r="FK189" s="41"/>
      <c r="FL189" s="41"/>
      <c r="FM189" s="41"/>
      <c r="FN189" s="41"/>
      <c r="FO189" s="41"/>
      <c r="FP189" s="44"/>
      <c r="FQ189" s="33"/>
      <c r="FR189" s="33"/>
      <c r="FS189" s="33"/>
      <c r="FT189" s="33"/>
      <c r="FU189" s="33"/>
      <c r="FV189" s="33"/>
      <c r="FW189" s="33"/>
      <c r="FX189" s="33"/>
      <c r="FY189" s="33"/>
      <c r="FZ189" s="33"/>
      <c r="GA189" s="33"/>
      <c r="GB189" s="33"/>
      <c r="GC189" s="33"/>
      <c r="GD189" s="33"/>
      <c r="GE189" s="33"/>
      <c r="GF189" s="33"/>
      <c r="GG189" s="33"/>
      <c r="GH189" s="33"/>
      <c r="GI189" s="33"/>
      <c r="GJ189" s="33"/>
      <c r="GK189" s="33"/>
      <c r="GL189" s="33"/>
      <c r="GM189" s="33"/>
      <c r="GN189" s="33"/>
      <c r="GO189" s="33"/>
      <c r="GP189" s="33"/>
      <c r="GQ189" s="33"/>
      <c r="GR189" s="33"/>
      <c r="GS189" s="33"/>
      <c r="GT189" s="33"/>
      <c r="GU189" s="33"/>
      <c r="GV189" s="33"/>
      <c r="GW189" s="33"/>
      <c r="GX189" s="33"/>
      <c r="GY189" s="33"/>
      <c r="GZ189" s="33"/>
      <c r="HA189" s="33"/>
      <c r="HB189" s="33"/>
      <c r="HC189" s="33"/>
      <c r="HD189" s="33"/>
      <c r="HE189" s="33"/>
      <c r="HF189" s="33"/>
      <c r="HG189" s="33"/>
      <c r="HH189" s="33"/>
      <c r="HI189" s="33"/>
      <c r="HJ189" s="33"/>
      <c r="HK189" s="33"/>
      <c r="HL189" s="33"/>
      <c r="HM189" s="33"/>
      <c r="HN189" s="33"/>
      <c r="HO189" s="33"/>
      <c r="HP189" s="102"/>
      <c r="HQ189" s="41"/>
      <c r="HR189" s="41"/>
      <c r="HS189" s="41"/>
      <c r="HT189" s="41"/>
      <c r="HU189" s="41"/>
      <c r="HV189" s="41"/>
      <c r="HW189" s="44"/>
      <c r="HX189" s="33"/>
      <c r="HY189" s="33"/>
      <c r="HZ189" s="33"/>
      <c r="IA189" s="33"/>
      <c r="IB189" s="33"/>
      <c r="IC189" s="33"/>
      <c r="ID189" s="33"/>
      <c r="IE189" s="33"/>
      <c r="IF189" s="33"/>
      <c r="IG189" s="33"/>
      <c r="IH189" s="33"/>
      <c r="II189" s="33"/>
      <c r="IJ189" s="33"/>
      <c r="IK189" s="33"/>
      <c r="IL189" s="33"/>
      <c r="IM189" s="33"/>
      <c r="IN189" s="33"/>
      <c r="IO189" s="33"/>
      <c r="IP189" s="33"/>
      <c r="IQ189" s="33"/>
      <c r="IR189" s="33"/>
      <c r="IS189" s="33"/>
      <c r="IT189" s="33"/>
      <c r="IU189" s="33"/>
      <c r="IV189" s="33"/>
      <c r="IW189" s="33"/>
      <c r="IX189" s="33"/>
      <c r="IY189" s="33"/>
      <c r="IZ189" s="33"/>
      <c r="JA189" s="33"/>
      <c r="JB189" s="33"/>
      <c r="JC189" s="33"/>
      <c r="JD189" s="33"/>
      <c r="JE189" s="33"/>
      <c r="JF189" s="33"/>
      <c r="JG189" s="33"/>
      <c r="JH189" s="33"/>
      <c r="JI189" s="33"/>
      <c r="JJ189" s="33"/>
      <c r="JK189" s="33"/>
      <c r="JL189" s="33"/>
      <c r="JM189" s="33"/>
      <c r="JN189" s="33"/>
      <c r="JO189" s="33"/>
      <c r="JP189" s="33"/>
      <c r="JQ189" s="33"/>
      <c r="JR189" s="33"/>
      <c r="JS189" s="33"/>
      <c r="JT189" s="33"/>
      <c r="JU189" s="33"/>
      <c r="JV189" s="33"/>
      <c r="JW189" s="33"/>
      <c r="JX189" s="33"/>
      <c r="JY189" s="33"/>
      <c r="JZ189" s="33"/>
      <c r="KA189" s="33"/>
      <c r="KB189" s="33"/>
      <c r="KC189" s="33"/>
      <c r="KD189" s="33"/>
      <c r="KE189" s="33"/>
      <c r="KF189" s="33"/>
      <c r="KG189" s="33"/>
      <c r="KH189" s="33"/>
      <c r="KI189" s="33"/>
      <c r="KJ189" s="33"/>
      <c r="KK189" s="33"/>
      <c r="KL189" s="33"/>
      <c r="KM189" s="33"/>
      <c r="KN189" s="33"/>
      <c r="KO189" s="33"/>
      <c r="KP189" s="33"/>
      <c r="KQ189" s="33"/>
      <c r="KR189" s="33"/>
      <c r="KS189" s="33"/>
      <c r="KT189" s="33"/>
      <c r="KU189" s="33"/>
      <c r="KV189" s="33"/>
      <c r="KW189" s="33"/>
      <c r="KX189" s="33"/>
      <c r="KY189" s="102"/>
      <c r="KZ189" s="41"/>
      <c r="LA189" s="41"/>
      <c r="LB189" s="41"/>
      <c r="LC189" s="41"/>
      <c r="LD189" s="41"/>
      <c r="LE189" s="41"/>
      <c r="LF189" s="44"/>
      <c r="LG189" s="33"/>
      <c r="LH189" s="33"/>
      <c r="LI189" s="33"/>
      <c r="LJ189" s="33"/>
      <c r="LK189" s="33"/>
      <c r="LL189" s="33"/>
      <c r="LM189" s="33"/>
      <c r="LN189" s="33"/>
      <c r="LO189" s="33"/>
      <c r="LP189" s="33"/>
      <c r="LQ189" s="33"/>
      <c r="LR189" s="33"/>
      <c r="LS189" s="33"/>
      <c r="LT189" s="33"/>
      <c r="LU189" s="33"/>
      <c r="LV189" s="33"/>
      <c r="LW189" s="33"/>
      <c r="LX189" s="33"/>
      <c r="LY189" s="33"/>
      <c r="LZ189" s="33"/>
      <c r="MA189" s="33"/>
      <c r="MB189" s="33"/>
      <c r="MC189" s="33"/>
      <c r="MD189" s="33"/>
      <c r="ME189" s="33"/>
      <c r="MF189" s="33"/>
      <c r="MG189" s="33"/>
      <c r="MH189" s="33"/>
      <c r="MI189" s="33"/>
      <c r="MJ189" s="33"/>
      <c r="MK189" s="33"/>
      <c r="ML189" s="33"/>
      <c r="MM189" s="33"/>
      <c r="MN189" s="33"/>
      <c r="MO189" s="33"/>
      <c r="MP189" s="33"/>
      <c r="MQ189" s="33"/>
      <c r="MR189" s="33"/>
      <c r="MS189" s="33"/>
      <c r="MT189" s="33"/>
      <c r="MU189" s="33"/>
      <c r="MV189" s="33"/>
    </row>
    <row r="190" spans="1:360" ht="0.75" customHeight="1" x14ac:dyDescent="0.25">
      <c r="A190" s="33"/>
      <c r="B190" s="33"/>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c r="BV190" s="33"/>
      <c r="BW190" s="33"/>
      <c r="BX190" s="102"/>
      <c r="BY190" s="41"/>
      <c r="BZ190" s="41"/>
      <c r="CA190" s="41"/>
      <c r="CB190" s="41"/>
      <c r="CC190" s="41"/>
      <c r="CD190" s="41"/>
      <c r="CE190" s="63"/>
      <c r="CF190" s="33"/>
      <c r="CG190" s="33"/>
      <c r="CH190" s="33"/>
      <c r="CI190" s="33"/>
      <c r="CJ190" s="33"/>
      <c r="CK190" s="33"/>
      <c r="CL190" s="33"/>
      <c r="CM190" s="33"/>
      <c r="CN190" s="33"/>
      <c r="CO190" s="33"/>
      <c r="CP190" s="33"/>
      <c r="CQ190" s="33"/>
      <c r="CR190" s="33"/>
      <c r="CS190" s="33"/>
      <c r="CT190" s="33"/>
      <c r="CU190" s="33"/>
      <c r="CV190" s="33"/>
      <c r="CW190" s="33"/>
      <c r="CX190" s="33"/>
      <c r="CY190" s="33"/>
      <c r="CZ190" s="33"/>
      <c r="DA190" s="33"/>
      <c r="DB190" s="36"/>
      <c r="DC190" s="42"/>
      <c r="DD190" s="41"/>
      <c r="DE190" s="41"/>
      <c r="DF190" s="41"/>
      <c r="DG190" s="41"/>
      <c r="DH190" s="41"/>
      <c r="DI190" s="42"/>
      <c r="DJ190" s="36"/>
      <c r="DK190" s="33"/>
      <c r="DL190" s="33"/>
      <c r="DM190" s="33"/>
      <c r="DN190" s="33"/>
      <c r="DO190" s="33"/>
      <c r="DP190" s="33"/>
      <c r="DQ190" s="33"/>
      <c r="DR190" s="33"/>
      <c r="DS190" s="33"/>
      <c r="DT190" s="33"/>
      <c r="DU190" s="33"/>
      <c r="DV190" s="33"/>
      <c r="DW190" s="33"/>
      <c r="DX190" s="33"/>
      <c r="DY190" s="33"/>
      <c r="DZ190" s="33"/>
      <c r="EA190" s="33"/>
      <c r="EB190" s="33"/>
      <c r="EC190" s="33"/>
      <c r="ED190" s="33"/>
      <c r="EE190" s="79"/>
      <c r="EF190" s="41"/>
      <c r="EG190" s="41"/>
      <c r="EH190" s="41"/>
      <c r="EI190" s="41"/>
      <c r="EJ190" s="41"/>
      <c r="EK190" s="41"/>
      <c r="EL190" s="52"/>
      <c r="EM190" s="33"/>
      <c r="EN190" s="33"/>
      <c r="EO190" s="33"/>
      <c r="EP190" s="33"/>
      <c r="EQ190" s="33"/>
      <c r="ER190" s="33"/>
      <c r="ES190" s="33"/>
      <c r="ET190" s="33"/>
      <c r="EU190" s="33"/>
      <c r="EV190" s="33"/>
      <c r="EW190" s="33"/>
      <c r="EX190" s="33"/>
      <c r="EY190" s="33"/>
      <c r="EZ190" s="33"/>
      <c r="FA190" s="33"/>
      <c r="FB190" s="33"/>
      <c r="FC190" s="33"/>
      <c r="FD190" s="33"/>
      <c r="FE190" s="33"/>
      <c r="FF190" s="33"/>
      <c r="FG190" s="33"/>
      <c r="FH190" s="33"/>
      <c r="FI190" s="52"/>
      <c r="FJ190" s="41"/>
      <c r="FK190" s="41"/>
      <c r="FL190" s="41"/>
      <c r="FM190" s="41"/>
      <c r="FN190" s="41"/>
      <c r="FO190" s="41"/>
      <c r="FP190" s="44"/>
      <c r="FQ190" s="33"/>
      <c r="FR190" s="33"/>
      <c r="FS190" s="33"/>
      <c r="FT190" s="33"/>
      <c r="FU190" s="33"/>
      <c r="FV190" s="33"/>
      <c r="FW190" s="33"/>
      <c r="FX190" s="33"/>
      <c r="FY190" s="33"/>
      <c r="FZ190" s="33"/>
      <c r="GA190" s="33"/>
      <c r="GB190" s="33"/>
      <c r="GC190" s="33"/>
      <c r="GD190" s="33"/>
      <c r="GE190" s="33"/>
      <c r="GF190" s="33"/>
      <c r="GG190" s="33"/>
      <c r="GH190" s="33"/>
      <c r="GI190" s="33"/>
      <c r="GJ190" s="33"/>
      <c r="GK190" s="33"/>
      <c r="GL190" s="33"/>
      <c r="GM190" s="33"/>
      <c r="GN190" s="33"/>
      <c r="GO190" s="33"/>
      <c r="GP190" s="33"/>
      <c r="GQ190" s="33"/>
      <c r="GR190" s="33"/>
      <c r="GS190" s="33"/>
      <c r="GT190" s="33"/>
      <c r="GU190" s="33"/>
      <c r="GV190" s="33"/>
      <c r="GW190" s="33"/>
      <c r="GX190" s="33"/>
      <c r="GY190" s="33"/>
      <c r="GZ190" s="33"/>
      <c r="HA190" s="33"/>
      <c r="HB190" s="33"/>
      <c r="HC190" s="33"/>
      <c r="HD190" s="33"/>
      <c r="HE190" s="33"/>
      <c r="HF190" s="33"/>
      <c r="HG190" s="33"/>
      <c r="HH190" s="33"/>
      <c r="HI190" s="33"/>
      <c r="HJ190" s="33"/>
      <c r="HK190" s="33"/>
      <c r="HL190" s="33"/>
      <c r="HM190" s="33"/>
      <c r="HN190" s="33"/>
      <c r="HO190" s="33"/>
      <c r="HP190" s="102"/>
      <c r="HQ190" s="41"/>
      <c r="HR190" s="41"/>
      <c r="HS190" s="41"/>
      <c r="HT190" s="41"/>
      <c r="HU190" s="41"/>
      <c r="HV190" s="41"/>
      <c r="HW190" s="44"/>
      <c r="HX190" s="33"/>
      <c r="HY190" s="33"/>
      <c r="HZ190" s="33"/>
      <c r="IA190" s="33"/>
      <c r="IB190" s="33"/>
      <c r="IC190" s="33"/>
      <c r="ID190" s="33"/>
      <c r="IE190" s="33"/>
      <c r="IF190" s="33"/>
      <c r="IG190" s="33"/>
      <c r="IH190" s="33"/>
      <c r="II190" s="33"/>
      <c r="IJ190" s="33"/>
      <c r="IK190" s="33"/>
      <c r="IL190" s="33"/>
      <c r="IM190" s="33"/>
      <c r="IN190" s="33"/>
      <c r="IO190" s="33"/>
      <c r="IP190" s="33"/>
      <c r="IQ190" s="33"/>
      <c r="IR190" s="33"/>
      <c r="IS190" s="33"/>
      <c r="IT190" s="33"/>
      <c r="IU190" s="33"/>
      <c r="IV190" s="33"/>
      <c r="IW190" s="33"/>
      <c r="IX190" s="33"/>
      <c r="IY190" s="33"/>
      <c r="IZ190" s="33"/>
      <c r="JA190" s="33"/>
      <c r="JB190" s="33"/>
      <c r="JC190" s="33"/>
      <c r="JD190" s="33"/>
      <c r="JE190" s="33"/>
      <c r="JF190" s="33"/>
      <c r="JG190" s="33"/>
      <c r="JH190" s="33"/>
      <c r="JI190" s="33"/>
      <c r="JJ190" s="33"/>
      <c r="JK190" s="33"/>
      <c r="JL190" s="33"/>
      <c r="JM190" s="33"/>
      <c r="JN190" s="33"/>
      <c r="JO190" s="33"/>
      <c r="JP190" s="33"/>
      <c r="JQ190" s="33"/>
      <c r="JR190" s="33"/>
      <c r="JS190" s="33"/>
      <c r="JT190" s="33"/>
      <c r="JU190" s="33"/>
      <c r="JV190" s="33"/>
      <c r="JW190" s="33"/>
      <c r="JX190" s="33"/>
      <c r="JY190" s="33"/>
      <c r="JZ190" s="33"/>
      <c r="KA190" s="33"/>
      <c r="KB190" s="33"/>
      <c r="KC190" s="33"/>
      <c r="KD190" s="33"/>
      <c r="KE190" s="33"/>
      <c r="KF190" s="33"/>
      <c r="KG190" s="33"/>
      <c r="KH190" s="33"/>
      <c r="KI190" s="33"/>
      <c r="KJ190" s="33"/>
      <c r="KK190" s="33"/>
      <c r="KL190" s="33"/>
      <c r="KM190" s="33"/>
      <c r="KN190" s="33"/>
      <c r="KO190" s="33"/>
      <c r="KP190" s="33"/>
      <c r="KQ190" s="33"/>
      <c r="KR190" s="33"/>
      <c r="KS190" s="33"/>
      <c r="KT190" s="33"/>
      <c r="KU190" s="33"/>
      <c r="KV190" s="33"/>
      <c r="KW190" s="33"/>
      <c r="KX190" s="33"/>
      <c r="KY190" s="102"/>
      <c r="KZ190" s="41"/>
      <c r="LA190" s="41"/>
      <c r="LB190" s="41"/>
      <c r="LC190" s="41"/>
      <c r="LD190" s="41"/>
      <c r="LE190" s="41"/>
      <c r="LF190" s="44"/>
      <c r="LG190" s="33"/>
      <c r="LH190" s="33"/>
      <c r="LI190" s="33"/>
      <c r="LJ190" s="33"/>
      <c r="LK190" s="33"/>
      <c r="LL190" s="33"/>
      <c r="LM190" s="33"/>
      <c r="LN190" s="33"/>
      <c r="LO190" s="33"/>
      <c r="LP190" s="33"/>
      <c r="LQ190" s="33"/>
      <c r="LR190" s="33"/>
      <c r="LS190" s="33"/>
      <c r="LT190" s="33"/>
      <c r="LU190" s="33"/>
      <c r="LV190" s="33"/>
      <c r="LW190" s="33"/>
      <c r="LX190" s="33"/>
      <c r="LY190" s="33"/>
      <c r="LZ190" s="33"/>
      <c r="MA190" s="33"/>
      <c r="MB190" s="33"/>
      <c r="MC190" s="33"/>
      <c r="MD190" s="33"/>
      <c r="ME190" s="33"/>
      <c r="MF190" s="33"/>
      <c r="MG190" s="33"/>
      <c r="MH190" s="33"/>
      <c r="MI190" s="33"/>
      <c r="MJ190" s="33"/>
      <c r="MK190" s="33"/>
      <c r="ML190" s="33"/>
      <c r="MM190" s="33"/>
      <c r="MN190" s="33"/>
      <c r="MO190" s="33"/>
      <c r="MP190" s="33"/>
      <c r="MQ190" s="33"/>
      <c r="MR190" s="33"/>
      <c r="MS190" s="33"/>
      <c r="MT190" s="33"/>
      <c r="MU190" s="33"/>
      <c r="MV190" s="33"/>
    </row>
    <row r="191" spans="1:360" ht="0.75" customHeight="1" x14ac:dyDescent="0.25">
      <c r="A191" s="33"/>
      <c r="B191" s="33"/>
      <c r="C191" s="33"/>
      <c r="D191" s="33"/>
      <c r="E191" s="33"/>
      <c r="F191" s="33"/>
      <c r="G191" s="33"/>
      <c r="H191" s="33"/>
      <c r="I191" s="33"/>
      <c r="J191" s="33"/>
      <c r="K191" s="33"/>
      <c r="L191" s="33"/>
      <c r="M191" s="33"/>
      <c r="N191" s="33"/>
      <c r="O191" s="33"/>
      <c r="P191" s="33"/>
      <c r="Q191" s="33"/>
      <c r="R191" s="33"/>
      <c r="S191" s="33"/>
      <c r="T191" s="33"/>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c r="BV191" s="33"/>
      <c r="BW191" s="33"/>
      <c r="BX191" s="102"/>
      <c r="BY191" s="41"/>
      <c r="BZ191" s="41"/>
      <c r="CA191" s="41"/>
      <c r="CB191" s="41"/>
      <c r="CC191" s="41"/>
      <c r="CD191" s="41"/>
      <c r="CE191" s="63"/>
      <c r="CF191" s="33"/>
      <c r="CG191" s="33"/>
      <c r="CH191" s="33"/>
      <c r="CI191" s="33"/>
      <c r="CJ191" s="33"/>
      <c r="CK191" s="33"/>
      <c r="CL191" s="33"/>
      <c r="CM191" s="33"/>
      <c r="CN191" s="33"/>
      <c r="CO191" s="33"/>
      <c r="CP191" s="33"/>
      <c r="CQ191" s="33"/>
      <c r="CR191" s="33"/>
      <c r="CS191" s="33"/>
      <c r="CT191" s="33"/>
      <c r="CU191" s="33"/>
      <c r="CV191" s="33"/>
      <c r="CW191" s="33"/>
      <c r="CX191" s="33"/>
      <c r="CY191" s="33"/>
      <c r="CZ191" s="33"/>
      <c r="DA191" s="33"/>
      <c r="DB191" s="36"/>
      <c r="DC191" s="42"/>
      <c r="DD191" s="41"/>
      <c r="DE191" s="41"/>
      <c r="DF191" s="41"/>
      <c r="DG191" s="41"/>
      <c r="DH191" s="41"/>
      <c r="DI191" s="42"/>
      <c r="DJ191" s="36"/>
      <c r="DK191" s="33"/>
      <c r="DL191" s="33"/>
      <c r="DM191" s="33"/>
      <c r="DN191" s="33"/>
      <c r="DO191" s="33"/>
      <c r="DP191" s="33"/>
      <c r="DQ191" s="33"/>
      <c r="DR191" s="33"/>
      <c r="DS191" s="33"/>
      <c r="DT191" s="33"/>
      <c r="DU191" s="33"/>
      <c r="DV191" s="33"/>
      <c r="DW191" s="33"/>
      <c r="DX191" s="33"/>
      <c r="DY191" s="33"/>
      <c r="DZ191" s="33"/>
      <c r="EA191" s="33"/>
      <c r="EB191" s="33"/>
      <c r="EC191" s="33"/>
      <c r="ED191" s="33"/>
      <c r="EE191" s="79"/>
      <c r="EF191" s="41"/>
      <c r="EG191" s="41"/>
      <c r="EH191" s="41"/>
      <c r="EI191" s="41"/>
      <c r="EJ191" s="41"/>
      <c r="EK191" s="41"/>
      <c r="EL191" s="52"/>
      <c r="EM191" s="33"/>
      <c r="EN191" s="33"/>
      <c r="EO191" s="33"/>
      <c r="EP191" s="33"/>
      <c r="EQ191" s="33"/>
      <c r="ER191" s="33"/>
      <c r="ES191" s="33"/>
      <c r="ET191" s="33"/>
      <c r="EU191" s="33"/>
      <c r="EV191" s="33"/>
      <c r="EW191" s="33"/>
      <c r="EX191" s="33"/>
      <c r="EY191" s="33"/>
      <c r="EZ191" s="33"/>
      <c r="FA191" s="33"/>
      <c r="FB191" s="33"/>
      <c r="FC191" s="33"/>
      <c r="FD191" s="33"/>
      <c r="FE191" s="33"/>
      <c r="FF191" s="33"/>
      <c r="FG191" s="33"/>
      <c r="FH191" s="33"/>
      <c r="FI191" s="52"/>
      <c r="FJ191" s="41"/>
      <c r="FK191" s="41"/>
      <c r="FL191" s="41"/>
      <c r="FM191" s="41"/>
      <c r="FN191" s="41"/>
      <c r="FO191" s="41"/>
      <c r="FP191" s="44"/>
      <c r="FQ191" s="33"/>
      <c r="FR191" s="33"/>
      <c r="FS191" s="33"/>
      <c r="FT191" s="33"/>
      <c r="FU191" s="33"/>
      <c r="FV191" s="33"/>
      <c r="FW191" s="33"/>
      <c r="FX191" s="33"/>
      <c r="FY191" s="33"/>
      <c r="FZ191" s="33"/>
      <c r="GA191" s="33"/>
      <c r="GB191" s="33"/>
      <c r="GC191" s="33"/>
      <c r="GD191" s="33"/>
      <c r="GE191" s="33"/>
      <c r="GF191" s="33"/>
      <c r="GG191" s="33"/>
      <c r="GH191" s="33"/>
      <c r="GI191" s="33"/>
      <c r="GJ191" s="33"/>
      <c r="GK191" s="33"/>
      <c r="GL191" s="33"/>
      <c r="GM191" s="33"/>
      <c r="GN191" s="33"/>
      <c r="GO191" s="33"/>
      <c r="GP191" s="33"/>
      <c r="GQ191" s="33"/>
      <c r="GR191" s="33"/>
      <c r="GS191" s="33"/>
      <c r="GT191" s="33"/>
      <c r="GU191" s="33"/>
      <c r="GV191" s="33"/>
      <c r="GW191" s="33"/>
      <c r="GX191" s="33"/>
      <c r="GY191" s="33"/>
      <c r="GZ191" s="33"/>
      <c r="HA191" s="33"/>
      <c r="HB191" s="33"/>
      <c r="HC191" s="33"/>
      <c r="HD191" s="33"/>
      <c r="HE191" s="33"/>
      <c r="HF191" s="33"/>
      <c r="HG191" s="33"/>
      <c r="HH191" s="33"/>
      <c r="HI191" s="33"/>
      <c r="HJ191" s="33"/>
      <c r="HK191" s="33"/>
      <c r="HL191" s="33"/>
      <c r="HM191" s="33"/>
      <c r="HN191" s="33"/>
      <c r="HO191" s="33"/>
      <c r="HP191" s="102"/>
      <c r="HQ191" s="41"/>
      <c r="HR191" s="41"/>
      <c r="HS191" s="41"/>
      <c r="HT191" s="41"/>
      <c r="HU191" s="41"/>
      <c r="HV191" s="41"/>
      <c r="HW191" s="44"/>
      <c r="HX191" s="33"/>
      <c r="HY191" s="33"/>
      <c r="HZ191" s="33"/>
      <c r="IA191" s="33"/>
      <c r="IB191" s="33"/>
      <c r="IC191" s="33"/>
      <c r="ID191" s="33"/>
      <c r="IE191" s="33"/>
      <c r="IF191" s="33"/>
      <c r="IG191" s="33"/>
      <c r="IH191" s="33"/>
      <c r="II191" s="33"/>
      <c r="IJ191" s="33"/>
      <c r="IK191" s="33"/>
      <c r="IL191" s="33"/>
      <c r="IM191" s="33"/>
      <c r="IN191" s="33"/>
      <c r="IO191" s="33"/>
      <c r="IP191" s="33"/>
      <c r="IQ191" s="33"/>
      <c r="IR191" s="33"/>
      <c r="IS191" s="33"/>
      <c r="IT191" s="33"/>
      <c r="IU191" s="33"/>
      <c r="IV191" s="33"/>
      <c r="IW191" s="33"/>
      <c r="IX191" s="33"/>
      <c r="IY191" s="33"/>
      <c r="IZ191" s="33"/>
      <c r="JA191" s="33"/>
      <c r="JB191" s="33"/>
      <c r="JC191" s="33"/>
      <c r="JD191" s="33"/>
      <c r="JE191" s="33"/>
      <c r="JF191" s="33"/>
      <c r="JG191" s="33"/>
      <c r="JH191" s="33"/>
      <c r="JI191" s="33"/>
      <c r="JJ191" s="33"/>
      <c r="JK191" s="33"/>
      <c r="JL191" s="33"/>
      <c r="JM191" s="33"/>
      <c r="JN191" s="33"/>
      <c r="JO191" s="33"/>
      <c r="JP191" s="33"/>
      <c r="JQ191" s="33"/>
      <c r="JR191" s="33"/>
      <c r="JS191" s="33"/>
      <c r="JT191" s="33"/>
      <c r="JU191" s="33"/>
      <c r="JV191" s="33"/>
      <c r="JW191" s="33"/>
      <c r="JX191" s="33"/>
      <c r="JY191" s="33"/>
      <c r="JZ191" s="33"/>
      <c r="KA191" s="33"/>
      <c r="KB191" s="33"/>
      <c r="KC191" s="33"/>
      <c r="KD191" s="33"/>
      <c r="KE191" s="33"/>
      <c r="KF191" s="33"/>
      <c r="KG191" s="33"/>
      <c r="KH191" s="33"/>
      <c r="KI191" s="33"/>
      <c r="KJ191" s="33"/>
      <c r="KK191" s="33"/>
      <c r="KL191" s="33"/>
      <c r="KM191" s="33"/>
      <c r="KN191" s="33"/>
      <c r="KO191" s="33"/>
      <c r="KP191" s="33"/>
      <c r="KQ191" s="33"/>
      <c r="KR191" s="33"/>
      <c r="KS191" s="33"/>
      <c r="KT191" s="33"/>
      <c r="KU191" s="33"/>
      <c r="KV191" s="33"/>
      <c r="KW191" s="33"/>
      <c r="KX191" s="33"/>
      <c r="KY191" s="102"/>
      <c r="KZ191" s="41"/>
      <c r="LA191" s="41"/>
      <c r="LB191" s="41"/>
      <c r="LC191" s="41"/>
      <c r="LD191" s="41"/>
      <c r="LE191" s="41"/>
      <c r="LF191" s="44"/>
      <c r="LG191" s="33"/>
      <c r="LH191" s="33"/>
      <c r="LI191" s="33"/>
      <c r="LJ191" s="33"/>
      <c r="LK191" s="33"/>
      <c r="LL191" s="33"/>
      <c r="LM191" s="33"/>
      <c r="LN191" s="33"/>
      <c r="LO191" s="33"/>
      <c r="LP191" s="33"/>
      <c r="LQ191" s="33"/>
      <c r="LR191" s="33"/>
      <c r="LS191" s="33"/>
      <c r="LT191" s="33"/>
      <c r="LU191" s="33"/>
      <c r="LV191" s="33"/>
      <c r="LW191" s="33"/>
      <c r="LX191" s="33"/>
      <c r="LY191" s="33"/>
      <c r="LZ191" s="33"/>
      <c r="MA191" s="33"/>
      <c r="MB191" s="33"/>
      <c r="MC191" s="33"/>
      <c r="MD191" s="33"/>
      <c r="ME191" s="33"/>
      <c r="MF191" s="33"/>
      <c r="MG191" s="33"/>
      <c r="MH191" s="33"/>
      <c r="MI191" s="33"/>
      <c r="MJ191" s="33"/>
      <c r="MK191" s="33"/>
      <c r="ML191" s="33"/>
      <c r="MM191" s="33"/>
      <c r="MN191" s="33"/>
      <c r="MO191" s="33"/>
      <c r="MP191" s="33"/>
      <c r="MQ191" s="33"/>
      <c r="MR191" s="33"/>
      <c r="MS191" s="33"/>
      <c r="MT191" s="33"/>
      <c r="MU191" s="33"/>
      <c r="MV191" s="33"/>
    </row>
    <row r="192" spans="1:360" ht="0.75" customHeight="1" x14ac:dyDescent="0.25">
      <c r="A192" s="33"/>
      <c r="B192" s="33"/>
      <c r="C192" s="33"/>
      <c r="D192" s="33"/>
      <c r="E192" s="33"/>
      <c r="F192" s="33"/>
      <c r="G192" s="33"/>
      <c r="H192" s="33"/>
      <c r="I192" s="33"/>
      <c r="J192" s="33"/>
      <c r="K192" s="33"/>
      <c r="L192" s="33"/>
      <c r="M192" s="33"/>
      <c r="N192" s="33"/>
      <c r="O192" s="33"/>
      <c r="P192" s="33"/>
      <c r="Q192" s="33"/>
      <c r="R192" s="33"/>
      <c r="S192" s="33"/>
      <c r="T192" s="33"/>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c r="BV192" s="33"/>
      <c r="BW192" s="33"/>
      <c r="BX192" s="102"/>
      <c r="BY192" s="41"/>
      <c r="BZ192" s="41"/>
      <c r="CA192" s="41"/>
      <c r="CB192" s="41"/>
      <c r="CC192" s="41"/>
      <c r="CD192" s="41"/>
      <c r="CE192" s="63"/>
      <c r="CF192" s="33"/>
      <c r="CG192" s="33"/>
      <c r="CH192" s="33"/>
      <c r="CI192" s="33"/>
      <c r="CJ192" s="33"/>
      <c r="CK192" s="33"/>
      <c r="CL192" s="33"/>
      <c r="CM192" s="33"/>
      <c r="CN192" s="33"/>
      <c r="CO192" s="33"/>
      <c r="CP192" s="33"/>
      <c r="CQ192" s="33"/>
      <c r="CR192" s="33"/>
      <c r="CS192" s="33"/>
      <c r="CT192" s="33"/>
      <c r="CU192" s="33"/>
      <c r="CV192" s="33"/>
      <c r="CW192" s="33"/>
      <c r="CX192" s="33"/>
      <c r="CY192" s="33"/>
      <c r="CZ192" s="33"/>
      <c r="DA192" s="33"/>
      <c r="DB192" s="36"/>
      <c r="DC192" s="42"/>
      <c r="DD192" s="41"/>
      <c r="DE192" s="41"/>
      <c r="DF192" s="41"/>
      <c r="DG192" s="41"/>
      <c r="DH192" s="41"/>
      <c r="DI192" s="42"/>
      <c r="DJ192" s="36"/>
      <c r="DK192" s="33"/>
      <c r="DL192" s="33"/>
      <c r="DM192" s="33"/>
      <c r="DN192" s="33"/>
      <c r="DO192" s="33"/>
      <c r="DP192" s="33"/>
      <c r="DQ192" s="33"/>
      <c r="DR192" s="33"/>
      <c r="DS192" s="33"/>
      <c r="DT192" s="33"/>
      <c r="DU192" s="33"/>
      <c r="DV192" s="33"/>
      <c r="DW192" s="33"/>
      <c r="DX192" s="33"/>
      <c r="DY192" s="33"/>
      <c r="DZ192" s="33"/>
      <c r="EA192" s="33"/>
      <c r="EB192" s="33"/>
      <c r="EC192" s="33"/>
      <c r="ED192" s="33"/>
      <c r="EE192" s="79"/>
      <c r="EF192" s="41"/>
      <c r="EG192" s="41"/>
      <c r="EH192" s="41"/>
      <c r="EI192" s="41"/>
      <c r="EJ192" s="41"/>
      <c r="EK192" s="41"/>
      <c r="EL192" s="52"/>
      <c r="EM192" s="33"/>
      <c r="EN192" s="33"/>
      <c r="EO192" s="33"/>
      <c r="EP192" s="33"/>
      <c r="EQ192" s="33"/>
      <c r="ER192" s="33"/>
      <c r="ES192" s="33"/>
      <c r="ET192" s="33"/>
      <c r="EU192" s="33"/>
      <c r="EV192" s="33"/>
      <c r="EW192" s="33"/>
      <c r="EX192" s="33"/>
      <c r="EY192" s="33"/>
      <c r="EZ192" s="33"/>
      <c r="FA192" s="33"/>
      <c r="FB192" s="33"/>
      <c r="FC192" s="33"/>
      <c r="FD192" s="33"/>
      <c r="FE192" s="33"/>
      <c r="FF192" s="33"/>
      <c r="FG192" s="33"/>
      <c r="FH192" s="33"/>
      <c r="FI192" s="52"/>
      <c r="FJ192" s="41"/>
      <c r="FK192" s="41"/>
      <c r="FL192" s="41"/>
      <c r="FM192" s="41"/>
      <c r="FN192" s="41"/>
      <c r="FO192" s="41"/>
      <c r="FP192" s="44"/>
      <c r="FQ192" s="33"/>
      <c r="FR192" s="33"/>
      <c r="FS192" s="33"/>
      <c r="FT192" s="33"/>
      <c r="FU192" s="33"/>
      <c r="FV192" s="33"/>
      <c r="FW192" s="33"/>
      <c r="FX192" s="33"/>
      <c r="FY192" s="33"/>
      <c r="FZ192" s="33"/>
      <c r="GA192" s="33"/>
      <c r="GB192" s="33"/>
      <c r="GC192" s="33"/>
      <c r="GD192" s="33"/>
      <c r="GE192" s="33"/>
      <c r="GF192" s="33"/>
      <c r="GG192" s="33"/>
      <c r="GH192" s="33"/>
      <c r="GI192" s="33"/>
      <c r="GJ192" s="33"/>
      <c r="GK192" s="33"/>
      <c r="GL192" s="33"/>
      <c r="GM192" s="33"/>
      <c r="GN192" s="33"/>
      <c r="GO192" s="33"/>
      <c r="GP192" s="33"/>
      <c r="GQ192" s="33"/>
      <c r="GR192" s="33"/>
      <c r="GS192" s="33"/>
      <c r="GT192" s="33"/>
      <c r="GU192" s="33"/>
      <c r="GV192" s="33"/>
      <c r="GW192" s="33"/>
      <c r="GX192" s="33"/>
      <c r="GY192" s="33"/>
      <c r="GZ192" s="33"/>
      <c r="HA192" s="33"/>
      <c r="HB192" s="33"/>
      <c r="HC192" s="33"/>
      <c r="HD192" s="33"/>
      <c r="HE192" s="33"/>
      <c r="HF192" s="33"/>
      <c r="HG192" s="33"/>
      <c r="HH192" s="33"/>
      <c r="HI192" s="33"/>
      <c r="HJ192" s="33"/>
      <c r="HK192" s="33"/>
      <c r="HL192" s="33"/>
      <c r="HM192" s="33"/>
      <c r="HN192" s="33"/>
      <c r="HO192" s="33"/>
      <c r="HP192" s="102"/>
      <c r="HQ192" s="41"/>
      <c r="HR192" s="41"/>
      <c r="HS192" s="41"/>
      <c r="HT192" s="41"/>
      <c r="HU192" s="41"/>
      <c r="HV192" s="41"/>
      <c r="HW192" s="44"/>
      <c r="HX192" s="33"/>
      <c r="HY192" s="33"/>
      <c r="HZ192" s="33"/>
      <c r="IA192" s="33"/>
      <c r="IB192" s="33"/>
      <c r="IC192" s="33"/>
      <c r="ID192" s="33"/>
      <c r="IE192" s="33"/>
      <c r="IF192" s="33"/>
      <c r="IG192" s="33"/>
      <c r="IH192" s="33"/>
      <c r="II192" s="33"/>
      <c r="IJ192" s="33"/>
      <c r="IK192" s="33"/>
      <c r="IL192" s="33"/>
      <c r="IM192" s="33"/>
      <c r="IN192" s="33"/>
      <c r="IO192" s="33"/>
      <c r="IP192" s="33"/>
      <c r="IQ192" s="33"/>
      <c r="IR192" s="33"/>
      <c r="IS192" s="33"/>
      <c r="IT192" s="33"/>
      <c r="IU192" s="33"/>
      <c r="IV192" s="33"/>
      <c r="IW192" s="33"/>
      <c r="IX192" s="33"/>
      <c r="IY192" s="33"/>
      <c r="IZ192" s="33"/>
      <c r="JA192" s="33"/>
      <c r="JB192" s="33"/>
      <c r="JC192" s="33"/>
      <c r="JD192" s="33"/>
      <c r="JE192" s="33"/>
      <c r="JF192" s="33"/>
      <c r="JG192" s="33"/>
      <c r="JH192" s="33"/>
      <c r="JI192" s="33"/>
      <c r="JJ192" s="33"/>
      <c r="JK192" s="33"/>
      <c r="JL192" s="33"/>
      <c r="JM192" s="33"/>
      <c r="JN192" s="33"/>
      <c r="JO192" s="33"/>
      <c r="JP192" s="33"/>
      <c r="JQ192" s="33"/>
      <c r="JR192" s="33"/>
      <c r="JS192" s="33"/>
      <c r="JT192" s="33"/>
      <c r="JU192" s="33"/>
      <c r="JV192" s="33"/>
      <c r="JW192" s="33"/>
      <c r="JX192" s="33"/>
      <c r="JY192" s="33"/>
      <c r="JZ192" s="33"/>
      <c r="KA192" s="33"/>
      <c r="KB192" s="33"/>
      <c r="KC192" s="33"/>
      <c r="KD192" s="33"/>
      <c r="KE192" s="33"/>
      <c r="KF192" s="33"/>
      <c r="KG192" s="33"/>
      <c r="KH192" s="33"/>
      <c r="KI192" s="33"/>
      <c r="KJ192" s="33"/>
      <c r="KK192" s="33"/>
      <c r="KL192" s="33"/>
      <c r="KM192" s="33"/>
      <c r="KN192" s="33"/>
      <c r="KO192" s="33"/>
      <c r="KP192" s="33"/>
      <c r="KQ192" s="33"/>
      <c r="KR192" s="33"/>
      <c r="KS192" s="33"/>
      <c r="KT192" s="33"/>
      <c r="KU192" s="33"/>
      <c r="KV192" s="33"/>
      <c r="KW192" s="33"/>
      <c r="KX192" s="33"/>
      <c r="KY192" s="102"/>
      <c r="KZ192" s="41"/>
      <c r="LA192" s="41"/>
      <c r="LB192" s="41"/>
      <c r="LC192" s="41"/>
      <c r="LD192" s="41"/>
      <c r="LE192" s="41"/>
      <c r="LF192" s="44"/>
      <c r="LG192" s="33"/>
      <c r="LH192" s="33"/>
      <c r="LI192" s="33"/>
      <c r="LJ192" s="33"/>
      <c r="LK192" s="33"/>
      <c r="LL192" s="33"/>
      <c r="LM192" s="33"/>
      <c r="LN192" s="33"/>
      <c r="LO192" s="33"/>
      <c r="LP192" s="33"/>
      <c r="LQ192" s="33"/>
      <c r="LR192" s="33"/>
      <c r="LS192" s="33"/>
      <c r="LT192" s="33"/>
      <c r="LU192" s="33"/>
      <c r="LV192" s="33"/>
      <c r="LW192" s="33"/>
      <c r="LX192" s="33"/>
      <c r="LY192" s="33"/>
      <c r="LZ192" s="33"/>
      <c r="MA192" s="33"/>
      <c r="MB192" s="33"/>
      <c r="MC192" s="33"/>
      <c r="MD192" s="33"/>
      <c r="ME192" s="33"/>
      <c r="MF192" s="33"/>
      <c r="MG192" s="33"/>
      <c r="MH192" s="33"/>
      <c r="MI192" s="33"/>
      <c r="MJ192" s="33"/>
      <c r="MK192" s="33"/>
      <c r="ML192" s="33"/>
      <c r="MM192" s="33"/>
      <c r="MN192" s="33"/>
      <c r="MO192" s="33"/>
      <c r="MP192" s="33"/>
      <c r="MQ192" s="33"/>
      <c r="MR192" s="33"/>
      <c r="MS192" s="33"/>
      <c r="MT192" s="33"/>
      <c r="MU192" s="33"/>
      <c r="MV192" s="33"/>
    </row>
    <row r="193" spans="1:360" ht="0.75" customHeight="1" x14ac:dyDescent="0.25">
      <c r="A193" s="33"/>
      <c r="B193" s="33"/>
      <c r="C193" s="33"/>
      <c r="D193" s="33"/>
      <c r="E193" s="33"/>
      <c r="F193" s="33"/>
      <c r="G193" s="33"/>
      <c r="H193" s="33"/>
      <c r="I193" s="33"/>
      <c r="J193" s="33"/>
      <c r="K193" s="33"/>
      <c r="L193" s="33"/>
      <c r="M193" s="33"/>
      <c r="N193" s="33"/>
      <c r="O193" s="33"/>
      <c r="P193" s="33"/>
      <c r="Q193" s="33"/>
      <c r="R193" s="33"/>
      <c r="S193" s="33"/>
      <c r="T193" s="33"/>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3"/>
      <c r="AV193" s="117"/>
      <c r="AW193" s="118"/>
      <c r="AX193" s="52"/>
      <c r="AY193" s="52"/>
      <c r="AZ193" s="52"/>
      <c r="BA193" s="52"/>
      <c r="BB193" s="52"/>
      <c r="BC193" s="52"/>
      <c r="BD193" s="52"/>
      <c r="BE193" s="52"/>
      <c r="BF193" s="52"/>
      <c r="BG193" s="52"/>
      <c r="BH193" s="52"/>
      <c r="BI193" s="52"/>
      <c r="BJ193" s="52"/>
      <c r="BK193" s="52"/>
      <c r="BL193" s="52"/>
      <c r="BM193" s="52"/>
      <c r="BN193" s="52"/>
      <c r="BO193" s="52"/>
      <c r="BP193" s="52"/>
      <c r="BQ193" s="52"/>
      <c r="BR193" s="52"/>
      <c r="BS193" s="52"/>
      <c r="BT193" s="52"/>
      <c r="BU193" s="52"/>
      <c r="BV193" s="52"/>
      <c r="BW193" s="119"/>
      <c r="BX193" s="102"/>
      <c r="BY193" s="120"/>
      <c r="BZ193" s="44"/>
      <c r="CA193" s="44"/>
      <c r="CB193" s="44"/>
      <c r="CC193" s="88"/>
      <c r="CD193" s="89"/>
      <c r="CE193" s="90"/>
      <c r="CF193" s="33"/>
      <c r="CG193" s="33"/>
      <c r="CH193" s="33"/>
      <c r="CI193" s="33"/>
      <c r="CJ193" s="33"/>
      <c r="CK193" s="33"/>
      <c r="CL193" s="33"/>
      <c r="CM193" s="33"/>
      <c r="CN193" s="33"/>
      <c r="CO193" s="33"/>
      <c r="CP193" s="33"/>
      <c r="CQ193" s="33"/>
      <c r="CR193" s="33"/>
      <c r="CS193" s="33"/>
      <c r="CT193" s="33"/>
      <c r="CU193" s="33"/>
      <c r="CV193" s="33"/>
      <c r="CW193" s="33"/>
      <c r="CX193" s="33"/>
      <c r="CY193" s="33"/>
      <c r="CZ193" s="33"/>
      <c r="DA193" s="33"/>
      <c r="DB193" s="34"/>
      <c r="DC193" s="40"/>
      <c r="DD193" s="84"/>
      <c r="DE193" s="44"/>
      <c r="DF193" s="44"/>
      <c r="DG193" s="44"/>
      <c r="DH193" s="48"/>
      <c r="DI193" s="49"/>
      <c r="DJ193" s="50"/>
      <c r="DK193" s="51"/>
      <c r="DL193" s="52"/>
      <c r="DM193" s="52"/>
      <c r="DN193" s="52"/>
      <c r="DO193" s="52"/>
      <c r="DP193" s="52"/>
      <c r="DQ193" s="52"/>
      <c r="DR193" s="52"/>
      <c r="DS193" s="52"/>
      <c r="DT193" s="52"/>
      <c r="DU193" s="52"/>
      <c r="DV193" s="52"/>
      <c r="DW193" s="52"/>
      <c r="DX193" s="52"/>
      <c r="DY193" s="52"/>
      <c r="DZ193" s="52"/>
      <c r="EA193" s="52"/>
      <c r="EB193" s="52"/>
      <c r="EC193" s="121"/>
      <c r="ED193" s="122"/>
      <c r="EE193" s="123"/>
      <c r="EF193" s="124"/>
      <c r="EG193" s="44"/>
      <c r="EH193" s="44"/>
      <c r="EI193" s="44"/>
      <c r="EJ193" s="87"/>
      <c r="EK193" s="86"/>
      <c r="EL193" s="85"/>
      <c r="EM193" s="33"/>
      <c r="EN193" s="33"/>
      <c r="EO193" s="33"/>
      <c r="EP193" s="33"/>
      <c r="EQ193" s="33"/>
      <c r="ER193" s="33"/>
      <c r="ES193" s="33"/>
      <c r="ET193" s="33"/>
      <c r="EU193" s="33"/>
      <c r="EV193" s="33"/>
      <c r="EW193" s="33"/>
      <c r="EX193" s="33"/>
      <c r="EY193" s="33"/>
      <c r="EZ193" s="33"/>
      <c r="FA193" s="33"/>
      <c r="FB193" s="33"/>
      <c r="FC193" s="33"/>
      <c r="FD193" s="33"/>
      <c r="FE193" s="33"/>
      <c r="FF193" s="33"/>
      <c r="FG193" s="33"/>
      <c r="FH193" s="33"/>
      <c r="FI193" s="52"/>
      <c r="FJ193" s="41"/>
      <c r="FK193" s="41"/>
      <c r="FL193" s="41"/>
      <c r="FM193" s="41"/>
      <c r="FN193" s="41"/>
      <c r="FO193" s="41"/>
      <c r="FP193" s="125"/>
      <c r="FQ193" s="82"/>
      <c r="FR193" s="126"/>
      <c r="FS193" s="52"/>
      <c r="FT193" s="52"/>
      <c r="FU193" s="52"/>
      <c r="FV193" s="52"/>
      <c r="FW193" s="52"/>
      <c r="FX193" s="52"/>
      <c r="FY193" s="52"/>
      <c r="FZ193" s="52"/>
      <c r="GA193" s="52"/>
      <c r="GB193" s="52"/>
      <c r="GC193" s="52"/>
      <c r="GD193" s="52"/>
      <c r="GE193" s="52"/>
      <c r="GF193" s="52"/>
      <c r="GG193" s="52"/>
      <c r="GH193" s="52"/>
      <c r="GI193" s="52"/>
      <c r="GJ193" s="52"/>
      <c r="GK193" s="52"/>
      <c r="GL193" s="52"/>
      <c r="GM193" s="52"/>
      <c r="GN193" s="52"/>
      <c r="GO193" s="52"/>
      <c r="GP193" s="52"/>
      <c r="GQ193" s="127"/>
      <c r="GR193" s="128"/>
      <c r="GS193" s="129"/>
      <c r="GT193" s="33"/>
      <c r="GU193" s="33"/>
      <c r="GV193" s="33"/>
      <c r="GW193" s="33"/>
      <c r="GX193" s="33"/>
      <c r="GY193" s="33"/>
      <c r="GZ193" s="33"/>
      <c r="HA193" s="33"/>
      <c r="HB193" s="33"/>
      <c r="HC193" s="33"/>
      <c r="HD193" s="33"/>
      <c r="HE193" s="33"/>
      <c r="HF193" s="33"/>
      <c r="HG193" s="33"/>
      <c r="HH193" s="33"/>
      <c r="HI193" s="33"/>
      <c r="HJ193" s="33"/>
      <c r="HK193" s="33"/>
      <c r="HL193" s="33"/>
      <c r="HM193" s="33"/>
      <c r="HN193" s="33"/>
      <c r="HO193" s="33"/>
      <c r="HP193" s="102"/>
      <c r="HQ193" s="41"/>
      <c r="HR193" s="41"/>
      <c r="HS193" s="41"/>
      <c r="HT193" s="41"/>
      <c r="HU193" s="41"/>
      <c r="HV193" s="41"/>
      <c r="HW193" s="125"/>
      <c r="HX193" s="82"/>
      <c r="HY193" s="126"/>
      <c r="HZ193" s="52"/>
      <c r="IA193" s="52"/>
      <c r="IB193" s="52"/>
      <c r="IC193" s="52"/>
      <c r="ID193" s="52"/>
      <c r="IE193" s="52"/>
      <c r="IF193" s="52"/>
      <c r="IG193" s="52"/>
      <c r="IH193" s="52"/>
      <c r="II193" s="52"/>
      <c r="IJ193" s="52"/>
      <c r="IK193" s="52"/>
      <c r="IL193" s="52"/>
      <c r="IM193" s="52"/>
      <c r="IN193" s="52"/>
      <c r="IO193" s="52"/>
      <c r="IP193" s="52"/>
      <c r="IQ193" s="52"/>
      <c r="IR193" s="52"/>
      <c r="IS193" s="52"/>
      <c r="IT193" s="52"/>
      <c r="IU193" s="52"/>
      <c r="IV193" s="52"/>
      <c r="IW193" s="52"/>
      <c r="IX193" s="53"/>
      <c r="IY193" s="54"/>
      <c r="IZ193" s="33"/>
      <c r="JA193" s="33"/>
      <c r="JB193" s="33"/>
      <c r="JC193" s="33"/>
      <c r="JD193" s="33"/>
      <c r="JE193" s="33"/>
      <c r="JF193" s="33"/>
      <c r="JG193" s="33"/>
      <c r="JH193" s="33"/>
      <c r="JI193" s="33"/>
      <c r="JJ193" s="33"/>
      <c r="JK193" s="33"/>
      <c r="JL193" s="33"/>
      <c r="JM193" s="33"/>
      <c r="JN193" s="33"/>
      <c r="JO193" s="33"/>
      <c r="JP193" s="33"/>
      <c r="JQ193" s="33"/>
      <c r="JR193" s="33"/>
      <c r="JS193" s="33"/>
      <c r="JT193" s="33"/>
      <c r="JU193" s="33"/>
      <c r="JV193" s="33"/>
      <c r="JW193" s="110"/>
      <c r="JX193" s="130"/>
      <c r="JY193" s="52"/>
      <c r="JZ193" s="52"/>
      <c r="KA193" s="52"/>
      <c r="KB193" s="52"/>
      <c r="KC193" s="52"/>
      <c r="KD193" s="52"/>
      <c r="KE193" s="52"/>
      <c r="KF193" s="52"/>
      <c r="KG193" s="52"/>
      <c r="KH193" s="52"/>
      <c r="KI193" s="52"/>
      <c r="KJ193" s="52"/>
      <c r="KK193" s="52"/>
      <c r="KL193" s="52"/>
      <c r="KM193" s="52"/>
      <c r="KN193" s="52"/>
      <c r="KO193" s="52"/>
      <c r="KP193" s="52"/>
      <c r="KQ193" s="52"/>
      <c r="KR193" s="52"/>
      <c r="KS193" s="52"/>
      <c r="KT193" s="52"/>
      <c r="KU193" s="52"/>
      <c r="KV193" s="52"/>
      <c r="KW193" s="52"/>
      <c r="KX193" s="131"/>
      <c r="KY193" s="100"/>
      <c r="KZ193" s="41"/>
      <c r="LA193" s="41"/>
      <c r="LB193" s="41"/>
      <c r="LC193" s="41"/>
      <c r="LD193" s="41"/>
      <c r="LE193" s="41"/>
      <c r="LF193" s="44"/>
      <c r="LG193" s="33"/>
      <c r="LH193" s="33"/>
      <c r="LI193" s="33"/>
      <c r="LJ193" s="33"/>
      <c r="LK193" s="33"/>
      <c r="LL193" s="33"/>
      <c r="LM193" s="33"/>
      <c r="LN193" s="33"/>
      <c r="LO193" s="33"/>
      <c r="LP193" s="33"/>
      <c r="LQ193" s="33"/>
      <c r="LR193" s="33"/>
      <c r="LS193" s="33"/>
      <c r="LT193" s="33"/>
      <c r="LU193" s="33"/>
      <c r="LV193" s="33"/>
      <c r="LW193" s="33"/>
      <c r="LX193" s="33"/>
      <c r="LY193" s="33"/>
      <c r="LZ193" s="33"/>
      <c r="MA193" s="33"/>
      <c r="MB193" s="33"/>
      <c r="MC193" s="33"/>
      <c r="MD193" s="33"/>
      <c r="ME193" s="33"/>
      <c r="MF193" s="33"/>
      <c r="MG193" s="33"/>
      <c r="MH193" s="33"/>
      <c r="MI193" s="33"/>
      <c r="MJ193" s="33"/>
      <c r="MK193" s="33"/>
      <c r="ML193" s="33"/>
      <c r="MM193" s="33"/>
      <c r="MN193" s="33"/>
      <c r="MO193" s="33"/>
      <c r="MP193" s="33"/>
      <c r="MQ193" s="33"/>
      <c r="MR193" s="33"/>
      <c r="MS193" s="33"/>
      <c r="MT193" s="33"/>
      <c r="MU193" s="33"/>
      <c r="MV193" s="33"/>
    </row>
    <row r="194" spans="1:360" ht="0.75" customHeight="1" x14ac:dyDescent="0.25">
      <c r="A194" s="33"/>
      <c r="B194" s="33"/>
      <c r="C194" s="33"/>
      <c r="D194" s="33"/>
      <c r="E194" s="33"/>
      <c r="F194" s="33"/>
      <c r="G194" s="33"/>
      <c r="H194" s="33"/>
      <c r="I194" s="33"/>
      <c r="J194" s="33"/>
      <c r="K194" s="33"/>
      <c r="L194" s="33"/>
      <c r="M194" s="33"/>
      <c r="N194" s="33"/>
      <c r="O194" s="33"/>
      <c r="P194" s="33"/>
      <c r="Q194" s="33"/>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79"/>
      <c r="AW194" s="41"/>
      <c r="AX194" s="41"/>
      <c r="AY194" s="41"/>
      <c r="AZ194" s="41"/>
      <c r="BA194" s="41"/>
      <c r="BB194" s="41"/>
      <c r="BC194" s="41"/>
      <c r="BD194" s="41"/>
      <c r="BE194" s="41"/>
      <c r="BF194" s="41"/>
      <c r="BG194" s="41"/>
      <c r="BH194" s="41"/>
      <c r="BI194" s="41"/>
      <c r="BJ194" s="41"/>
      <c r="BK194" s="41"/>
      <c r="BL194" s="41"/>
      <c r="BM194" s="41"/>
      <c r="BN194" s="41"/>
      <c r="BO194" s="41"/>
      <c r="BP194" s="41"/>
      <c r="BQ194" s="41"/>
      <c r="BR194" s="41"/>
      <c r="BS194" s="41"/>
      <c r="BT194" s="41"/>
      <c r="BU194" s="41"/>
      <c r="BV194" s="41"/>
      <c r="BW194" s="41"/>
      <c r="BX194" s="102"/>
      <c r="BY194" s="33"/>
      <c r="BZ194" s="33"/>
      <c r="CA194" s="33"/>
      <c r="CB194" s="33"/>
      <c r="CC194" s="33"/>
      <c r="CD194" s="33"/>
      <c r="CE194" s="33"/>
      <c r="CF194" s="33"/>
      <c r="CG194" s="33"/>
      <c r="CH194" s="33"/>
      <c r="CI194" s="33"/>
      <c r="CJ194" s="33"/>
      <c r="CK194" s="33"/>
      <c r="CL194" s="33"/>
      <c r="CM194" s="33"/>
      <c r="CN194" s="33"/>
      <c r="CO194" s="33"/>
      <c r="CP194" s="33"/>
      <c r="CQ194" s="33"/>
      <c r="CR194" s="33"/>
      <c r="CS194" s="33"/>
      <c r="CT194" s="33"/>
      <c r="CU194" s="33"/>
      <c r="CV194" s="33"/>
      <c r="CW194" s="33"/>
      <c r="CX194" s="33"/>
      <c r="CY194" s="33"/>
      <c r="CZ194" s="33"/>
      <c r="DA194" s="33"/>
      <c r="DB194" s="33"/>
      <c r="DC194" s="33"/>
      <c r="DD194" s="33"/>
      <c r="DE194" s="33"/>
      <c r="DF194" s="33"/>
      <c r="DG194" s="33"/>
      <c r="DH194" s="33"/>
      <c r="DI194" s="36"/>
      <c r="DJ194" s="42"/>
      <c r="DK194" s="41"/>
      <c r="DL194" s="41"/>
      <c r="DM194" s="41"/>
      <c r="DN194" s="41"/>
      <c r="DO194" s="41"/>
      <c r="DP194" s="41"/>
      <c r="DQ194" s="41"/>
      <c r="DR194" s="41"/>
      <c r="DS194" s="41"/>
      <c r="DT194" s="41"/>
      <c r="DU194" s="41"/>
      <c r="DV194" s="41"/>
      <c r="DW194" s="41"/>
      <c r="DX194" s="41"/>
      <c r="DY194" s="41"/>
      <c r="DZ194" s="41"/>
      <c r="EA194" s="41"/>
      <c r="EB194" s="41"/>
      <c r="EC194" s="41"/>
      <c r="ED194" s="41"/>
      <c r="EE194" s="81"/>
      <c r="EF194" s="33"/>
      <c r="EG194" s="33"/>
      <c r="EH194" s="33"/>
      <c r="EI194" s="33"/>
      <c r="EJ194" s="33"/>
      <c r="EK194" s="33"/>
      <c r="EL194" s="33"/>
      <c r="EM194" s="33"/>
      <c r="EN194" s="33"/>
      <c r="EO194" s="33"/>
      <c r="EP194" s="33"/>
      <c r="EQ194" s="33"/>
      <c r="ER194" s="33"/>
      <c r="ES194" s="33"/>
      <c r="ET194" s="33"/>
      <c r="EU194" s="33"/>
      <c r="EV194" s="33"/>
      <c r="EW194" s="33"/>
      <c r="EX194" s="33"/>
      <c r="EY194" s="33"/>
      <c r="EZ194" s="33"/>
      <c r="FA194" s="33"/>
      <c r="FB194" s="33"/>
      <c r="FC194" s="33"/>
      <c r="FD194" s="33"/>
      <c r="FE194" s="33"/>
      <c r="FF194" s="33"/>
      <c r="FG194" s="33"/>
      <c r="FH194" s="33"/>
      <c r="FI194" s="52"/>
      <c r="FJ194" s="41"/>
      <c r="FK194" s="41"/>
      <c r="FL194" s="41"/>
      <c r="FM194" s="41"/>
      <c r="FN194" s="41"/>
      <c r="FO194" s="41"/>
      <c r="FP194" s="41"/>
      <c r="FQ194" s="41"/>
      <c r="FR194" s="41"/>
      <c r="FS194" s="41"/>
      <c r="FT194" s="41"/>
      <c r="FU194" s="41"/>
      <c r="FV194" s="41"/>
      <c r="FW194" s="41"/>
      <c r="FX194" s="41"/>
      <c r="FY194" s="41"/>
      <c r="FZ194" s="41"/>
      <c r="GA194" s="41"/>
      <c r="GB194" s="41"/>
      <c r="GC194" s="41"/>
      <c r="GD194" s="41"/>
      <c r="GE194" s="41"/>
      <c r="GF194" s="41"/>
      <c r="GG194" s="41"/>
      <c r="GH194" s="41"/>
      <c r="GI194" s="41"/>
      <c r="GJ194" s="41"/>
      <c r="GK194" s="41"/>
      <c r="GL194" s="41"/>
      <c r="GM194" s="41"/>
      <c r="GN194" s="41"/>
      <c r="GO194" s="41"/>
      <c r="GP194" s="41"/>
      <c r="GQ194" s="41"/>
      <c r="GR194" s="41"/>
      <c r="GS194" s="81"/>
      <c r="GT194" s="33"/>
      <c r="GU194" s="33"/>
      <c r="GV194" s="33"/>
      <c r="GW194" s="33"/>
      <c r="GX194" s="33"/>
      <c r="GY194" s="33"/>
      <c r="GZ194" s="33"/>
      <c r="HA194" s="33"/>
      <c r="HB194" s="33"/>
      <c r="HC194" s="33"/>
      <c r="HD194" s="33"/>
      <c r="HE194" s="33"/>
      <c r="HF194" s="33"/>
      <c r="HG194" s="33"/>
      <c r="HH194" s="33"/>
      <c r="HI194" s="33"/>
      <c r="HJ194" s="33"/>
      <c r="HK194" s="33"/>
      <c r="HL194" s="33"/>
      <c r="HM194" s="33"/>
      <c r="HN194" s="33"/>
      <c r="HO194" s="33"/>
      <c r="HP194" s="102"/>
      <c r="HQ194" s="41"/>
      <c r="HR194" s="41"/>
      <c r="HS194" s="41"/>
      <c r="HT194" s="41"/>
      <c r="HU194" s="41"/>
      <c r="HV194" s="41"/>
      <c r="HW194" s="41"/>
      <c r="HX194" s="41"/>
      <c r="HY194" s="41"/>
      <c r="HZ194" s="41"/>
      <c r="IA194" s="41"/>
      <c r="IB194" s="41"/>
      <c r="IC194" s="41"/>
      <c r="ID194" s="41"/>
      <c r="IE194" s="41"/>
      <c r="IF194" s="41"/>
      <c r="IG194" s="41"/>
      <c r="IH194" s="41"/>
      <c r="II194" s="41"/>
      <c r="IJ194" s="41"/>
      <c r="IK194" s="41"/>
      <c r="IL194" s="41"/>
      <c r="IM194" s="41"/>
      <c r="IN194" s="41"/>
      <c r="IO194" s="41"/>
      <c r="IP194" s="41"/>
      <c r="IQ194" s="41"/>
      <c r="IR194" s="41"/>
      <c r="IS194" s="41"/>
      <c r="IT194" s="41"/>
      <c r="IU194" s="41"/>
      <c r="IV194" s="41"/>
      <c r="IW194" s="41"/>
      <c r="IX194" s="41"/>
      <c r="IY194" s="44"/>
      <c r="IZ194" s="33"/>
      <c r="JA194" s="33"/>
      <c r="JB194" s="33"/>
      <c r="JC194" s="33"/>
      <c r="JD194" s="33"/>
      <c r="JE194" s="33"/>
      <c r="JF194" s="33"/>
      <c r="JG194" s="33"/>
      <c r="JH194" s="33"/>
      <c r="JI194" s="33"/>
      <c r="JJ194" s="33"/>
      <c r="JK194" s="33"/>
      <c r="JL194" s="33"/>
      <c r="JM194" s="33"/>
      <c r="JN194" s="33"/>
      <c r="JO194" s="33"/>
      <c r="JP194" s="33"/>
      <c r="JQ194" s="33"/>
      <c r="JR194" s="33"/>
      <c r="JS194" s="33"/>
      <c r="JT194" s="33"/>
      <c r="JU194" s="33"/>
      <c r="JV194" s="33"/>
      <c r="JW194" s="102"/>
      <c r="JX194" s="41"/>
      <c r="JY194" s="41"/>
      <c r="JZ194" s="41"/>
      <c r="KA194" s="41"/>
      <c r="KB194" s="41"/>
      <c r="KC194" s="41"/>
      <c r="KD194" s="41"/>
      <c r="KE194" s="41"/>
      <c r="KF194" s="41"/>
      <c r="KG194" s="41"/>
      <c r="KH194" s="41"/>
      <c r="KI194" s="41"/>
      <c r="KJ194" s="41"/>
      <c r="KK194" s="41"/>
      <c r="KL194" s="41"/>
      <c r="KM194" s="41"/>
      <c r="KN194" s="41"/>
      <c r="KO194" s="41"/>
      <c r="KP194" s="41"/>
      <c r="KQ194" s="41"/>
      <c r="KR194" s="41"/>
      <c r="KS194" s="41"/>
      <c r="KT194" s="41"/>
      <c r="KU194" s="41"/>
      <c r="KV194" s="41"/>
      <c r="KW194" s="41"/>
      <c r="KX194" s="41"/>
      <c r="KY194" s="41"/>
      <c r="KZ194" s="41"/>
      <c r="LA194" s="41"/>
      <c r="LB194" s="41"/>
      <c r="LC194" s="41"/>
      <c r="LD194" s="41"/>
      <c r="LE194" s="41"/>
      <c r="LF194" s="44"/>
      <c r="LG194" s="33"/>
      <c r="LH194" s="33"/>
      <c r="LI194" s="33"/>
      <c r="LJ194" s="33"/>
      <c r="LK194" s="33"/>
      <c r="LL194" s="33"/>
      <c r="LM194" s="33"/>
      <c r="LN194" s="33"/>
      <c r="LO194" s="33"/>
      <c r="LP194" s="33"/>
      <c r="LQ194" s="33"/>
      <c r="LR194" s="33"/>
      <c r="LS194" s="33"/>
      <c r="LT194" s="33"/>
      <c r="LU194" s="33"/>
      <c r="LV194" s="33"/>
      <c r="LW194" s="33"/>
      <c r="LX194" s="33"/>
      <c r="LY194" s="33"/>
      <c r="LZ194" s="33"/>
      <c r="MA194" s="33"/>
      <c r="MB194" s="33"/>
      <c r="MC194" s="33"/>
      <c r="MD194" s="33"/>
      <c r="ME194" s="33"/>
      <c r="MF194" s="33"/>
      <c r="MG194" s="33"/>
      <c r="MH194" s="33"/>
      <c r="MI194" s="33"/>
      <c r="MJ194" s="33"/>
      <c r="MK194" s="33"/>
      <c r="ML194" s="33"/>
      <c r="MM194" s="33"/>
      <c r="MN194" s="33"/>
      <c r="MO194" s="33"/>
      <c r="MP194" s="33"/>
      <c r="MQ194" s="33"/>
      <c r="MR194" s="33"/>
      <c r="MS194" s="33"/>
      <c r="MT194" s="33"/>
      <c r="MU194" s="33"/>
      <c r="MV194" s="33"/>
    </row>
    <row r="195" spans="1:360" ht="0.75" customHeight="1" x14ac:dyDescent="0.25">
      <c r="A195" s="33"/>
      <c r="B195" s="33"/>
      <c r="C195" s="33"/>
      <c r="D195" s="33"/>
      <c r="E195" s="33"/>
      <c r="F195" s="33"/>
      <c r="G195" s="33"/>
      <c r="H195" s="33"/>
      <c r="I195" s="33"/>
      <c r="J195" s="33"/>
      <c r="K195" s="33"/>
      <c r="L195" s="33"/>
      <c r="M195" s="33"/>
      <c r="N195" s="33"/>
      <c r="O195" s="33"/>
      <c r="P195" s="33"/>
      <c r="Q195" s="33"/>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79"/>
      <c r="AW195" s="41"/>
      <c r="AX195" s="41"/>
      <c r="AY195" s="41"/>
      <c r="AZ195" s="41"/>
      <c r="BA195" s="41"/>
      <c r="BB195" s="41"/>
      <c r="BC195" s="41"/>
      <c r="BD195" s="41"/>
      <c r="BE195" s="41"/>
      <c r="BF195" s="41"/>
      <c r="BG195" s="41"/>
      <c r="BH195" s="41"/>
      <c r="BI195" s="41"/>
      <c r="BJ195" s="41"/>
      <c r="BK195" s="41"/>
      <c r="BL195" s="41"/>
      <c r="BM195" s="41"/>
      <c r="BN195" s="41"/>
      <c r="BO195" s="41"/>
      <c r="BP195" s="41"/>
      <c r="BQ195" s="41"/>
      <c r="BR195" s="41"/>
      <c r="BS195" s="41"/>
      <c r="BT195" s="41"/>
      <c r="BU195" s="41"/>
      <c r="BV195" s="41"/>
      <c r="BW195" s="41"/>
      <c r="BX195" s="102"/>
      <c r="BY195" s="33"/>
      <c r="BZ195" s="33"/>
      <c r="CA195" s="33"/>
      <c r="CB195" s="33"/>
      <c r="CC195" s="33"/>
      <c r="CD195" s="33"/>
      <c r="CE195" s="33"/>
      <c r="CF195" s="33"/>
      <c r="CG195" s="33"/>
      <c r="CH195" s="33"/>
      <c r="CI195" s="33"/>
      <c r="CJ195" s="33"/>
      <c r="CK195" s="33"/>
      <c r="CL195" s="33"/>
      <c r="CM195" s="33"/>
      <c r="CN195" s="33"/>
      <c r="CO195" s="33"/>
      <c r="CP195" s="33"/>
      <c r="CQ195" s="33"/>
      <c r="CR195" s="33"/>
      <c r="CS195" s="33"/>
      <c r="CT195" s="33"/>
      <c r="CU195" s="33"/>
      <c r="CV195" s="33"/>
      <c r="CW195" s="33"/>
      <c r="CX195" s="33"/>
      <c r="CY195" s="33"/>
      <c r="CZ195" s="33"/>
      <c r="DA195" s="33"/>
      <c r="DB195" s="33"/>
      <c r="DC195" s="33"/>
      <c r="DD195" s="33"/>
      <c r="DE195" s="33"/>
      <c r="DF195" s="33"/>
      <c r="DG195" s="33"/>
      <c r="DH195" s="33"/>
      <c r="DI195" s="36"/>
      <c r="DJ195" s="42"/>
      <c r="DK195" s="41"/>
      <c r="DL195" s="41"/>
      <c r="DM195" s="41"/>
      <c r="DN195" s="41"/>
      <c r="DO195" s="41"/>
      <c r="DP195" s="41"/>
      <c r="DQ195" s="41"/>
      <c r="DR195" s="41"/>
      <c r="DS195" s="41"/>
      <c r="DT195" s="41"/>
      <c r="DU195" s="41"/>
      <c r="DV195" s="41"/>
      <c r="DW195" s="41"/>
      <c r="DX195" s="41"/>
      <c r="DY195" s="41"/>
      <c r="DZ195" s="41"/>
      <c r="EA195" s="41"/>
      <c r="EB195" s="41"/>
      <c r="EC195" s="41"/>
      <c r="ED195" s="41"/>
      <c r="EE195" s="81"/>
      <c r="EF195" s="33"/>
      <c r="EG195" s="33"/>
      <c r="EH195" s="33"/>
      <c r="EI195" s="33"/>
      <c r="EJ195" s="33"/>
      <c r="EK195" s="33"/>
      <c r="EL195" s="33"/>
      <c r="EM195" s="33"/>
      <c r="EN195" s="33"/>
      <c r="EO195" s="33"/>
      <c r="EP195" s="33"/>
      <c r="EQ195" s="33"/>
      <c r="ER195" s="33"/>
      <c r="ES195" s="33"/>
      <c r="ET195" s="33"/>
      <c r="EU195" s="33"/>
      <c r="EV195" s="33"/>
      <c r="EW195" s="33"/>
      <c r="EX195" s="33"/>
      <c r="EY195" s="33"/>
      <c r="EZ195" s="33"/>
      <c r="FA195" s="33"/>
      <c r="FB195" s="33"/>
      <c r="FC195" s="33"/>
      <c r="FD195" s="33"/>
      <c r="FE195" s="33"/>
      <c r="FF195" s="33"/>
      <c r="FG195" s="33"/>
      <c r="FH195" s="33"/>
      <c r="FI195" s="52"/>
      <c r="FJ195" s="41"/>
      <c r="FK195" s="41"/>
      <c r="FL195" s="41"/>
      <c r="FM195" s="41"/>
      <c r="FN195" s="41"/>
      <c r="FO195" s="41"/>
      <c r="FP195" s="41"/>
      <c r="FQ195" s="41"/>
      <c r="FR195" s="41"/>
      <c r="FS195" s="41"/>
      <c r="FT195" s="41"/>
      <c r="FU195" s="41"/>
      <c r="FV195" s="41"/>
      <c r="FW195" s="41"/>
      <c r="FX195" s="41"/>
      <c r="FY195" s="41"/>
      <c r="FZ195" s="41"/>
      <c r="GA195" s="41"/>
      <c r="GB195" s="41"/>
      <c r="GC195" s="41"/>
      <c r="GD195" s="41"/>
      <c r="GE195" s="41"/>
      <c r="GF195" s="41"/>
      <c r="GG195" s="41"/>
      <c r="GH195" s="41"/>
      <c r="GI195" s="41"/>
      <c r="GJ195" s="41"/>
      <c r="GK195" s="41"/>
      <c r="GL195" s="41"/>
      <c r="GM195" s="41"/>
      <c r="GN195" s="41"/>
      <c r="GO195" s="41"/>
      <c r="GP195" s="41"/>
      <c r="GQ195" s="41"/>
      <c r="GR195" s="41"/>
      <c r="GS195" s="81"/>
      <c r="GT195" s="33"/>
      <c r="GU195" s="33"/>
      <c r="GV195" s="33"/>
      <c r="GW195" s="33"/>
      <c r="GX195" s="33"/>
      <c r="GY195" s="33"/>
      <c r="GZ195" s="33"/>
      <c r="HA195" s="33"/>
      <c r="HB195" s="33"/>
      <c r="HC195" s="33"/>
      <c r="HD195" s="33"/>
      <c r="HE195" s="33"/>
      <c r="HF195" s="33"/>
      <c r="HG195" s="33"/>
      <c r="HH195" s="33"/>
      <c r="HI195" s="33"/>
      <c r="HJ195" s="33"/>
      <c r="HK195" s="33"/>
      <c r="HL195" s="33"/>
      <c r="HM195" s="33"/>
      <c r="HN195" s="33"/>
      <c r="HO195" s="33"/>
      <c r="HP195" s="102"/>
      <c r="HQ195" s="41"/>
      <c r="HR195" s="41"/>
      <c r="HS195" s="41"/>
      <c r="HT195" s="41"/>
      <c r="HU195" s="41"/>
      <c r="HV195" s="41"/>
      <c r="HW195" s="41"/>
      <c r="HX195" s="41"/>
      <c r="HY195" s="41"/>
      <c r="HZ195" s="41"/>
      <c r="IA195" s="41"/>
      <c r="IB195" s="41"/>
      <c r="IC195" s="41"/>
      <c r="ID195" s="41"/>
      <c r="IE195" s="41"/>
      <c r="IF195" s="41"/>
      <c r="IG195" s="41"/>
      <c r="IH195" s="41"/>
      <c r="II195" s="41"/>
      <c r="IJ195" s="41"/>
      <c r="IK195" s="41"/>
      <c r="IL195" s="41"/>
      <c r="IM195" s="41"/>
      <c r="IN195" s="41"/>
      <c r="IO195" s="41"/>
      <c r="IP195" s="41"/>
      <c r="IQ195" s="41"/>
      <c r="IR195" s="41"/>
      <c r="IS195" s="41"/>
      <c r="IT195" s="41"/>
      <c r="IU195" s="41"/>
      <c r="IV195" s="41"/>
      <c r="IW195" s="41"/>
      <c r="IX195" s="41"/>
      <c r="IY195" s="44"/>
      <c r="IZ195" s="33"/>
      <c r="JA195" s="33"/>
      <c r="JB195" s="33"/>
      <c r="JC195" s="33"/>
      <c r="JD195" s="33"/>
      <c r="JE195" s="33"/>
      <c r="JF195" s="33"/>
      <c r="JG195" s="33"/>
      <c r="JH195" s="33"/>
      <c r="JI195" s="33"/>
      <c r="JJ195" s="33"/>
      <c r="JK195" s="33"/>
      <c r="JL195" s="33"/>
      <c r="JM195" s="33"/>
      <c r="JN195" s="33"/>
      <c r="JO195" s="33"/>
      <c r="JP195" s="33"/>
      <c r="JQ195" s="33"/>
      <c r="JR195" s="33"/>
      <c r="JS195" s="33"/>
      <c r="JT195" s="33"/>
      <c r="JU195" s="33"/>
      <c r="JV195" s="33"/>
      <c r="JW195" s="102"/>
      <c r="JX195" s="41"/>
      <c r="JY195" s="41"/>
      <c r="JZ195" s="41"/>
      <c r="KA195" s="41"/>
      <c r="KB195" s="41"/>
      <c r="KC195" s="41"/>
      <c r="KD195" s="41"/>
      <c r="KE195" s="41"/>
      <c r="KF195" s="41"/>
      <c r="KG195" s="41"/>
      <c r="KH195" s="41"/>
      <c r="KI195" s="41"/>
      <c r="KJ195" s="41"/>
      <c r="KK195" s="41"/>
      <c r="KL195" s="41"/>
      <c r="KM195" s="41"/>
      <c r="KN195" s="41"/>
      <c r="KO195" s="41"/>
      <c r="KP195" s="41"/>
      <c r="KQ195" s="41"/>
      <c r="KR195" s="41"/>
      <c r="KS195" s="41"/>
      <c r="KT195" s="41"/>
      <c r="KU195" s="41"/>
      <c r="KV195" s="41"/>
      <c r="KW195" s="41"/>
      <c r="KX195" s="41"/>
      <c r="KY195" s="41"/>
      <c r="KZ195" s="41"/>
      <c r="LA195" s="41"/>
      <c r="LB195" s="41"/>
      <c r="LC195" s="41"/>
      <c r="LD195" s="41"/>
      <c r="LE195" s="41"/>
      <c r="LF195" s="44"/>
      <c r="LG195" s="33"/>
      <c r="LH195" s="33"/>
      <c r="LI195" s="33"/>
      <c r="LJ195" s="33"/>
      <c r="LK195" s="33"/>
      <c r="LL195" s="33"/>
      <c r="LM195" s="33"/>
      <c r="LN195" s="33"/>
      <c r="LO195" s="33"/>
      <c r="LP195" s="33"/>
      <c r="LQ195" s="33"/>
      <c r="LR195" s="33"/>
      <c r="LS195" s="33"/>
      <c r="LT195" s="33"/>
      <c r="LU195" s="33"/>
      <c r="LV195" s="33"/>
      <c r="LW195" s="33"/>
      <c r="LX195" s="33"/>
      <c r="LY195" s="33"/>
      <c r="LZ195" s="33"/>
      <c r="MA195" s="33"/>
      <c r="MB195" s="33"/>
      <c r="MC195" s="33"/>
      <c r="MD195" s="33"/>
      <c r="ME195" s="33"/>
      <c r="MF195" s="33"/>
      <c r="MG195" s="33"/>
      <c r="MH195" s="33"/>
      <c r="MI195" s="33"/>
      <c r="MJ195" s="33"/>
      <c r="MK195" s="33"/>
      <c r="ML195" s="33"/>
      <c r="MM195" s="33"/>
      <c r="MN195" s="33"/>
      <c r="MO195" s="33"/>
      <c r="MP195" s="33"/>
      <c r="MQ195" s="33"/>
      <c r="MR195" s="33"/>
      <c r="MS195" s="33"/>
      <c r="MT195" s="33"/>
      <c r="MU195" s="33"/>
      <c r="MV195" s="33"/>
    </row>
    <row r="196" spans="1:360" ht="0.75" customHeight="1" x14ac:dyDescent="0.25">
      <c r="A196" s="33"/>
      <c r="B196" s="33"/>
      <c r="C196" s="33"/>
      <c r="D196" s="33"/>
      <c r="E196" s="33"/>
      <c r="F196" s="33"/>
      <c r="G196" s="33"/>
      <c r="H196" s="33"/>
      <c r="I196" s="33"/>
      <c r="J196" s="33"/>
      <c r="K196" s="33"/>
      <c r="L196" s="33"/>
      <c r="M196" s="33"/>
      <c r="N196" s="33"/>
      <c r="O196" s="33"/>
      <c r="P196" s="33"/>
      <c r="Q196" s="33"/>
      <c r="R196" s="33"/>
      <c r="S196" s="33"/>
      <c r="T196" s="33"/>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3"/>
      <c r="AV196" s="79"/>
      <c r="AW196" s="41"/>
      <c r="AX196" s="41"/>
      <c r="AY196" s="41"/>
      <c r="AZ196" s="41"/>
      <c r="BA196" s="41"/>
      <c r="BB196" s="41"/>
      <c r="BC196" s="41"/>
      <c r="BD196" s="41"/>
      <c r="BE196" s="41"/>
      <c r="BF196" s="41"/>
      <c r="BG196" s="41"/>
      <c r="BH196" s="41"/>
      <c r="BI196" s="41"/>
      <c r="BJ196" s="41"/>
      <c r="BK196" s="41"/>
      <c r="BL196" s="41"/>
      <c r="BM196" s="41"/>
      <c r="BN196" s="41"/>
      <c r="BO196" s="41"/>
      <c r="BP196" s="41"/>
      <c r="BQ196" s="41"/>
      <c r="BR196" s="41"/>
      <c r="BS196" s="41"/>
      <c r="BT196" s="41"/>
      <c r="BU196" s="41"/>
      <c r="BV196" s="41"/>
      <c r="BW196" s="41"/>
      <c r="BX196" s="102"/>
      <c r="BY196" s="33"/>
      <c r="BZ196" s="33"/>
      <c r="CA196" s="33"/>
      <c r="CB196" s="33"/>
      <c r="CC196" s="33"/>
      <c r="CD196" s="33"/>
      <c r="CE196" s="33"/>
      <c r="CF196" s="33"/>
      <c r="CG196" s="33"/>
      <c r="CH196" s="33"/>
      <c r="CI196" s="33"/>
      <c r="CJ196" s="33"/>
      <c r="CK196" s="33"/>
      <c r="CL196" s="33"/>
      <c r="CM196" s="33"/>
      <c r="CN196" s="33"/>
      <c r="CO196" s="33"/>
      <c r="CP196" s="33"/>
      <c r="CQ196" s="33"/>
      <c r="CR196" s="33"/>
      <c r="CS196" s="33"/>
      <c r="CT196" s="33"/>
      <c r="CU196" s="33"/>
      <c r="CV196" s="33"/>
      <c r="CW196" s="33"/>
      <c r="CX196" s="33"/>
      <c r="CY196" s="33"/>
      <c r="CZ196" s="33"/>
      <c r="DA196" s="33"/>
      <c r="DB196" s="33"/>
      <c r="DC196" s="33"/>
      <c r="DD196" s="33"/>
      <c r="DE196" s="33"/>
      <c r="DF196" s="33"/>
      <c r="DG196" s="33"/>
      <c r="DH196" s="33"/>
      <c r="DI196" s="36"/>
      <c r="DJ196" s="42"/>
      <c r="DK196" s="41"/>
      <c r="DL196" s="41"/>
      <c r="DM196" s="41"/>
      <c r="DN196" s="41"/>
      <c r="DO196" s="41"/>
      <c r="DP196" s="41"/>
      <c r="DQ196" s="41"/>
      <c r="DR196" s="41"/>
      <c r="DS196" s="41"/>
      <c r="DT196" s="41"/>
      <c r="DU196" s="41"/>
      <c r="DV196" s="41"/>
      <c r="DW196" s="41"/>
      <c r="DX196" s="41"/>
      <c r="DY196" s="41"/>
      <c r="DZ196" s="41"/>
      <c r="EA196" s="41"/>
      <c r="EB196" s="41"/>
      <c r="EC196" s="41"/>
      <c r="ED196" s="41"/>
      <c r="EE196" s="81"/>
      <c r="EF196" s="33"/>
      <c r="EG196" s="33"/>
      <c r="EH196" s="33"/>
      <c r="EI196" s="33"/>
      <c r="EJ196" s="33"/>
      <c r="EK196" s="33"/>
      <c r="EL196" s="33"/>
      <c r="EM196" s="33"/>
      <c r="EN196" s="33"/>
      <c r="EO196" s="33"/>
      <c r="EP196" s="33"/>
      <c r="EQ196" s="33"/>
      <c r="ER196" s="33"/>
      <c r="ES196" s="33"/>
      <c r="ET196" s="33"/>
      <c r="EU196" s="33"/>
      <c r="EV196" s="33"/>
      <c r="EW196" s="33"/>
      <c r="EX196" s="33"/>
      <c r="EY196" s="33"/>
      <c r="EZ196" s="33"/>
      <c r="FA196" s="33"/>
      <c r="FB196" s="33"/>
      <c r="FC196" s="33"/>
      <c r="FD196" s="33"/>
      <c r="FE196" s="33"/>
      <c r="FF196" s="33"/>
      <c r="FG196" s="33"/>
      <c r="FH196" s="33"/>
      <c r="FI196" s="52"/>
      <c r="FJ196" s="41"/>
      <c r="FK196" s="41"/>
      <c r="FL196" s="41"/>
      <c r="FM196" s="41"/>
      <c r="FN196" s="41"/>
      <c r="FO196" s="41"/>
      <c r="FP196" s="41"/>
      <c r="FQ196" s="41"/>
      <c r="FR196" s="41"/>
      <c r="FS196" s="41"/>
      <c r="FT196" s="41"/>
      <c r="FU196" s="41"/>
      <c r="FV196" s="41"/>
      <c r="FW196" s="41"/>
      <c r="FX196" s="41"/>
      <c r="FY196" s="41"/>
      <c r="FZ196" s="41"/>
      <c r="GA196" s="41"/>
      <c r="GB196" s="41"/>
      <c r="GC196" s="41"/>
      <c r="GD196" s="41"/>
      <c r="GE196" s="41"/>
      <c r="GF196" s="41"/>
      <c r="GG196" s="41"/>
      <c r="GH196" s="41"/>
      <c r="GI196" s="41"/>
      <c r="GJ196" s="41"/>
      <c r="GK196" s="41"/>
      <c r="GL196" s="41"/>
      <c r="GM196" s="41"/>
      <c r="GN196" s="41"/>
      <c r="GO196" s="41"/>
      <c r="GP196" s="41"/>
      <c r="GQ196" s="41"/>
      <c r="GR196" s="41"/>
      <c r="GS196" s="81"/>
      <c r="GT196" s="33"/>
      <c r="GU196" s="33"/>
      <c r="GV196" s="33"/>
      <c r="GW196" s="33"/>
      <c r="GX196" s="33"/>
      <c r="GY196" s="33"/>
      <c r="GZ196" s="33"/>
      <c r="HA196" s="33"/>
      <c r="HB196" s="33"/>
      <c r="HC196" s="33"/>
      <c r="HD196" s="33"/>
      <c r="HE196" s="33"/>
      <c r="HF196" s="33"/>
      <c r="HG196" s="33"/>
      <c r="HH196" s="33"/>
      <c r="HI196" s="33"/>
      <c r="HJ196" s="33"/>
      <c r="HK196" s="33"/>
      <c r="HL196" s="33"/>
      <c r="HM196" s="33"/>
      <c r="HN196" s="33"/>
      <c r="HO196" s="33"/>
      <c r="HP196" s="102"/>
      <c r="HQ196" s="41"/>
      <c r="HR196" s="41"/>
      <c r="HS196" s="41"/>
      <c r="HT196" s="41"/>
      <c r="HU196" s="41"/>
      <c r="HV196" s="41"/>
      <c r="HW196" s="41"/>
      <c r="HX196" s="41"/>
      <c r="HY196" s="41"/>
      <c r="HZ196" s="41"/>
      <c r="IA196" s="41"/>
      <c r="IB196" s="41"/>
      <c r="IC196" s="41"/>
      <c r="ID196" s="41"/>
      <c r="IE196" s="41"/>
      <c r="IF196" s="41"/>
      <c r="IG196" s="41"/>
      <c r="IH196" s="41"/>
      <c r="II196" s="41"/>
      <c r="IJ196" s="41"/>
      <c r="IK196" s="41"/>
      <c r="IL196" s="41"/>
      <c r="IM196" s="41"/>
      <c r="IN196" s="41"/>
      <c r="IO196" s="41"/>
      <c r="IP196" s="41"/>
      <c r="IQ196" s="41"/>
      <c r="IR196" s="41"/>
      <c r="IS196" s="41"/>
      <c r="IT196" s="41"/>
      <c r="IU196" s="41"/>
      <c r="IV196" s="41"/>
      <c r="IW196" s="41"/>
      <c r="IX196" s="41"/>
      <c r="IY196" s="44"/>
      <c r="IZ196" s="33"/>
      <c r="JA196" s="33"/>
      <c r="JB196" s="33"/>
      <c r="JC196" s="33"/>
      <c r="JD196" s="33"/>
      <c r="JE196" s="33"/>
      <c r="JF196" s="33"/>
      <c r="JG196" s="33"/>
      <c r="JH196" s="33"/>
      <c r="JI196" s="33"/>
      <c r="JJ196" s="33"/>
      <c r="JK196" s="33"/>
      <c r="JL196" s="33"/>
      <c r="JM196" s="33"/>
      <c r="JN196" s="33"/>
      <c r="JO196" s="33"/>
      <c r="JP196" s="33"/>
      <c r="JQ196" s="33"/>
      <c r="JR196" s="33"/>
      <c r="JS196" s="33"/>
      <c r="JT196" s="33"/>
      <c r="JU196" s="33"/>
      <c r="JV196" s="33"/>
      <c r="JW196" s="102"/>
      <c r="JX196" s="41"/>
      <c r="JY196" s="41"/>
      <c r="JZ196" s="41"/>
      <c r="KA196" s="41"/>
      <c r="KB196" s="41"/>
      <c r="KC196" s="41"/>
      <c r="KD196" s="41"/>
      <c r="KE196" s="41"/>
      <c r="KF196" s="41"/>
      <c r="KG196" s="41"/>
      <c r="KH196" s="41"/>
      <c r="KI196" s="41"/>
      <c r="KJ196" s="41"/>
      <c r="KK196" s="41"/>
      <c r="KL196" s="41"/>
      <c r="KM196" s="41"/>
      <c r="KN196" s="41"/>
      <c r="KO196" s="41"/>
      <c r="KP196" s="41"/>
      <c r="KQ196" s="41"/>
      <c r="KR196" s="41"/>
      <c r="KS196" s="41"/>
      <c r="KT196" s="41"/>
      <c r="KU196" s="41"/>
      <c r="KV196" s="41"/>
      <c r="KW196" s="41"/>
      <c r="KX196" s="41"/>
      <c r="KY196" s="41"/>
      <c r="KZ196" s="41"/>
      <c r="LA196" s="41"/>
      <c r="LB196" s="41"/>
      <c r="LC196" s="41"/>
      <c r="LD196" s="41"/>
      <c r="LE196" s="41"/>
      <c r="LF196" s="44"/>
      <c r="LG196" s="33"/>
      <c r="LH196" s="33"/>
      <c r="LI196" s="33"/>
      <c r="LJ196" s="33"/>
      <c r="LK196" s="33"/>
      <c r="LL196" s="33"/>
      <c r="LM196" s="33"/>
      <c r="LN196" s="33"/>
      <c r="LO196" s="33"/>
      <c r="LP196" s="33"/>
      <c r="LQ196" s="33"/>
      <c r="LR196" s="33"/>
      <c r="LS196" s="33"/>
      <c r="LT196" s="33"/>
      <c r="LU196" s="33"/>
      <c r="LV196" s="33"/>
      <c r="LW196" s="33"/>
      <c r="LX196" s="33"/>
      <c r="LY196" s="33"/>
      <c r="LZ196" s="33"/>
      <c r="MA196" s="33"/>
      <c r="MB196" s="33"/>
      <c r="MC196" s="33"/>
      <c r="MD196" s="33"/>
      <c r="ME196" s="33"/>
      <c r="MF196" s="33"/>
      <c r="MG196" s="33"/>
      <c r="MH196" s="33"/>
      <c r="MI196" s="33"/>
      <c r="MJ196" s="33"/>
      <c r="MK196" s="33"/>
      <c r="ML196" s="33"/>
      <c r="MM196" s="33"/>
      <c r="MN196" s="33"/>
      <c r="MO196" s="33"/>
      <c r="MP196" s="33"/>
      <c r="MQ196" s="33"/>
      <c r="MR196" s="33"/>
      <c r="MS196" s="33"/>
      <c r="MT196" s="33"/>
      <c r="MU196" s="33"/>
      <c r="MV196" s="33"/>
    </row>
    <row r="197" spans="1:360" ht="0.75" customHeight="1" x14ac:dyDescent="0.25">
      <c r="A197" s="33"/>
      <c r="B197" s="33"/>
      <c r="C197" s="33"/>
      <c r="D197" s="33"/>
      <c r="E197" s="33"/>
      <c r="F197" s="33"/>
      <c r="G197" s="33"/>
      <c r="H197" s="33"/>
      <c r="I197" s="33"/>
      <c r="J197" s="33"/>
      <c r="K197" s="33"/>
      <c r="L197" s="33"/>
      <c r="M197" s="33"/>
      <c r="N197" s="33"/>
      <c r="O197" s="33"/>
      <c r="P197" s="33"/>
      <c r="Q197" s="33"/>
      <c r="R197" s="33"/>
      <c r="S197" s="33"/>
      <c r="T197" s="33"/>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3"/>
      <c r="AV197" s="79"/>
      <c r="AW197" s="41"/>
      <c r="AX197" s="41"/>
      <c r="AY197" s="41"/>
      <c r="AZ197" s="41"/>
      <c r="BA197" s="41"/>
      <c r="BB197" s="41"/>
      <c r="BC197" s="41"/>
      <c r="BD197" s="41"/>
      <c r="BE197" s="41"/>
      <c r="BF197" s="41"/>
      <c r="BG197" s="41"/>
      <c r="BH197" s="41"/>
      <c r="BI197" s="41"/>
      <c r="BJ197" s="41"/>
      <c r="BK197" s="41"/>
      <c r="BL197" s="41"/>
      <c r="BM197" s="41"/>
      <c r="BN197" s="41"/>
      <c r="BO197" s="41"/>
      <c r="BP197" s="41"/>
      <c r="BQ197" s="41"/>
      <c r="BR197" s="41"/>
      <c r="BS197" s="41"/>
      <c r="BT197" s="41"/>
      <c r="BU197" s="41"/>
      <c r="BV197" s="41"/>
      <c r="BW197" s="41"/>
      <c r="BX197" s="102"/>
      <c r="BY197" s="33"/>
      <c r="BZ197" s="33"/>
      <c r="CA197" s="33"/>
      <c r="CB197" s="33"/>
      <c r="CC197" s="33"/>
      <c r="CD197" s="33"/>
      <c r="CE197" s="33"/>
      <c r="CF197" s="33"/>
      <c r="CG197" s="33"/>
      <c r="CH197" s="33"/>
      <c r="CI197" s="33"/>
      <c r="CJ197" s="33"/>
      <c r="CK197" s="33"/>
      <c r="CL197" s="33"/>
      <c r="CM197" s="33"/>
      <c r="CN197" s="33"/>
      <c r="CO197" s="33"/>
      <c r="CP197" s="33"/>
      <c r="CQ197" s="33"/>
      <c r="CR197" s="33"/>
      <c r="CS197" s="33"/>
      <c r="CT197" s="33"/>
      <c r="CU197" s="33"/>
      <c r="CV197" s="33"/>
      <c r="CW197" s="33"/>
      <c r="CX197" s="33"/>
      <c r="CY197" s="33"/>
      <c r="CZ197" s="33"/>
      <c r="DA197" s="33"/>
      <c r="DB197" s="33"/>
      <c r="DC197" s="33"/>
      <c r="DD197" s="33"/>
      <c r="DE197" s="33"/>
      <c r="DF197" s="33"/>
      <c r="DG197" s="33"/>
      <c r="DH197" s="33"/>
      <c r="DI197" s="36"/>
      <c r="DJ197" s="42"/>
      <c r="DK197" s="41"/>
      <c r="DL197" s="41"/>
      <c r="DM197" s="41"/>
      <c r="DN197" s="41"/>
      <c r="DO197" s="41"/>
      <c r="DP197" s="41"/>
      <c r="DQ197" s="41"/>
      <c r="DR197" s="41"/>
      <c r="DS197" s="41"/>
      <c r="DT197" s="41"/>
      <c r="DU197" s="41"/>
      <c r="DV197" s="41"/>
      <c r="DW197" s="41"/>
      <c r="DX197" s="41"/>
      <c r="DY197" s="41"/>
      <c r="DZ197" s="41"/>
      <c r="EA197" s="41"/>
      <c r="EB197" s="41"/>
      <c r="EC197" s="41"/>
      <c r="ED197" s="41"/>
      <c r="EE197" s="81"/>
      <c r="EF197" s="33"/>
      <c r="EG197" s="33"/>
      <c r="EH197" s="33"/>
      <c r="EI197" s="33"/>
      <c r="EJ197" s="33"/>
      <c r="EK197" s="33"/>
      <c r="EL197" s="33"/>
      <c r="EM197" s="33"/>
      <c r="EN197" s="33"/>
      <c r="EO197" s="33"/>
      <c r="EP197" s="33"/>
      <c r="EQ197" s="33"/>
      <c r="ER197" s="33"/>
      <c r="ES197" s="33"/>
      <c r="ET197" s="33"/>
      <c r="EU197" s="33"/>
      <c r="EV197" s="33"/>
      <c r="EW197" s="33"/>
      <c r="EX197" s="33"/>
      <c r="EY197" s="33"/>
      <c r="EZ197" s="33"/>
      <c r="FA197" s="33"/>
      <c r="FB197" s="33"/>
      <c r="FC197" s="33"/>
      <c r="FD197" s="33"/>
      <c r="FE197" s="33"/>
      <c r="FF197" s="33"/>
      <c r="FG197" s="33"/>
      <c r="FH197" s="33"/>
      <c r="FI197" s="52"/>
      <c r="FJ197" s="41"/>
      <c r="FK197" s="41"/>
      <c r="FL197" s="41"/>
      <c r="FM197" s="41"/>
      <c r="FN197" s="41"/>
      <c r="FO197" s="41"/>
      <c r="FP197" s="41"/>
      <c r="FQ197" s="41"/>
      <c r="FR197" s="41"/>
      <c r="FS197" s="41"/>
      <c r="FT197" s="41"/>
      <c r="FU197" s="41"/>
      <c r="FV197" s="41"/>
      <c r="FW197" s="41"/>
      <c r="FX197" s="41"/>
      <c r="FY197" s="41"/>
      <c r="FZ197" s="41"/>
      <c r="GA197" s="41"/>
      <c r="GB197" s="41"/>
      <c r="GC197" s="41"/>
      <c r="GD197" s="41"/>
      <c r="GE197" s="41"/>
      <c r="GF197" s="41"/>
      <c r="GG197" s="41"/>
      <c r="GH197" s="41"/>
      <c r="GI197" s="41"/>
      <c r="GJ197" s="41"/>
      <c r="GK197" s="41"/>
      <c r="GL197" s="41"/>
      <c r="GM197" s="41"/>
      <c r="GN197" s="41"/>
      <c r="GO197" s="41"/>
      <c r="GP197" s="41"/>
      <c r="GQ197" s="41"/>
      <c r="GR197" s="41"/>
      <c r="GS197" s="81"/>
      <c r="GT197" s="33"/>
      <c r="GU197" s="33"/>
      <c r="GV197" s="33"/>
      <c r="GW197" s="33"/>
      <c r="GX197" s="33"/>
      <c r="GY197" s="33"/>
      <c r="GZ197" s="33"/>
      <c r="HA197" s="33"/>
      <c r="HB197" s="33"/>
      <c r="HC197" s="33"/>
      <c r="HD197" s="33"/>
      <c r="HE197" s="33"/>
      <c r="HF197" s="33"/>
      <c r="HG197" s="33"/>
      <c r="HH197" s="33"/>
      <c r="HI197" s="33"/>
      <c r="HJ197" s="33"/>
      <c r="HK197" s="33"/>
      <c r="HL197" s="33"/>
      <c r="HM197" s="33"/>
      <c r="HN197" s="33"/>
      <c r="HO197" s="33"/>
      <c r="HP197" s="102"/>
      <c r="HQ197" s="41"/>
      <c r="HR197" s="41"/>
      <c r="HS197" s="41"/>
      <c r="HT197" s="41"/>
      <c r="HU197" s="41"/>
      <c r="HV197" s="41"/>
      <c r="HW197" s="41"/>
      <c r="HX197" s="41"/>
      <c r="HY197" s="41"/>
      <c r="HZ197" s="41"/>
      <c r="IA197" s="41"/>
      <c r="IB197" s="41"/>
      <c r="IC197" s="41"/>
      <c r="ID197" s="41"/>
      <c r="IE197" s="41"/>
      <c r="IF197" s="41"/>
      <c r="IG197" s="41"/>
      <c r="IH197" s="41"/>
      <c r="II197" s="41"/>
      <c r="IJ197" s="41"/>
      <c r="IK197" s="41"/>
      <c r="IL197" s="41"/>
      <c r="IM197" s="41"/>
      <c r="IN197" s="41"/>
      <c r="IO197" s="41"/>
      <c r="IP197" s="41"/>
      <c r="IQ197" s="41"/>
      <c r="IR197" s="41"/>
      <c r="IS197" s="41"/>
      <c r="IT197" s="41"/>
      <c r="IU197" s="41"/>
      <c r="IV197" s="41"/>
      <c r="IW197" s="41"/>
      <c r="IX197" s="41"/>
      <c r="IY197" s="44"/>
      <c r="IZ197" s="33"/>
      <c r="JA197" s="33"/>
      <c r="JB197" s="33"/>
      <c r="JC197" s="33"/>
      <c r="JD197" s="33"/>
      <c r="JE197" s="33"/>
      <c r="JF197" s="33"/>
      <c r="JG197" s="33"/>
      <c r="JH197" s="33"/>
      <c r="JI197" s="33"/>
      <c r="JJ197" s="33"/>
      <c r="JK197" s="33"/>
      <c r="JL197" s="33"/>
      <c r="JM197" s="33"/>
      <c r="JN197" s="33"/>
      <c r="JO197" s="33"/>
      <c r="JP197" s="33"/>
      <c r="JQ197" s="33"/>
      <c r="JR197" s="33"/>
      <c r="JS197" s="33"/>
      <c r="JT197" s="33"/>
      <c r="JU197" s="33"/>
      <c r="JV197" s="33"/>
      <c r="JW197" s="102"/>
      <c r="JX197" s="41"/>
      <c r="JY197" s="41"/>
      <c r="JZ197" s="41"/>
      <c r="KA197" s="41"/>
      <c r="KB197" s="41"/>
      <c r="KC197" s="41"/>
      <c r="KD197" s="41"/>
      <c r="KE197" s="41"/>
      <c r="KF197" s="41"/>
      <c r="KG197" s="41"/>
      <c r="KH197" s="41"/>
      <c r="KI197" s="41"/>
      <c r="KJ197" s="41"/>
      <c r="KK197" s="41"/>
      <c r="KL197" s="41"/>
      <c r="KM197" s="41"/>
      <c r="KN197" s="41"/>
      <c r="KO197" s="41"/>
      <c r="KP197" s="41"/>
      <c r="KQ197" s="41"/>
      <c r="KR197" s="41"/>
      <c r="KS197" s="41"/>
      <c r="KT197" s="41"/>
      <c r="KU197" s="41"/>
      <c r="KV197" s="41"/>
      <c r="KW197" s="41"/>
      <c r="KX197" s="41"/>
      <c r="KY197" s="41"/>
      <c r="KZ197" s="41"/>
      <c r="LA197" s="41"/>
      <c r="LB197" s="41"/>
      <c r="LC197" s="41"/>
      <c r="LD197" s="41"/>
      <c r="LE197" s="41"/>
      <c r="LF197" s="44"/>
      <c r="LG197" s="33"/>
      <c r="LH197" s="33"/>
      <c r="LI197" s="33"/>
      <c r="LJ197" s="33"/>
      <c r="LK197" s="33"/>
      <c r="LL197" s="33"/>
      <c r="LM197" s="33"/>
      <c r="LN197" s="33"/>
      <c r="LO197" s="33"/>
      <c r="LP197" s="33"/>
      <c r="LQ197" s="33"/>
      <c r="LR197" s="33"/>
      <c r="LS197" s="33"/>
      <c r="LT197" s="33"/>
      <c r="LU197" s="33"/>
      <c r="LV197" s="33"/>
      <c r="LW197" s="33"/>
      <c r="LX197" s="33"/>
      <c r="LY197" s="33"/>
      <c r="LZ197" s="33"/>
      <c r="MA197" s="33"/>
      <c r="MB197" s="33"/>
      <c r="MC197" s="33"/>
      <c r="MD197" s="33"/>
      <c r="ME197" s="33"/>
      <c r="MF197" s="33"/>
      <c r="MG197" s="33"/>
      <c r="MH197" s="33"/>
      <c r="MI197" s="33"/>
      <c r="MJ197" s="33"/>
      <c r="MK197" s="33"/>
      <c r="ML197" s="33"/>
      <c r="MM197" s="33"/>
      <c r="MN197" s="33"/>
      <c r="MO197" s="33"/>
      <c r="MP197" s="33"/>
      <c r="MQ197" s="33"/>
      <c r="MR197" s="33"/>
      <c r="MS197" s="33"/>
      <c r="MT197" s="33"/>
      <c r="MU197" s="33"/>
      <c r="MV197" s="33"/>
    </row>
    <row r="198" spans="1:360" ht="0.75" customHeight="1" x14ac:dyDescent="0.25">
      <c r="A198" s="33"/>
      <c r="B198" s="33"/>
      <c r="C198" s="33"/>
      <c r="D198" s="33"/>
      <c r="E198" s="33"/>
      <c r="F198" s="33"/>
      <c r="G198" s="33"/>
      <c r="H198" s="33"/>
      <c r="I198" s="33"/>
      <c r="J198" s="33"/>
      <c r="K198" s="33"/>
      <c r="L198" s="33"/>
      <c r="M198" s="33"/>
      <c r="N198" s="33"/>
      <c r="O198" s="33"/>
      <c r="P198" s="33"/>
      <c r="Q198" s="33"/>
      <c r="R198" s="33"/>
      <c r="S198" s="33"/>
      <c r="T198" s="33"/>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3"/>
      <c r="AV198" s="79"/>
      <c r="AW198" s="41"/>
      <c r="AX198" s="41"/>
      <c r="AY198" s="41"/>
      <c r="AZ198" s="41"/>
      <c r="BA198" s="41"/>
      <c r="BB198" s="41"/>
      <c r="BC198" s="41"/>
      <c r="BD198" s="41"/>
      <c r="BE198" s="41"/>
      <c r="BF198" s="41"/>
      <c r="BG198" s="41"/>
      <c r="BH198" s="41"/>
      <c r="BI198" s="41"/>
      <c r="BJ198" s="41"/>
      <c r="BK198" s="41"/>
      <c r="BL198" s="41"/>
      <c r="BM198" s="41"/>
      <c r="BN198" s="41"/>
      <c r="BO198" s="41"/>
      <c r="BP198" s="41"/>
      <c r="BQ198" s="41"/>
      <c r="BR198" s="41"/>
      <c r="BS198" s="41"/>
      <c r="BT198" s="41"/>
      <c r="BU198" s="41"/>
      <c r="BV198" s="41"/>
      <c r="BW198" s="41"/>
      <c r="BX198" s="102"/>
      <c r="BY198" s="33"/>
      <c r="BZ198" s="33"/>
      <c r="CA198" s="33"/>
      <c r="CB198" s="33"/>
      <c r="CC198" s="33"/>
      <c r="CD198" s="33"/>
      <c r="CE198" s="33"/>
      <c r="CF198" s="33"/>
      <c r="CG198" s="33"/>
      <c r="CH198" s="33"/>
      <c r="CI198" s="33"/>
      <c r="CJ198" s="33"/>
      <c r="CK198" s="33"/>
      <c r="CL198" s="33"/>
      <c r="CM198" s="33"/>
      <c r="CN198" s="33"/>
      <c r="CO198" s="33"/>
      <c r="CP198" s="33"/>
      <c r="CQ198" s="33"/>
      <c r="CR198" s="33"/>
      <c r="CS198" s="33"/>
      <c r="CT198" s="33"/>
      <c r="CU198" s="33"/>
      <c r="CV198" s="33"/>
      <c r="CW198" s="33"/>
      <c r="CX198" s="33"/>
      <c r="CY198" s="33"/>
      <c r="CZ198" s="33"/>
      <c r="DA198" s="33"/>
      <c r="DB198" s="33"/>
      <c r="DC198" s="33"/>
      <c r="DD198" s="33"/>
      <c r="DE198" s="33"/>
      <c r="DF198" s="33"/>
      <c r="DG198" s="33"/>
      <c r="DH198" s="33"/>
      <c r="DI198" s="36"/>
      <c r="DJ198" s="42"/>
      <c r="DK198" s="41"/>
      <c r="DL198" s="41"/>
      <c r="DM198" s="41"/>
      <c r="DN198" s="41"/>
      <c r="DO198" s="41"/>
      <c r="DP198" s="41"/>
      <c r="DQ198" s="41"/>
      <c r="DR198" s="41"/>
      <c r="DS198" s="41"/>
      <c r="DT198" s="41"/>
      <c r="DU198" s="41"/>
      <c r="DV198" s="41"/>
      <c r="DW198" s="41"/>
      <c r="DX198" s="41"/>
      <c r="DY198" s="41"/>
      <c r="DZ198" s="41"/>
      <c r="EA198" s="41"/>
      <c r="EB198" s="41"/>
      <c r="EC198" s="41"/>
      <c r="ED198" s="41"/>
      <c r="EE198" s="81"/>
      <c r="EF198" s="33"/>
      <c r="EG198" s="33"/>
      <c r="EH198" s="33"/>
      <c r="EI198" s="33"/>
      <c r="EJ198" s="33"/>
      <c r="EK198" s="33"/>
      <c r="EL198" s="33"/>
      <c r="EM198" s="33"/>
      <c r="EN198" s="33"/>
      <c r="EO198" s="33"/>
      <c r="EP198" s="33"/>
      <c r="EQ198" s="33"/>
      <c r="ER198" s="33"/>
      <c r="ES198" s="33"/>
      <c r="ET198" s="33"/>
      <c r="EU198" s="33"/>
      <c r="EV198" s="33"/>
      <c r="EW198" s="33"/>
      <c r="EX198" s="33"/>
      <c r="EY198" s="33"/>
      <c r="EZ198" s="33"/>
      <c r="FA198" s="33"/>
      <c r="FB198" s="33"/>
      <c r="FC198" s="33"/>
      <c r="FD198" s="33"/>
      <c r="FE198" s="33"/>
      <c r="FF198" s="33"/>
      <c r="FG198" s="33"/>
      <c r="FH198" s="33"/>
      <c r="FI198" s="52"/>
      <c r="FJ198" s="41"/>
      <c r="FK198" s="41"/>
      <c r="FL198" s="41"/>
      <c r="FM198" s="41"/>
      <c r="FN198" s="41"/>
      <c r="FO198" s="41"/>
      <c r="FP198" s="41"/>
      <c r="FQ198" s="41"/>
      <c r="FR198" s="41"/>
      <c r="FS198" s="41"/>
      <c r="FT198" s="41"/>
      <c r="FU198" s="41"/>
      <c r="FV198" s="41"/>
      <c r="FW198" s="41"/>
      <c r="FX198" s="41"/>
      <c r="FY198" s="41"/>
      <c r="FZ198" s="41"/>
      <c r="GA198" s="41"/>
      <c r="GB198" s="41"/>
      <c r="GC198" s="41"/>
      <c r="GD198" s="41"/>
      <c r="GE198" s="41"/>
      <c r="GF198" s="41"/>
      <c r="GG198" s="41"/>
      <c r="GH198" s="41"/>
      <c r="GI198" s="41"/>
      <c r="GJ198" s="41"/>
      <c r="GK198" s="41"/>
      <c r="GL198" s="41"/>
      <c r="GM198" s="41"/>
      <c r="GN198" s="41"/>
      <c r="GO198" s="41"/>
      <c r="GP198" s="41"/>
      <c r="GQ198" s="41"/>
      <c r="GR198" s="41"/>
      <c r="GS198" s="81"/>
      <c r="GT198" s="33"/>
      <c r="GU198" s="33"/>
      <c r="GV198" s="33"/>
      <c r="GW198" s="33"/>
      <c r="GX198" s="33"/>
      <c r="GY198" s="33"/>
      <c r="GZ198" s="33"/>
      <c r="HA198" s="33"/>
      <c r="HB198" s="33"/>
      <c r="HC198" s="33"/>
      <c r="HD198" s="33"/>
      <c r="HE198" s="33"/>
      <c r="HF198" s="33"/>
      <c r="HG198" s="33"/>
      <c r="HH198" s="33"/>
      <c r="HI198" s="33"/>
      <c r="HJ198" s="33"/>
      <c r="HK198" s="33"/>
      <c r="HL198" s="33"/>
      <c r="HM198" s="33"/>
      <c r="HN198" s="33"/>
      <c r="HO198" s="33"/>
      <c r="HP198" s="102"/>
      <c r="HQ198" s="41"/>
      <c r="HR198" s="41"/>
      <c r="HS198" s="41"/>
      <c r="HT198" s="41"/>
      <c r="HU198" s="41"/>
      <c r="HV198" s="41"/>
      <c r="HW198" s="41"/>
      <c r="HX198" s="41"/>
      <c r="HY198" s="41"/>
      <c r="HZ198" s="41"/>
      <c r="IA198" s="41"/>
      <c r="IB198" s="41"/>
      <c r="IC198" s="41"/>
      <c r="ID198" s="41"/>
      <c r="IE198" s="41"/>
      <c r="IF198" s="41"/>
      <c r="IG198" s="41"/>
      <c r="IH198" s="41"/>
      <c r="II198" s="41"/>
      <c r="IJ198" s="41"/>
      <c r="IK198" s="41"/>
      <c r="IL198" s="41"/>
      <c r="IM198" s="41"/>
      <c r="IN198" s="41"/>
      <c r="IO198" s="41"/>
      <c r="IP198" s="41"/>
      <c r="IQ198" s="41"/>
      <c r="IR198" s="41"/>
      <c r="IS198" s="41"/>
      <c r="IT198" s="41"/>
      <c r="IU198" s="41"/>
      <c r="IV198" s="41"/>
      <c r="IW198" s="41"/>
      <c r="IX198" s="41"/>
      <c r="IY198" s="44"/>
      <c r="IZ198" s="33"/>
      <c r="JA198" s="33"/>
      <c r="JB198" s="33"/>
      <c r="JC198" s="33"/>
      <c r="JD198" s="33"/>
      <c r="JE198" s="33"/>
      <c r="JF198" s="33"/>
      <c r="JG198" s="33"/>
      <c r="JH198" s="33"/>
      <c r="JI198" s="33"/>
      <c r="JJ198" s="33"/>
      <c r="JK198" s="33"/>
      <c r="JL198" s="33"/>
      <c r="JM198" s="33"/>
      <c r="JN198" s="33"/>
      <c r="JO198" s="33"/>
      <c r="JP198" s="33"/>
      <c r="JQ198" s="33"/>
      <c r="JR198" s="33"/>
      <c r="JS198" s="33"/>
      <c r="JT198" s="33"/>
      <c r="JU198" s="33"/>
      <c r="JV198" s="33"/>
      <c r="JW198" s="102"/>
      <c r="JX198" s="41"/>
      <c r="JY198" s="41"/>
      <c r="JZ198" s="41"/>
      <c r="KA198" s="41"/>
      <c r="KB198" s="41"/>
      <c r="KC198" s="41"/>
      <c r="KD198" s="41"/>
      <c r="KE198" s="41"/>
      <c r="KF198" s="41"/>
      <c r="KG198" s="41"/>
      <c r="KH198" s="41"/>
      <c r="KI198" s="41"/>
      <c r="KJ198" s="41"/>
      <c r="KK198" s="41"/>
      <c r="KL198" s="41"/>
      <c r="KM198" s="41"/>
      <c r="KN198" s="41"/>
      <c r="KO198" s="41"/>
      <c r="KP198" s="41"/>
      <c r="KQ198" s="41"/>
      <c r="KR198" s="41"/>
      <c r="KS198" s="41"/>
      <c r="KT198" s="41"/>
      <c r="KU198" s="41"/>
      <c r="KV198" s="41"/>
      <c r="KW198" s="41"/>
      <c r="KX198" s="41"/>
      <c r="KY198" s="41"/>
      <c r="KZ198" s="41"/>
      <c r="LA198" s="41"/>
      <c r="LB198" s="41"/>
      <c r="LC198" s="41"/>
      <c r="LD198" s="41"/>
      <c r="LE198" s="41"/>
      <c r="LF198" s="44"/>
      <c r="LG198" s="33"/>
      <c r="LH198" s="33"/>
      <c r="LI198" s="33"/>
      <c r="LJ198" s="33"/>
      <c r="LK198" s="33"/>
      <c r="LL198" s="33"/>
      <c r="LM198" s="33"/>
      <c r="LN198" s="33"/>
      <c r="LO198" s="33"/>
      <c r="LP198" s="33"/>
      <c r="LQ198" s="33"/>
      <c r="LR198" s="33"/>
      <c r="LS198" s="33"/>
      <c r="LT198" s="33"/>
      <c r="LU198" s="33"/>
      <c r="LV198" s="33"/>
      <c r="LW198" s="33"/>
      <c r="LX198" s="33"/>
      <c r="LY198" s="33"/>
      <c r="LZ198" s="33"/>
      <c r="MA198" s="33"/>
      <c r="MB198" s="33"/>
      <c r="MC198" s="33"/>
      <c r="MD198" s="33"/>
      <c r="ME198" s="33"/>
      <c r="MF198" s="33"/>
      <c r="MG198" s="33"/>
      <c r="MH198" s="33"/>
      <c r="MI198" s="33"/>
      <c r="MJ198" s="33"/>
      <c r="MK198" s="33"/>
      <c r="ML198" s="33"/>
      <c r="MM198" s="33"/>
      <c r="MN198" s="33"/>
      <c r="MO198" s="33"/>
      <c r="MP198" s="33"/>
      <c r="MQ198" s="33"/>
      <c r="MR198" s="33"/>
      <c r="MS198" s="33"/>
      <c r="MT198" s="33"/>
      <c r="MU198" s="33"/>
      <c r="MV198" s="33"/>
    </row>
    <row r="199" spans="1:360" ht="0.75" customHeight="1" x14ac:dyDescent="0.25">
      <c r="A199" s="33"/>
      <c r="B199" s="33"/>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3"/>
      <c r="AV199" s="79"/>
      <c r="AW199" s="41"/>
      <c r="AX199" s="41"/>
      <c r="AY199" s="41"/>
      <c r="AZ199" s="41"/>
      <c r="BA199" s="41"/>
      <c r="BB199" s="41"/>
      <c r="BC199" s="41"/>
      <c r="BD199" s="41"/>
      <c r="BE199" s="41"/>
      <c r="BF199" s="41"/>
      <c r="BG199" s="41"/>
      <c r="BH199" s="41"/>
      <c r="BI199" s="41"/>
      <c r="BJ199" s="41"/>
      <c r="BK199" s="41"/>
      <c r="BL199" s="41"/>
      <c r="BM199" s="41"/>
      <c r="BN199" s="41"/>
      <c r="BO199" s="41"/>
      <c r="BP199" s="41"/>
      <c r="BQ199" s="41"/>
      <c r="BR199" s="41"/>
      <c r="BS199" s="41"/>
      <c r="BT199" s="41"/>
      <c r="BU199" s="41"/>
      <c r="BV199" s="41"/>
      <c r="BW199" s="41"/>
      <c r="BX199" s="102"/>
      <c r="BY199" s="33"/>
      <c r="BZ199" s="33"/>
      <c r="CA199" s="33"/>
      <c r="CB199" s="33"/>
      <c r="CC199" s="33"/>
      <c r="CD199" s="33"/>
      <c r="CE199" s="33"/>
      <c r="CF199" s="33"/>
      <c r="CG199" s="33"/>
      <c r="CH199" s="33"/>
      <c r="CI199" s="33"/>
      <c r="CJ199" s="33"/>
      <c r="CK199" s="33"/>
      <c r="CL199" s="33"/>
      <c r="CM199" s="33"/>
      <c r="CN199" s="33"/>
      <c r="CO199" s="33"/>
      <c r="CP199" s="33"/>
      <c r="CQ199" s="33"/>
      <c r="CR199" s="33"/>
      <c r="CS199" s="33"/>
      <c r="CT199" s="33"/>
      <c r="CU199" s="33"/>
      <c r="CV199" s="33"/>
      <c r="CW199" s="33"/>
      <c r="CX199" s="33"/>
      <c r="CY199" s="33"/>
      <c r="CZ199" s="33"/>
      <c r="DA199" s="33"/>
      <c r="DB199" s="33"/>
      <c r="DC199" s="33"/>
      <c r="DD199" s="33"/>
      <c r="DE199" s="33"/>
      <c r="DF199" s="33"/>
      <c r="DG199" s="33"/>
      <c r="DH199" s="33"/>
      <c r="DI199" s="36"/>
      <c r="DJ199" s="42"/>
      <c r="DK199" s="41"/>
      <c r="DL199" s="41"/>
      <c r="DM199" s="41"/>
      <c r="DN199" s="41"/>
      <c r="DO199" s="41"/>
      <c r="DP199" s="41"/>
      <c r="DQ199" s="41"/>
      <c r="DR199" s="41"/>
      <c r="DS199" s="41"/>
      <c r="DT199" s="41"/>
      <c r="DU199" s="41"/>
      <c r="DV199" s="41"/>
      <c r="DW199" s="41"/>
      <c r="DX199" s="41"/>
      <c r="DY199" s="41"/>
      <c r="DZ199" s="41"/>
      <c r="EA199" s="41"/>
      <c r="EB199" s="41"/>
      <c r="EC199" s="41"/>
      <c r="ED199" s="41"/>
      <c r="EE199" s="81"/>
      <c r="EF199" s="33"/>
      <c r="EG199" s="33"/>
      <c r="EH199" s="33"/>
      <c r="EI199" s="33"/>
      <c r="EJ199" s="33"/>
      <c r="EK199" s="33"/>
      <c r="EL199" s="33"/>
      <c r="EM199" s="33"/>
      <c r="EN199" s="33"/>
      <c r="EO199" s="33"/>
      <c r="EP199" s="33"/>
      <c r="EQ199" s="33"/>
      <c r="ER199" s="33"/>
      <c r="ES199" s="33"/>
      <c r="ET199" s="33"/>
      <c r="EU199" s="33"/>
      <c r="EV199" s="33"/>
      <c r="EW199" s="33"/>
      <c r="EX199" s="33"/>
      <c r="EY199" s="33"/>
      <c r="EZ199" s="33"/>
      <c r="FA199" s="33"/>
      <c r="FB199" s="33"/>
      <c r="FC199" s="33"/>
      <c r="FD199" s="33"/>
      <c r="FE199" s="33"/>
      <c r="FF199" s="33"/>
      <c r="FG199" s="33"/>
      <c r="FH199" s="33"/>
      <c r="FI199" s="52"/>
      <c r="FJ199" s="41"/>
      <c r="FK199" s="41"/>
      <c r="FL199" s="41"/>
      <c r="FM199" s="41"/>
      <c r="FN199" s="41"/>
      <c r="FO199" s="41"/>
      <c r="FP199" s="41"/>
      <c r="FQ199" s="41"/>
      <c r="FR199" s="41"/>
      <c r="FS199" s="41"/>
      <c r="FT199" s="41"/>
      <c r="FU199" s="41"/>
      <c r="FV199" s="41"/>
      <c r="FW199" s="41"/>
      <c r="FX199" s="41"/>
      <c r="FY199" s="41"/>
      <c r="FZ199" s="41"/>
      <c r="GA199" s="41"/>
      <c r="GB199" s="41"/>
      <c r="GC199" s="41"/>
      <c r="GD199" s="41"/>
      <c r="GE199" s="41"/>
      <c r="GF199" s="41"/>
      <c r="GG199" s="41"/>
      <c r="GH199" s="41"/>
      <c r="GI199" s="41"/>
      <c r="GJ199" s="41"/>
      <c r="GK199" s="41"/>
      <c r="GL199" s="41"/>
      <c r="GM199" s="41"/>
      <c r="GN199" s="41"/>
      <c r="GO199" s="41"/>
      <c r="GP199" s="41"/>
      <c r="GQ199" s="41"/>
      <c r="GR199" s="41"/>
      <c r="GS199" s="81"/>
      <c r="GT199" s="33"/>
      <c r="GU199" s="33"/>
      <c r="GV199" s="33"/>
      <c r="GW199" s="33"/>
      <c r="GX199" s="33"/>
      <c r="GY199" s="33"/>
      <c r="GZ199" s="33"/>
      <c r="HA199" s="33"/>
      <c r="HB199" s="33"/>
      <c r="HC199" s="33"/>
      <c r="HD199" s="33"/>
      <c r="HE199" s="33"/>
      <c r="HF199" s="33"/>
      <c r="HG199" s="33"/>
      <c r="HH199" s="33"/>
      <c r="HI199" s="33"/>
      <c r="HJ199" s="33"/>
      <c r="HK199" s="33"/>
      <c r="HL199" s="33"/>
      <c r="HM199" s="33"/>
      <c r="HN199" s="33"/>
      <c r="HO199" s="33"/>
      <c r="HP199" s="102"/>
      <c r="HQ199" s="41"/>
      <c r="HR199" s="41"/>
      <c r="HS199" s="41"/>
      <c r="HT199" s="41"/>
      <c r="HU199" s="41"/>
      <c r="HV199" s="41"/>
      <c r="HW199" s="41"/>
      <c r="HX199" s="41"/>
      <c r="HY199" s="41"/>
      <c r="HZ199" s="41"/>
      <c r="IA199" s="41"/>
      <c r="IB199" s="41"/>
      <c r="IC199" s="41"/>
      <c r="ID199" s="41"/>
      <c r="IE199" s="41"/>
      <c r="IF199" s="41"/>
      <c r="IG199" s="41"/>
      <c r="IH199" s="41"/>
      <c r="II199" s="41"/>
      <c r="IJ199" s="41"/>
      <c r="IK199" s="41"/>
      <c r="IL199" s="41"/>
      <c r="IM199" s="41"/>
      <c r="IN199" s="41"/>
      <c r="IO199" s="41"/>
      <c r="IP199" s="41"/>
      <c r="IQ199" s="41"/>
      <c r="IR199" s="41"/>
      <c r="IS199" s="41"/>
      <c r="IT199" s="41"/>
      <c r="IU199" s="41"/>
      <c r="IV199" s="41"/>
      <c r="IW199" s="41"/>
      <c r="IX199" s="41"/>
      <c r="IY199" s="44"/>
      <c r="IZ199" s="33"/>
      <c r="JA199" s="33"/>
      <c r="JB199" s="33"/>
      <c r="JC199" s="33"/>
      <c r="JD199" s="33"/>
      <c r="JE199" s="33"/>
      <c r="JF199" s="33"/>
      <c r="JG199" s="33"/>
      <c r="JH199" s="33"/>
      <c r="JI199" s="33"/>
      <c r="JJ199" s="33"/>
      <c r="JK199" s="33"/>
      <c r="JL199" s="33"/>
      <c r="JM199" s="33"/>
      <c r="JN199" s="33"/>
      <c r="JO199" s="33"/>
      <c r="JP199" s="33"/>
      <c r="JQ199" s="33"/>
      <c r="JR199" s="33"/>
      <c r="JS199" s="33"/>
      <c r="JT199" s="33"/>
      <c r="JU199" s="33"/>
      <c r="JV199" s="33"/>
      <c r="JW199" s="102"/>
      <c r="JX199" s="41"/>
      <c r="JY199" s="41"/>
      <c r="JZ199" s="41"/>
      <c r="KA199" s="41"/>
      <c r="KB199" s="41"/>
      <c r="KC199" s="41"/>
      <c r="KD199" s="41"/>
      <c r="KE199" s="41"/>
      <c r="KF199" s="41"/>
      <c r="KG199" s="41"/>
      <c r="KH199" s="41"/>
      <c r="KI199" s="41"/>
      <c r="KJ199" s="41"/>
      <c r="KK199" s="41"/>
      <c r="KL199" s="41"/>
      <c r="KM199" s="41"/>
      <c r="KN199" s="41"/>
      <c r="KO199" s="41"/>
      <c r="KP199" s="41"/>
      <c r="KQ199" s="41"/>
      <c r="KR199" s="41"/>
      <c r="KS199" s="41"/>
      <c r="KT199" s="41"/>
      <c r="KU199" s="41"/>
      <c r="KV199" s="41"/>
      <c r="KW199" s="41"/>
      <c r="KX199" s="41"/>
      <c r="KY199" s="41"/>
      <c r="KZ199" s="41"/>
      <c r="LA199" s="41"/>
      <c r="LB199" s="41"/>
      <c r="LC199" s="41"/>
      <c r="LD199" s="41"/>
      <c r="LE199" s="41"/>
      <c r="LF199" s="44"/>
      <c r="LG199" s="33"/>
      <c r="LH199" s="33"/>
      <c r="LI199" s="33"/>
      <c r="LJ199" s="33"/>
      <c r="LK199" s="33"/>
      <c r="LL199" s="33"/>
      <c r="LM199" s="33"/>
      <c r="LN199" s="33"/>
      <c r="LO199" s="33"/>
      <c r="LP199" s="33"/>
      <c r="LQ199" s="33"/>
      <c r="LR199" s="33"/>
      <c r="LS199" s="33"/>
      <c r="LT199" s="33"/>
      <c r="LU199" s="33"/>
      <c r="LV199" s="33"/>
      <c r="LW199" s="33"/>
      <c r="LX199" s="33"/>
      <c r="LY199" s="33"/>
      <c r="LZ199" s="33"/>
      <c r="MA199" s="33"/>
      <c r="MB199" s="33"/>
      <c r="MC199" s="33"/>
      <c r="MD199" s="33"/>
      <c r="ME199" s="33"/>
      <c r="MF199" s="33"/>
      <c r="MG199" s="33"/>
      <c r="MH199" s="33"/>
      <c r="MI199" s="33"/>
      <c r="MJ199" s="33"/>
      <c r="MK199" s="33"/>
      <c r="ML199" s="33"/>
      <c r="MM199" s="33"/>
      <c r="MN199" s="33"/>
      <c r="MO199" s="33"/>
      <c r="MP199" s="33"/>
      <c r="MQ199" s="33"/>
      <c r="MR199" s="33"/>
      <c r="MS199" s="33"/>
      <c r="MT199" s="33"/>
      <c r="MU199" s="33"/>
      <c r="MV199" s="33"/>
    </row>
    <row r="200" spans="1:360" ht="0.75" customHeight="1" x14ac:dyDescent="0.25">
      <c r="A200" s="33"/>
      <c r="B200" s="33"/>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3"/>
      <c r="AV200" s="59"/>
      <c r="AW200" s="132"/>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133"/>
      <c r="BX200" s="134"/>
      <c r="BY200" s="33"/>
      <c r="BZ200" s="33"/>
      <c r="CA200" s="33"/>
      <c r="CB200" s="33"/>
      <c r="CC200" s="33"/>
      <c r="CD200" s="33"/>
      <c r="CE200" s="33"/>
      <c r="CF200" s="33"/>
      <c r="CG200" s="33"/>
      <c r="CH200" s="33"/>
      <c r="CI200" s="33"/>
      <c r="CJ200" s="33"/>
      <c r="CK200" s="33"/>
      <c r="CL200" s="33"/>
      <c r="CM200" s="33"/>
      <c r="CN200" s="33"/>
      <c r="CO200" s="33"/>
      <c r="CP200" s="33"/>
      <c r="CQ200" s="33"/>
      <c r="CR200" s="33"/>
      <c r="CS200" s="33"/>
      <c r="CT200" s="33"/>
      <c r="CU200" s="33"/>
      <c r="CV200" s="33"/>
      <c r="CW200" s="33"/>
      <c r="CX200" s="33"/>
      <c r="CY200" s="33"/>
      <c r="CZ200" s="33"/>
      <c r="DA200" s="33"/>
      <c r="DB200" s="33"/>
      <c r="DC200" s="33"/>
      <c r="DD200" s="33"/>
      <c r="DE200" s="33"/>
      <c r="DF200" s="33"/>
      <c r="DG200" s="33"/>
      <c r="DH200" s="33"/>
      <c r="DI200" s="34"/>
      <c r="DJ200" s="40"/>
      <c r="DK200" s="84"/>
      <c r="DL200" s="44"/>
      <c r="DM200" s="44"/>
      <c r="DN200" s="44"/>
      <c r="DO200" s="44"/>
      <c r="DP200" s="44"/>
      <c r="DQ200" s="44"/>
      <c r="DR200" s="44"/>
      <c r="DS200" s="44"/>
      <c r="DT200" s="44"/>
      <c r="DU200" s="44"/>
      <c r="DV200" s="44"/>
      <c r="DW200" s="44"/>
      <c r="DX200" s="44"/>
      <c r="DY200" s="44"/>
      <c r="DZ200" s="44"/>
      <c r="EA200" s="44"/>
      <c r="EB200" s="44"/>
      <c r="EC200" s="48"/>
      <c r="ED200" s="135"/>
      <c r="EE200" s="136"/>
      <c r="EF200" s="33"/>
      <c r="EG200" s="33"/>
      <c r="EH200" s="33"/>
      <c r="EI200" s="33"/>
      <c r="EJ200" s="33"/>
      <c r="EK200" s="33"/>
      <c r="EL200" s="33"/>
      <c r="EM200" s="33"/>
      <c r="EN200" s="33"/>
      <c r="EO200" s="33"/>
      <c r="EP200" s="33"/>
      <c r="EQ200" s="33"/>
      <c r="ER200" s="33"/>
      <c r="ES200" s="33"/>
      <c r="ET200" s="33"/>
      <c r="EU200" s="33"/>
      <c r="EV200" s="33"/>
      <c r="EW200" s="33"/>
      <c r="EX200" s="33"/>
      <c r="EY200" s="33"/>
      <c r="EZ200" s="33"/>
      <c r="FA200" s="33"/>
      <c r="FB200" s="33"/>
      <c r="FC200" s="33"/>
      <c r="FD200" s="33"/>
      <c r="FE200" s="33"/>
      <c r="FF200" s="33"/>
      <c r="FG200" s="33"/>
      <c r="FH200" s="33"/>
      <c r="FI200" s="85"/>
      <c r="FJ200" s="86"/>
      <c r="FK200" s="87"/>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8"/>
      <c r="GR200" s="135"/>
      <c r="GS200" s="136"/>
      <c r="GT200" s="33"/>
      <c r="GU200" s="33"/>
      <c r="GV200" s="33"/>
      <c r="GW200" s="33"/>
      <c r="GX200" s="33"/>
      <c r="GY200" s="33"/>
      <c r="GZ200" s="33"/>
      <c r="HA200" s="33"/>
      <c r="HB200" s="33"/>
      <c r="HC200" s="33"/>
      <c r="HD200" s="33"/>
      <c r="HE200" s="33"/>
      <c r="HF200" s="33"/>
      <c r="HG200" s="33"/>
      <c r="HH200" s="33"/>
      <c r="HI200" s="33"/>
      <c r="HJ200" s="33"/>
      <c r="HK200" s="33"/>
      <c r="HL200" s="33"/>
      <c r="HM200" s="33"/>
      <c r="HN200" s="33"/>
      <c r="HO200" s="33"/>
      <c r="HP200" s="134"/>
      <c r="HQ200" s="133"/>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56"/>
      <c r="IY200" s="55"/>
      <c r="IZ200" s="33"/>
      <c r="JA200" s="33"/>
      <c r="JB200" s="33"/>
      <c r="JC200" s="33"/>
      <c r="JD200" s="33"/>
      <c r="JE200" s="33"/>
      <c r="JF200" s="33"/>
      <c r="JG200" s="33"/>
      <c r="JH200" s="33"/>
      <c r="JI200" s="33"/>
      <c r="JJ200" s="33"/>
      <c r="JK200" s="33"/>
      <c r="JL200" s="33"/>
      <c r="JM200" s="33"/>
      <c r="JN200" s="33"/>
      <c r="JO200" s="33"/>
      <c r="JP200" s="33"/>
      <c r="JQ200" s="33"/>
      <c r="JR200" s="33"/>
      <c r="JS200" s="33"/>
      <c r="JT200" s="33"/>
      <c r="JU200" s="33"/>
      <c r="JV200" s="33"/>
      <c r="JW200" s="134"/>
      <c r="JX200" s="133"/>
      <c r="JY200" s="44"/>
      <c r="JZ200" s="44"/>
      <c r="KA200" s="44"/>
      <c r="KB200" s="44"/>
      <c r="KC200" s="44"/>
      <c r="KD200" s="44"/>
      <c r="KE200" s="44"/>
      <c r="KF200" s="44"/>
      <c r="KG200" s="44"/>
      <c r="KH200" s="44"/>
      <c r="KI200" s="44"/>
      <c r="KJ200" s="44"/>
      <c r="KK200" s="44"/>
      <c r="KL200" s="44"/>
      <c r="KM200" s="44"/>
      <c r="KN200" s="44"/>
      <c r="KO200" s="44"/>
      <c r="KP200" s="44"/>
      <c r="KQ200" s="44"/>
      <c r="KR200" s="44"/>
      <c r="KS200" s="44"/>
      <c r="KT200" s="44"/>
      <c r="KU200" s="44"/>
      <c r="KV200" s="44"/>
      <c r="KW200" s="44"/>
      <c r="KX200" s="44"/>
      <c r="KY200" s="44"/>
      <c r="KZ200" s="44"/>
      <c r="LA200" s="44"/>
      <c r="LB200" s="44"/>
      <c r="LC200" s="44"/>
      <c r="LD200" s="44"/>
      <c r="LE200" s="56"/>
      <c r="LF200" s="55"/>
      <c r="LG200" s="33"/>
      <c r="LH200" s="33"/>
      <c r="LI200" s="33"/>
      <c r="LJ200" s="33"/>
      <c r="LK200" s="33"/>
      <c r="LL200" s="33"/>
      <c r="LM200" s="33"/>
      <c r="LN200" s="33"/>
      <c r="LO200" s="33"/>
      <c r="LP200" s="33"/>
      <c r="LQ200" s="33"/>
      <c r="LR200" s="33"/>
      <c r="LS200" s="33"/>
      <c r="LT200" s="33"/>
      <c r="LU200" s="33"/>
      <c r="LV200" s="33"/>
      <c r="LW200" s="33"/>
      <c r="LX200" s="33"/>
      <c r="LY200" s="33"/>
      <c r="LZ200" s="33"/>
      <c r="MA200" s="33"/>
      <c r="MB200" s="33"/>
      <c r="MC200" s="33"/>
      <c r="MD200" s="33"/>
      <c r="ME200" s="33"/>
      <c r="MF200" s="33"/>
      <c r="MG200" s="33"/>
      <c r="MH200" s="33"/>
      <c r="MI200" s="33"/>
      <c r="MJ200" s="33"/>
      <c r="MK200" s="33"/>
      <c r="ML200" s="33"/>
      <c r="MM200" s="33"/>
      <c r="MN200" s="33"/>
      <c r="MO200" s="33"/>
      <c r="MP200" s="33"/>
      <c r="MQ200" s="33"/>
      <c r="MR200" s="33"/>
      <c r="MS200" s="33"/>
      <c r="MT200" s="33"/>
      <c r="MU200" s="33"/>
      <c r="MV200" s="33"/>
    </row>
    <row r="201" spans="1:360" ht="0.75" customHeight="1" x14ac:dyDescent="0.25">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c r="BV201" s="33"/>
      <c r="BW201" s="33"/>
      <c r="BX201" s="33"/>
      <c r="BY201" s="33"/>
      <c r="BZ201" s="33"/>
      <c r="CA201" s="33"/>
      <c r="CB201" s="33"/>
      <c r="CC201" s="33"/>
      <c r="CD201" s="33"/>
      <c r="CE201" s="33"/>
      <c r="CF201" s="33"/>
      <c r="CG201" s="33"/>
      <c r="CH201" s="33"/>
      <c r="CI201" s="33"/>
      <c r="CJ201" s="33"/>
      <c r="CK201" s="33"/>
      <c r="CL201" s="33"/>
      <c r="CM201" s="33"/>
      <c r="CN201" s="33"/>
      <c r="CO201" s="33"/>
      <c r="CP201" s="33"/>
      <c r="CQ201" s="33"/>
      <c r="CR201" s="33"/>
      <c r="CS201" s="33"/>
      <c r="CT201" s="33"/>
      <c r="CU201" s="33"/>
      <c r="CV201" s="33"/>
      <c r="CW201" s="33"/>
      <c r="CX201" s="33"/>
      <c r="CY201" s="33"/>
      <c r="CZ201" s="33"/>
      <c r="DA201" s="33"/>
      <c r="DB201" s="33"/>
      <c r="DC201" s="33"/>
      <c r="DD201" s="33"/>
      <c r="DE201" s="33"/>
      <c r="DF201" s="33"/>
      <c r="DG201" s="33"/>
      <c r="DH201" s="33"/>
      <c r="DI201" s="33"/>
      <c r="DJ201" s="33"/>
      <c r="DK201" s="33"/>
      <c r="DL201" s="33"/>
      <c r="DM201" s="33"/>
      <c r="DN201" s="33"/>
      <c r="DO201" s="33"/>
      <c r="DP201" s="33"/>
      <c r="DQ201" s="33"/>
      <c r="DR201" s="33"/>
      <c r="DS201" s="33"/>
      <c r="DT201" s="33"/>
      <c r="DU201" s="33"/>
      <c r="DV201" s="33"/>
      <c r="DW201" s="33"/>
      <c r="DX201" s="33"/>
      <c r="DY201" s="33"/>
      <c r="DZ201" s="33"/>
      <c r="EA201" s="33"/>
      <c r="EB201" s="33"/>
      <c r="EC201" s="33"/>
      <c r="ED201" s="33"/>
      <c r="EE201" s="33"/>
      <c r="EF201" s="33"/>
      <c r="EG201" s="33"/>
      <c r="EH201" s="33"/>
      <c r="EI201" s="33"/>
      <c r="EJ201" s="33"/>
      <c r="EK201" s="33"/>
      <c r="EL201" s="33"/>
      <c r="EM201" s="33"/>
      <c r="EN201" s="33"/>
      <c r="EO201" s="33"/>
      <c r="EP201" s="33"/>
      <c r="EQ201" s="33"/>
      <c r="ER201" s="33"/>
      <c r="ES201" s="33"/>
      <c r="ET201" s="33"/>
      <c r="EU201" s="33"/>
      <c r="EV201" s="33"/>
      <c r="EW201" s="33"/>
      <c r="EX201" s="33"/>
      <c r="EY201" s="33"/>
      <c r="EZ201" s="33"/>
      <c r="FA201" s="33"/>
      <c r="FB201" s="33"/>
      <c r="FC201" s="33"/>
      <c r="FD201" s="33"/>
      <c r="FE201" s="33"/>
      <c r="FF201" s="33"/>
      <c r="FG201" s="33"/>
      <c r="FH201" s="33"/>
      <c r="FI201" s="33"/>
      <c r="FJ201" s="33"/>
      <c r="FK201" s="33"/>
      <c r="FL201" s="33"/>
      <c r="FM201" s="33"/>
      <c r="FN201" s="33"/>
      <c r="FO201" s="33"/>
      <c r="FP201" s="33"/>
      <c r="FQ201" s="33"/>
      <c r="FR201" s="33"/>
      <c r="FS201" s="33"/>
      <c r="FT201" s="33"/>
      <c r="FU201" s="33"/>
      <c r="FV201" s="33"/>
      <c r="FW201" s="33"/>
      <c r="FX201" s="33"/>
      <c r="FY201" s="33"/>
      <c r="FZ201" s="33"/>
      <c r="GA201" s="33"/>
      <c r="GB201" s="33"/>
      <c r="GC201" s="33"/>
      <c r="GD201" s="33"/>
      <c r="GE201" s="33"/>
      <c r="GF201" s="33"/>
      <c r="GG201" s="33"/>
      <c r="GH201" s="33"/>
      <c r="GI201" s="33"/>
      <c r="GJ201" s="33"/>
      <c r="GK201" s="33"/>
      <c r="GL201" s="33"/>
      <c r="GM201" s="33"/>
      <c r="GN201" s="33"/>
      <c r="GO201" s="33"/>
      <c r="GP201" s="33"/>
      <c r="GQ201" s="33"/>
      <c r="GR201" s="33"/>
      <c r="GS201" s="33"/>
      <c r="GT201" s="33"/>
      <c r="GU201" s="33"/>
      <c r="GV201" s="33"/>
      <c r="GW201" s="33"/>
      <c r="GX201" s="33"/>
      <c r="GY201" s="33"/>
      <c r="GZ201" s="33"/>
      <c r="HA201" s="33"/>
      <c r="HB201" s="33"/>
      <c r="HC201" s="33"/>
      <c r="HD201" s="33"/>
      <c r="HE201" s="33"/>
      <c r="HF201" s="33"/>
      <c r="HG201" s="33"/>
      <c r="HH201" s="33"/>
      <c r="HI201" s="33"/>
      <c r="HJ201" s="33"/>
      <c r="HK201" s="33"/>
      <c r="HL201" s="33"/>
      <c r="HM201" s="33"/>
      <c r="HN201" s="33"/>
      <c r="HO201" s="33"/>
      <c r="HP201" s="33"/>
      <c r="HQ201" s="33"/>
      <c r="HR201" s="33"/>
      <c r="HS201" s="33"/>
      <c r="HT201" s="33"/>
      <c r="HU201" s="33"/>
      <c r="HV201" s="33"/>
      <c r="HW201" s="33"/>
      <c r="HX201" s="33"/>
      <c r="HY201" s="33"/>
      <c r="HZ201" s="33"/>
      <c r="IA201" s="33"/>
      <c r="IB201" s="33"/>
      <c r="IC201" s="33"/>
      <c r="ID201" s="33"/>
      <c r="IE201" s="33"/>
      <c r="IF201" s="33"/>
      <c r="IG201" s="33"/>
      <c r="IH201" s="33"/>
      <c r="II201" s="33"/>
      <c r="IJ201" s="33"/>
      <c r="IK201" s="33"/>
      <c r="IL201" s="33"/>
      <c r="IM201" s="33"/>
      <c r="IN201" s="33"/>
      <c r="IO201" s="33"/>
      <c r="IP201" s="33"/>
      <c r="IQ201" s="33"/>
      <c r="IR201" s="33"/>
      <c r="IS201" s="33"/>
      <c r="IT201" s="33"/>
      <c r="IU201" s="33"/>
      <c r="IV201" s="33"/>
      <c r="IW201" s="33"/>
      <c r="IX201" s="33"/>
      <c r="IY201" s="33"/>
      <c r="IZ201" s="33"/>
      <c r="JA201" s="33"/>
      <c r="JB201" s="33"/>
      <c r="JC201" s="33"/>
      <c r="JD201" s="33"/>
      <c r="JE201" s="33"/>
      <c r="JF201" s="33"/>
      <c r="JG201" s="33"/>
      <c r="JH201" s="33"/>
      <c r="JI201" s="33"/>
      <c r="JJ201" s="33"/>
      <c r="JK201" s="33"/>
      <c r="JL201" s="33"/>
      <c r="JM201" s="33"/>
      <c r="JN201" s="33"/>
      <c r="JO201" s="33"/>
      <c r="JP201" s="33"/>
      <c r="JQ201" s="33"/>
      <c r="JR201" s="33"/>
      <c r="JS201" s="33"/>
      <c r="JT201" s="33"/>
      <c r="JU201" s="33"/>
      <c r="JV201" s="33"/>
      <c r="JW201" s="33"/>
      <c r="JX201" s="33"/>
      <c r="JY201" s="33"/>
      <c r="JZ201" s="33"/>
      <c r="KA201" s="33"/>
      <c r="KB201" s="33"/>
      <c r="KC201" s="33"/>
      <c r="KD201" s="33"/>
      <c r="KE201" s="33"/>
      <c r="KF201" s="33"/>
      <c r="KG201" s="33"/>
      <c r="KH201" s="33"/>
      <c r="KI201" s="33"/>
      <c r="KJ201" s="33"/>
      <c r="KK201" s="33"/>
      <c r="KL201" s="33"/>
      <c r="KM201" s="33"/>
      <c r="KN201" s="33"/>
      <c r="KO201" s="33"/>
      <c r="KP201" s="33"/>
      <c r="KQ201" s="33"/>
      <c r="KR201" s="33"/>
      <c r="KS201" s="33"/>
      <c r="KT201" s="33"/>
      <c r="KU201" s="33"/>
      <c r="KV201" s="33"/>
      <c r="KW201" s="33"/>
      <c r="KX201" s="33"/>
      <c r="KY201" s="33"/>
      <c r="KZ201" s="33"/>
      <c r="LA201" s="33"/>
      <c r="LB201" s="33"/>
      <c r="LC201" s="33"/>
      <c r="LD201" s="33"/>
      <c r="LE201" s="33"/>
      <c r="LF201" s="33"/>
      <c r="LG201" s="33"/>
      <c r="LH201" s="33"/>
      <c r="LI201" s="33"/>
      <c r="LJ201" s="33"/>
      <c r="LK201" s="33"/>
      <c r="LL201" s="33"/>
      <c r="LM201" s="33"/>
      <c r="LN201" s="33"/>
      <c r="LO201" s="33"/>
      <c r="LP201" s="33"/>
      <c r="LQ201" s="33"/>
      <c r="LR201" s="33"/>
      <c r="LS201" s="33"/>
      <c r="LT201" s="33"/>
      <c r="LU201" s="33"/>
      <c r="LV201" s="33"/>
      <c r="LW201" s="33"/>
      <c r="LX201" s="33"/>
      <c r="LY201" s="33"/>
      <c r="LZ201" s="33"/>
      <c r="MA201" s="33"/>
      <c r="MB201" s="33"/>
      <c r="MC201" s="33"/>
      <c r="MD201" s="33"/>
      <c r="ME201" s="33"/>
      <c r="MF201" s="33"/>
      <c r="MG201" s="33"/>
      <c r="MH201" s="33"/>
      <c r="MI201" s="33"/>
      <c r="MJ201" s="33"/>
      <c r="MK201" s="33"/>
      <c r="ML201" s="33"/>
      <c r="MM201" s="33"/>
      <c r="MN201" s="33"/>
      <c r="MO201" s="33"/>
      <c r="MP201" s="33"/>
      <c r="MQ201" s="33"/>
      <c r="MR201" s="33"/>
      <c r="MS201" s="33"/>
      <c r="MT201" s="33"/>
      <c r="MU201" s="33"/>
      <c r="MV201" s="33"/>
    </row>
    <row r="202" spans="1:360" ht="0.75" customHeight="1" x14ac:dyDescent="0.25">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c r="BV202" s="33"/>
      <c r="BW202" s="33"/>
      <c r="BX202" s="33"/>
      <c r="BY202" s="33"/>
      <c r="BZ202" s="33"/>
      <c r="CA202" s="33"/>
      <c r="CB202" s="33"/>
      <c r="CC202" s="33"/>
      <c r="CD202" s="33"/>
      <c r="CE202" s="33"/>
      <c r="CF202" s="33"/>
      <c r="CG202" s="33"/>
      <c r="CH202" s="33"/>
      <c r="CI202" s="33"/>
      <c r="CJ202" s="33"/>
      <c r="CK202" s="33"/>
      <c r="CL202" s="33"/>
      <c r="CM202" s="33"/>
      <c r="CN202" s="33"/>
      <c r="CO202" s="33"/>
      <c r="CP202" s="33"/>
      <c r="CQ202" s="33"/>
      <c r="CR202" s="33"/>
      <c r="CS202" s="33"/>
      <c r="CT202" s="33"/>
      <c r="CU202" s="33"/>
      <c r="CV202" s="33"/>
      <c r="CW202" s="33"/>
      <c r="CX202" s="33"/>
      <c r="CY202" s="33"/>
      <c r="CZ202" s="33"/>
      <c r="DA202" s="33"/>
      <c r="DB202" s="33"/>
      <c r="DC202" s="33"/>
      <c r="DD202" s="33"/>
      <c r="DE202" s="33"/>
      <c r="DF202" s="33"/>
      <c r="DG202" s="33"/>
      <c r="DH202" s="33"/>
      <c r="DI202" s="33"/>
      <c r="DJ202" s="33"/>
      <c r="DK202" s="33"/>
      <c r="DL202" s="33"/>
      <c r="DM202" s="33"/>
      <c r="DN202" s="33"/>
      <c r="DO202" s="33"/>
      <c r="DP202" s="33"/>
      <c r="DQ202" s="33"/>
      <c r="DR202" s="33"/>
      <c r="DS202" s="33"/>
      <c r="DT202" s="33"/>
      <c r="DU202" s="33"/>
      <c r="DV202" s="33"/>
      <c r="DW202" s="33"/>
      <c r="DX202" s="33"/>
      <c r="DY202" s="33"/>
      <c r="DZ202" s="33"/>
      <c r="EA202" s="33"/>
      <c r="EB202" s="33"/>
      <c r="EC202" s="33"/>
      <c r="ED202" s="33"/>
      <c r="EE202" s="33"/>
      <c r="EF202" s="33"/>
      <c r="EG202" s="33"/>
      <c r="EH202" s="33"/>
      <c r="EI202" s="33"/>
      <c r="EJ202" s="33"/>
      <c r="EK202" s="33"/>
      <c r="EL202" s="33"/>
      <c r="EM202" s="33"/>
      <c r="EN202" s="33"/>
      <c r="EO202" s="33"/>
      <c r="EP202" s="33"/>
      <c r="EQ202" s="33"/>
      <c r="ER202" s="33"/>
      <c r="ES202" s="33"/>
      <c r="ET202" s="33"/>
      <c r="EU202" s="33"/>
      <c r="EV202" s="33"/>
      <c r="EW202" s="33"/>
      <c r="EX202" s="33"/>
      <c r="EY202" s="33"/>
      <c r="EZ202" s="33"/>
      <c r="FA202" s="33"/>
      <c r="FB202" s="33"/>
      <c r="FC202" s="33"/>
      <c r="FD202" s="33"/>
      <c r="FE202" s="33"/>
      <c r="FF202" s="33"/>
      <c r="FG202" s="33"/>
      <c r="FH202" s="33"/>
      <c r="FI202" s="33"/>
      <c r="FJ202" s="33"/>
      <c r="FK202" s="33"/>
      <c r="FL202" s="33"/>
      <c r="FM202" s="33"/>
      <c r="FN202" s="33"/>
      <c r="FO202" s="33"/>
      <c r="FP202" s="33"/>
      <c r="FQ202" s="33"/>
      <c r="FR202" s="33"/>
      <c r="FS202" s="33"/>
      <c r="FT202" s="33"/>
      <c r="FU202" s="33"/>
      <c r="FV202" s="33"/>
      <c r="FW202" s="33"/>
      <c r="FX202" s="33"/>
      <c r="FY202" s="33"/>
      <c r="FZ202" s="33"/>
      <c r="GA202" s="33"/>
      <c r="GB202" s="33"/>
      <c r="GC202" s="33"/>
      <c r="GD202" s="33"/>
      <c r="GE202" s="33"/>
      <c r="GF202" s="33"/>
      <c r="GG202" s="33"/>
      <c r="GH202" s="33"/>
      <c r="GI202" s="33"/>
      <c r="GJ202" s="33"/>
      <c r="GK202" s="33"/>
      <c r="GL202" s="33"/>
      <c r="GM202" s="33"/>
      <c r="GN202" s="33"/>
      <c r="GO202" s="33"/>
      <c r="GP202" s="33"/>
      <c r="GQ202" s="33"/>
      <c r="GR202" s="33"/>
      <c r="GS202" s="33"/>
      <c r="GT202" s="33"/>
      <c r="GU202" s="33"/>
      <c r="GV202" s="33"/>
      <c r="GW202" s="33"/>
      <c r="GX202" s="33"/>
      <c r="GY202" s="33"/>
      <c r="GZ202" s="33"/>
      <c r="HA202" s="33"/>
      <c r="HB202" s="33"/>
      <c r="HC202" s="33"/>
      <c r="HD202" s="33"/>
      <c r="HE202" s="33"/>
      <c r="HF202" s="33"/>
      <c r="HG202" s="33"/>
      <c r="HH202" s="33"/>
      <c r="HI202" s="33"/>
      <c r="HJ202" s="33"/>
      <c r="HK202" s="33"/>
      <c r="HL202" s="33"/>
      <c r="HM202" s="33"/>
      <c r="HN202" s="33"/>
      <c r="HO202" s="33"/>
      <c r="HP202" s="33"/>
      <c r="HQ202" s="33"/>
      <c r="HR202" s="33"/>
      <c r="HS202" s="33"/>
      <c r="HT202" s="33"/>
      <c r="HU202" s="33"/>
      <c r="HV202" s="33"/>
      <c r="HW202" s="33"/>
      <c r="HX202" s="33"/>
      <c r="HY202" s="33"/>
      <c r="HZ202" s="33"/>
      <c r="IA202" s="33"/>
      <c r="IB202" s="33"/>
      <c r="IC202" s="33"/>
      <c r="ID202" s="33"/>
      <c r="IE202" s="33"/>
      <c r="IF202" s="33"/>
      <c r="IG202" s="33"/>
      <c r="IH202" s="33"/>
      <c r="II202" s="33"/>
      <c r="IJ202" s="33"/>
      <c r="IK202" s="33"/>
      <c r="IL202" s="33"/>
      <c r="IM202" s="33"/>
      <c r="IN202" s="33"/>
      <c r="IO202" s="33"/>
      <c r="IP202" s="33"/>
      <c r="IQ202" s="33"/>
      <c r="IR202" s="33"/>
      <c r="IS202" s="33"/>
      <c r="IT202" s="33"/>
      <c r="IU202" s="33"/>
      <c r="IV202" s="33"/>
      <c r="IW202" s="33"/>
      <c r="IX202" s="33"/>
      <c r="IY202" s="33"/>
      <c r="IZ202" s="33"/>
      <c r="JA202" s="33"/>
      <c r="JB202" s="33"/>
      <c r="JC202" s="33"/>
      <c r="JD202" s="33"/>
      <c r="JE202" s="33"/>
      <c r="JF202" s="33"/>
      <c r="JG202" s="33"/>
      <c r="JH202" s="33"/>
      <c r="JI202" s="33"/>
      <c r="JJ202" s="33"/>
      <c r="JK202" s="33"/>
      <c r="JL202" s="33"/>
      <c r="JM202" s="33"/>
      <c r="JN202" s="33"/>
      <c r="JO202" s="33"/>
      <c r="JP202" s="33"/>
      <c r="JQ202" s="33"/>
      <c r="JR202" s="33"/>
      <c r="JS202" s="33"/>
      <c r="JT202" s="33"/>
      <c r="JU202" s="33"/>
      <c r="JV202" s="33"/>
      <c r="JW202" s="33"/>
      <c r="JX202" s="33"/>
      <c r="JY202" s="33"/>
      <c r="JZ202" s="33"/>
      <c r="KA202" s="33"/>
      <c r="KB202" s="33"/>
      <c r="KC202" s="33"/>
      <c r="KD202" s="33"/>
      <c r="KE202" s="33"/>
      <c r="KF202" s="33"/>
      <c r="KG202" s="33"/>
      <c r="KH202" s="33"/>
      <c r="KI202" s="33"/>
      <c r="KJ202" s="33"/>
      <c r="KK202" s="33"/>
      <c r="KL202" s="33"/>
      <c r="KM202" s="33"/>
      <c r="KN202" s="33"/>
      <c r="KO202" s="33"/>
      <c r="KP202" s="33"/>
      <c r="KQ202" s="33"/>
      <c r="KR202" s="33"/>
      <c r="KS202" s="33"/>
      <c r="KT202" s="33"/>
      <c r="KU202" s="33"/>
      <c r="KV202" s="33"/>
      <c r="KW202" s="33"/>
      <c r="KX202" s="33"/>
      <c r="KY202" s="33"/>
      <c r="KZ202" s="33"/>
      <c r="LA202" s="33"/>
      <c r="LB202" s="33"/>
      <c r="LC202" s="33"/>
      <c r="LD202" s="33"/>
      <c r="LE202" s="33"/>
      <c r="LF202" s="33"/>
      <c r="LG202" s="33"/>
      <c r="LH202" s="33"/>
      <c r="LI202" s="33"/>
      <c r="LJ202" s="33"/>
      <c r="LK202" s="33"/>
      <c r="LL202" s="33"/>
      <c r="LM202" s="33"/>
      <c r="LN202" s="33"/>
      <c r="LO202" s="33"/>
      <c r="LP202" s="33"/>
      <c r="LQ202" s="33"/>
      <c r="LR202" s="33"/>
      <c r="LS202" s="33"/>
      <c r="LT202" s="33"/>
      <c r="LU202" s="33"/>
      <c r="LV202" s="33"/>
      <c r="LW202" s="33"/>
      <c r="LX202" s="33"/>
      <c r="LY202" s="33"/>
      <c r="LZ202" s="33"/>
      <c r="MA202" s="33"/>
      <c r="MB202" s="33"/>
      <c r="MC202" s="33"/>
      <c r="MD202" s="33"/>
      <c r="ME202" s="33"/>
      <c r="MF202" s="33"/>
      <c r="MG202" s="33"/>
      <c r="MH202" s="33"/>
      <c r="MI202" s="33"/>
      <c r="MJ202" s="33"/>
      <c r="MK202" s="33"/>
      <c r="ML202" s="33"/>
      <c r="MM202" s="33"/>
      <c r="MN202" s="33"/>
      <c r="MO202" s="33"/>
      <c r="MP202" s="33"/>
      <c r="MQ202" s="33"/>
      <c r="MR202" s="33"/>
      <c r="MS202" s="33"/>
      <c r="MT202" s="33"/>
      <c r="MU202" s="33"/>
      <c r="MV202" s="33"/>
    </row>
    <row r="203" spans="1:360" ht="0.75" customHeight="1" x14ac:dyDescent="0.25">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c r="BV203" s="33"/>
      <c r="BW203" s="33"/>
      <c r="BX203" s="33"/>
      <c r="BY203" s="33"/>
      <c r="BZ203" s="33"/>
      <c r="CA203" s="33"/>
      <c r="CB203" s="33"/>
      <c r="CC203" s="33"/>
      <c r="CD203" s="33"/>
      <c r="CE203" s="33"/>
      <c r="CF203" s="33"/>
      <c r="CG203" s="33"/>
      <c r="CH203" s="33"/>
      <c r="CI203" s="33"/>
      <c r="CJ203" s="33"/>
      <c r="CK203" s="33"/>
      <c r="CL203" s="33"/>
      <c r="CM203" s="33"/>
      <c r="CN203" s="33"/>
      <c r="CO203" s="33"/>
      <c r="CP203" s="33"/>
      <c r="CQ203" s="33"/>
      <c r="CR203" s="33"/>
      <c r="CS203" s="33"/>
      <c r="CT203" s="33"/>
      <c r="CU203" s="33"/>
      <c r="CV203" s="33"/>
      <c r="CW203" s="33"/>
      <c r="CX203" s="33"/>
      <c r="CY203" s="33"/>
      <c r="CZ203" s="33"/>
      <c r="DA203" s="33"/>
      <c r="DB203" s="33"/>
      <c r="DC203" s="33"/>
      <c r="DD203" s="33"/>
      <c r="DE203" s="33"/>
      <c r="DF203" s="33"/>
      <c r="DG203" s="33"/>
      <c r="DH203" s="33"/>
      <c r="DI203" s="33"/>
      <c r="DJ203" s="33"/>
      <c r="DK203" s="33"/>
      <c r="DL203" s="33"/>
      <c r="DM203" s="33"/>
      <c r="DN203" s="33"/>
      <c r="DO203" s="33"/>
      <c r="DP203" s="33"/>
      <c r="DQ203" s="33"/>
      <c r="DR203" s="33"/>
      <c r="DS203" s="33"/>
      <c r="DT203" s="33"/>
      <c r="DU203" s="33"/>
      <c r="DV203" s="33"/>
      <c r="DW203" s="33"/>
      <c r="DX203" s="33"/>
      <c r="DY203" s="33"/>
      <c r="DZ203" s="33"/>
      <c r="EA203" s="33"/>
      <c r="EB203" s="33"/>
      <c r="EC203" s="33"/>
      <c r="ED203" s="33"/>
      <c r="EE203" s="33"/>
      <c r="EF203" s="33"/>
      <c r="EG203" s="33"/>
      <c r="EH203" s="33"/>
      <c r="EI203" s="33"/>
      <c r="EJ203" s="33"/>
      <c r="EK203" s="33"/>
      <c r="EL203" s="33"/>
      <c r="EM203" s="33"/>
      <c r="EN203" s="33"/>
      <c r="EO203" s="33"/>
      <c r="EP203" s="33"/>
      <c r="EQ203" s="33"/>
      <c r="ER203" s="33"/>
      <c r="ES203" s="33"/>
      <c r="ET203" s="33"/>
      <c r="EU203" s="33"/>
      <c r="EV203" s="33"/>
      <c r="EW203" s="33"/>
      <c r="EX203" s="33"/>
      <c r="EY203" s="33"/>
      <c r="EZ203" s="33"/>
      <c r="FA203" s="33"/>
      <c r="FB203" s="33"/>
      <c r="FC203" s="33"/>
      <c r="FD203" s="33"/>
      <c r="FE203" s="33"/>
      <c r="FF203" s="33"/>
      <c r="FG203" s="33"/>
      <c r="FH203" s="33"/>
      <c r="FI203" s="33"/>
      <c r="FJ203" s="33"/>
      <c r="FK203" s="33"/>
      <c r="FL203" s="33"/>
      <c r="FM203" s="33"/>
      <c r="FN203" s="33"/>
      <c r="FO203" s="33"/>
      <c r="FP203" s="33"/>
      <c r="FQ203" s="33"/>
      <c r="FR203" s="33"/>
      <c r="FS203" s="33"/>
      <c r="FT203" s="33"/>
      <c r="FU203" s="33"/>
      <c r="FV203" s="33"/>
      <c r="FW203" s="33"/>
      <c r="FX203" s="33"/>
      <c r="FY203" s="33"/>
      <c r="FZ203" s="33"/>
      <c r="GA203" s="33"/>
      <c r="GB203" s="33"/>
      <c r="GC203" s="33"/>
      <c r="GD203" s="33"/>
      <c r="GE203" s="33"/>
      <c r="GF203" s="33"/>
      <c r="GG203" s="33"/>
      <c r="GH203" s="33"/>
      <c r="GI203" s="33"/>
      <c r="GJ203" s="33"/>
      <c r="GK203" s="33"/>
      <c r="GL203" s="33"/>
      <c r="GM203" s="33"/>
      <c r="GN203" s="33"/>
      <c r="GO203" s="33"/>
      <c r="GP203" s="33"/>
      <c r="GQ203" s="33"/>
      <c r="GR203" s="33"/>
      <c r="GS203" s="33"/>
      <c r="GT203" s="33"/>
      <c r="GU203" s="33"/>
      <c r="GV203" s="33"/>
      <c r="GW203" s="33"/>
      <c r="GX203" s="33"/>
      <c r="GY203" s="33"/>
      <c r="GZ203" s="33"/>
      <c r="HA203" s="33"/>
      <c r="HB203" s="33"/>
      <c r="HC203" s="33"/>
      <c r="HD203" s="33"/>
      <c r="HE203" s="33"/>
      <c r="HF203" s="33"/>
      <c r="HG203" s="33"/>
      <c r="HH203" s="33"/>
      <c r="HI203" s="33"/>
      <c r="HJ203" s="33"/>
      <c r="HK203" s="33"/>
      <c r="HL203" s="33"/>
      <c r="HM203" s="33"/>
      <c r="HN203" s="33"/>
      <c r="HO203" s="33"/>
      <c r="HP203" s="33"/>
      <c r="HQ203" s="33"/>
      <c r="HR203" s="33"/>
      <c r="HS203" s="33"/>
      <c r="HT203" s="33"/>
      <c r="HU203" s="33"/>
      <c r="HV203" s="33"/>
      <c r="HW203" s="33"/>
      <c r="HX203" s="33"/>
      <c r="HY203" s="33"/>
      <c r="HZ203" s="33"/>
      <c r="IA203" s="33"/>
      <c r="IB203" s="33"/>
      <c r="IC203" s="33"/>
      <c r="ID203" s="33"/>
      <c r="IE203" s="33"/>
      <c r="IF203" s="33"/>
      <c r="IG203" s="33"/>
      <c r="IH203" s="33"/>
      <c r="II203" s="33"/>
      <c r="IJ203" s="33"/>
      <c r="IK203" s="33"/>
      <c r="IL203" s="33"/>
      <c r="IM203" s="33"/>
      <c r="IN203" s="33"/>
      <c r="IO203" s="33"/>
      <c r="IP203" s="33"/>
      <c r="IQ203" s="33"/>
      <c r="IR203" s="33"/>
      <c r="IS203" s="33"/>
      <c r="IT203" s="33"/>
      <c r="IU203" s="33"/>
      <c r="IV203" s="33"/>
      <c r="IW203" s="33"/>
      <c r="IX203" s="33"/>
      <c r="IY203" s="33"/>
      <c r="IZ203" s="33"/>
      <c r="JA203" s="33"/>
      <c r="JB203" s="33"/>
      <c r="JC203" s="33"/>
      <c r="JD203" s="33"/>
      <c r="JE203" s="33"/>
      <c r="JF203" s="33"/>
      <c r="JG203" s="33"/>
      <c r="JH203" s="33"/>
      <c r="JI203" s="33"/>
      <c r="JJ203" s="33"/>
      <c r="JK203" s="33"/>
      <c r="JL203" s="33"/>
      <c r="JM203" s="33"/>
      <c r="JN203" s="33"/>
      <c r="JO203" s="33"/>
      <c r="JP203" s="33"/>
      <c r="JQ203" s="33"/>
      <c r="JR203" s="33"/>
      <c r="JS203" s="33"/>
      <c r="JT203" s="33"/>
      <c r="JU203" s="33"/>
      <c r="JV203" s="33"/>
      <c r="JW203" s="33"/>
      <c r="JX203" s="33"/>
      <c r="JY203" s="33"/>
      <c r="JZ203" s="33"/>
      <c r="KA203" s="33"/>
      <c r="KB203" s="33"/>
      <c r="KC203" s="33"/>
      <c r="KD203" s="33"/>
      <c r="KE203" s="33"/>
      <c r="KF203" s="33"/>
      <c r="KG203" s="33"/>
      <c r="KH203" s="33"/>
      <c r="KI203" s="33"/>
      <c r="KJ203" s="33"/>
      <c r="KK203" s="33"/>
      <c r="KL203" s="33"/>
      <c r="KM203" s="33"/>
      <c r="KN203" s="33"/>
      <c r="KO203" s="33"/>
      <c r="KP203" s="33"/>
      <c r="KQ203" s="33"/>
      <c r="KR203" s="33"/>
      <c r="KS203" s="33"/>
      <c r="KT203" s="33"/>
      <c r="KU203" s="33"/>
      <c r="KV203" s="33"/>
      <c r="KW203" s="33"/>
      <c r="KX203" s="33"/>
      <c r="KY203" s="33"/>
      <c r="KZ203" s="33"/>
      <c r="LA203" s="33"/>
      <c r="LB203" s="33"/>
      <c r="LC203" s="33"/>
      <c r="LD203" s="33"/>
      <c r="LE203" s="33"/>
      <c r="LF203" s="33"/>
      <c r="LG203" s="33"/>
      <c r="LH203" s="33"/>
      <c r="LI203" s="33"/>
      <c r="LJ203" s="33"/>
      <c r="LK203" s="33"/>
      <c r="LL203" s="33"/>
      <c r="LM203" s="33"/>
      <c r="LN203" s="33"/>
      <c r="LO203" s="33"/>
      <c r="LP203" s="33"/>
      <c r="LQ203" s="33"/>
      <c r="LR203" s="33"/>
      <c r="LS203" s="33"/>
      <c r="LT203" s="33"/>
      <c r="LU203" s="33"/>
      <c r="LV203" s="33"/>
      <c r="LW203" s="33"/>
      <c r="LX203" s="33"/>
      <c r="LY203" s="33"/>
      <c r="LZ203" s="33"/>
      <c r="MA203" s="33"/>
      <c r="MB203" s="33"/>
      <c r="MC203" s="33"/>
      <c r="MD203" s="33"/>
      <c r="ME203" s="33"/>
      <c r="MF203" s="33"/>
      <c r="MG203" s="33"/>
      <c r="MH203" s="33"/>
      <c r="MI203" s="33"/>
      <c r="MJ203" s="33"/>
      <c r="MK203" s="33"/>
      <c r="ML203" s="33"/>
      <c r="MM203" s="33"/>
      <c r="MN203" s="33"/>
      <c r="MO203" s="33"/>
      <c r="MP203" s="33"/>
      <c r="MQ203" s="33"/>
      <c r="MR203" s="33"/>
      <c r="MS203" s="33"/>
      <c r="MT203" s="33"/>
      <c r="MU203" s="33"/>
      <c r="MV203" s="33"/>
    </row>
    <row r="204" spans="1:360" ht="0.75" customHeight="1" x14ac:dyDescent="0.25">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c r="BV204" s="33"/>
      <c r="BW204" s="33"/>
      <c r="BX204" s="33"/>
      <c r="BY204" s="33"/>
      <c r="BZ204" s="33"/>
      <c r="CA204" s="33"/>
      <c r="CB204" s="33"/>
      <c r="CC204" s="33"/>
      <c r="CD204" s="33"/>
      <c r="CE204" s="33"/>
      <c r="CF204" s="33"/>
      <c r="CG204" s="33"/>
      <c r="CH204" s="33"/>
      <c r="CI204" s="33"/>
      <c r="CJ204" s="33"/>
      <c r="CK204" s="33"/>
      <c r="CL204" s="33"/>
      <c r="CM204" s="33"/>
      <c r="CN204" s="33"/>
      <c r="CO204" s="33"/>
      <c r="CP204" s="33"/>
      <c r="CQ204" s="33"/>
      <c r="CR204" s="33"/>
      <c r="CS204" s="33"/>
      <c r="CT204" s="33"/>
      <c r="CU204" s="33"/>
      <c r="CV204" s="33"/>
      <c r="CW204" s="33"/>
      <c r="CX204" s="33"/>
      <c r="CY204" s="33"/>
      <c r="CZ204" s="33"/>
      <c r="DA204" s="33"/>
      <c r="DB204" s="33"/>
      <c r="DC204" s="33"/>
      <c r="DD204" s="33"/>
      <c r="DE204" s="33"/>
      <c r="DF204" s="33"/>
      <c r="DG204" s="33"/>
      <c r="DH204" s="33"/>
      <c r="DI204" s="33"/>
      <c r="DJ204" s="33"/>
      <c r="DK204" s="33"/>
      <c r="DL204" s="33"/>
      <c r="DM204" s="33"/>
      <c r="DN204" s="33"/>
      <c r="DO204" s="33"/>
      <c r="DP204" s="33"/>
      <c r="DQ204" s="33"/>
      <c r="DR204" s="33"/>
      <c r="DS204" s="33"/>
      <c r="DT204" s="33"/>
      <c r="DU204" s="33"/>
      <c r="DV204" s="33"/>
      <c r="DW204" s="33"/>
      <c r="DX204" s="33"/>
      <c r="DY204" s="33"/>
      <c r="DZ204" s="33"/>
      <c r="EA204" s="33"/>
      <c r="EB204" s="33"/>
      <c r="EC204" s="33"/>
      <c r="ED204" s="33"/>
      <c r="EE204" s="33"/>
      <c r="EF204" s="33"/>
      <c r="EG204" s="33"/>
      <c r="EH204" s="33"/>
      <c r="EI204" s="33"/>
      <c r="EJ204" s="33"/>
      <c r="EK204" s="33"/>
      <c r="EL204" s="33"/>
      <c r="EM204" s="33"/>
      <c r="EN204" s="33"/>
      <c r="EO204" s="33"/>
      <c r="EP204" s="33"/>
      <c r="EQ204" s="33"/>
      <c r="ER204" s="33"/>
      <c r="ES204" s="33"/>
      <c r="ET204" s="33"/>
      <c r="EU204" s="33"/>
      <c r="EV204" s="33"/>
      <c r="EW204" s="33"/>
      <c r="EX204" s="33"/>
      <c r="EY204" s="33"/>
      <c r="EZ204" s="33"/>
      <c r="FA204" s="33"/>
      <c r="FB204" s="33"/>
      <c r="FC204" s="33"/>
      <c r="FD204" s="33"/>
      <c r="FE204" s="33"/>
      <c r="FF204" s="33"/>
      <c r="FG204" s="33"/>
      <c r="FH204" s="33"/>
      <c r="FI204" s="33"/>
      <c r="FJ204" s="33"/>
      <c r="FK204" s="33"/>
      <c r="FL204" s="33"/>
      <c r="FM204" s="33"/>
      <c r="FN204" s="33"/>
      <c r="FO204" s="33"/>
      <c r="FP204" s="33"/>
      <c r="FQ204" s="33"/>
      <c r="FR204" s="33"/>
      <c r="FS204" s="33"/>
      <c r="FT204" s="33"/>
      <c r="FU204" s="33"/>
      <c r="FV204" s="33"/>
      <c r="FW204" s="33"/>
      <c r="FX204" s="33"/>
      <c r="FY204" s="33"/>
      <c r="FZ204" s="33"/>
      <c r="GA204" s="33"/>
      <c r="GB204" s="33"/>
      <c r="GC204" s="33"/>
      <c r="GD204" s="33"/>
      <c r="GE204" s="33"/>
      <c r="GF204" s="33"/>
      <c r="GG204" s="33"/>
      <c r="GH204" s="33"/>
      <c r="GI204" s="33"/>
      <c r="GJ204" s="33"/>
      <c r="GK204" s="33"/>
      <c r="GL204" s="33"/>
      <c r="GM204" s="33"/>
      <c r="GN204" s="33"/>
      <c r="GO204" s="33"/>
      <c r="GP204" s="33"/>
      <c r="GQ204" s="33"/>
      <c r="GR204" s="33"/>
      <c r="GS204" s="33"/>
      <c r="GT204" s="33"/>
      <c r="GU204" s="33"/>
      <c r="GV204" s="33"/>
      <c r="GW204" s="33"/>
      <c r="GX204" s="33"/>
      <c r="GY204" s="33"/>
      <c r="GZ204" s="33"/>
      <c r="HA204" s="33"/>
      <c r="HB204" s="33"/>
      <c r="HC204" s="33"/>
      <c r="HD204" s="33"/>
      <c r="HE204" s="33"/>
      <c r="HF204" s="33"/>
      <c r="HG204" s="33"/>
      <c r="HH204" s="33"/>
      <c r="HI204" s="33"/>
      <c r="HJ204" s="33"/>
      <c r="HK204" s="33"/>
      <c r="HL204" s="33"/>
      <c r="HM204" s="33"/>
      <c r="HN204" s="33"/>
      <c r="HO204" s="33"/>
      <c r="HP204" s="33"/>
      <c r="HQ204" s="33"/>
      <c r="HR204" s="33"/>
      <c r="HS204" s="33"/>
      <c r="HT204" s="33"/>
      <c r="HU204" s="33"/>
      <c r="HV204" s="33"/>
      <c r="HW204" s="33"/>
      <c r="HX204" s="33"/>
      <c r="HY204" s="33"/>
      <c r="HZ204" s="33"/>
      <c r="IA204" s="33"/>
      <c r="IB204" s="33"/>
      <c r="IC204" s="33"/>
      <c r="ID204" s="33"/>
      <c r="IE204" s="33"/>
      <c r="IF204" s="33"/>
      <c r="IG204" s="33"/>
      <c r="IH204" s="33"/>
      <c r="II204" s="33"/>
      <c r="IJ204" s="33"/>
      <c r="IK204" s="33"/>
      <c r="IL204" s="33"/>
      <c r="IM204" s="33"/>
      <c r="IN204" s="33"/>
      <c r="IO204" s="33"/>
      <c r="IP204" s="33"/>
      <c r="IQ204" s="33"/>
      <c r="IR204" s="33"/>
      <c r="IS204" s="33"/>
      <c r="IT204" s="33"/>
      <c r="IU204" s="33"/>
      <c r="IV204" s="33"/>
      <c r="IW204" s="33"/>
      <c r="IX204" s="33"/>
      <c r="IY204" s="33"/>
      <c r="IZ204" s="33"/>
      <c r="JA204" s="33"/>
      <c r="JB204" s="33"/>
      <c r="JC204" s="33"/>
      <c r="JD204" s="33"/>
      <c r="JE204" s="33"/>
      <c r="JF204" s="33"/>
      <c r="JG204" s="33"/>
      <c r="JH204" s="33"/>
      <c r="JI204" s="33"/>
      <c r="JJ204" s="33"/>
      <c r="JK204" s="33"/>
      <c r="JL204" s="33"/>
      <c r="JM204" s="33"/>
      <c r="JN204" s="33"/>
      <c r="JO204" s="33"/>
      <c r="JP204" s="33"/>
      <c r="JQ204" s="33"/>
      <c r="JR204" s="33"/>
      <c r="JS204" s="33"/>
      <c r="JT204" s="33"/>
      <c r="JU204" s="33"/>
      <c r="JV204" s="33"/>
      <c r="JW204" s="33"/>
      <c r="JX204" s="33"/>
      <c r="JY204" s="33"/>
      <c r="JZ204" s="33"/>
      <c r="KA204" s="33"/>
      <c r="KB204" s="33"/>
      <c r="KC204" s="33"/>
      <c r="KD204" s="33"/>
      <c r="KE204" s="33"/>
      <c r="KF204" s="33"/>
      <c r="KG204" s="33"/>
      <c r="KH204" s="33"/>
      <c r="KI204" s="33"/>
      <c r="KJ204" s="33"/>
      <c r="KK204" s="33"/>
      <c r="KL204" s="33"/>
      <c r="KM204" s="33"/>
      <c r="KN204" s="33"/>
      <c r="KO204" s="33"/>
      <c r="KP204" s="33"/>
      <c r="KQ204" s="33"/>
      <c r="KR204" s="33"/>
      <c r="KS204" s="33"/>
      <c r="KT204" s="33"/>
      <c r="KU204" s="33"/>
      <c r="KV204" s="33"/>
      <c r="KW204" s="33"/>
      <c r="KX204" s="33"/>
      <c r="KY204" s="33"/>
      <c r="KZ204" s="33"/>
      <c r="LA204" s="33"/>
      <c r="LB204" s="33"/>
      <c r="LC204" s="33"/>
      <c r="LD204" s="33"/>
      <c r="LE204" s="33"/>
      <c r="LF204" s="33"/>
      <c r="LG204" s="33"/>
      <c r="LH204" s="33"/>
      <c r="LI204" s="33"/>
      <c r="LJ204" s="33"/>
      <c r="LK204" s="33"/>
      <c r="LL204" s="33"/>
      <c r="LM204" s="33"/>
      <c r="LN204" s="33"/>
      <c r="LO204" s="33"/>
      <c r="LP204" s="33"/>
      <c r="LQ204" s="33"/>
      <c r="LR204" s="33"/>
      <c r="LS204" s="33"/>
      <c r="LT204" s="33"/>
      <c r="LU204" s="33"/>
      <c r="LV204" s="33"/>
      <c r="LW204" s="33"/>
      <c r="LX204" s="33"/>
      <c r="LY204" s="33"/>
      <c r="LZ204" s="33"/>
      <c r="MA204" s="33"/>
      <c r="MB204" s="33"/>
      <c r="MC204" s="33"/>
      <c r="MD204" s="33"/>
      <c r="ME204" s="33"/>
      <c r="MF204" s="33"/>
      <c r="MG204" s="33"/>
      <c r="MH204" s="33"/>
      <c r="MI204" s="33"/>
      <c r="MJ204" s="33"/>
      <c r="MK204" s="33"/>
      <c r="ML204" s="33"/>
      <c r="MM204" s="33"/>
      <c r="MN204" s="33"/>
      <c r="MO204" s="33"/>
      <c r="MP204" s="33"/>
      <c r="MQ204" s="33"/>
      <c r="MR204" s="33"/>
      <c r="MS204" s="33"/>
      <c r="MT204" s="33"/>
      <c r="MU204" s="33"/>
      <c r="MV204" s="33"/>
    </row>
    <row r="205" spans="1:360" ht="0.75" customHeight="1" x14ac:dyDescent="0.25">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c r="BV205" s="33"/>
      <c r="BW205" s="33"/>
      <c r="BX205" s="33"/>
      <c r="BY205" s="33"/>
      <c r="BZ205" s="33"/>
      <c r="CA205" s="33"/>
      <c r="CB205" s="33"/>
      <c r="CC205" s="33"/>
      <c r="CD205" s="33"/>
      <c r="CE205" s="33"/>
      <c r="CF205" s="33"/>
      <c r="CG205" s="33"/>
      <c r="CH205" s="33"/>
      <c r="CI205" s="33"/>
      <c r="CJ205" s="33"/>
      <c r="CK205" s="33"/>
      <c r="CL205" s="33"/>
      <c r="CM205" s="33"/>
      <c r="CN205" s="33"/>
      <c r="CO205" s="33"/>
      <c r="CP205" s="33"/>
      <c r="CQ205" s="33"/>
      <c r="CR205" s="33"/>
      <c r="CS205" s="33"/>
      <c r="CT205" s="33"/>
      <c r="CU205" s="33"/>
      <c r="CV205" s="33"/>
      <c r="CW205" s="33"/>
      <c r="CX205" s="33"/>
      <c r="CY205" s="33"/>
      <c r="CZ205" s="33"/>
      <c r="DA205" s="33"/>
      <c r="DB205" s="33"/>
      <c r="DC205" s="33"/>
      <c r="DD205" s="33"/>
      <c r="DE205" s="33"/>
      <c r="DF205" s="33"/>
      <c r="DG205" s="33"/>
      <c r="DH205" s="33"/>
      <c r="DI205" s="33"/>
      <c r="DJ205" s="33"/>
      <c r="DK205" s="33"/>
      <c r="DL205" s="33"/>
      <c r="DM205" s="33"/>
      <c r="DN205" s="33"/>
      <c r="DO205" s="33"/>
      <c r="DP205" s="33"/>
      <c r="DQ205" s="33"/>
      <c r="DR205" s="33"/>
      <c r="DS205" s="33"/>
      <c r="DT205" s="33"/>
      <c r="DU205" s="33"/>
      <c r="DV205" s="33"/>
      <c r="DW205" s="33"/>
      <c r="DX205" s="33"/>
      <c r="DY205" s="33"/>
      <c r="DZ205" s="33"/>
      <c r="EA205" s="33"/>
      <c r="EB205" s="33"/>
      <c r="EC205" s="33"/>
      <c r="ED205" s="33"/>
      <c r="EE205" s="33"/>
      <c r="EF205" s="33"/>
      <c r="EG205" s="33"/>
      <c r="EH205" s="33"/>
      <c r="EI205" s="33"/>
      <c r="EJ205" s="33"/>
      <c r="EK205" s="33"/>
      <c r="EL205" s="33"/>
      <c r="EM205" s="33"/>
      <c r="EN205" s="33"/>
      <c r="EO205" s="33"/>
      <c r="EP205" s="33"/>
      <c r="EQ205" s="33"/>
      <c r="ER205" s="33"/>
      <c r="ES205" s="33"/>
      <c r="ET205" s="33"/>
      <c r="EU205" s="33"/>
      <c r="EV205" s="33"/>
      <c r="EW205" s="33"/>
      <c r="EX205" s="33"/>
      <c r="EY205" s="33"/>
      <c r="EZ205" s="33"/>
      <c r="FA205" s="33"/>
      <c r="FB205" s="33"/>
      <c r="FC205" s="33"/>
      <c r="FD205" s="33"/>
      <c r="FE205" s="33"/>
      <c r="FF205" s="33"/>
      <c r="FG205" s="33"/>
      <c r="FH205" s="33"/>
      <c r="FI205" s="33"/>
      <c r="FJ205" s="33"/>
      <c r="FK205" s="33"/>
      <c r="FL205" s="33"/>
      <c r="FM205" s="33"/>
      <c r="FN205" s="33"/>
      <c r="FO205" s="33"/>
      <c r="FP205" s="33"/>
      <c r="FQ205" s="33"/>
      <c r="FR205" s="33"/>
      <c r="FS205" s="33"/>
      <c r="FT205" s="33"/>
      <c r="FU205" s="33"/>
      <c r="FV205" s="33"/>
      <c r="FW205" s="33"/>
      <c r="FX205" s="33"/>
      <c r="FY205" s="33"/>
      <c r="FZ205" s="33"/>
      <c r="GA205" s="33"/>
      <c r="GB205" s="33"/>
      <c r="GC205" s="33"/>
      <c r="GD205" s="33"/>
      <c r="GE205" s="33"/>
      <c r="GF205" s="33"/>
      <c r="GG205" s="33"/>
      <c r="GH205" s="33"/>
      <c r="GI205" s="33"/>
      <c r="GJ205" s="33"/>
      <c r="GK205" s="33"/>
      <c r="GL205" s="33"/>
      <c r="GM205" s="33"/>
      <c r="GN205" s="33"/>
      <c r="GO205" s="33"/>
      <c r="GP205" s="33"/>
      <c r="GQ205" s="33"/>
      <c r="GR205" s="33"/>
      <c r="GS205" s="33"/>
      <c r="GT205" s="33"/>
      <c r="GU205" s="33"/>
      <c r="GV205" s="33"/>
      <c r="GW205" s="33"/>
      <c r="GX205" s="33"/>
      <c r="GY205" s="33"/>
      <c r="GZ205" s="33"/>
      <c r="HA205" s="33"/>
      <c r="HB205" s="33"/>
      <c r="HC205" s="33"/>
      <c r="HD205" s="33"/>
      <c r="HE205" s="33"/>
      <c r="HF205" s="33"/>
      <c r="HG205" s="33"/>
      <c r="HH205" s="33"/>
      <c r="HI205" s="33"/>
      <c r="HJ205" s="33"/>
      <c r="HK205" s="33"/>
      <c r="HL205" s="33"/>
      <c r="HM205" s="33"/>
      <c r="HN205" s="33"/>
      <c r="HO205" s="33"/>
      <c r="HP205" s="33"/>
      <c r="HQ205" s="33"/>
      <c r="HR205" s="33"/>
      <c r="HS205" s="33"/>
      <c r="HT205" s="33"/>
      <c r="HU205" s="33"/>
      <c r="HV205" s="33"/>
      <c r="HW205" s="33"/>
      <c r="HX205" s="33"/>
      <c r="HY205" s="33"/>
      <c r="HZ205" s="33"/>
      <c r="IA205" s="33"/>
      <c r="IB205" s="33"/>
      <c r="IC205" s="33"/>
      <c r="ID205" s="33"/>
      <c r="IE205" s="33"/>
      <c r="IF205" s="33"/>
      <c r="IG205" s="33"/>
      <c r="IH205" s="33"/>
      <c r="II205" s="33"/>
      <c r="IJ205" s="33"/>
      <c r="IK205" s="33"/>
      <c r="IL205" s="33"/>
      <c r="IM205" s="33"/>
      <c r="IN205" s="33"/>
      <c r="IO205" s="33"/>
      <c r="IP205" s="33"/>
      <c r="IQ205" s="33"/>
      <c r="IR205" s="33"/>
      <c r="IS205" s="33"/>
      <c r="IT205" s="33"/>
      <c r="IU205" s="33"/>
      <c r="IV205" s="33"/>
      <c r="IW205" s="33"/>
      <c r="IX205" s="33"/>
      <c r="IY205" s="33"/>
      <c r="IZ205" s="33"/>
      <c r="JA205" s="33"/>
      <c r="JB205" s="33"/>
      <c r="JC205" s="33"/>
      <c r="JD205" s="33"/>
      <c r="JE205" s="33"/>
      <c r="JF205" s="33"/>
      <c r="JG205" s="33"/>
      <c r="JH205" s="33"/>
      <c r="JI205" s="33"/>
      <c r="JJ205" s="33"/>
      <c r="JK205" s="33"/>
      <c r="JL205" s="33"/>
      <c r="JM205" s="33"/>
      <c r="JN205" s="33"/>
      <c r="JO205" s="33"/>
      <c r="JP205" s="33"/>
      <c r="JQ205" s="33"/>
      <c r="JR205" s="33"/>
      <c r="JS205" s="33"/>
      <c r="JT205" s="33"/>
      <c r="JU205" s="33"/>
      <c r="JV205" s="33"/>
      <c r="JW205" s="33"/>
      <c r="JX205" s="33"/>
      <c r="JY205" s="33"/>
      <c r="JZ205" s="33"/>
      <c r="KA205" s="33"/>
      <c r="KB205" s="33"/>
      <c r="KC205" s="33"/>
      <c r="KD205" s="33"/>
      <c r="KE205" s="33"/>
      <c r="KF205" s="33"/>
      <c r="KG205" s="33"/>
      <c r="KH205" s="33"/>
      <c r="KI205" s="33"/>
      <c r="KJ205" s="33"/>
      <c r="KK205" s="33"/>
      <c r="KL205" s="33"/>
      <c r="KM205" s="33"/>
      <c r="KN205" s="33"/>
      <c r="KO205" s="33"/>
      <c r="KP205" s="33"/>
      <c r="KQ205" s="33"/>
      <c r="KR205" s="33"/>
      <c r="KS205" s="33"/>
      <c r="KT205" s="33"/>
      <c r="KU205" s="33"/>
      <c r="KV205" s="33"/>
      <c r="KW205" s="33"/>
      <c r="KX205" s="33"/>
      <c r="KY205" s="33"/>
      <c r="KZ205" s="33"/>
      <c r="LA205" s="33"/>
      <c r="LB205" s="33"/>
      <c r="LC205" s="33"/>
      <c r="LD205" s="33"/>
      <c r="LE205" s="33"/>
      <c r="LF205" s="33"/>
      <c r="LG205" s="33"/>
      <c r="LH205" s="33"/>
      <c r="LI205" s="33"/>
      <c r="LJ205" s="33"/>
      <c r="LK205" s="33"/>
      <c r="LL205" s="33"/>
      <c r="LM205" s="33"/>
      <c r="LN205" s="33"/>
      <c r="LO205" s="33"/>
      <c r="LP205" s="33"/>
      <c r="LQ205" s="33"/>
      <c r="LR205" s="33"/>
      <c r="LS205" s="33"/>
      <c r="LT205" s="33"/>
      <c r="LU205" s="33"/>
      <c r="LV205" s="33"/>
      <c r="LW205" s="33"/>
      <c r="LX205" s="33"/>
      <c r="LY205" s="33"/>
      <c r="LZ205" s="33"/>
      <c r="MA205" s="33"/>
      <c r="MB205" s="33"/>
      <c r="MC205" s="33"/>
      <c r="MD205" s="33"/>
      <c r="ME205" s="33"/>
      <c r="MF205" s="33"/>
      <c r="MG205" s="33"/>
      <c r="MH205" s="33"/>
      <c r="MI205" s="33"/>
      <c r="MJ205" s="33"/>
      <c r="MK205" s="33"/>
      <c r="ML205" s="33"/>
      <c r="MM205" s="33"/>
      <c r="MN205" s="33"/>
      <c r="MO205" s="33"/>
      <c r="MP205" s="33"/>
      <c r="MQ205" s="33"/>
      <c r="MR205" s="33"/>
      <c r="MS205" s="33"/>
      <c r="MT205" s="33"/>
      <c r="MU205" s="33"/>
      <c r="MV205" s="33"/>
    </row>
    <row r="206" spans="1:360" ht="0.75" customHeight="1" x14ac:dyDescent="0.25">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c r="BV206" s="33"/>
      <c r="BW206" s="33"/>
      <c r="BX206" s="33"/>
      <c r="BY206" s="33"/>
      <c r="BZ206" s="33"/>
      <c r="CA206" s="33"/>
      <c r="CB206" s="33"/>
      <c r="CC206" s="33"/>
      <c r="CD206" s="33"/>
      <c r="CE206" s="33"/>
      <c r="CF206" s="33"/>
      <c r="CG206" s="33"/>
      <c r="CH206" s="33"/>
      <c r="CI206" s="33"/>
      <c r="CJ206" s="33"/>
      <c r="CK206" s="33"/>
      <c r="CL206" s="33"/>
      <c r="CM206" s="33"/>
      <c r="CN206" s="33"/>
      <c r="CO206" s="33"/>
      <c r="CP206" s="33"/>
      <c r="CQ206" s="33"/>
      <c r="CR206" s="33"/>
      <c r="CS206" s="33"/>
      <c r="CT206" s="33"/>
      <c r="CU206" s="33"/>
      <c r="CV206" s="33"/>
      <c r="CW206" s="33"/>
      <c r="CX206" s="33"/>
      <c r="CY206" s="33"/>
      <c r="CZ206" s="33"/>
      <c r="DA206" s="33"/>
      <c r="DB206" s="33"/>
      <c r="DC206" s="33"/>
      <c r="DD206" s="33"/>
      <c r="DE206" s="33"/>
      <c r="DF206" s="33"/>
      <c r="DG206" s="33"/>
      <c r="DH206" s="33"/>
      <c r="DI206" s="33"/>
      <c r="DJ206" s="33"/>
      <c r="DK206" s="33"/>
      <c r="DL206" s="33"/>
      <c r="DM206" s="33"/>
      <c r="DN206" s="33"/>
      <c r="DO206" s="33"/>
      <c r="DP206" s="33"/>
      <c r="DQ206" s="33"/>
      <c r="DR206" s="33"/>
      <c r="DS206" s="33"/>
      <c r="DT206" s="33"/>
      <c r="DU206" s="33"/>
      <c r="DV206" s="33"/>
      <c r="DW206" s="33"/>
      <c r="DX206" s="33"/>
      <c r="DY206" s="33"/>
      <c r="DZ206" s="33"/>
      <c r="EA206" s="33"/>
      <c r="EB206" s="33"/>
      <c r="EC206" s="33"/>
      <c r="ED206" s="33"/>
      <c r="EE206" s="33"/>
      <c r="EF206" s="33"/>
      <c r="EG206" s="33"/>
      <c r="EH206" s="33"/>
      <c r="EI206" s="33"/>
      <c r="EJ206" s="33"/>
      <c r="EK206" s="33"/>
      <c r="EL206" s="33"/>
      <c r="EM206" s="33"/>
      <c r="EN206" s="33"/>
      <c r="EO206" s="33"/>
      <c r="EP206" s="33"/>
      <c r="EQ206" s="33"/>
      <c r="ER206" s="33"/>
      <c r="ES206" s="33"/>
      <c r="ET206" s="33"/>
      <c r="EU206" s="33"/>
      <c r="EV206" s="33"/>
      <c r="EW206" s="33"/>
      <c r="EX206" s="33"/>
      <c r="EY206" s="33"/>
      <c r="EZ206" s="33"/>
      <c r="FA206" s="33"/>
      <c r="FB206" s="33"/>
      <c r="FC206" s="33"/>
      <c r="FD206" s="33"/>
      <c r="FE206" s="33"/>
      <c r="FF206" s="33"/>
      <c r="FG206" s="33"/>
      <c r="FH206" s="33"/>
      <c r="FI206" s="33"/>
      <c r="FJ206" s="33"/>
      <c r="FK206" s="33"/>
      <c r="FL206" s="33"/>
      <c r="FM206" s="33"/>
      <c r="FN206" s="33"/>
      <c r="FO206" s="33"/>
      <c r="FP206" s="33"/>
      <c r="FQ206" s="33"/>
      <c r="FR206" s="33"/>
      <c r="FS206" s="33"/>
      <c r="FT206" s="33"/>
      <c r="FU206" s="33"/>
      <c r="FV206" s="33"/>
      <c r="FW206" s="33"/>
      <c r="FX206" s="33"/>
      <c r="FY206" s="33"/>
      <c r="FZ206" s="33"/>
      <c r="GA206" s="33"/>
      <c r="GB206" s="33"/>
      <c r="GC206" s="33"/>
      <c r="GD206" s="33"/>
      <c r="GE206" s="33"/>
      <c r="GF206" s="33"/>
      <c r="GG206" s="33"/>
      <c r="GH206" s="33"/>
      <c r="GI206" s="33"/>
      <c r="GJ206" s="33"/>
      <c r="GK206" s="33"/>
      <c r="GL206" s="33"/>
      <c r="GM206" s="33"/>
      <c r="GN206" s="33"/>
      <c r="GO206" s="33"/>
      <c r="GP206" s="33"/>
      <c r="GQ206" s="33"/>
      <c r="GR206" s="33"/>
      <c r="GS206" s="33"/>
      <c r="GT206" s="33"/>
      <c r="GU206" s="33"/>
      <c r="GV206" s="33"/>
      <c r="GW206" s="33"/>
      <c r="GX206" s="33"/>
      <c r="GY206" s="33"/>
      <c r="GZ206" s="33"/>
      <c r="HA206" s="33"/>
      <c r="HB206" s="33"/>
      <c r="HC206" s="33"/>
      <c r="HD206" s="33"/>
      <c r="HE206" s="33"/>
      <c r="HF206" s="33"/>
      <c r="HG206" s="33"/>
      <c r="HH206" s="33"/>
      <c r="HI206" s="33"/>
      <c r="HJ206" s="33"/>
      <c r="HK206" s="33"/>
      <c r="HL206" s="33"/>
      <c r="HM206" s="33"/>
      <c r="HN206" s="33"/>
      <c r="HO206" s="33"/>
      <c r="HP206" s="33"/>
      <c r="HQ206" s="33"/>
      <c r="HR206" s="33"/>
      <c r="HS206" s="33"/>
      <c r="HT206" s="33"/>
      <c r="HU206" s="33"/>
      <c r="HV206" s="33"/>
      <c r="HW206" s="33"/>
      <c r="HX206" s="33"/>
      <c r="HY206" s="33"/>
      <c r="HZ206" s="33"/>
      <c r="IA206" s="33"/>
      <c r="IB206" s="33"/>
      <c r="IC206" s="33"/>
      <c r="ID206" s="33"/>
      <c r="IE206" s="33"/>
      <c r="IF206" s="33"/>
      <c r="IG206" s="33"/>
      <c r="IH206" s="33"/>
      <c r="II206" s="33"/>
      <c r="IJ206" s="33"/>
      <c r="IK206" s="33"/>
      <c r="IL206" s="33"/>
      <c r="IM206" s="33"/>
      <c r="IN206" s="33"/>
      <c r="IO206" s="33"/>
      <c r="IP206" s="33"/>
      <c r="IQ206" s="33"/>
      <c r="IR206" s="33"/>
      <c r="IS206" s="33"/>
      <c r="IT206" s="33"/>
      <c r="IU206" s="33"/>
      <c r="IV206" s="33"/>
      <c r="IW206" s="33"/>
      <c r="IX206" s="33"/>
      <c r="IY206" s="33"/>
      <c r="IZ206" s="33"/>
      <c r="JA206" s="33"/>
      <c r="JB206" s="33"/>
      <c r="JC206" s="33"/>
      <c r="JD206" s="33"/>
      <c r="JE206" s="33"/>
      <c r="JF206" s="33"/>
      <c r="JG206" s="33"/>
      <c r="JH206" s="33"/>
      <c r="JI206" s="33"/>
      <c r="JJ206" s="33"/>
      <c r="JK206" s="33"/>
      <c r="JL206" s="33"/>
      <c r="JM206" s="33"/>
      <c r="JN206" s="33"/>
      <c r="JO206" s="33"/>
      <c r="JP206" s="33"/>
      <c r="JQ206" s="33"/>
      <c r="JR206" s="33"/>
      <c r="JS206" s="33"/>
      <c r="JT206" s="33"/>
      <c r="JU206" s="33"/>
      <c r="JV206" s="33"/>
      <c r="JW206" s="33"/>
      <c r="JX206" s="33"/>
      <c r="JY206" s="33"/>
      <c r="JZ206" s="33"/>
      <c r="KA206" s="33"/>
      <c r="KB206" s="33"/>
      <c r="KC206" s="33"/>
      <c r="KD206" s="33"/>
      <c r="KE206" s="33"/>
      <c r="KF206" s="33"/>
      <c r="KG206" s="33"/>
      <c r="KH206" s="33"/>
      <c r="KI206" s="33"/>
      <c r="KJ206" s="33"/>
      <c r="KK206" s="33"/>
      <c r="KL206" s="33"/>
      <c r="KM206" s="33"/>
      <c r="KN206" s="33"/>
      <c r="KO206" s="33"/>
      <c r="KP206" s="33"/>
      <c r="KQ206" s="33"/>
      <c r="KR206" s="33"/>
      <c r="KS206" s="33"/>
      <c r="KT206" s="33"/>
      <c r="KU206" s="33"/>
      <c r="KV206" s="33"/>
      <c r="KW206" s="33"/>
      <c r="KX206" s="33"/>
      <c r="KY206" s="33"/>
      <c r="KZ206" s="33"/>
      <c r="LA206" s="33"/>
      <c r="LB206" s="33"/>
      <c r="LC206" s="33"/>
      <c r="LD206" s="33"/>
      <c r="LE206" s="33"/>
      <c r="LF206" s="33"/>
      <c r="LG206" s="33"/>
      <c r="LH206" s="33"/>
      <c r="LI206" s="33"/>
      <c r="LJ206" s="33"/>
      <c r="LK206" s="33"/>
      <c r="LL206" s="33"/>
      <c r="LM206" s="33"/>
      <c r="LN206" s="33"/>
      <c r="LO206" s="33"/>
      <c r="LP206" s="33"/>
      <c r="LQ206" s="33"/>
      <c r="LR206" s="33"/>
      <c r="LS206" s="33"/>
      <c r="LT206" s="33"/>
      <c r="LU206" s="33"/>
      <c r="LV206" s="33"/>
      <c r="LW206" s="33"/>
      <c r="LX206" s="33"/>
      <c r="LY206" s="33"/>
      <c r="LZ206" s="33"/>
      <c r="MA206" s="33"/>
      <c r="MB206" s="33"/>
      <c r="MC206" s="33"/>
      <c r="MD206" s="33"/>
      <c r="ME206" s="33"/>
      <c r="MF206" s="33"/>
      <c r="MG206" s="33"/>
      <c r="MH206" s="33"/>
      <c r="MI206" s="33"/>
      <c r="MJ206" s="33"/>
      <c r="MK206" s="33"/>
      <c r="ML206" s="33"/>
      <c r="MM206" s="33"/>
      <c r="MN206" s="33"/>
      <c r="MO206" s="33"/>
      <c r="MP206" s="33"/>
      <c r="MQ206" s="33"/>
      <c r="MR206" s="33"/>
      <c r="MS206" s="33"/>
      <c r="MT206" s="33"/>
      <c r="MU206" s="33"/>
      <c r="MV206" s="33"/>
    </row>
    <row r="207" spans="1:360" ht="0.75" customHeight="1" x14ac:dyDescent="0.25">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c r="BV207" s="33"/>
      <c r="BW207" s="33"/>
      <c r="BX207" s="33"/>
      <c r="BY207" s="33"/>
      <c r="BZ207" s="33"/>
      <c r="CA207" s="33"/>
      <c r="CB207" s="33"/>
      <c r="CC207" s="33"/>
      <c r="CD207" s="33"/>
      <c r="CE207" s="33"/>
      <c r="CF207" s="33"/>
      <c r="CG207" s="33"/>
      <c r="CH207" s="33"/>
      <c r="CI207" s="33"/>
      <c r="CJ207" s="33"/>
      <c r="CK207" s="33"/>
      <c r="CL207" s="33"/>
      <c r="CM207" s="33"/>
      <c r="CN207" s="33"/>
      <c r="CO207" s="33"/>
      <c r="CP207" s="33"/>
      <c r="CQ207" s="33"/>
      <c r="CR207" s="33"/>
      <c r="CS207" s="33"/>
      <c r="CT207" s="33"/>
      <c r="CU207" s="33"/>
      <c r="CV207" s="33"/>
      <c r="CW207" s="33"/>
      <c r="CX207" s="33"/>
      <c r="CY207" s="33"/>
      <c r="CZ207" s="33"/>
      <c r="DA207" s="33"/>
      <c r="DB207" s="33"/>
      <c r="DC207" s="33"/>
      <c r="DD207" s="33"/>
      <c r="DE207" s="33"/>
      <c r="DF207" s="33"/>
      <c r="DG207" s="33"/>
      <c r="DH207" s="33"/>
      <c r="DI207" s="33"/>
      <c r="DJ207" s="33"/>
      <c r="DK207" s="33"/>
      <c r="DL207" s="33"/>
      <c r="DM207" s="33"/>
      <c r="DN207" s="33"/>
      <c r="DO207" s="33"/>
      <c r="DP207" s="33"/>
      <c r="DQ207" s="33"/>
      <c r="DR207" s="33"/>
      <c r="DS207" s="33"/>
      <c r="DT207" s="33"/>
      <c r="DU207" s="33"/>
      <c r="DV207" s="33"/>
      <c r="DW207" s="33"/>
      <c r="DX207" s="33"/>
      <c r="DY207" s="33"/>
      <c r="DZ207" s="33"/>
      <c r="EA207" s="33"/>
      <c r="EB207" s="33"/>
      <c r="EC207" s="33"/>
      <c r="ED207" s="33"/>
      <c r="EE207" s="33"/>
      <c r="EF207" s="33"/>
      <c r="EG207" s="33"/>
      <c r="EH207" s="33"/>
      <c r="EI207" s="33"/>
      <c r="EJ207" s="33"/>
      <c r="EK207" s="33"/>
      <c r="EL207" s="33"/>
      <c r="EM207" s="33"/>
      <c r="EN207" s="33"/>
      <c r="EO207" s="33"/>
      <c r="EP207" s="33"/>
      <c r="EQ207" s="33"/>
      <c r="ER207" s="33"/>
      <c r="ES207" s="33"/>
      <c r="ET207" s="33"/>
      <c r="EU207" s="33"/>
      <c r="EV207" s="33"/>
      <c r="EW207" s="33"/>
      <c r="EX207" s="33"/>
      <c r="EY207" s="33"/>
      <c r="EZ207" s="33"/>
      <c r="FA207" s="33"/>
      <c r="FB207" s="33"/>
      <c r="FC207" s="33"/>
      <c r="FD207" s="33"/>
      <c r="FE207" s="33"/>
      <c r="FF207" s="33"/>
      <c r="FG207" s="33"/>
      <c r="FH207" s="33"/>
      <c r="FI207" s="33"/>
      <c r="FJ207" s="33"/>
      <c r="FK207" s="33"/>
      <c r="FL207" s="33"/>
      <c r="FM207" s="33"/>
      <c r="FN207" s="33"/>
      <c r="FO207" s="33"/>
      <c r="FP207" s="33"/>
      <c r="FQ207" s="33"/>
      <c r="FR207" s="33"/>
      <c r="FS207" s="33"/>
      <c r="FT207" s="33"/>
      <c r="FU207" s="33"/>
      <c r="FV207" s="33"/>
      <c r="FW207" s="33"/>
      <c r="FX207" s="33"/>
      <c r="FY207" s="33"/>
      <c r="FZ207" s="33"/>
      <c r="GA207" s="33"/>
      <c r="GB207" s="33"/>
      <c r="GC207" s="33"/>
      <c r="GD207" s="33"/>
      <c r="GE207" s="33"/>
      <c r="GF207" s="33"/>
      <c r="GG207" s="33"/>
      <c r="GH207" s="33"/>
      <c r="GI207" s="33"/>
      <c r="GJ207" s="33"/>
      <c r="GK207" s="33"/>
      <c r="GL207" s="33"/>
      <c r="GM207" s="33"/>
      <c r="GN207" s="33"/>
      <c r="GO207" s="33"/>
      <c r="GP207" s="33"/>
      <c r="GQ207" s="33"/>
      <c r="GR207" s="33"/>
      <c r="GS207" s="33"/>
      <c r="GT207" s="33"/>
      <c r="GU207" s="33"/>
      <c r="GV207" s="33"/>
      <c r="GW207" s="33"/>
      <c r="GX207" s="33"/>
      <c r="GY207" s="33"/>
      <c r="GZ207" s="33"/>
      <c r="HA207" s="33"/>
      <c r="HB207" s="33"/>
      <c r="HC207" s="33"/>
      <c r="HD207" s="33"/>
      <c r="HE207" s="33"/>
      <c r="HF207" s="33"/>
      <c r="HG207" s="33"/>
      <c r="HH207" s="33"/>
      <c r="HI207" s="33"/>
      <c r="HJ207" s="33"/>
      <c r="HK207" s="33"/>
      <c r="HL207" s="33"/>
      <c r="HM207" s="33"/>
      <c r="HN207" s="33"/>
      <c r="HO207" s="33"/>
      <c r="HP207" s="33"/>
      <c r="HQ207" s="33"/>
      <c r="HR207" s="33"/>
      <c r="HS207" s="33"/>
      <c r="HT207" s="33"/>
      <c r="HU207" s="33"/>
      <c r="HV207" s="33"/>
      <c r="HW207" s="33"/>
      <c r="HX207" s="33"/>
      <c r="HY207" s="33"/>
      <c r="HZ207" s="33"/>
      <c r="IA207" s="33"/>
      <c r="IB207" s="33"/>
      <c r="IC207" s="33"/>
      <c r="ID207" s="33"/>
      <c r="IE207" s="33"/>
      <c r="IF207" s="33"/>
      <c r="IG207" s="33"/>
      <c r="IH207" s="33"/>
      <c r="II207" s="33"/>
      <c r="IJ207" s="33"/>
      <c r="IK207" s="33"/>
      <c r="IL207" s="33"/>
      <c r="IM207" s="33"/>
      <c r="IN207" s="33"/>
      <c r="IO207" s="33"/>
      <c r="IP207" s="33"/>
      <c r="IQ207" s="33"/>
      <c r="IR207" s="33"/>
      <c r="IS207" s="33"/>
      <c r="IT207" s="33"/>
      <c r="IU207" s="33"/>
      <c r="IV207" s="33"/>
      <c r="IW207" s="33"/>
      <c r="IX207" s="33"/>
      <c r="IY207" s="33"/>
      <c r="IZ207" s="33"/>
      <c r="JA207" s="33"/>
      <c r="JB207" s="33"/>
      <c r="JC207" s="33"/>
      <c r="JD207" s="33"/>
      <c r="JE207" s="33"/>
      <c r="JF207" s="33"/>
      <c r="JG207" s="33"/>
      <c r="JH207" s="33"/>
      <c r="JI207" s="33"/>
      <c r="JJ207" s="33"/>
      <c r="JK207" s="33"/>
      <c r="JL207" s="33"/>
      <c r="JM207" s="33"/>
      <c r="JN207" s="33"/>
      <c r="JO207" s="33"/>
      <c r="JP207" s="33"/>
      <c r="JQ207" s="33"/>
      <c r="JR207" s="33"/>
      <c r="JS207" s="33"/>
      <c r="JT207" s="33"/>
      <c r="JU207" s="33"/>
      <c r="JV207" s="33"/>
      <c r="JW207" s="33"/>
      <c r="JX207" s="33"/>
      <c r="JY207" s="33"/>
      <c r="JZ207" s="33"/>
      <c r="KA207" s="33"/>
      <c r="KB207" s="33"/>
      <c r="KC207" s="33"/>
      <c r="KD207" s="33"/>
      <c r="KE207" s="33"/>
      <c r="KF207" s="33"/>
      <c r="KG207" s="33"/>
      <c r="KH207" s="33"/>
      <c r="KI207" s="33"/>
      <c r="KJ207" s="33"/>
      <c r="KK207" s="33"/>
      <c r="KL207" s="33"/>
      <c r="KM207" s="33"/>
      <c r="KN207" s="33"/>
      <c r="KO207" s="33"/>
      <c r="KP207" s="33"/>
      <c r="KQ207" s="33"/>
      <c r="KR207" s="33"/>
      <c r="KS207" s="33"/>
      <c r="KT207" s="33"/>
      <c r="KU207" s="33"/>
      <c r="KV207" s="33"/>
      <c r="KW207" s="33"/>
      <c r="KX207" s="33"/>
      <c r="KY207" s="33"/>
      <c r="KZ207" s="33"/>
      <c r="LA207" s="33"/>
      <c r="LB207" s="33"/>
      <c r="LC207" s="33"/>
      <c r="LD207" s="33"/>
      <c r="LE207" s="33"/>
      <c r="LF207" s="33"/>
      <c r="LG207" s="33"/>
      <c r="LH207" s="33"/>
      <c r="LI207" s="33"/>
      <c r="LJ207" s="33"/>
      <c r="LK207" s="33"/>
      <c r="LL207" s="33"/>
      <c r="LM207" s="33"/>
      <c r="LN207" s="33"/>
      <c r="LO207" s="33"/>
      <c r="LP207" s="33"/>
      <c r="LQ207" s="33"/>
      <c r="LR207" s="33"/>
      <c r="LS207" s="33"/>
      <c r="LT207" s="33"/>
      <c r="LU207" s="33"/>
      <c r="LV207" s="33"/>
      <c r="LW207" s="33"/>
      <c r="LX207" s="33"/>
      <c r="LY207" s="33"/>
      <c r="LZ207" s="33"/>
      <c r="MA207" s="33"/>
      <c r="MB207" s="33"/>
      <c r="MC207" s="33"/>
      <c r="MD207" s="33"/>
      <c r="ME207" s="33"/>
      <c r="MF207" s="33"/>
      <c r="MG207" s="33"/>
      <c r="MH207" s="33"/>
      <c r="MI207" s="33"/>
      <c r="MJ207" s="33"/>
      <c r="MK207" s="33"/>
      <c r="ML207" s="33"/>
      <c r="MM207" s="33"/>
      <c r="MN207" s="33"/>
      <c r="MO207" s="33"/>
      <c r="MP207" s="33"/>
      <c r="MQ207" s="33"/>
      <c r="MR207" s="33"/>
      <c r="MS207" s="33"/>
      <c r="MT207" s="33"/>
      <c r="MU207" s="33"/>
      <c r="MV207" s="33"/>
    </row>
    <row r="208" spans="1:360" ht="0.75" customHeight="1" x14ac:dyDescent="0.25">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c r="BV208" s="33"/>
      <c r="BW208" s="33"/>
      <c r="BX208" s="33"/>
      <c r="BY208" s="33"/>
      <c r="BZ208" s="33"/>
      <c r="CA208" s="33"/>
      <c r="CB208" s="33"/>
      <c r="CC208" s="33"/>
      <c r="CD208" s="33"/>
      <c r="CE208" s="33"/>
      <c r="CF208" s="33"/>
      <c r="CG208" s="33"/>
      <c r="CH208" s="33"/>
      <c r="CI208" s="33"/>
      <c r="CJ208" s="33"/>
      <c r="CK208" s="33"/>
      <c r="CL208" s="33"/>
      <c r="CM208" s="33"/>
      <c r="CN208" s="33"/>
      <c r="CO208" s="33"/>
      <c r="CP208" s="33"/>
      <c r="CQ208" s="33"/>
      <c r="CR208" s="33"/>
      <c r="CS208" s="33"/>
      <c r="CT208" s="33"/>
      <c r="CU208" s="33"/>
      <c r="CV208" s="33"/>
      <c r="CW208" s="33"/>
      <c r="CX208" s="33"/>
      <c r="CY208" s="33"/>
      <c r="CZ208" s="33"/>
      <c r="DA208" s="33"/>
      <c r="DB208" s="33"/>
      <c r="DC208" s="33"/>
      <c r="DD208" s="33"/>
      <c r="DE208" s="33"/>
      <c r="DF208" s="33"/>
      <c r="DG208" s="33"/>
      <c r="DH208" s="33"/>
      <c r="DI208" s="33"/>
      <c r="DJ208" s="33"/>
      <c r="DK208" s="33"/>
      <c r="DL208" s="33"/>
      <c r="DM208" s="33"/>
      <c r="DN208" s="33"/>
      <c r="DO208" s="33"/>
      <c r="DP208" s="33"/>
      <c r="DQ208" s="33"/>
      <c r="DR208" s="33"/>
      <c r="DS208" s="33"/>
      <c r="DT208" s="33"/>
      <c r="DU208" s="33"/>
      <c r="DV208" s="33"/>
      <c r="DW208" s="33"/>
      <c r="DX208" s="33"/>
      <c r="DY208" s="33"/>
      <c r="DZ208" s="33"/>
      <c r="EA208" s="33"/>
      <c r="EB208" s="33"/>
      <c r="EC208" s="33"/>
      <c r="ED208" s="33"/>
      <c r="EE208" s="33"/>
      <c r="EF208" s="33"/>
      <c r="EG208" s="33"/>
      <c r="EH208" s="33"/>
      <c r="EI208" s="33"/>
      <c r="EJ208" s="33"/>
      <c r="EK208" s="33"/>
      <c r="EL208" s="33"/>
      <c r="EM208" s="33"/>
      <c r="EN208" s="33"/>
      <c r="EO208" s="33"/>
      <c r="EP208" s="33"/>
      <c r="EQ208" s="33"/>
      <c r="ER208" s="33"/>
      <c r="ES208" s="33"/>
      <c r="ET208" s="33"/>
      <c r="EU208" s="33"/>
      <c r="EV208" s="33"/>
      <c r="EW208" s="33"/>
      <c r="EX208" s="33"/>
      <c r="EY208" s="33"/>
      <c r="EZ208" s="33"/>
      <c r="FA208" s="33"/>
      <c r="FB208" s="33"/>
      <c r="FC208" s="33"/>
      <c r="FD208" s="33"/>
      <c r="FE208" s="33"/>
      <c r="FF208" s="33"/>
      <c r="FG208" s="33"/>
      <c r="FH208" s="33"/>
      <c r="FI208" s="33"/>
      <c r="FJ208" s="33"/>
      <c r="FK208" s="33"/>
      <c r="FL208" s="33"/>
      <c r="FM208" s="33"/>
      <c r="FN208" s="33"/>
      <c r="FO208" s="33"/>
      <c r="FP208" s="33"/>
      <c r="FQ208" s="33"/>
      <c r="FR208" s="33"/>
      <c r="FS208" s="33"/>
      <c r="FT208" s="33"/>
      <c r="FU208" s="33"/>
      <c r="FV208" s="33"/>
      <c r="FW208" s="33"/>
      <c r="FX208" s="33"/>
      <c r="FY208" s="33"/>
      <c r="FZ208" s="33"/>
      <c r="GA208" s="33"/>
      <c r="GB208" s="33"/>
      <c r="GC208" s="33"/>
      <c r="GD208" s="33"/>
      <c r="GE208" s="33"/>
      <c r="GF208" s="33"/>
      <c r="GG208" s="33"/>
      <c r="GH208" s="33"/>
      <c r="GI208" s="33"/>
      <c r="GJ208" s="33"/>
      <c r="GK208" s="33"/>
      <c r="GL208" s="33"/>
      <c r="GM208" s="33"/>
      <c r="GN208" s="33"/>
      <c r="GO208" s="33"/>
      <c r="GP208" s="33"/>
      <c r="GQ208" s="33"/>
      <c r="GR208" s="33"/>
      <c r="GS208" s="33"/>
      <c r="GT208" s="33"/>
      <c r="GU208" s="33"/>
      <c r="GV208" s="33"/>
      <c r="GW208" s="33"/>
      <c r="GX208" s="33"/>
      <c r="GY208" s="33"/>
      <c r="GZ208" s="33"/>
      <c r="HA208" s="33"/>
      <c r="HB208" s="33"/>
      <c r="HC208" s="33"/>
      <c r="HD208" s="33"/>
      <c r="HE208" s="33"/>
      <c r="HF208" s="33"/>
      <c r="HG208" s="33"/>
      <c r="HH208" s="33"/>
      <c r="HI208" s="33"/>
      <c r="HJ208" s="33"/>
      <c r="HK208" s="33"/>
      <c r="HL208" s="33"/>
      <c r="HM208" s="33"/>
      <c r="HN208" s="33"/>
      <c r="HO208" s="33"/>
      <c r="HP208" s="33"/>
      <c r="HQ208" s="33"/>
      <c r="HR208" s="33"/>
      <c r="HS208" s="33"/>
      <c r="HT208" s="33"/>
      <c r="HU208" s="33"/>
      <c r="HV208" s="33"/>
      <c r="HW208" s="33"/>
      <c r="HX208" s="33"/>
      <c r="HY208" s="33"/>
      <c r="HZ208" s="33"/>
      <c r="IA208" s="33"/>
      <c r="IB208" s="33"/>
      <c r="IC208" s="33"/>
      <c r="ID208" s="33"/>
      <c r="IE208" s="33"/>
      <c r="IF208" s="33"/>
      <c r="IG208" s="33"/>
      <c r="IH208" s="33"/>
      <c r="II208" s="33"/>
      <c r="IJ208" s="33"/>
      <c r="IK208" s="33"/>
      <c r="IL208" s="33"/>
      <c r="IM208" s="33"/>
      <c r="IN208" s="33"/>
      <c r="IO208" s="33"/>
      <c r="IP208" s="33"/>
      <c r="IQ208" s="33"/>
      <c r="IR208" s="33"/>
      <c r="IS208" s="33"/>
      <c r="IT208" s="33"/>
      <c r="IU208" s="33"/>
      <c r="IV208" s="33"/>
      <c r="IW208" s="33"/>
      <c r="IX208" s="33"/>
      <c r="IY208" s="33"/>
      <c r="IZ208" s="33"/>
      <c r="JA208" s="33"/>
      <c r="JB208" s="33"/>
      <c r="JC208" s="33"/>
      <c r="JD208" s="33"/>
      <c r="JE208" s="33"/>
      <c r="JF208" s="33"/>
      <c r="JG208" s="33"/>
      <c r="JH208" s="33"/>
      <c r="JI208" s="33"/>
      <c r="JJ208" s="33"/>
      <c r="JK208" s="33"/>
      <c r="JL208" s="33"/>
      <c r="JM208" s="33"/>
      <c r="JN208" s="33"/>
      <c r="JO208" s="33"/>
      <c r="JP208" s="33"/>
      <c r="JQ208" s="33"/>
      <c r="JR208" s="33"/>
      <c r="JS208" s="33"/>
      <c r="JT208" s="33"/>
      <c r="JU208" s="33"/>
      <c r="JV208" s="33"/>
      <c r="JW208" s="33"/>
      <c r="JX208" s="33"/>
      <c r="JY208" s="33"/>
      <c r="JZ208" s="33"/>
      <c r="KA208" s="33"/>
      <c r="KB208" s="33"/>
      <c r="KC208" s="33"/>
      <c r="KD208" s="33"/>
      <c r="KE208" s="33"/>
      <c r="KF208" s="33"/>
      <c r="KG208" s="33"/>
      <c r="KH208" s="33"/>
      <c r="KI208" s="33"/>
      <c r="KJ208" s="33"/>
      <c r="KK208" s="33"/>
      <c r="KL208" s="33"/>
      <c r="KM208" s="33"/>
      <c r="KN208" s="33"/>
      <c r="KO208" s="33"/>
      <c r="KP208" s="33"/>
      <c r="KQ208" s="33"/>
      <c r="KR208" s="33"/>
      <c r="KS208" s="33"/>
      <c r="KT208" s="33"/>
      <c r="KU208" s="33"/>
      <c r="KV208" s="33"/>
      <c r="KW208" s="33"/>
      <c r="KX208" s="33"/>
      <c r="KY208" s="33"/>
      <c r="KZ208" s="33"/>
      <c r="LA208" s="33"/>
      <c r="LB208" s="33"/>
      <c r="LC208" s="33"/>
      <c r="LD208" s="33"/>
      <c r="LE208" s="33"/>
      <c r="LF208" s="33"/>
      <c r="LG208" s="33"/>
      <c r="LH208" s="33"/>
      <c r="LI208" s="33"/>
      <c r="LJ208" s="33"/>
      <c r="LK208" s="33"/>
      <c r="LL208" s="33"/>
      <c r="LM208" s="33"/>
      <c r="LN208" s="33"/>
      <c r="LO208" s="33"/>
      <c r="LP208" s="33"/>
      <c r="LQ208" s="33"/>
      <c r="LR208" s="33"/>
      <c r="LS208" s="33"/>
      <c r="LT208" s="33"/>
      <c r="LU208" s="33"/>
      <c r="LV208" s="33"/>
      <c r="LW208" s="33"/>
      <c r="LX208" s="33"/>
      <c r="LY208" s="33"/>
      <c r="LZ208" s="33"/>
      <c r="MA208" s="33"/>
      <c r="MB208" s="33"/>
      <c r="MC208" s="33"/>
      <c r="MD208" s="33"/>
      <c r="ME208" s="33"/>
      <c r="MF208" s="33"/>
      <c r="MG208" s="33"/>
      <c r="MH208" s="33"/>
      <c r="MI208" s="33"/>
      <c r="MJ208" s="33"/>
      <c r="MK208" s="33"/>
      <c r="ML208" s="33"/>
      <c r="MM208" s="33"/>
      <c r="MN208" s="33"/>
      <c r="MO208" s="33"/>
      <c r="MP208" s="33"/>
      <c r="MQ208" s="33"/>
      <c r="MR208" s="33"/>
      <c r="MS208" s="33"/>
      <c r="MT208" s="33"/>
      <c r="MU208" s="33"/>
      <c r="MV208" s="33"/>
    </row>
    <row r="209" spans="1:360" ht="0.75" customHeight="1" x14ac:dyDescent="0.25">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c r="BV209" s="33"/>
      <c r="BW209" s="33"/>
      <c r="BX209" s="33"/>
      <c r="BY209" s="33"/>
      <c r="BZ209" s="33"/>
      <c r="CA209" s="33"/>
      <c r="CB209" s="33"/>
      <c r="CC209" s="33"/>
      <c r="CD209" s="33"/>
      <c r="CE209" s="33"/>
      <c r="CF209" s="33"/>
      <c r="CG209" s="33"/>
      <c r="CH209" s="33"/>
      <c r="CI209" s="33"/>
      <c r="CJ209" s="33"/>
      <c r="CK209" s="33"/>
      <c r="CL209" s="33"/>
      <c r="CM209" s="33"/>
      <c r="CN209" s="33"/>
      <c r="CO209" s="33"/>
      <c r="CP209" s="33"/>
      <c r="CQ209" s="33"/>
      <c r="CR209" s="33"/>
      <c r="CS209" s="33"/>
      <c r="CT209" s="33"/>
      <c r="CU209" s="33"/>
      <c r="CV209" s="33"/>
      <c r="CW209" s="33"/>
      <c r="CX209" s="33"/>
      <c r="CY209" s="33"/>
      <c r="CZ209" s="33"/>
      <c r="DA209" s="33"/>
      <c r="DB209" s="33"/>
      <c r="DC209" s="33"/>
      <c r="DD209" s="33"/>
      <c r="DE209" s="33"/>
      <c r="DF209" s="33"/>
      <c r="DG209" s="33"/>
      <c r="DH209" s="33"/>
      <c r="DI209" s="33"/>
      <c r="DJ209" s="33"/>
      <c r="DK209" s="33"/>
      <c r="DL209" s="33"/>
      <c r="DM209" s="33"/>
      <c r="DN209" s="33"/>
      <c r="DO209" s="33"/>
      <c r="DP209" s="33"/>
      <c r="DQ209" s="33"/>
      <c r="DR209" s="33"/>
      <c r="DS209" s="33"/>
      <c r="DT209" s="33"/>
      <c r="DU209" s="33"/>
      <c r="DV209" s="33"/>
      <c r="DW209" s="33"/>
      <c r="DX209" s="33"/>
      <c r="DY209" s="33"/>
      <c r="DZ209" s="33"/>
      <c r="EA209" s="33"/>
      <c r="EB209" s="33"/>
      <c r="EC209" s="33"/>
      <c r="ED209" s="33"/>
      <c r="EE209" s="33"/>
      <c r="EF209" s="33"/>
      <c r="EG209" s="33"/>
      <c r="EH209" s="33"/>
      <c r="EI209" s="33"/>
      <c r="EJ209" s="33"/>
      <c r="EK209" s="33"/>
      <c r="EL209" s="33"/>
      <c r="EM209" s="33"/>
      <c r="EN209" s="33"/>
      <c r="EO209" s="33"/>
      <c r="EP209" s="33"/>
      <c r="EQ209" s="33"/>
      <c r="ER209" s="33"/>
      <c r="ES209" s="33"/>
      <c r="ET209" s="33"/>
      <c r="EU209" s="33"/>
      <c r="EV209" s="33"/>
      <c r="EW209" s="33"/>
      <c r="EX209" s="33"/>
      <c r="EY209" s="33"/>
      <c r="EZ209" s="33"/>
      <c r="FA209" s="33"/>
      <c r="FB209" s="33"/>
      <c r="FC209" s="33"/>
      <c r="FD209" s="33"/>
      <c r="FE209" s="33"/>
      <c r="FF209" s="33"/>
      <c r="FG209" s="33"/>
      <c r="FH209" s="33"/>
      <c r="FI209" s="33"/>
      <c r="FJ209" s="33"/>
      <c r="FK209" s="33"/>
      <c r="FL209" s="33"/>
      <c r="FM209" s="33"/>
      <c r="FN209" s="33"/>
      <c r="FO209" s="33"/>
      <c r="FP209" s="33"/>
      <c r="FQ209" s="33"/>
      <c r="FR209" s="33"/>
      <c r="FS209" s="33"/>
      <c r="FT209" s="33"/>
      <c r="FU209" s="33"/>
      <c r="FV209" s="33"/>
      <c r="FW209" s="33"/>
      <c r="FX209" s="33"/>
      <c r="FY209" s="33"/>
      <c r="FZ209" s="33"/>
      <c r="GA209" s="33"/>
      <c r="GB209" s="33"/>
      <c r="GC209" s="33"/>
      <c r="GD209" s="33"/>
      <c r="GE209" s="33"/>
      <c r="GF209" s="33"/>
      <c r="GG209" s="33"/>
      <c r="GH209" s="33"/>
      <c r="GI209" s="33"/>
      <c r="GJ209" s="33"/>
      <c r="GK209" s="33"/>
      <c r="GL209" s="33"/>
      <c r="GM209" s="33"/>
      <c r="GN209" s="33"/>
      <c r="GO209" s="33"/>
      <c r="GP209" s="33"/>
      <c r="GQ209" s="33"/>
      <c r="GR209" s="33"/>
      <c r="GS209" s="33"/>
      <c r="GT209" s="33"/>
      <c r="GU209" s="33"/>
      <c r="GV209" s="33"/>
      <c r="GW209" s="33"/>
      <c r="GX209" s="33"/>
      <c r="GY209" s="33"/>
      <c r="GZ209" s="33"/>
      <c r="HA209" s="33"/>
      <c r="HB209" s="33"/>
      <c r="HC209" s="33"/>
      <c r="HD209" s="33"/>
      <c r="HE209" s="33"/>
      <c r="HF209" s="33"/>
      <c r="HG209" s="33"/>
      <c r="HH209" s="33"/>
      <c r="HI209" s="33"/>
      <c r="HJ209" s="33"/>
      <c r="HK209" s="33"/>
      <c r="HL209" s="33"/>
      <c r="HM209" s="33"/>
      <c r="HN209" s="33"/>
      <c r="HO209" s="33"/>
      <c r="HP209" s="33"/>
      <c r="HQ209" s="33"/>
      <c r="HR209" s="33"/>
      <c r="HS209" s="33"/>
      <c r="HT209" s="33"/>
      <c r="HU209" s="33"/>
      <c r="HV209" s="33"/>
      <c r="HW209" s="33"/>
      <c r="HX209" s="33"/>
      <c r="HY209" s="33"/>
      <c r="HZ209" s="33"/>
      <c r="IA209" s="33"/>
      <c r="IB209" s="33"/>
      <c r="IC209" s="33"/>
      <c r="ID209" s="33"/>
      <c r="IE209" s="33"/>
      <c r="IF209" s="33"/>
      <c r="IG209" s="33"/>
      <c r="IH209" s="33"/>
      <c r="II209" s="33"/>
      <c r="IJ209" s="33"/>
      <c r="IK209" s="33"/>
      <c r="IL209" s="33"/>
      <c r="IM209" s="33"/>
      <c r="IN209" s="33"/>
      <c r="IO209" s="33"/>
      <c r="IP209" s="33"/>
      <c r="IQ209" s="33"/>
      <c r="IR209" s="33"/>
      <c r="IS209" s="33"/>
      <c r="IT209" s="33"/>
      <c r="IU209" s="33"/>
      <c r="IV209" s="33"/>
      <c r="IW209" s="33"/>
      <c r="IX209" s="33"/>
      <c r="IY209" s="33"/>
      <c r="IZ209" s="33"/>
      <c r="JA209" s="33"/>
      <c r="JB209" s="33"/>
      <c r="JC209" s="33"/>
      <c r="JD209" s="33"/>
      <c r="JE209" s="33"/>
      <c r="JF209" s="33"/>
      <c r="JG209" s="33"/>
      <c r="JH209" s="33"/>
      <c r="JI209" s="33"/>
      <c r="JJ209" s="33"/>
      <c r="JK209" s="33"/>
      <c r="JL209" s="33"/>
      <c r="JM209" s="33"/>
      <c r="JN209" s="33"/>
      <c r="JO209" s="33"/>
      <c r="JP209" s="33"/>
      <c r="JQ209" s="33"/>
      <c r="JR209" s="33"/>
      <c r="JS209" s="33"/>
      <c r="JT209" s="33"/>
      <c r="JU209" s="33"/>
      <c r="JV209" s="33"/>
      <c r="JW209" s="33"/>
      <c r="JX209" s="33"/>
      <c r="JY209" s="33"/>
      <c r="JZ209" s="33"/>
      <c r="KA209" s="33"/>
      <c r="KB209" s="33"/>
      <c r="KC209" s="33"/>
      <c r="KD209" s="33"/>
      <c r="KE209" s="33"/>
      <c r="KF209" s="33"/>
      <c r="KG209" s="33"/>
      <c r="KH209" s="33"/>
      <c r="KI209" s="33"/>
      <c r="KJ209" s="33"/>
      <c r="KK209" s="33"/>
      <c r="KL209" s="33"/>
      <c r="KM209" s="33"/>
      <c r="KN209" s="33"/>
      <c r="KO209" s="33"/>
      <c r="KP209" s="33"/>
      <c r="KQ209" s="33"/>
      <c r="KR209" s="33"/>
      <c r="KS209" s="33"/>
      <c r="KT209" s="33"/>
      <c r="KU209" s="33"/>
      <c r="KV209" s="33"/>
      <c r="KW209" s="33"/>
      <c r="KX209" s="33"/>
      <c r="KY209" s="33"/>
      <c r="KZ209" s="33"/>
      <c r="LA209" s="33"/>
      <c r="LB209" s="33"/>
      <c r="LC209" s="33"/>
      <c r="LD209" s="33"/>
      <c r="LE209" s="33"/>
      <c r="LF209" s="33"/>
      <c r="LG209" s="33"/>
      <c r="LH209" s="33"/>
      <c r="LI209" s="33"/>
      <c r="LJ209" s="33"/>
      <c r="LK209" s="33"/>
      <c r="LL209" s="33"/>
      <c r="LM209" s="33"/>
      <c r="LN209" s="33"/>
      <c r="LO209" s="33"/>
      <c r="LP209" s="33"/>
      <c r="LQ209" s="33"/>
      <c r="LR209" s="33"/>
      <c r="LS209" s="33"/>
      <c r="LT209" s="33"/>
      <c r="LU209" s="33"/>
      <c r="LV209" s="33"/>
      <c r="LW209" s="33"/>
      <c r="LX209" s="33"/>
      <c r="LY209" s="33"/>
      <c r="LZ209" s="33"/>
      <c r="MA209" s="33"/>
      <c r="MB209" s="33"/>
      <c r="MC209" s="33"/>
      <c r="MD209" s="33"/>
      <c r="ME209" s="33"/>
      <c r="MF209" s="33"/>
      <c r="MG209" s="33"/>
      <c r="MH209" s="33"/>
      <c r="MI209" s="33"/>
      <c r="MJ209" s="33"/>
      <c r="MK209" s="33"/>
      <c r="ML209" s="33"/>
      <c r="MM209" s="33"/>
      <c r="MN209" s="33"/>
      <c r="MO209" s="33"/>
      <c r="MP209" s="33"/>
      <c r="MQ209" s="33"/>
      <c r="MR209" s="33"/>
      <c r="MS209" s="33"/>
      <c r="MT209" s="33"/>
      <c r="MU209" s="33"/>
      <c r="MV209" s="33"/>
    </row>
    <row r="210" spans="1:360" ht="0.75" customHeight="1" x14ac:dyDescent="0.25">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c r="BV210" s="33"/>
      <c r="BW210" s="33"/>
      <c r="BX210" s="33"/>
      <c r="BY210" s="33"/>
      <c r="BZ210" s="33"/>
      <c r="CA210" s="33"/>
      <c r="CB210" s="33"/>
      <c r="CC210" s="33"/>
      <c r="CD210" s="33"/>
      <c r="CE210" s="33"/>
      <c r="CF210" s="33"/>
      <c r="CG210" s="33"/>
      <c r="CH210" s="33"/>
      <c r="CI210" s="33"/>
      <c r="CJ210" s="33"/>
      <c r="CK210" s="33"/>
      <c r="CL210" s="33"/>
      <c r="CM210" s="33"/>
      <c r="CN210" s="33"/>
      <c r="CO210" s="33"/>
      <c r="CP210" s="33"/>
      <c r="CQ210" s="33"/>
      <c r="CR210" s="33"/>
      <c r="CS210" s="33"/>
      <c r="CT210" s="33"/>
      <c r="CU210" s="33"/>
      <c r="CV210" s="33"/>
      <c r="CW210" s="33"/>
      <c r="CX210" s="33"/>
      <c r="CY210" s="33"/>
      <c r="CZ210" s="33"/>
      <c r="DA210" s="33"/>
      <c r="DB210" s="33"/>
      <c r="DC210" s="33"/>
      <c r="DD210" s="33"/>
      <c r="DE210" s="33"/>
      <c r="DF210" s="33"/>
      <c r="DG210" s="33"/>
      <c r="DH210" s="33"/>
      <c r="DI210" s="33"/>
      <c r="DJ210" s="33"/>
      <c r="DK210" s="33"/>
      <c r="DL210" s="33"/>
      <c r="DM210" s="33"/>
      <c r="DN210" s="33"/>
      <c r="DO210" s="33"/>
      <c r="DP210" s="33"/>
      <c r="DQ210" s="33"/>
      <c r="DR210" s="33"/>
      <c r="DS210" s="33"/>
      <c r="DT210" s="33"/>
      <c r="DU210" s="33"/>
      <c r="DV210" s="33"/>
      <c r="DW210" s="33"/>
      <c r="DX210" s="33"/>
      <c r="DY210" s="33"/>
      <c r="DZ210" s="33"/>
      <c r="EA210" s="33"/>
      <c r="EB210" s="33"/>
      <c r="EC210" s="33"/>
      <c r="ED210" s="33"/>
      <c r="EE210" s="33"/>
      <c r="EF210" s="33"/>
      <c r="EG210" s="33"/>
      <c r="EH210" s="33"/>
      <c r="EI210" s="33"/>
      <c r="EJ210" s="33"/>
      <c r="EK210" s="33"/>
      <c r="EL210" s="33"/>
      <c r="EM210" s="33"/>
      <c r="EN210" s="33"/>
      <c r="EO210" s="33"/>
      <c r="EP210" s="33"/>
      <c r="EQ210" s="33"/>
      <c r="ER210" s="33"/>
      <c r="ES210" s="33"/>
      <c r="ET210" s="33"/>
      <c r="EU210" s="33"/>
      <c r="EV210" s="33"/>
      <c r="EW210" s="33"/>
      <c r="EX210" s="33"/>
      <c r="EY210" s="33"/>
      <c r="EZ210" s="33"/>
      <c r="FA210" s="33"/>
      <c r="FB210" s="33"/>
      <c r="FC210" s="33"/>
      <c r="FD210" s="33"/>
      <c r="FE210" s="33"/>
      <c r="FF210" s="33"/>
      <c r="FG210" s="33"/>
      <c r="FH210" s="33"/>
      <c r="FI210" s="33"/>
      <c r="FJ210" s="33"/>
      <c r="FK210" s="33"/>
      <c r="FL210" s="33"/>
      <c r="FM210" s="33"/>
      <c r="FN210" s="33"/>
      <c r="FO210" s="33"/>
      <c r="FP210" s="33"/>
      <c r="FQ210" s="33"/>
      <c r="FR210" s="33"/>
      <c r="FS210" s="33"/>
      <c r="FT210" s="33"/>
      <c r="FU210" s="33"/>
      <c r="FV210" s="33"/>
      <c r="FW210" s="33"/>
      <c r="FX210" s="33"/>
      <c r="FY210" s="33"/>
      <c r="FZ210" s="33"/>
      <c r="GA210" s="33"/>
      <c r="GB210" s="33"/>
      <c r="GC210" s="33"/>
      <c r="GD210" s="33"/>
      <c r="GE210" s="33"/>
      <c r="GF210" s="33"/>
      <c r="GG210" s="33"/>
      <c r="GH210" s="33"/>
      <c r="GI210" s="33"/>
      <c r="GJ210" s="33"/>
      <c r="GK210" s="33"/>
      <c r="GL210" s="33"/>
      <c r="GM210" s="33"/>
      <c r="GN210" s="33"/>
      <c r="GO210" s="33"/>
      <c r="GP210" s="33"/>
      <c r="GQ210" s="33"/>
      <c r="GR210" s="33"/>
      <c r="GS210" s="33"/>
      <c r="GT210" s="33"/>
      <c r="GU210" s="33"/>
      <c r="GV210" s="33"/>
      <c r="GW210" s="33"/>
      <c r="GX210" s="33"/>
      <c r="GY210" s="33"/>
      <c r="GZ210" s="33"/>
      <c r="HA210" s="33"/>
      <c r="HB210" s="33"/>
      <c r="HC210" s="33"/>
      <c r="HD210" s="33"/>
      <c r="HE210" s="33"/>
      <c r="HF210" s="33"/>
      <c r="HG210" s="33"/>
      <c r="HH210" s="33"/>
      <c r="HI210" s="33"/>
      <c r="HJ210" s="33"/>
      <c r="HK210" s="33"/>
      <c r="HL210" s="33"/>
      <c r="HM210" s="33"/>
      <c r="HN210" s="33"/>
      <c r="HO210" s="33"/>
      <c r="HP210" s="33"/>
      <c r="HQ210" s="33"/>
      <c r="HR210" s="33"/>
      <c r="HS210" s="33"/>
      <c r="HT210" s="33"/>
      <c r="HU210" s="33"/>
      <c r="HV210" s="33"/>
      <c r="HW210" s="33"/>
      <c r="HX210" s="33"/>
      <c r="HY210" s="33"/>
      <c r="HZ210" s="33"/>
      <c r="IA210" s="33"/>
      <c r="IB210" s="33"/>
      <c r="IC210" s="33"/>
      <c r="ID210" s="33"/>
      <c r="IE210" s="33"/>
      <c r="IF210" s="33"/>
      <c r="IG210" s="33"/>
      <c r="IH210" s="33"/>
      <c r="II210" s="33"/>
      <c r="IJ210" s="33"/>
      <c r="IK210" s="33"/>
      <c r="IL210" s="33"/>
      <c r="IM210" s="33"/>
      <c r="IN210" s="33"/>
      <c r="IO210" s="33"/>
      <c r="IP210" s="33"/>
      <c r="IQ210" s="33"/>
      <c r="IR210" s="33"/>
      <c r="IS210" s="33"/>
      <c r="IT210" s="33"/>
      <c r="IU210" s="33"/>
      <c r="IV210" s="33"/>
      <c r="IW210" s="33"/>
      <c r="IX210" s="33"/>
      <c r="IY210" s="33"/>
      <c r="IZ210" s="33"/>
      <c r="JA210" s="33"/>
      <c r="JB210" s="33"/>
      <c r="JC210" s="33"/>
      <c r="JD210" s="33"/>
      <c r="JE210" s="33"/>
      <c r="JF210" s="33"/>
      <c r="JG210" s="33"/>
      <c r="JH210" s="33"/>
      <c r="JI210" s="33"/>
      <c r="JJ210" s="33"/>
      <c r="JK210" s="33"/>
      <c r="JL210" s="33"/>
      <c r="JM210" s="33"/>
      <c r="JN210" s="33"/>
      <c r="JO210" s="33"/>
      <c r="JP210" s="33"/>
      <c r="JQ210" s="33"/>
      <c r="JR210" s="33"/>
      <c r="JS210" s="33"/>
      <c r="JT210" s="33"/>
      <c r="JU210" s="33"/>
      <c r="JV210" s="33"/>
      <c r="JW210" s="33"/>
      <c r="JX210" s="33"/>
      <c r="JY210" s="33"/>
      <c r="JZ210" s="33"/>
      <c r="KA210" s="33"/>
      <c r="KB210" s="33"/>
      <c r="KC210" s="33"/>
      <c r="KD210" s="33"/>
      <c r="KE210" s="33"/>
      <c r="KF210" s="33"/>
      <c r="KG210" s="33"/>
      <c r="KH210" s="33"/>
      <c r="KI210" s="33"/>
      <c r="KJ210" s="33"/>
      <c r="KK210" s="33"/>
      <c r="KL210" s="33"/>
      <c r="KM210" s="33"/>
      <c r="KN210" s="33"/>
      <c r="KO210" s="33"/>
      <c r="KP210" s="33"/>
      <c r="KQ210" s="33"/>
      <c r="KR210" s="33"/>
      <c r="KS210" s="33"/>
      <c r="KT210" s="33"/>
      <c r="KU210" s="33"/>
      <c r="KV210" s="33"/>
      <c r="KW210" s="33"/>
      <c r="KX210" s="33"/>
      <c r="KY210" s="33"/>
      <c r="KZ210" s="33"/>
      <c r="LA210" s="33"/>
      <c r="LB210" s="33"/>
      <c r="LC210" s="33"/>
      <c r="LD210" s="33"/>
      <c r="LE210" s="33"/>
      <c r="LF210" s="33"/>
      <c r="LG210" s="33"/>
      <c r="LH210" s="33"/>
      <c r="LI210" s="33"/>
      <c r="LJ210" s="33"/>
      <c r="LK210" s="33"/>
      <c r="LL210" s="33"/>
      <c r="LM210" s="33"/>
      <c r="LN210" s="33"/>
      <c r="LO210" s="33"/>
      <c r="LP210" s="33"/>
      <c r="LQ210" s="33"/>
      <c r="LR210" s="33"/>
      <c r="LS210" s="33"/>
      <c r="LT210" s="33"/>
      <c r="LU210" s="33"/>
      <c r="LV210" s="33"/>
      <c r="LW210" s="33"/>
      <c r="LX210" s="33"/>
      <c r="LY210" s="33"/>
      <c r="LZ210" s="33"/>
      <c r="MA210" s="33"/>
      <c r="MB210" s="33"/>
      <c r="MC210" s="33"/>
      <c r="MD210" s="33"/>
      <c r="ME210" s="33"/>
      <c r="MF210" s="33"/>
      <c r="MG210" s="33"/>
      <c r="MH210" s="33"/>
      <c r="MI210" s="33"/>
      <c r="MJ210" s="33"/>
      <c r="MK210" s="33"/>
      <c r="ML210" s="33"/>
      <c r="MM210" s="33"/>
      <c r="MN210" s="33"/>
      <c r="MO210" s="33"/>
      <c r="MP210" s="33"/>
      <c r="MQ210" s="33"/>
      <c r="MR210" s="33"/>
      <c r="MS210" s="33"/>
      <c r="MT210" s="33"/>
      <c r="MU210" s="33"/>
      <c r="MV210" s="33"/>
    </row>
    <row r="211" spans="1:360" ht="0.75" customHeight="1" x14ac:dyDescent="0.25">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c r="BV211" s="33"/>
      <c r="BW211" s="33"/>
      <c r="BX211" s="33"/>
      <c r="BY211" s="33"/>
      <c r="BZ211" s="33"/>
      <c r="CA211" s="33"/>
      <c r="CB211" s="33"/>
      <c r="CC211" s="33"/>
      <c r="CD211" s="33"/>
      <c r="CE211" s="33"/>
      <c r="CF211" s="33"/>
      <c r="CG211" s="33"/>
      <c r="CH211" s="33"/>
      <c r="CI211" s="33"/>
      <c r="CJ211" s="33"/>
      <c r="CK211" s="33"/>
      <c r="CL211" s="33"/>
      <c r="CM211" s="33"/>
      <c r="CN211" s="33"/>
      <c r="CO211" s="33"/>
      <c r="CP211" s="33"/>
      <c r="CQ211" s="33"/>
      <c r="CR211" s="33"/>
      <c r="CS211" s="33"/>
      <c r="CT211" s="33"/>
      <c r="CU211" s="33"/>
      <c r="CV211" s="33"/>
      <c r="CW211" s="33"/>
      <c r="CX211" s="33"/>
      <c r="CY211" s="33"/>
      <c r="CZ211" s="33"/>
      <c r="DA211" s="33"/>
      <c r="DB211" s="33"/>
      <c r="DC211" s="33"/>
      <c r="DD211" s="33"/>
      <c r="DE211" s="33"/>
      <c r="DF211" s="33"/>
      <c r="DG211" s="33"/>
      <c r="DH211" s="33"/>
      <c r="DI211" s="33"/>
      <c r="DJ211" s="33"/>
      <c r="DK211" s="33"/>
      <c r="DL211" s="33"/>
      <c r="DM211" s="33"/>
      <c r="DN211" s="33"/>
      <c r="DO211" s="33"/>
      <c r="DP211" s="33"/>
      <c r="DQ211" s="33"/>
      <c r="DR211" s="33"/>
      <c r="DS211" s="33"/>
      <c r="DT211" s="33"/>
      <c r="DU211" s="33"/>
      <c r="DV211" s="33"/>
      <c r="DW211" s="33"/>
      <c r="DX211" s="33"/>
      <c r="DY211" s="33"/>
      <c r="DZ211" s="33"/>
      <c r="EA211" s="33"/>
      <c r="EB211" s="33"/>
      <c r="EC211" s="33"/>
      <c r="ED211" s="33"/>
      <c r="EE211" s="33"/>
      <c r="EF211" s="33"/>
      <c r="EG211" s="33"/>
      <c r="EH211" s="33"/>
      <c r="EI211" s="33"/>
      <c r="EJ211" s="33"/>
      <c r="EK211" s="33"/>
      <c r="EL211" s="33"/>
      <c r="EM211" s="33"/>
      <c r="EN211" s="33"/>
      <c r="EO211" s="33"/>
      <c r="EP211" s="33"/>
      <c r="EQ211" s="33"/>
      <c r="ER211" s="33"/>
      <c r="ES211" s="33"/>
      <c r="ET211" s="33"/>
      <c r="EU211" s="33"/>
      <c r="EV211" s="33"/>
      <c r="EW211" s="33"/>
      <c r="EX211" s="33"/>
      <c r="EY211" s="33"/>
      <c r="EZ211" s="33"/>
      <c r="FA211" s="33"/>
      <c r="FB211" s="33"/>
      <c r="FC211" s="33"/>
      <c r="FD211" s="33"/>
      <c r="FE211" s="33"/>
      <c r="FF211" s="33"/>
      <c r="FG211" s="33"/>
      <c r="FH211" s="33"/>
      <c r="FI211" s="33"/>
      <c r="FJ211" s="33"/>
      <c r="FK211" s="33"/>
      <c r="FL211" s="33"/>
      <c r="FM211" s="33"/>
      <c r="FN211" s="33"/>
      <c r="FO211" s="33"/>
      <c r="FP211" s="33"/>
      <c r="FQ211" s="33"/>
      <c r="FR211" s="33"/>
      <c r="FS211" s="33"/>
      <c r="FT211" s="33"/>
      <c r="FU211" s="33"/>
      <c r="FV211" s="33"/>
      <c r="FW211" s="33"/>
      <c r="FX211" s="33"/>
      <c r="FY211" s="33"/>
      <c r="FZ211" s="33"/>
      <c r="GA211" s="33"/>
      <c r="GB211" s="33"/>
      <c r="GC211" s="33"/>
      <c r="GD211" s="33"/>
      <c r="GE211" s="33"/>
      <c r="GF211" s="33"/>
      <c r="GG211" s="33"/>
      <c r="GH211" s="33"/>
      <c r="GI211" s="33"/>
      <c r="GJ211" s="33"/>
      <c r="GK211" s="33"/>
      <c r="GL211" s="33"/>
      <c r="GM211" s="33"/>
      <c r="GN211" s="33"/>
      <c r="GO211" s="33"/>
      <c r="GP211" s="33"/>
      <c r="GQ211" s="33"/>
      <c r="GR211" s="33"/>
      <c r="GS211" s="33"/>
      <c r="GT211" s="33"/>
      <c r="GU211" s="33"/>
      <c r="GV211" s="33"/>
      <c r="GW211" s="33"/>
      <c r="GX211" s="33"/>
      <c r="GY211" s="33"/>
      <c r="GZ211" s="33"/>
      <c r="HA211" s="33"/>
      <c r="HB211" s="33"/>
      <c r="HC211" s="33"/>
      <c r="HD211" s="33"/>
      <c r="HE211" s="33"/>
      <c r="HF211" s="33"/>
      <c r="HG211" s="33"/>
      <c r="HH211" s="33"/>
      <c r="HI211" s="33"/>
      <c r="HJ211" s="33"/>
      <c r="HK211" s="33"/>
      <c r="HL211" s="33"/>
      <c r="HM211" s="33"/>
      <c r="HN211" s="33"/>
      <c r="HO211" s="33"/>
      <c r="HP211" s="33"/>
      <c r="HQ211" s="33"/>
      <c r="HR211" s="33"/>
      <c r="HS211" s="33"/>
      <c r="HT211" s="33"/>
      <c r="HU211" s="33"/>
      <c r="HV211" s="33"/>
      <c r="HW211" s="33"/>
      <c r="HX211" s="33"/>
      <c r="HY211" s="33"/>
      <c r="HZ211" s="33"/>
      <c r="IA211" s="33"/>
      <c r="IB211" s="33"/>
      <c r="IC211" s="33"/>
      <c r="ID211" s="33"/>
      <c r="IE211" s="33"/>
      <c r="IF211" s="33"/>
      <c r="IG211" s="33"/>
      <c r="IH211" s="33"/>
      <c r="II211" s="33"/>
      <c r="IJ211" s="33"/>
      <c r="IK211" s="33"/>
      <c r="IL211" s="33"/>
      <c r="IM211" s="33"/>
      <c r="IN211" s="33"/>
      <c r="IO211" s="33"/>
      <c r="IP211" s="33"/>
      <c r="IQ211" s="33"/>
      <c r="IR211" s="33"/>
      <c r="IS211" s="33"/>
      <c r="IT211" s="33"/>
      <c r="IU211" s="33"/>
      <c r="IV211" s="33"/>
      <c r="IW211" s="33"/>
      <c r="IX211" s="33"/>
      <c r="IY211" s="33"/>
      <c r="IZ211" s="33"/>
      <c r="JA211" s="33"/>
      <c r="JB211" s="33"/>
      <c r="JC211" s="33"/>
      <c r="JD211" s="33"/>
      <c r="JE211" s="33"/>
      <c r="JF211" s="33"/>
      <c r="JG211" s="33"/>
      <c r="JH211" s="33"/>
      <c r="JI211" s="33"/>
      <c r="JJ211" s="33"/>
      <c r="JK211" s="33"/>
      <c r="JL211" s="33"/>
      <c r="JM211" s="33"/>
      <c r="JN211" s="33"/>
      <c r="JO211" s="33"/>
      <c r="JP211" s="33"/>
      <c r="JQ211" s="33"/>
      <c r="JR211" s="33"/>
      <c r="JS211" s="33"/>
      <c r="JT211" s="33"/>
      <c r="JU211" s="33"/>
      <c r="JV211" s="33"/>
      <c r="JW211" s="33"/>
      <c r="JX211" s="33"/>
      <c r="JY211" s="33"/>
      <c r="JZ211" s="33"/>
      <c r="KA211" s="33"/>
      <c r="KB211" s="33"/>
      <c r="KC211" s="33"/>
      <c r="KD211" s="33"/>
      <c r="KE211" s="33"/>
      <c r="KF211" s="33"/>
      <c r="KG211" s="33"/>
      <c r="KH211" s="33"/>
      <c r="KI211" s="33"/>
      <c r="KJ211" s="33"/>
      <c r="KK211" s="33"/>
      <c r="KL211" s="33"/>
      <c r="KM211" s="33"/>
      <c r="KN211" s="33"/>
      <c r="KO211" s="33"/>
      <c r="KP211" s="33"/>
      <c r="KQ211" s="33"/>
      <c r="KR211" s="33"/>
      <c r="KS211" s="33"/>
      <c r="KT211" s="33"/>
      <c r="KU211" s="33"/>
      <c r="KV211" s="33"/>
      <c r="KW211" s="33"/>
      <c r="KX211" s="33"/>
      <c r="KY211" s="33"/>
      <c r="KZ211" s="33"/>
      <c r="LA211" s="33"/>
      <c r="LB211" s="33"/>
      <c r="LC211" s="33"/>
      <c r="LD211" s="33"/>
      <c r="LE211" s="33"/>
      <c r="LF211" s="33"/>
      <c r="LG211" s="33"/>
      <c r="LH211" s="33"/>
      <c r="LI211" s="33"/>
      <c r="LJ211" s="33"/>
      <c r="LK211" s="33"/>
      <c r="LL211" s="33"/>
      <c r="LM211" s="33"/>
      <c r="LN211" s="33"/>
      <c r="LO211" s="33"/>
      <c r="LP211" s="33"/>
      <c r="LQ211" s="33"/>
      <c r="LR211" s="33"/>
      <c r="LS211" s="33"/>
      <c r="LT211" s="33"/>
      <c r="LU211" s="33"/>
      <c r="LV211" s="33"/>
      <c r="LW211" s="33"/>
      <c r="LX211" s="33"/>
      <c r="LY211" s="33"/>
      <c r="LZ211" s="33"/>
      <c r="MA211" s="33"/>
      <c r="MB211" s="33"/>
      <c r="MC211" s="33"/>
      <c r="MD211" s="33"/>
      <c r="ME211" s="33"/>
      <c r="MF211" s="33"/>
      <c r="MG211" s="33"/>
      <c r="MH211" s="33"/>
      <c r="MI211" s="33"/>
      <c r="MJ211" s="33"/>
      <c r="MK211" s="33"/>
      <c r="ML211" s="33"/>
      <c r="MM211" s="33"/>
      <c r="MN211" s="33"/>
      <c r="MO211" s="33"/>
      <c r="MP211" s="33"/>
      <c r="MQ211" s="33"/>
      <c r="MR211" s="33"/>
      <c r="MS211" s="33"/>
      <c r="MT211" s="33"/>
      <c r="MU211" s="33"/>
      <c r="MV211" s="33"/>
    </row>
    <row r="212" spans="1:360" ht="0.75" customHeight="1" x14ac:dyDescent="0.25">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c r="BV212" s="33"/>
      <c r="BW212" s="33"/>
      <c r="BX212" s="33"/>
      <c r="BY212" s="33"/>
      <c r="BZ212" s="33"/>
      <c r="CA212" s="33"/>
      <c r="CB212" s="33"/>
      <c r="CC212" s="33"/>
      <c r="CD212" s="33"/>
      <c r="CE212" s="33"/>
      <c r="CF212" s="33"/>
      <c r="CG212" s="33"/>
      <c r="CH212" s="33"/>
      <c r="CI212" s="33"/>
      <c r="CJ212" s="33"/>
      <c r="CK212" s="33"/>
      <c r="CL212" s="33"/>
      <c r="CM212" s="33"/>
      <c r="CN212" s="33"/>
      <c r="CO212" s="33"/>
      <c r="CP212" s="33"/>
      <c r="CQ212" s="33"/>
      <c r="CR212" s="33"/>
      <c r="CS212" s="33"/>
      <c r="CT212" s="33"/>
      <c r="CU212" s="33"/>
      <c r="CV212" s="33"/>
      <c r="CW212" s="33"/>
      <c r="CX212" s="33"/>
      <c r="CY212" s="33"/>
      <c r="CZ212" s="33"/>
      <c r="DA212" s="33"/>
      <c r="DB212" s="33"/>
      <c r="DC212" s="33"/>
      <c r="DD212" s="33"/>
      <c r="DE212" s="33"/>
      <c r="DF212" s="33"/>
      <c r="DG212" s="33"/>
      <c r="DH212" s="33"/>
      <c r="DI212" s="33"/>
      <c r="DJ212" s="33"/>
      <c r="DK212" s="33"/>
      <c r="DL212" s="33"/>
      <c r="DM212" s="33"/>
      <c r="DN212" s="33"/>
      <c r="DO212" s="33"/>
      <c r="DP212" s="33"/>
      <c r="DQ212" s="33"/>
      <c r="DR212" s="33"/>
      <c r="DS212" s="33"/>
      <c r="DT212" s="33"/>
      <c r="DU212" s="33"/>
      <c r="DV212" s="33"/>
      <c r="DW212" s="33"/>
      <c r="DX212" s="33"/>
      <c r="DY212" s="33"/>
      <c r="DZ212" s="33"/>
      <c r="EA212" s="33"/>
      <c r="EB212" s="33"/>
      <c r="EC212" s="33"/>
      <c r="ED212" s="33"/>
      <c r="EE212" s="33"/>
      <c r="EF212" s="33"/>
      <c r="EG212" s="33"/>
      <c r="EH212" s="33"/>
      <c r="EI212" s="33"/>
      <c r="EJ212" s="33"/>
      <c r="EK212" s="33"/>
      <c r="EL212" s="33"/>
      <c r="EM212" s="33"/>
      <c r="EN212" s="33"/>
      <c r="EO212" s="33"/>
      <c r="EP212" s="33"/>
      <c r="EQ212" s="33"/>
      <c r="ER212" s="33"/>
      <c r="ES212" s="33"/>
      <c r="ET212" s="33"/>
      <c r="EU212" s="33"/>
      <c r="EV212" s="33"/>
      <c r="EW212" s="33"/>
      <c r="EX212" s="33"/>
      <c r="EY212" s="33"/>
      <c r="EZ212" s="33"/>
      <c r="FA212" s="33"/>
      <c r="FB212" s="33"/>
      <c r="FC212" s="33"/>
      <c r="FD212" s="33"/>
      <c r="FE212" s="33"/>
      <c r="FF212" s="33"/>
      <c r="FG212" s="33"/>
      <c r="FH212" s="33"/>
      <c r="FI212" s="33"/>
      <c r="FJ212" s="33"/>
      <c r="FK212" s="33"/>
      <c r="FL212" s="33"/>
      <c r="FM212" s="33"/>
      <c r="FN212" s="33"/>
      <c r="FO212" s="33"/>
      <c r="FP212" s="33"/>
      <c r="FQ212" s="33"/>
      <c r="FR212" s="33"/>
      <c r="FS212" s="33"/>
      <c r="FT212" s="33"/>
      <c r="FU212" s="33"/>
      <c r="FV212" s="33"/>
      <c r="FW212" s="33"/>
      <c r="FX212" s="33"/>
      <c r="FY212" s="33"/>
      <c r="FZ212" s="33"/>
      <c r="GA212" s="33"/>
      <c r="GB212" s="33"/>
      <c r="GC212" s="33"/>
      <c r="GD212" s="33"/>
      <c r="GE212" s="33"/>
      <c r="GF212" s="33"/>
      <c r="GG212" s="33"/>
      <c r="GH212" s="33"/>
      <c r="GI212" s="33"/>
      <c r="GJ212" s="33"/>
      <c r="GK212" s="33"/>
      <c r="GL212" s="33"/>
      <c r="GM212" s="33"/>
      <c r="GN212" s="33"/>
      <c r="GO212" s="33"/>
      <c r="GP212" s="33"/>
      <c r="GQ212" s="33"/>
      <c r="GR212" s="33"/>
      <c r="GS212" s="33"/>
      <c r="GT212" s="33"/>
      <c r="GU212" s="33"/>
      <c r="GV212" s="33"/>
      <c r="GW212" s="33"/>
      <c r="GX212" s="33"/>
      <c r="GY212" s="33"/>
      <c r="GZ212" s="33"/>
      <c r="HA212" s="33"/>
      <c r="HB212" s="33"/>
      <c r="HC212" s="33"/>
      <c r="HD212" s="33"/>
      <c r="HE212" s="33"/>
      <c r="HF212" s="33"/>
      <c r="HG212" s="33"/>
      <c r="HH212" s="33"/>
      <c r="HI212" s="33"/>
      <c r="HJ212" s="33"/>
      <c r="HK212" s="33"/>
      <c r="HL212" s="33"/>
      <c r="HM212" s="33"/>
      <c r="HN212" s="33"/>
      <c r="HO212" s="33"/>
      <c r="HP212" s="33"/>
      <c r="HQ212" s="33"/>
      <c r="HR212" s="33"/>
      <c r="HS212" s="33"/>
      <c r="HT212" s="33"/>
      <c r="HU212" s="33"/>
      <c r="HV212" s="33"/>
      <c r="HW212" s="33"/>
      <c r="HX212" s="33"/>
      <c r="HY212" s="33"/>
      <c r="HZ212" s="33"/>
      <c r="IA212" s="33"/>
      <c r="IB212" s="33"/>
      <c r="IC212" s="33"/>
      <c r="ID212" s="33"/>
      <c r="IE212" s="33"/>
      <c r="IF212" s="33"/>
      <c r="IG212" s="33"/>
      <c r="IH212" s="33"/>
      <c r="II212" s="33"/>
      <c r="IJ212" s="33"/>
      <c r="IK212" s="33"/>
      <c r="IL212" s="33"/>
      <c r="IM212" s="33"/>
      <c r="IN212" s="33"/>
      <c r="IO212" s="33"/>
      <c r="IP212" s="33"/>
      <c r="IQ212" s="33"/>
      <c r="IR212" s="33"/>
      <c r="IS212" s="33"/>
      <c r="IT212" s="33"/>
      <c r="IU212" s="33"/>
      <c r="IV212" s="33"/>
      <c r="IW212" s="33"/>
      <c r="IX212" s="33"/>
      <c r="IY212" s="33"/>
      <c r="IZ212" s="33"/>
      <c r="JA212" s="33"/>
      <c r="JB212" s="33"/>
      <c r="JC212" s="33"/>
      <c r="JD212" s="33"/>
      <c r="JE212" s="33"/>
      <c r="JF212" s="33"/>
      <c r="JG212" s="33"/>
      <c r="JH212" s="33"/>
      <c r="JI212" s="33"/>
      <c r="JJ212" s="33"/>
      <c r="JK212" s="33"/>
      <c r="JL212" s="33"/>
      <c r="JM212" s="33"/>
      <c r="JN212" s="33"/>
      <c r="JO212" s="33"/>
      <c r="JP212" s="33"/>
      <c r="JQ212" s="33"/>
      <c r="JR212" s="33"/>
      <c r="JS212" s="33"/>
      <c r="JT212" s="33"/>
      <c r="JU212" s="33"/>
      <c r="JV212" s="33"/>
      <c r="JW212" s="33"/>
      <c r="JX212" s="33"/>
      <c r="JY212" s="33"/>
      <c r="JZ212" s="33"/>
      <c r="KA212" s="33"/>
      <c r="KB212" s="33"/>
      <c r="KC212" s="33"/>
      <c r="KD212" s="33"/>
      <c r="KE212" s="33"/>
      <c r="KF212" s="33"/>
      <c r="KG212" s="33"/>
      <c r="KH212" s="33"/>
      <c r="KI212" s="33"/>
      <c r="KJ212" s="33"/>
      <c r="KK212" s="33"/>
      <c r="KL212" s="33"/>
      <c r="KM212" s="33"/>
      <c r="KN212" s="33"/>
      <c r="KO212" s="33"/>
      <c r="KP212" s="33"/>
      <c r="KQ212" s="33"/>
      <c r="KR212" s="33"/>
      <c r="KS212" s="33"/>
      <c r="KT212" s="33"/>
      <c r="KU212" s="33"/>
      <c r="KV212" s="33"/>
      <c r="KW212" s="33"/>
      <c r="KX212" s="33"/>
      <c r="KY212" s="33"/>
      <c r="KZ212" s="33"/>
      <c r="LA212" s="33"/>
      <c r="LB212" s="33"/>
      <c r="LC212" s="33"/>
      <c r="LD212" s="33"/>
      <c r="LE212" s="33"/>
      <c r="LF212" s="33"/>
      <c r="LG212" s="33"/>
      <c r="LH212" s="33"/>
      <c r="LI212" s="33"/>
      <c r="LJ212" s="33"/>
      <c r="LK212" s="33"/>
      <c r="LL212" s="33"/>
      <c r="LM212" s="33"/>
      <c r="LN212" s="33"/>
      <c r="LO212" s="33"/>
      <c r="LP212" s="33"/>
      <c r="LQ212" s="33"/>
      <c r="LR212" s="33"/>
      <c r="LS212" s="33"/>
      <c r="LT212" s="33"/>
      <c r="LU212" s="33"/>
      <c r="LV212" s="33"/>
      <c r="LW212" s="33"/>
      <c r="LX212" s="33"/>
      <c r="LY212" s="33"/>
      <c r="LZ212" s="33"/>
      <c r="MA212" s="33"/>
      <c r="MB212" s="33"/>
      <c r="MC212" s="33"/>
      <c r="MD212" s="33"/>
      <c r="ME212" s="33"/>
      <c r="MF212" s="33"/>
      <c r="MG212" s="33"/>
      <c r="MH212" s="33"/>
      <c r="MI212" s="33"/>
      <c r="MJ212" s="33"/>
      <c r="MK212" s="33"/>
      <c r="ML212" s="33"/>
      <c r="MM212" s="33"/>
      <c r="MN212" s="33"/>
      <c r="MO212" s="33"/>
      <c r="MP212" s="33"/>
      <c r="MQ212" s="33"/>
      <c r="MR212" s="33"/>
      <c r="MS212" s="33"/>
      <c r="MT212" s="33"/>
      <c r="MU212" s="33"/>
      <c r="MV212" s="33"/>
    </row>
    <row r="213" spans="1:360" ht="0.75" customHeight="1" x14ac:dyDescent="0.25">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c r="DM213" s="33"/>
      <c r="DN213" s="33"/>
      <c r="DO213" s="33"/>
      <c r="DP213" s="33"/>
      <c r="DQ213" s="33"/>
      <c r="DR213" s="33"/>
      <c r="DS213" s="33"/>
      <c r="DT213" s="33"/>
      <c r="DU213" s="33"/>
      <c r="DV213" s="33"/>
      <c r="DW213" s="33"/>
      <c r="DX213" s="33"/>
      <c r="DY213" s="33"/>
      <c r="DZ213" s="33"/>
      <c r="EA213" s="33"/>
      <c r="EB213" s="33"/>
      <c r="EC213" s="33"/>
      <c r="ED213" s="33"/>
      <c r="EE213" s="33"/>
      <c r="EF213" s="33"/>
      <c r="EG213" s="33"/>
      <c r="EH213" s="33"/>
      <c r="EI213" s="33"/>
      <c r="EJ213" s="33"/>
      <c r="EK213" s="33"/>
      <c r="EL213" s="33"/>
      <c r="EM213" s="33"/>
      <c r="EN213" s="33"/>
      <c r="EO213" s="33"/>
      <c r="EP213" s="33"/>
      <c r="EQ213" s="33"/>
      <c r="ER213" s="33"/>
      <c r="ES213" s="33"/>
      <c r="ET213" s="33"/>
      <c r="EU213" s="33"/>
      <c r="EV213" s="33"/>
      <c r="EW213" s="33"/>
      <c r="EX213" s="33"/>
      <c r="EY213" s="33"/>
      <c r="EZ213" s="33"/>
      <c r="FA213" s="33"/>
      <c r="FB213" s="33"/>
      <c r="FC213" s="33"/>
      <c r="FD213" s="33"/>
      <c r="FE213" s="33"/>
      <c r="FF213" s="33"/>
      <c r="FG213" s="33"/>
      <c r="FH213" s="33"/>
      <c r="FI213" s="33"/>
      <c r="FJ213" s="33"/>
      <c r="FK213" s="33"/>
      <c r="FL213" s="33"/>
      <c r="FM213" s="33"/>
      <c r="FN213" s="33"/>
      <c r="FO213" s="33"/>
      <c r="FP213" s="33"/>
      <c r="FQ213" s="33"/>
      <c r="FR213" s="33"/>
      <c r="FS213" s="33"/>
      <c r="FT213" s="33"/>
      <c r="FU213" s="33"/>
      <c r="FV213" s="33"/>
      <c r="FW213" s="33"/>
      <c r="FX213" s="33"/>
      <c r="FY213" s="33"/>
      <c r="FZ213" s="33"/>
      <c r="GA213" s="33"/>
      <c r="GB213" s="33"/>
      <c r="GC213" s="33"/>
      <c r="GD213" s="33"/>
      <c r="GE213" s="33"/>
      <c r="GF213" s="33"/>
      <c r="GG213" s="33"/>
      <c r="GH213" s="33"/>
      <c r="GI213" s="33"/>
      <c r="GJ213" s="33"/>
      <c r="GK213" s="33"/>
      <c r="GL213" s="33"/>
      <c r="GM213" s="33"/>
      <c r="GN213" s="33"/>
      <c r="GO213" s="33"/>
      <c r="GP213" s="33"/>
      <c r="GQ213" s="33"/>
      <c r="GR213" s="33"/>
      <c r="GS213" s="33"/>
      <c r="GT213" s="33"/>
      <c r="GU213" s="33"/>
      <c r="GV213" s="33"/>
      <c r="GW213" s="33"/>
      <c r="GX213" s="33"/>
      <c r="GY213" s="33"/>
      <c r="GZ213" s="33"/>
      <c r="HA213" s="33"/>
      <c r="HB213" s="33"/>
      <c r="HC213" s="33"/>
      <c r="HD213" s="33"/>
      <c r="HE213" s="33"/>
      <c r="HF213" s="33"/>
      <c r="HG213" s="33"/>
      <c r="HH213" s="33"/>
      <c r="HI213" s="33"/>
      <c r="HJ213" s="33"/>
      <c r="HK213" s="33"/>
      <c r="HL213" s="33"/>
      <c r="HM213" s="33"/>
      <c r="HN213" s="33"/>
      <c r="HO213" s="33"/>
      <c r="HP213" s="33"/>
      <c r="HQ213" s="33"/>
      <c r="HR213" s="33"/>
      <c r="HS213" s="33"/>
      <c r="HT213" s="33"/>
      <c r="HU213" s="33"/>
      <c r="HV213" s="33"/>
      <c r="HW213" s="33"/>
      <c r="HX213" s="33"/>
      <c r="HY213" s="33"/>
      <c r="HZ213" s="33"/>
      <c r="IA213" s="33"/>
      <c r="IB213" s="33"/>
      <c r="IC213" s="33"/>
      <c r="ID213" s="33"/>
      <c r="IE213" s="33"/>
      <c r="IF213" s="33"/>
      <c r="IG213" s="33"/>
      <c r="IH213" s="33"/>
      <c r="II213" s="33"/>
      <c r="IJ213" s="33"/>
      <c r="IK213" s="33"/>
      <c r="IL213" s="33"/>
      <c r="IM213" s="33"/>
      <c r="IN213" s="33"/>
      <c r="IO213" s="33"/>
      <c r="IP213" s="33"/>
      <c r="IQ213" s="33"/>
      <c r="IR213" s="33"/>
      <c r="IS213" s="33"/>
      <c r="IT213" s="33"/>
      <c r="IU213" s="33"/>
      <c r="IV213" s="33"/>
      <c r="IW213" s="33"/>
      <c r="IX213" s="33"/>
      <c r="IY213" s="33"/>
      <c r="IZ213" s="33"/>
      <c r="JA213" s="33"/>
      <c r="JB213" s="33"/>
      <c r="JC213" s="33"/>
      <c r="JD213" s="33"/>
      <c r="JE213" s="33"/>
      <c r="JF213" s="33"/>
      <c r="JG213" s="33"/>
      <c r="JH213" s="33"/>
      <c r="JI213" s="33"/>
      <c r="JJ213" s="33"/>
      <c r="JK213" s="33"/>
      <c r="JL213" s="33"/>
      <c r="JM213" s="33"/>
      <c r="JN213" s="33"/>
      <c r="JO213" s="33"/>
      <c r="JP213" s="33"/>
      <c r="JQ213" s="33"/>
      <c r="JR213" s="33"/>
      <c r="JS213" s="33"/>
      <c r="JT213" s="33"/>
      <c r="JU213" s="33"/>
      <c r="JV213" s="33"/>
      <c r="JW213" s="33"/>
      <c r="JX213" s="33"/>
      <c r="JY213" s="33"/>
      <c r="JZ213" s="33"/>
      <c r="KA213" s="33"/>
      <c r="KB213" s="33"/>
      <c r="KC213" s="33"/>
      <c r="KD213" s="33"/>
      <c r="KE213" s="33"/>
      <c r="KF213" s="33"/>
      <c r="KG213" s="33"/>
      <c r="KH213" s="33"/>
      <c r="KI213" s="33"/>
      <c r="KJ213" s="33"/>
      <c r="KK213" s="33"/>
      <c r="KL213" s="33"/>
      <c r="KM213" s="33"/>
      <c r="KN213" s="33"/>
      <c r="KO213" s="33"/>
      <c r="KP213" s="33"/>
      <c r="KQ213" s="33"/>
      <c r="KR213" s="33"/>
      <c r="KS213" s="33"/>
      <c r="KT213" s="33"/>
      <c r="KU213" s="33"/>
      <c r="KV213" s="33"/>
      <c r="KW213" s="33"/>
      <c r="KX213" s="33"/>
      <c r="KY213" s="33"/>
      <c r="KZ213" s="33"/>
      <c r="LA213" s="33"/>
      <c r="LB213" s="33"/>
      <c r="LC213" s="33"/>
      <c r="LD213" s="33"/>
      <c r="LE213" s="33"/>
      <c r="LF213" s="33"/>
      <c r="LG213" s="33"/>
      <c r="LH213" s="33"/>
      <c r="LI213" s="33"/>
      <c r="LJ213" s="33"/>
      <c r="LK213" s="33"/>
      <c r="LL213" s="33"/>
      <c r="LM213" s="33"/>
      <c r="LN213" s="33"/>
      <c r="LO213" s="33"/>
      <c r="LP213" s="33"/>
      <c r="LQ213" s="33"/>
      <c r="LR213" s="33"/>
      <c r="LS213" s="33"/>
      <c r="LT213" s="33"/>
      <c r="LU213" s="33"/>
      <c r="LV213" s="33"/>
      <c r="LW213" s="33"/>
      <c r="LX213" s="33"/>
      <c r="LY213" s="33"/>
      <c r="LZ213" s="33"/>
      <c r="MA213" s="33"/>
      <c r="MB213" s="33"/>
      <c r="MC213" s="33"/>
      <c r="MD213" s="33"/>
      <c r="ME213" s="33"/>
      <c r="MF213" s="33"/>
      <c r="MG213" s="33"/>
      <c r="MH213" s="33"/>
      <c r="MI213" s="33"/>
      <c r="MJ213" s="33"/>
      <c r="MK213" s="33"/>
      <c r="ML213" s="33"/>
      <c r="MM213" s="33"/>
      <c r="MN213" s="33"/>
      <c r="MO213" s="33"/>
      <c r="MP213" s="33"/>
      <c r="MQ213" s="33"/>
      <c r="MR213" s="33"/>
      <c r="MS213" s="33"/>
      <c r="MT213" s="33"/>
      <c r="MU213" s="33"/>
      <c r="MV213" s="33"/>
    </row>
    <row r="214" spans="1:360" ht="0.75" customHeight="1" x14ac:dyDescent="0.25">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c r="DM214" s="33"/>
      <c r="DN214" s="33"/>
      <c r="DO214" s="33"/>
      <c r="DP214" s="33"/>
      <c r="DQ214" s="33"/>
      <c r="DR214" s="33"/>
      <c r="DS214" s="33"/>
      <c r="DT214" s="33"/>
      <c r="DU214" s="33"/>
      <c r="DV214" s="33"/>
      <c r="DW214" s="33"/>
      <c r="DX214" s="33"/>
      <c r="DY214" s="33"/>
      <c r="DZ214" s="33"/>
      <c r="EA214" s="33"/>
      <c r="EB214" s="33"/>
      <c r="EC214" s="33"/>
      <c r="ED214" s="33"/>
      <c r="EE214" s="33"/>
      <c r="EF214" s="33"/>
      <c r="EG214" s="33"/>
      <c r="EH214" s="33"/>
      <c r="EI214" s="33"/>
      <c r="EJ214" s="33"/>
      <c r="EK214" s="33"/>
      <c r="EL214" s="33"/>
      <c r="EM214" s="33"/>
      <c r="EN214" s="33"/>
      <c r="EO214" s="33"/>
      <c r="EP214" s="33"/>
      <c r="EQ214" s="33"/>
      <c r="ER214" s="33"/>
      <c r="ES214" s="33"/>
      <c r="ET214" s="33"/>
      <c r="EU214" s="33"/>
      <c r="EV214" s="33"/>
      <c r="EW214" s="33"/>
      <c r="EX214" s="33"/>
      <c r="EY214" s="33"/>
      <c r="EZ214" s="33"/>
      <c r="FA214" s="33"/>
      <c r="FB214" s="33"/>
      <c r="FC214" s="33"/>
      <c r="FD214" s="33"/>
      <c r="FE214" s="33"/>
      <c r="FF214" s="33"/>
      <c r="FG214" s="33"/>
      <c r="FH214" s="33"/>
      <c r="FI214" s="33"/>
      <c r="FJ214" s="33"/>
      <c r="FK214" s="33"/>
      <c r="FL214" s="33"/>
      <c r="FM214" s="33"/>
      <c r="FN214" s="33"/>
      <c r="FO214" s="33"/>
      <c r="FP214" s="33"/>
      <c r="FQ214" s="33"/>
      <c r="FR214" s="33"/>
      <c r="FS214" s="33"/>
      <c r="FT214" s="33"/>
      <c r="FU214" s="33"/>
      <c r="FV214" s="33"/>
      <c r="FW214" s="33"/>
      <c r="FX214" s="33"/>
      <c r="FY214" s="33"/>
      <c r="FZ214" s="33"/>
      <c r="GA214" s="33"/>
      <c r="GB214" s="33"/>
      <c r="GC214" s="33"/>
      <c r="GD214" s="33"/>
      <c r="GE214" s="33"/>
      <c r="GF214" s="33"/>
      <c r="GG214" s="33"/>
      <c r="GH214" s="33"/>
      <c r="GI214" s="33"/>
      <c r="GJ214" s="33"/>
      <c r="GK214" s="33"/>
      <c r="GL214" s="33"/>
      <c r="GM214" s="33"/>
      <c r="GN214" s="33"/>
      <c r="GO214" s="33"/>
      <c r="GP214" s="33"/>
      <c r="GQ214" s="33"/>
      <c r="GR214" s="33"/>
      <c r="GS214" s="33"/>
      <c r="GT214" s="33"/>
      <c r="GU214" s="33"/>
      <c r="GV214" s="33"/>
      <c r="GW214" s="33"/>
      <c r="GX214" s="33"/>
      <c r="GY214" s="33"/>
      <c r="GZ214" s="33"/>
      <c r="HA214" s="33"/>
      <c r="HB214" s="33"/>
      <c r="HC214" s="33"/>
      <c r="HD214" s="33"/>
      <c r="HE214" s="33"/>
      <c r="HF214" s="33"/>
      <c r="HG214" s="33"/>
      <c r="HH214" s="33"/>
      <c r="HI214" s="33"/>
      <c r="HJ214" s="33"/>
      <c r="HK214" s="33"/>
      <c r="HL214" s="33"/>
      <c r="HM214" s="33"/>
      <c r="HN214" s="33"/>
      <c r="HO214" s="33"/>
      <c r="HP214" s="33"/>
      <c r="HQ214" s="33"/>
      <c r="HR214" s="33"/>
      <c r="HS214" s="33"/>
      <c r="HT214" s="33"/>
      <c r="HU214" s="33"/>
      <c r="HV214" s="33"/>
      <c r="HW214" s="33"/>
      <c r="HX214" s="33"/>
      <c r="HY214" s="33"/>
      <c r="HZ214" s="33"/>
      <c r="IA214" s="33"/>
      <c r="IB214" s="33"/>
      <c r="IC214" s="33"/>
      <c r="ID214" s="33"/>
      <c r="IE214" s="33"/>
      <c r="IF214" s="33"/>
      <c r="IG214" s="33"/>
      <c r="IH214" s="33"/>
      <c r="II214" s="33"/>
      <c r="IJ214" s="33"/>
      <c r="IK214" s="33"/>
      <c r="IL214" s="33"/>
      <c r="IM214" s="33"/>
      <c r="IN214" s="33"/>
      <c r="IO214" s="33"/>
      <c r="IP214" s="33"/>
      <c r="IQ214" s="33"/>
      <c r="IR214" s="33"/>
      <c r="IS214" s="33"/>
      <c r="IT214" s="33"/>
      <c r="IU214" s="33"/>
      <c r="IV214" s="33"/>
      <c r="IW214" s="33"/>
      <c r="IX214" s="33"/>
      <c r="IY214" s="33"/>
      <c r="IZ214" s="33"/>
      <c r="JA214" s="33"/>
      <c r="JB214" s="33"/>
      <c r="JC214" s="33"/>
      <c r="JD214" s="33"/>
      <c r="JE214" s="33"/>
      <c r="JF214" s="33"/>
      <c r="JG214" s="33"/>
      <c r="JH214" s="33"/>
      <c r="JI214" s="33"/>
      <c r="JJ214" s="33"/>
      <c r="JK214" s="33"/>
      <c r="JL214" s="33"/>
      <c r="JM214" s="33"/>
      <c r="JN214" s="33"/>
      <c r="JO214" s="33"/>
      <c r="JP214" s="33"/>
      <c r="JQ214" s="33"/>
      <c r="JR214" s="33"/>
      <c r="JS214" s="33"/>
      <c r="JT214" s="33"/>
      <c r="JU214" s="33"/>
      <c r="JV214" s="33"/>
      <c r="JW214" s="33"/>
      <c r="JX214" s="33"/>
      <c r="JY214" s="33"/>
      <c r="JZ214" s="33"/>
      <c r="KA214" s="33"/>
      <c r="KB214" s="33"/>
      <c r="KC214" s="33"/>
      <c r="KD214" s="33"/>
      <c r="KE214" s="33"/>
      <c r="KF214" s="33"/>
      <c r="KG214" s="33"/>
      <c r="KH214" s="33"/>
      <c r="KI214" s="33"/>
      <c r="KJ214" s="33"/>
      <c r="KK214" s="33"/>
      <c r="KL214" s="33"/>
      <c r="KM214" s="33"/>
      <c r="KN214" s="33"/>
      <c r="KO214" s="33"/>
      <c r="KP214" s="33"/>
      <c r="KQ214" s="33"/>
      <c r="KR214" s="33"/>
      <c r="KS214" s="33"/>
      <c r="KT214" s="33"/>
      <c r="KU214" s="33"/>
      <c r="KV214" s="33"/>
      <c r="KW214" s="33"/>
      <c r="KX214" s="33"/>
      <c r="KY214" s="33"/>
      <c r="KZ214" s="33"/>
      <c r="LA214" s="33"/>
      <c r="LB214" s="33"/>
      <c r="LC214" s="33"/>
      <c r="LD214" s="33"/>
      <c r="LE214" s="33"/>
      <c r="LF214" s="33"/>
      <c r="LG214" s="33"/>
      <c r="LH214" s="33"/>
      <c r="LI214" s="33"/>
      <c r="LJ214" s="33"/>
      <c r="LK214" s="33"/>
      <c r="LL214" s="33"/>
      <c r="LM214" s="33"/>
      <c r="LN214" s="33"/>
      <c r="LO214" s="33"/>
      <c r="LP214" s="33"/>
      <c r="LQ214" s="33"/>
      <c r="LR214" s="33"/>
      <c r="LS214" s="33"/>
      <c r="LT214" s="33"/>
      <c r="LU214" s="33"/>
      <c r="LV214" s="33"/>
      <c r="LW214" s="33"/>
      <c r="LX214" s="33"/>
      <c r="LY214" s="33"/>
      <c r="LZ214" s="33"/>
      <c r="MA214" s="33"/>
      <c r="MB214" s="33"/>
      <c r="MC214" s="33"/>
      <c r="MD214" s="33"/>
      <c r="ME214" s="33"/>
      <c r="MF214" s="33"/>
      <c r="MG214" s="33"/>
      <c r="MH214" s="33"/>
      <c r="MI214" s="33"/>
      <c r="MJ214" s="33"/>
      <c r="MK214" s="33"/>
      <c r="ML214" s="33"/>
      <c r="MM214" s="33"/>
      <c r="MN214" s="33"/>
      <c r="MO214" s="33"/>
      <c r="MP214" s="33"/>
      <c r="MQ214" s="33"/>
      <c r="MR214" s="33"/>
      <c r="MS214" s="33"/>
      <c r="MT214" s="33"/>
      <c r="MU214" s="33"/>
      <c r="MV214" s="33"/>
    </row>
    <row r="215" spans="1:360" ht="0.75" customHeight="1" x14ac:dyDescent="0.25">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c r="BV215" s="33"/>
      <c r="BW215" s="33"/>
      <c r="BX215" s="33"/>
      <c r="BY215" s="33"/>
      <c r="BZ215" s="33"/>
      <c r="CA215" s="33"/>
      <c r="CB215" s="33"/>
      <c r="CC215" s="33"/>
      <c r="CD215" s="33"/>
      <c r="CE215" s="33"/>
      <c r="CF215" s="33"/>
      <c r="CG215" s="33"/>
      <c r="CH215" s="33"/>
      <c r="CI215" s="33"/>
      <c r="CJ215" s="33"/>
      <c r="CK215" s="33"/>
      <c r="CL215" s="33"/>
      <c r="CM215" s="33"/>
      <c r="CN215" s="33"/>
      <c r="CO215" s="33"/>
      <c r="CP215" s="33"/>
      <c r="CQ215" s="33"/>
      <c r="CR215" s="33"/>
      <c r="CS215" s="33"/>
      <c r="CT215" s="33"/>
      <c r="CU215" s="33"/>
      <c r="CV215" s="33"/>
      <c r="CW215" s="33"/>
      <c r="CX215" s="33"/>
      <c r="CY215" s="33"/>
      <c r="CZ215" s="33"/>
      <c r="DA215" s="33"/>
      <c r="DB215" s="33"/>
      <c r="DC215" s="33"/>
      <c r="DD215" s="33"/>
      <c r="DE215" s="33"/>
      <c r="DF215" s="33"/>
      <c r="DG215" s="33"/>
      <c r="DH215" s="33"/>
      <c r="DI215" s="33"/>
      <c r="DJ215" s="33"/>
      <c r="DK215" s="33"/>
      <c r="DL215" s="33"/>
      <c r="DM215" s="33"/>
      <c r="DN215" s="33"/>
      <c r="DO215" s="33"/>
      <c r="DP215" s="33"/>
      <c r="DQ215" s="33"/>
      <c r="DR215" s="33"/>
      <c r="DS215" s="33"/>
      <c r="DT215" s="33"/>
      <c r="DU215" s="33"/>
      <c r="DV215" s="33"/>
      <c r="DW215" s="33"/>
      <c r="DX215" s="33"/>
      <c r="DY215" s="33"/>
      <c r="DZ215" s="33"/>
      <c r="EA215" s="33"/>
      <c r="EB215" s="33"/>
      <c r="EC215" s="33"/>
      <c r="ED215" s="33"/>
      <c r="EE215" s="33"/>
      <c r="EF215" s="33"/>
      <c r="EG215" s="33"/>
      <c r="EH215" s="33"/>
      <c r="EI215" s="33"/>
      <c r="EJ215" s="33"/>
      <c r="EK215" s="33"/>
      <c r="EL215" s="33"/>
      <c r="EM215" s="33"/>
      <c r="EN215" s="33"/>
      <c r="EO215" s="33"/>
      <c r="EP215" s="33"/>
      <c r="EQ215" s="33"/>
      <c r="ER215" s="33"/>
      <c r="ES215" s="33"/>
      <c r="ET215" s="33"/>
      <c r="EU215" s="33"/>
      <c r="EV215" s="33"/>
      <c r="EW215" s="33"/>
      <c r="EX215" s="33"/>
      <c r="EY215" s="33"/>
      <c r="EZ215" s="33"/>
      <c r="FA215" s="33"/>
      <c r="FB215" s="33"/>
      <c r="FC215" s="33"/>
      <c r="FD215" s="33"/>
      <c r="FE215" s="33"/>
      <c r="FF215" s="33"/>
      <c r="FG215" s="33"/>
      <c r="FH215" s="33"/>
      <c r="FI215" s="33"/>
      <c r="FJ215" s="33"/>
      <c r="FK215" s="33"/>
      <c r="FL215" s="33"/>
      <c r="FM215" s="33"/>
      <c r="FN215" s="33"/>
      <c r="FO215" s="33"/>
      <c r="FP215" s="33"/>
      <c r="FQ215" s="33"/>
      <c r="FR215" s="33"/>
      <c r="FS215" s="33"/>
      <c r="FT215" s="33"/>
      <c r="FU215" s="33"/>
      <c r="FV215" s="33"/>
      <c r="FW215" s="33"/>
      <c r="FX215" s="33"/>
      <c r="FY215" s="33"/>
      <c r="FZ215" s="33"/>
      <c r="GA215" s="33"/>
      <c r="GB215" s="33"/>
      <c r="GC215" s="33"/>
      <c r="GD215" s="33"/>
      <c r="GE215" s="33"/>
      <c r="GF215" s="33"/>
      <c r="GG215" s="33"/>
      <c r="GH215" s="33"/>
      <c r="GI215" s="33"/>
      <c r="GJ215" s="33"/>
      <c r="GK215" s="33"/>
      <c r="GL215" s="33"/>
      <c r="GM215" s="33"/>
      <c r="GN215" s="33"/>
      <c r="GO215" s="33"/>
      <c r="GP215" s="33"/>
      <c r="GQ215" s="33"/>
      <c r="GR215" s="33"/>
      <c r="GS215" s="33"/>
      <c r="GT215" s="33"/>
      <c r="GU215" s="33"/>
      <c r="GV215" s="33"/>
      <c r="GW215" s="33"/>
      <c r="GX215" s="33"/>
      <c r="GY215" s="33"/>
      <c r="GZ215" s="33"/>
      <c r="HA215" s="33"/>
      <c r="HB215" s="33"/>
      <c r="HC215" s="33"/>
      <c r="HD215" s="33"/>
      <c r="HE215" s="33"/>
      <c r="HF215" s="33"/>
      <c r="HG215" s="33"/>
      <c r="HH215" s="33"/>
      <c r="HI215" s="33"/>
      <c r="HJ215" s="33"/>
      <c r="HK215" s="33"/>
      <c r="HL215" s="33"/>
      <c r="HM215" s="33"/>
      <c r="HN215" s="33"/>
      <c r="HO215" s="33"/>
      <c r="HP215" s="33"/>
      <c r="HQ215" s="33"/>
      <c r="HR215" s="33"/>
      <c r="HS215" s="33"/>
      <c r="HT215" s="33"/>
      <c r="HU215" s="33"/>
      <c r="HV215" s="33"/>
      <c r="HW215" s="33"/>
      <c r="HX215" s="33"/>
      <c r="HY215" s="33"/>
      <c r="HZ215" s="33"/>
      <c r="IA215" s="33"/>
      <c r="IB215" s="33"/>
      <c r="IC215" s="33"/>
      <c r="ID215" s="33"/>
      <c r="IE215" s="33"/>
      <c r="IF215" s="33"/>
      <c r="IG215" s="33"/>
      <c r="IH215" s="33"/>
      <c r="II215" s="33"/>
      <c r="IJ215" s="33"/>
      <c r="IK215" s="33"/>
      <c r="IL215" s="33"/>
      <c r="IM215" s="33"/>
      <c r="IN215" s="33"/>
      <c r="IO215" s="33"/>
      <c r="IP215" s="33"/>
      <c r="IQ215" s="33"/>
      <c r="IR215" s="33"/>
      <c r="IS215" s="33"/>
      <c r="IT215" s="33"/>
      <c r="IU215" s="33"/>
      <c r="IV215" s="33"/>
      <c r="IW215" s="33"/>
      <c r="IX215" s="33"/>
      <c r="IY215" s="33"/>
      <c r="IZ215" s="33"/>
      <c r="JA215" s="33"/>
      <c r="JB215" s="33"/>
      <c r="JC215" s="33"/>
      <c r="JD215" s="33"/>
      <c r="JE215" s="33"/>
      <c r="JF215" s="33"/>
      <c r="JG215" s="33"/>
      <c r="JH215" s="33"/>
      <c r="JI215" s="33"/>
      <c r="JJ215" s="33"/>
      <c r="JK215" s="33"/>
      <c r="JL215" s="33"/>
      <c r="JM215" s="33"/>
      <c r="JN215" s="33"/>
      <c r="JO215" s="33"/>
      <c r="JP215" s="33"/>
      <c r="JQ215" s="33"/>
      <c r="JR215" s="33"/>
      <c r="JS215" s="33"/>
      <c r="JT215" s="33"/>
      <c r="JU215" s="33"/>
      <c r="JV215" s="33"/>
      <c r="JW215" s="33"/>
      <c r="JX215" s="33"/>
      <c r="JY215" s="33"/>
      <c r="JZ215" s="33"/>
      <c r="KA215" s="33"/>
      <c r="KB215" s="33"/>
      <c r="KC215" s="33"/>
      <c r="KD215" s="33"/>
      <c r="KE215" s="33"/>
      <c r="KF215" s="33"/>
      <c r="KG215" s="33"/>
      <c r="KH215" s="33"/>
      <c r="KI215" s="33"/>
      <c r="KJ215" s="33"/>
      <c r="KK215" s="33"/>
      <c r="KL215" s="33"/>
      <c r="KM215" s="33"/>
      <c r="KN215" s="33"/>
      <c r="KO215" s="33"/>
      <c r="KP215" s="33"/>
      <c r="KQ215" s="33"/>
      <c r="KR215" s="33"/>
      <c r="KS215" s="33"/>
      <c r="KT215" s="33"/>
      <c r="KU215" s="33"/>
      <c r="KV215" s="33"/>
      <c r="KW215" s="33"/>
      <c r="KX215" s="33"/>
      <c r="KY215" s="33"/>
      <c r="KZ215" s="33"/>
      <c r="LA215" s="33"/>
      <c r="LB215" s="33"/>
      <c r="LC215" s="33"/>
      <c r="LD215" s="33"/>
      <c r="LE215" s="33"/>
      <c r="LF215" s="33"/>
      <c r="LG215" s="33"/>
      <c r="LH215" s="33"/>
      <c r="LI215" s="33"/>
      <c r="LJ215" s="33"/>
      <c r="LK215" s="33"/>
      <c r="LL215" s="33"/>
      <c r="LM215" s="33"/>
      <c r="LN215" s="33"/>
      <c r="LO215" s="33"/>
      <c r="LP215" s="33"/>
      <c r="LQ215" s="33"/>
      <c r="LR215" s="33"/>
      <c r="LS215" s="33"/>
      <c r="LT215" s="33"/>
      <c r="LU215" s="33"/>
      <c r="LV215" s="33"/>
      <c r="LW215" s="33"/>
      <c r="LX215" s="33"/>
      <c r="LY215" s="33"/>
      <c r="LZ215" s="33"/>
      <c r="MA215" s="33"/>
      <c r="MB215" s="33"/>
      <c r="MC215" s="33"/>
      <c r="MD215" s="33"/>
      <c r="ME215" s="33"/>
      <c r="MF215" s="33"/>
      <c r="MG215" s="33"/>
      <c r="MH215" s="33"/>
      <c r="MI215" s="33"/>
      <c r="MJ215" s="33"/>
      <c r="MK215" s="33"/>
      <c r="ML215" s="33"/>
      <c r="MM215" s="33"/>
      <c r="MN215" s="33"/>
      <c r="MO215" s="33"/>
      <c r="MP215" s="33"/>
      <c r="MQ215" s="33"/>
      <c r="MR215" s="33"/>
      <c r="MS215" s="33"/>
      <c r="MT215" s="33"/>
      <c r="MU215" s="33"/>
      <c r="MV215" s="33"/>
    </row>
    <row r="216" spans="1:360" ht="0.75" customHeight="1" x14ac:dyDescent="0.25">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c r="BV216" s="33"/>
      <c r="BW216" s="33"/>
      <c r="BX216" s="33"/>
      <c r="BY216" s="33"/>
      <c r="BZ216" s="33"/>
      <c r="CA216" s="33"/>
      <c r="CB216" s="33"/>
      <c r="CC216" s="33"/>
      <c r="CD216" s="33"/>
      <c r="CE216" s="33"/>
      <c r="CF216" s="33"/>
      <c r="CG216" s="33"/>
      <c r="CH216" s="33"/>
      <c r="CI216" s="33"/>
      <c r="CJ216" s="33"/>
      <c r="CK216" s="33"/>
      <c r="CL216" s="33"/>
      <c r="CM216" s="33"/>
      <c r="CN216" s="33"/>
      <c r="CO216" s="33"/>
      <c r="CP216" s="33"/>
      <c r="CQ216" s="33"/>
      <c r="CR216" s="33"/>
      <c r="CS216" s="33"/>
      <c r="CT216" s="33"/>
      <c r="CU216" s="33"/>
      <c r="CV216" s="33"/>
      <c r="CW216" s="33"/>
      <c r="CX216" s="33"/>
      <c r="CY216" s="33"/>
      <c r="CZ216" s="33"/>
      <c r="DA216" s="33"/>
      <c r="DB216" s="33"/>
      <c r="DC216" s="33"/>
      <c r="DD216" s="33"/>
      <c r="DE216" s="33"/>
      <c r="DF216" s="33"/>
      <c r="DG216" s="33"/>
      <c r="DH216" s="33"/>
      <c r="DI216" s="33"/>
      <c r="DJ216" s="33"/>
      <c r="DK216" s="33"/>
      <c r="DL216" s="33"/>
      <c r="DM216" s="33"/>
      <c r="DN216" s="33"/>
      <c r="DO216" s="33"/>
      <c r="DP216" s="33"/>
      <c r="DQ216" s="33"/>
      <c r="DR216" s="33"/>
      <c r="DS216" s="33"/>
      <c r="DT216" s="33"/>
      <c r="DU216" s="33"/>
      <c r="DV216" s="33"/>
      <c r="DW216" s="33"/>
      <c r="DX216" s="33"/>
      <c r="DY216" s="33"/>
      <c r="DZ216" s="33"/>
      <c r="EA216" s="33"/>
      <c r="EB216" s="33"/>
      <c r="EC216" s="33"/>
      <c r="ED216" s="33"/>
      <c r="EE216" s="33"/>
      <c r="EF216" s="33"/>
      <c r="EG216" s="33"/>
      <c r="EH216" s="33"/>
      <c r="EI216" s="33"/>
      <c r="EJ216" s="33"/>
      <c r="EK216" s="33"/>
      <c r="EL216" s="33"/>
      <c r="EM216" s="33"/>
      <c r="EN216" s="33"/>
      <c r="EO216" s="33"/>
      <c r="EP216" s="33"/>
      <c r="EQ216" s="33"/>
      <c r="ER216" s="33"/>
      <c r="ES216" s="33"/>
      <c r="ET216" s="33"/>
      <c r="EU216" s="33"/>
      <c r="EV216" s="33"/>
      <c r="EW216" s="33"/>
      <c r="EX216" s="33"/>
      <c r="EY216" s="33"/>
      <c r="EZ216" s="33"/>
      <c r="FA216" s="33"/>
      <c r="FB216" s="33"/>
      <c r="FC216" s="33"/>
      <c r="FD216" s="33"/>
      <c r="FE216" s="33"/>
      <c r="FF216" s="33"/>
      <c r="FG216" s="33"/>
      <c r="FH216" s="33"/>
      <c r="FI216" s="33"/>
      <c r="FJ216" s="33"/>
      <c r="FK216" s="33"/>
      <c r="FL216" s="33"/>
      <c r="FM216" s="33"/>
      <c r="FN216" s="33"/>
      <c r="FO216" s="33"/>
      <c r="FP216" s="33"/>
      <c r="FQ216" s="33"/>
      <c r="FR216" s="33"/>
      <c r="FS216" s="33"/>
      <c r="FT216" s="33"/>
      <c r="FU216" s="33"/>
      <c r="FV216" s="33"/>
      <c r="FW216" s="33"/>
      <c r="FX216" s="33"/>
      <c r="FY216" s="33"/>
      <c r="FZ216" s="33"/>
      <c r="GA216" s="33"/>
      <c r="GB216" s="33"/>
      <c r="GC216" s="33"/>
      <c r="GD216" s="33"/>
      <c r="GE216" s="33"/>
      <c r="GF216" s="33"/>
      <c r="GG216" s="33"/>
      <c r="GH216" s="33"/>
      <c r="GI216" s="33"/>
      <c r="GJ216" s="33"/>
      <c r="GK216" s="33"/>
      <c r="GL216" s="33"/>
      <c r="GM216" s="33"/>
      <c r="GN216" s="33"/>
      <c r="GO216" s="33"/>
      <c r="GP216" s="33"/>
      <c r="GQ216" s="33"/>
      <c r="GR216" s="33"/>
      <c r="GS216" s="33"/>
      <c r="GT216" s="33"/>
      <c r="GU216" s="33"/>
      <c r="GV216" s="33"/>
      <c r="GW216" s="33"/>
      <c r="GX216" s="33"/>
      <c r="GY216" s="33"/>
      <c r="GZ216" s="33"/>
      <c r="HA216" s="33"/>
      <c r="HB216" s="33"/>
      <c r="HC216" s="33"/>
      <c r="HD216" s="33"/>
      <c r="HE216" s="33"/>
      <c r="HF216" s="33"/>
      <c r="HG216" s="33"/>
      <c r="HH216" s="33"/>
      <c r="HI216" s="33"/>
      <c r="HJ216" s="33"/>
      <c r="HK216" s="33"/>
      <c r="HL216" s="33"/>
      <c r="HM216" s="33"/>
      <c r="HN216" s="33"/>
      <c r="HO216" s="33"/>
      <c r="HP216" s="33"/>
      <c r="HQ216" s="33"/>
      <c r="HR216" s="33"/>
      <c r="HS216" s="33"/>
      <c r="HT216" s="33"/>
      <c r="HU216" s="33"/>
      <c r="HV216" s="33"/>
      <c r="HW216" s="33"/>
      <c r="HX216" s="33"/>
      <c r="HY216" s="33"/>
      <c r="HZ216" s="33"/>
      <c r="IA216" s="33"/>
      <c r="IB216" s="33"/>
      <c r="IC216" s="33"/>
      <c r="ID216" s="33"/>
      <c r="IE216" s="33"/>
      <c r="IF216" s="33"/>
      <c r="IG216" s="33"/>
      <c r="IH216" s="33"/>
      <c r="II216" s="33"/>
      <c r="IJ216" s="33"/>
      <c r="IK216" s="33"/>
      <c r="IL216" s="33"/>
      <c r="IM216" s="33"/>
      <c r="IN216" s="33"/>
      <c r="IO216" s="33"/>
      <c r="IP216" s="33"/>
      <c r="IQ216" s="33"/>
      <c r="IR216" s="33"/>
      <c r="IS216" s="33"/>
      <c r="IT216" s="33"/>
      <c r="IU216" s="33"/>
      <c r="IV216" s="33"/>
      <c r="IW216" s="33"/>
      <c r="IX216" s="33"/>
      <c r="IY216" s="33"/>
      <c r="IZ216" s="33"/>
      <c r="JA216" s="33"/>
      <c r="JB216" s="33"/>
      <c r="JC216" s="33"/>
      <c r="JD216" s="33"/>
      <c r="JE216" s="33"/>
      <c r="JF216" s="33"/>
      <c r="JG216" s="33"/>
      <c r="JH216" s="33"/>
      <c r="JI216" s="33"/>
      <c r="JJ216" s="33"/>
      <c r="JK216" s="33"/>
      <c r="JL216" s="33"/>
      <c r="JM216" s="33"/>
      <c r="JN216" s="33"/>
      <c r="JO216" s="33"/>
      <c r="JP216" s="33"/>
      <c r="JQ216" s="33"/>
      <c r="JR216" s="33"/>
      <c r="JS216" s="33"/>
      <c r="JT216" s="33"/>
      <c r="JU216" s="33"/>
      <c r="JV216" s="33"/>
      <c r="JW216" s="33"/>
      <c r="JX216" s="33"/>
      <c r="JY216" s="33"/>
      <c r="JZ216" s="33"/>
      <c r="KA216" s="33"/>
      <c r="KB216" s="33"/>
      <c r="KC216" s="33"/>
      <c r="KD216" s="33"/>
      <c r="KE216" s="33"/>
      <c r="KF216" s="33"/>
      <c r="KG216" s="33"/>
      <c r="KH216" s="33"/>
      <c r="KI216" s="33"/>
      <c r="KJ216" s="33"/>
      <c r="KK216" s="33"/>
      <c r="KL216" s="33"/>
      <c r="KM216" s="33"/>
      <c r="KN216" s="33"/>
      <c r="KO216" s="33"/>
      <c r="KP216" s="33"/>
      <c r="KQ216" s="33"/>
      <c r="KR216" s="33"/>
      <c r="KS216" s="33"/>
      <c r="KT216" s="33"/>
      <c r="KU216" s="33"/>
      <c r="KV216" s="33"/>
      <c r="KW216" s="33"/>
      <c r="KX216" s="33"/>
      <c r="KY216" s="33"/>
      <c r="KZ216" s="33"/>
      <c r="LA216" s="33"/>
      <c r="LB216" s="33"/>
      <c r="LC216" s="33"/>
      <c r="LD216" s="33"/>
      <c r="LE216" s="33"/>
      <c r="LF216" s="33"/>
      <c r="LG216" s="33"/>
      <c r="LH216" s="33"/>
      <c r="LI216" s="33"/>
      <c r="LJ216" s="33"/>
      <c r="LK216" s="33"/>
      <c r="LL216" s="33"/>
      <c r="LM216" s="33"/>
      <c r="LN216" s="33"/>
      <c r="LO216" s="33"/>
      <c r="LP216" s="33"/>
      <c r="LQ216" s="33"/>
      <c r="LR216" s="33"/>
      <c r="LS216" s="33"/>
      <c r="LT216" s="33"/>
      <c r="LU216" s="33"/>
      <c r="LV216" s="33"/>
      <c r="LW216" s="33"/>
      <c r="LX216" s="33"/>
      <c r="LY216" s="33"/>
      <c r="LZ216" s="33"/>
      <c r="MA216" s="33"/>
      <c r="MB216" s="33"/>
      <c r="MC216" s="33"/>
      <c r="MD216" s="33"/>
      <c r="ME216" s="33"/>
      <c r="MF216" s="33"/>
      <c r="MG216" s="33"/>
      <c r="MH216" s="33"/>
      <c r="MI216" s="33"/>
      <c r="MJ216" s="33"/>
      <c r="MK216" s="33"/>
      <c r="ML216" s="33"/>
      <c r="MM216" s="33"/>
      <c r="MN216" s="33"/>
      <c r="MO216" s="33"/>
      <c r="MP216" s="33"/>
      <c r="MQ216" s="33"/>
      <c r="MR216" s="33"/>
      <c r="MS216" s="33"/>
      <c r="MT216" s="33"/>
      <c r="MU216" s="33"/>
      <c r="MV216" s="33"/>
    </row>
    <row r="217" spans="1:360" ht="0.75" customHeight="1" x14ac:dyDescent="0.25">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c r="BV217" s="33"/>
      <c r="BW217" s="33"/>
      <c r="BX217" s="33"/>
      <c r="BY217" s="33"/>
      <c r="BZ217" s="33"/>
      <c r="CA217" s="33"/>
      <c r="CB217" s="33"/>
      <c r="CC217" s="33"/>
      <c r="CD217" s="33"/>
      <c r="CE217" s="33"/>
      <c r="CF217" s="33"/>
      <c r="CG217" s="33"/>
      <c r="CH217" s="33"/>
      <c r="CI217" s="33"/>
      <c r="CJ217" s="33"/>
      <c r="CK217" s="33"/>
      <c r="CL217" s="33"/>
      <c r="CM217" s="33"/>
      <c r="CN217" s="33"/>
      <c r="CO217" s="33"/>
      <c r="CP217" s="33"/>
      <c r="CQ217" s="33"/>
      <c r="CR217" s="33"/>
      <c r="CS217" s="33"/>
      <c r="CT217" s="33"/>
      <c r="CU217" s="33"/>
      <c r="CV217" s="33"/>
      <c r="CW217" s="33"/>
      <c r="CX217" s="33"/>
      <c r="CY217" s="33"/>
      <c r="CZ217" s="33"/>
      <c r="DA217" s="33"/>
      <c r="DB217" s="33"/>
      <c r="DC217" s="33"/>
      <c r="DD217" s="33"/>
      <c r="DE217" s="33"/>
      <c r="DF217" s="33"/>
      <c r="DG217" s="33"/>
      <c r="DH217" s="33"/>
      <c r="DI217" s="33"/>
      <c r="DJ217" s="33"/>
      <c r="DK217" s="33"/>
      <c r="DL217" s="33"/>
      <c r="DM217" s="33"/>
      <c r="DN217" s="33"/>
      <c r="DO217" s="33"/>
      <c r="DP217" s="33"/>
      <c r="DQ217" s="33"/>
      <c r="DR217" s="33"/>
      <c r="DS217" s="33"/>
      <c r="DT217" s="33"/>
      <c r="DU217" s="33"/>
      <c r="DV217" s="33"/>
      <c r="DW217" s="33"/>
      <c r="DX217" s="33"/>
      <c r="DY217" s="33"/>
      <c r="DZ217" s="33"/>
      <c r="EA217" s="33"/>
      <c r="EB217" s="33"/>
      <c r="EC217" s="33"/>
      <c r="ED217" s="33"/>
      <c r="EE217" s="33"/>
      <c r="EF217" s="33"/>
      <c r="EG217" s="33"/>
      <c r="EH217" s="33"/>
      <c r="EI217" s="33"/>
      <c r="EJ217" s="33"/>
      <c r="EK217" s="33"/>
      <c r="EL217" s="33"/>
      <c r="EM217" s="33"/>
      <c r="EN217" s="33"/>
      <c r="EO217" s="33"/>
      <c r="EP217" s="33"/>
      <c r="EQ217" s="33"/>
      <c r="ER217" s="33"/>
      <c r="ES217" s="33"/>
      <c r="ET217" s="33"/>
      <c r="EU217" s="33"/>
      <c r="EV217" s="33"/>
      <c r="EW217" s="33"/>
      <c r="EX217" s="33"/>
      <c r="EY217" s="33"/>
      <c r="EZ217" s="33"/>
      <c r="FA217" s="33"/>
      <c r="FB217" s="33"/>
      <c r="FC217" s="33"/>
      <c r="FD217" s="33"/>
      <c r="FE217" s="33"/>
      <c r="FF217" s="33"/>
      <c r="FG217" s="33"/>
      <c r="FH217" s="33"/>
      <c r="FI217" s="33"/>
      <c r="FJ217" s="33"/>
      <c r="FK217" s="33"/>
      <c r="FL217" s="33"/>
      <c r="FM217" s="33"/>
      <c r="FN217" s="33"/>
      <c r="FO217" s="33"/>
      <c r="FP217" s="33"/>
      <c r="FQ217" s="33"/>
      <c r="FR217" s="33"/>
      <c r="FS217" s="33"/>
      <c r="FT217" s="33"/>
      <c r="FU217" s="33"/>
      <c r="FV217" s="33"/>
      <c r="FW217" s="33"/>
      <c r="FX217" s="33"/>
      <c r="FY217" s="33"/>
      <c r="FZ217" s="33"/>
      <c r="GA217" s="33"/>
      <c r="GB217" s="33"/>
      <c r="GC217" s="33"/>
      <c r="GD217" s="33"/>
      <c r="GE217" s="33"/>
      <c r="GF217" s="33"/>
      <c r="GG217" s="33"/>
      <c r="GH217" s="33"/>
      <c r="GI217" s="33"/>
      <c r="GJ217" s="33"/>
      <c r="GK217" s="33"/>
      <c r="GL217" s="33"/>
      <c r="GM217" s="33"/>
      <c r="GN217" s="33"/>
      <c r="GO217" s="33"/>
      <c r="GP217" s="33"/>
      <c r="GQ217" s="33"/>
      <c r="GR217" s="33"/>
      <c r="GS217" s="33"/>
      <c r="GT217" s="33"/>
      <c r="GU217" s="33"/>
      <c r="GV217" s="33"/>
      <c r="GW217" s="33"/>
      <c r="GX217" s="33"/>
      <c r="GY217" s="33"/>
      <c r="GZ217" s="33"/>
      <c r="HA217" s="33"/>
      <c r="HB217" s="33"/>
      <c r="HC217" s="33"/>
      <c r="HD217" s="33"/>
      <c r="HE217" s="33"/>
      <c r="HF217" s="33"/>
      <c r="HG217" s="33"/>
      <c r="HH217" s="33"/>
      <c r="HI217" s="33"/>
      <c r="HJ217" s="33"/>
      <c r="HK217" s="33"/>
      <c r="HL217" s="33"/>
      <c r="HM217" s="33"/>
      <c r="HN217" s="33"/>
      <c r="HO217" s="33"/>
      <c r="HP217" s="33"/>
      <c r="HQ217" s="33"/>
      <c r="HR217" s="33"/>
      <c r="HS217" s="33"/>
      <c r="HT217" s="33"/>
      <c r="HU217" s="33"/>
      <c r="HV217" s="33"/>
      <c r="HW217" s="33"/>
      <c r="HX217" s="33"/>
      <c r="HY217" s="33"/>
      <c r="HZ217" s="33"/>
      <c r="IA217" s="33"/>
      <c r="IB217" s="33"/>
      <c r="IC217" s="33"/>
      <c r="ID217" s="33"/>
      <c r="IE217" s="33"/>
      <c r="IF217" s="33"/>
      <c r="IG217" s="33"/>
      <c r="IH217" s="33"/>
      <c r="II217" s="33"/>
      <c r="IJ217" s="33"/>
      <c r="IK217" s="33"/>
      <c r="IL217" s="33"/>
      <c r="IM217" s="33"/>
      <c r="IN217" s="33"/>
      <c r="IO217" s="33"/>
      <c r="IP217" s="33"/>
      <c r="IQ217" s="33"/>
      <c r="IR217" s="33"/>
      <c r="IS217" s="33"/>
      <c r="IT217" s="33"/>
      <c r="IU217" s="33"/>
      <c r="IV217" s="33"/>
      <c r="IW217" s="33"/>
      <c r="IX217" s="33"/>
      <c r="IY217" s="33"/>
      <c r="IZ217" s="33"/>
      <c r="JA217" s="33"/>
      <c r="JB217" s="33"/>
      <c r="JC217" s="33"/>
      <c r="JD217" s="33"/>
      <c r="JE217" s="33"/>
      <c r="JF217" s="33"/>
      <c r="JG217" s="33"/>
      <c r="JH217" s="33"/>
      <c r="JI217" s="33"/>
      <c r="JJ217" s="33"/>
      <c r="JK217" s="33"/>
      <c r="JL217" s="33"/>
      <c r="JM217" s="33"/>
      <c r="JN217" s="33"/>
      <c r="JO217" s="33"/>
      <c r="JP217" s="33"/>
      <c r="JQ217" s="33"/>
      <c r="JR217" s="33"/>
      <c r="JS217" s="33"/>
      <c r="JT217" s="33"/>
      <c r="JU217" s="33"/>
      <c r="JV217" s="33"/>
      <c r="JW217" s="33"/>
      <c r="JX217" s="33"/>
      <c r="JY217" s="33"/>
      <c r="JZ217" s="33"/>
      <c r="KA217" s="33"/>
      <c r="KB217" s="33"/>
      <c r="KC217" s="33"/>
      <c r="KD217" s="33"/>
      <c r="KE217" s="33"/>
      <c r="KF217" s="33"/>
      <c r="KG217" s="33"/>
      <c r="KH217" s="33"/>
      <c r="KI217" s="33"/>
      <c r="KJ217" s="33"/>
      <c r="KK217" s="33"/>
      <c r="KL217" s="33"/>
      <c r="KM217" s="33"/>
      <c r="KN217" s="33"/>
      <c r="KO217" s="33"/>
      <c r="KP217" s="33"/>
      <c r="KQ217" s="33"/>
      <c r="KR217" s="33"/>
      <c r="KS217" s="33"/>
      <c r="KT217" s="33"/>
      <c r="KU217" s="33"/>
      <c r="KV217" s="33"/>
      <c r="KW217" s="33"/>
      <c r="KX217" s="33"/>
      <c r="KY217" s="33"/>
      <c r="KZ217" s="33"/>
      <c r="LA217" s="33"/>
      <c r="LB217" s="33"/>
      <c r="LC217" s="33"/>
      <c r="LD217" s="33"/>
      <c r="LE217" s="33"/>
      <c r="LF217" s="33"/>
      <c r="LG217" s="33"/>
      <c r="LH217" s="33"/>
      <c r="LI217" s="33"/>
      <c r="LJ217" s="33"/>
      <c r="LK217" s="33"/>
      <c r="LL217" s="33"/>
      <c r="LM217" s="33"/>
      <c r="LN217" s="33"/>
      <c r="LO217" s="33"/>
      <c r="LP217" s="33"/>
      <c r="LQ217" s="33"/>
      <c r="LR217" s="33"/>
      <c r="LS217" s="33"/>
      <c r="LT217" s="33"/>
      <c r="LU217" s="33"/>
      <c r="LV217" s="33"/>
      <c r="LW217" s="33"/>
      <c r="LX217" s="33"/>
      <c r="LY217" s="33"/>
      <c r="LZ217" s="33"/>
      <c r="MA217" s="33"/>
      <c r="MB217" s="33"/>
      <c r="MC217" s="33"/>
      <c r="MD217" s="33"/>
      <c r="ME217" s="33"/>
      <c r="MF217" s="33"/>
      <c r="MG217" s="33"/>
      <c r="MH217" s="33"/>
      <c r="MI217" s="33"/>
      <c r="MJ217" s="33"/>
      <c r="MK217" s="33"/>
      <c r="ML217" s="33"/>
      <c r="MM217" s="33"/>
      <c r="MN217" s="33"/>
      <c r="MO217" s="33"/>
      <c r="MP217" s="33"/>
      <c r="MQ217" s="33"/>
      <c r="MR217" s="33"/>
      <c r="MS217" s="33"/>
      <c r="MT217" s="33"/>
      <c r="MU217" s="33"/>
      <c r="MV217" s="33"/>
    </row>
    <row r="218" spans="1:360" ht="0.75" customHeight="1" x14ac:dyDescent="0.25">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c r="BV218" s="33"/>
      <c r="BW218" s="33"/>
      <c r="BX218" s="33"/>
      <c r="BY218" s="33"/>
      <c r="BZ218" s="33"/>
      <c r="CA218" s="33"/>
      <c r="CB218" s="33"/>
      <c r="CC218" s="33"/>
      <c r="CD218" s="33"/>
      <c r="CE218" s="33"/>
      <c r="CF218" s="33"/>
      <c r="CG218" s="33"/>
      <c r="CH218" s="33"/>
      <c r="CI218" s="33"/>
      <c r="CJ218" s="33"/>
      <c r="CK218" s="33"/>
      <c r="CL218" s="33"/>
      <c r="CM218" s="33"/>
      <c r="CN218" s="33"/>
      <c r="CO218" s="33"/>
      <c r="CP218" s="33"/>
      <c r="CQ218" s="33"/>
      <c r="CR218" s="33"/>
      <c r="CS218" s="33"/>
      <c r="CT218" s="33"/>
      <c r="CU218" s="33"/>
      <c r="CV218" s="33"/>
      <c r="CW218" s="33"/>
      <c r="CX218" s="33"/>
      <c r="CY218" s="33"/>
      <c r="CZ218" s="33"/>
      <c r="DA218" s="33"/>
      <c r="DB218" s="33"/>
      <c r="DC218" s="33"/>
      <c r="DD218" s="33"/>
      <c r="DE218" s="33"/>
      <c r="DF218" s="33"/>
      <c r="DG218" s="33"/>
      <c r="DH218" s="33"/>
      <c r="DI218" s="33"/>
      <c r="DJ218" s="33"/>
      <c r="DK218" s="33"/>
      <c r="DL218" s="33"/>
      <c r="DM218" s="33"/>
      <c r="DN218" s="33"/>
      <c r="DO218" s="33"/>
      <c r="DP218" s="33"/>
      <c r="DQ218" s="33"/>
      <c r="DR218" s="33"/>
      <c r="DS218" s="33"/>
      <c r="DT218" s="33"/>
      <c r="DU218" s="33"/>
      <c r="DV218" s="33"/>
      <c r="DW218" s="33"/>
      <c r="DX218" s="33"/>
      <c r="DY218" s="33"/>
      <c r="DZ218" s="33"/>
      <c r="EA218" s="33"/>
      <c r="EB218" s="33"/>
      <c r="EC218" s="33"/>
      <c r="ED218" s="33"/>
      <c r="EE218" s="33"/>
      <c r="EF218" s="33"/>
      <c r="EG218" s="33"/>
      <c r="EH218" s="33"/>
      <c r="EI218" s="33"/>
      <c r="EJ218" s="33"/>
      <c r="EK218" s="33"/>
      <c r="EL218" s="33"/>
      <c r="EM218" s="33"/>
      <c r="EN218" s="33"/>
      <c r="EO218" s="33"/>
      <c r="EP218" s="33"/>
      <c r="EQ218" s="33"/>
      <c r="ER218" s="33"/>
      <c r="ES218" s="33"/>
      <c r="ET218" s="33"/>
      <c r="EU218" s="33"/>
      <c r="EV218" s="33"/>
      <c r="EW218" s="33"/>
      <c r="EX218" s="33"/>
      <c r="EY218" s="33"/>
      <c r="EZ218" s="33"/>
      <c r="FA218" s="33"/>
      <c r="FB218" s="33"/>
      <c r="FC218" s="33"/>
      <c r="FD218" s="33"/>
      <c r="FE218" s="33"/>
      <c r="FF218" s="33"/>
      <c r="FG218" s="33"/>
      <c r="FH218" s="33"/>
      <c r="FI218" s="33"/>
      <c r="FJ218" s="33"/>
      <c r="FK218" s="33"/>
      <c r="FL218" s="33"/>
      <c r="FM218" s="33"/>
      <c r="FN218" s="33"/>
      <c r="FO218" s="33"/>
      <c r="FP218" s="33"/>
      <c r="FQ218" s="33"/>
      <c r="FR218" s="33"/>
      <c r="FS218" s="33"/>
      <c r="FT218" s="33"/>
      <c r="FU218" s="33"/>
      <c r="FV218" s="33"/>
      <c r="FW218" s="33"/>
      <c r="FX218" s="33"/>
      <c r="FY218" s="33"/>
      <c r="FZ218" s="33"/>
      <c r="GA218" s="33"/>
      <c r="GB218" s="33"/>
      <c r="GC218" s="33"/>
      <c r="GD218" s="33"/>
      <c r="GE218" s="33"/>
      <c r="GF218" s="33"/>
      <c r="GG218" s="33"/>
      <c r="GH218" s="33"/>
      <c r="GI218" s="33"/>
      <c r="GJ218" s="33"/>
      <c r="GK218" s="33"/>
      <c r="GL218" s="33"/>
      <c r="GM218" s="33"/>
      <c r="GN218" s="33"/>
      <c r="GO218" s="33"/>
      <c r="GP218" s="33"/>
      <c r="GQ218" s="33"/>
      <c r="GR218" s="33"/>
      <c r="GS218" s="33"/>
      <c r="GT218" s="33"/>
      <c r="GU218" s="33"/>
      <c r="GV218" s="33"/>
      <c r="GW218" s="33"/>
      <c r="GX218" s="33"/>
      <c r="GY218" s="33"/>
      <c r="GZ218" s="33"/>
      <c r="HA218" s="33"/>
      <c r="HB218" s="33"/>
      <c r="HC218" s="33"/>
      <c r="HD218" s="33"/>
      <c r="HE218" s="33"/>
      <c r="HF218" s="33"/>
      <c r="HG218" s="33"/>
      <c r="HH218" s="33"/>
      <c r="HI218" s="33"/>
      <c r="HJ218" s="33"/>
      <c r="HK218" s="33"/>
      <c r="HL218" s="33"/>
      <c r="HM218" s="33"/>
      <c r="HN218" s="33"/>
      <c r="HO218" s="33"/>
      <c r="HP218" s="33"/>
      <c r="HQ218" s="33"/>
      <c r="HR218" s="33"/>
      <c r="HS218" s="33"/>
      <c r="HT218" s="33"/>
      <c r="HU218" s="33"/>
      <c r="HV218" s="33"/>
      <c r="HW218" s="33"/>
      <c r="HX218" s="33"/>
      <c r="HY218" s="33"/>
      <c r="HZ218" s="33"/>
      <c r="IA218" s="33"/>
      <c r="IB218" s="33"/>
      <c r="IC218" s="33"/>
      <c r="ID218" s="33"/>
      <c r="IE218" s="33"/>
      <c r="IF218" s="33"/>
      <c r="IG218" s="33"/>
      <c r="IH218" s="33"/>
      <c r="II218" s="33"/>
      <c r="IJ218" s="33"/>
      <c r="IK218" s="33"/>
      <c r="IL218" s="33"/>
      <c r="IM218" s="33"/>
      <c r="IN218" s="33"/>
      <c r="IO218" s="33"/>
      <c r="IP218" s="33"/>
      <c r="IQ218" s="33"/>
      <c r="IR218" s="33"/>
      <c r="IS218" s="33"/>
      <c r="IT218" s="33"/>
      <c r="IU218" s="33"/>
      <c r="IV218" s="33"/>
      <c r="IW218" s="33"/>
      <c r="IX218" s="33"/>
      <c r="IY218" s="33"/>
      <c r="IZ218" s="33"/>
      <c r="JA218" s="33"/>
      <c r="JB218" s="33"/>
      <c r="JC218" s="33"/>
      <c r="JD218" s="33"/>
      <c r="JE218" s="33"/>
      <c r="JF218" s="33"/>
      <c r="JG218" s="33"/>
      <c r="JH218" s="33"/>
      <c r="JI218" s="33"/>
      <c r="JJ218" s="33"/>
      <c r="JK218" s="33"/>
      <c r="JL218" s="33"/>
      <c r="JM218" s="33"/>
      <c r="JN218" s="33"/>
      <c r="JO218" s="33"/>
      <c r="JP218" s="33"/>
      <c r="JQ218" s="33"/>
      <c r="JR218" s="33"/>
      <c r="JS218" s="33"/>
      <c r="JT218" s="33"/>
      <c r="JU218" s="33"/>
      <c r="JV218" s="33"/>
      <c r="JW218" s="33"/>
      <c r="JX218" s="33"/>
      <c r="JY218" s="33"/>
      <c r="JZ218" s="33"/>
      <c r="KA218" s="33"/>
      <c r="KB218" s="33"/>
      <c r="KC218" s="33"/>
      <c r="KD218" s="33"/>
      <c r="KE218" s="33"/>
      <c r="KF218" s="33"/>
      <c r="KG218" s="33"/>
      <c r="KH218" s="33"/>
      <c r="KI218" s="33"/>
      <c r="KJ218" s="33"/>
      <c r="KK218" s="33"/>
      <c r="KL218" s="33"/>
      <c r="KM218" s="33"/>
      <c r="KN218" s="33"/>
      <c r="KO218" s="33"/>
      <c r="KP218" s="33"/>
      <c r="KQ218" s="33"/>
      <c r="KR218" s="33"/>
      <c r="KS218" s="33"/>
      <c r="KT218" s="33"/>
      <c r="KU218" s="33"/>
      <c r="KV218" s="33"/>
      <c r="KW218" s="33"/>
      <c r="KX218" s="33"/>
      <c r="KY218" s="33"/>
      <c r="KZ218" s="33"/>
      <c r="LA218" s="33"/>
      <c r="LB218" s="33"/>
      <c r="LC218" s="33"/>
      <c r="LD218" s="33"/>
      <c r="LE218" s="33"/>
      <c r="LF218" s="33"/>
      <c r="LG218" s="33"/>
      <c r="LH218" s="33"/>
      <c r="LI218" s="33"/>
      <c r="LJ218" s="33"/>
      <c r="LK218" s="33"/>
      <c r="LL218" s="33"/>
      <c r="LM218" s="33"/>
      <c r="LN218" s="33"/>
      <c r="LO218" s="33"/>
      <c r="LP218" s="33"/>
      <c r="LQ218" s="33"/>
      <c r="LR218" s="33"/>
      <c r="LS218" s="33"/>
      <c r="LT218" s="33"/>
      <c r="LU218" s="33"/>
      <c r="LV218" s="33"/>
      <c r="LW218" s="33"/>
      <c r="LX218" s="33"/>
      <c r="LY218" s="33"/>
      <c r="LZ218" s="33"/>
      <c r="MA218" s="33"/>
      <c r="MB218" s="33"/>
      <c r="MC218" s="33"/>
      <c r="MD218" s="33"/>
      <c r="ME218" s="33"/>
      <c r="MF218" s="33"/>
      <c r="MG218" s="33"/>
      <c r="MH218" s="33"/>
      <c r="MI218" s="33"/>
      <c r="MJ218" s="33"/>
      <c r="MK218" s="33"/>
      <c r="ML218" s="33"/>
      <c r="MM218" s="33"/>
      <c r="MN218" s="33"/>
      <c r="MO218" s="33"/>
      <c r="MP218" s="33"/>
      <c r="MQ218" s="33"/>
      <c r="MR218" s="33"/>
      <c r="MS218" s="33"/>
      <c r="MT218" s="33"/>
      <c r="MU218" s="33"/>
      <c r="MV218" s="33"/>
    </row>
    <row r="219" spans="1:360" ht="0.75" customHeight="1" x14ac:dyDescent="0.25">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c r="BV219" s="33"/>
      <c r="BW219" s="33"/>
      <c r="BX219" s="33"/>
      <c r="BY219" s="33"/>
      <c r="BZ219" s="33"/>
      <c r="CA219" s="33"/>
      <c r="CB219" s="33"/>
      <c r="CC219" s="33"/>
      <c r="CD219" s="33"/>
      <c r="CE219" s="33"/>
      <c r="CF219" s="33"/>
      <c r="CG219" s="33"/>
      <c r="CH219" s="33"/>
      <c r="CI219" s="33"/>
      <c r="CJ219" s="33"/>
      <c r="CK219" s="33"/>
      <c r="CL219" s="33"/>
      <c r="CM219" s="33"/>
      <c r="CN219" s="33"/>
      <c r="CO219" s="33"/>
      <c r="CP219" s="33"/>
      <c r="CQ219" s="33"/>
      <c r="CR219" s="33"/>
      <c r="CS219" s="33"/>
      <c r="CT219" s="33"/>
      <c r="CU219" s="33"/>
      <c r="CV219" s="33"/>
      <c r="CW219" s="33"/>
      <c r="CX219" s="33"/>
      <c r="CY219" s="33"/>
      <c r="CZ219" s="33"/>
      <c r="DA219" s="33"/>
      <c r="DB219" s="33"/>
      <c r="DC219" s="33"/>
      <c r="DD219" s="33"/>
      <c r="DE219" s="33"/>
      <c r="DF219" s="33"/>
      <c r="DG219" s="33"/>
      <c r="DH219" s="33"/>
      <c r="DI219" s="33"/>
      <c r="DJ219" s="33"/>
      <c r="DK219" s="33"/>
      <c r="DL219" s="33"/>
      <c r="DM219" s="33"/>
      <c r="DN219" s="33"/>
      <c r="DO219" s="33"/>
      <c r="DP219" s="33"/>
      <c r="DQ219" s="33"/>
      <c r="DR219" s="33"/>
      <c r="DS219" s="33"/>
      <c r="DT219" s="33"/>
      <c r="DU219" s="33"/>
      <c r="DV219" s="33"/>
      <c r="DW219" s="33"/>
      <c r="DX219" s="33"/>
      <c r="DY219" s="33"/>
      <c r="DZ219" s="33"/>
      <c r="EA219" s="33"/>
      <c r="EB219" s="33"/>
      <c r="EC219" s="33"/>
      <c r="ED219" s="33"/>
      <c r="EE219" s="33"/>
      <c r="EF219" s="33"/>
      <c r="EG219" s="33"/>
      <c r="EH219" s="33"/>
      <c r="EI219" s="33"/>
      <c r="EJ219" s="33"/>
      <c r="EK219" s="33"/>
      <c r="EL219" s="33"/>
      <c r="EM219" s="33"/>
      <c r="EN219" s="33"/>
      <c r="EO219" s="33"/>
      <c r="EP219" s="33"/>
      <c r="EQ219" s="33"/>
      <c r="ER219" s="33"/>
      <c r="ES219" s="33"/>
      <c r="ET219" s="33"/>
      <c r="EU219" s="33"/>
      <c r="EV219" s="33"/>
      <c r="EW219" s="33"/>
      <c r="EX219" s="33"/>
      <c r="EY219" s="33"/>
      <c r="EZ219" s="33"/>
      <c r="FA219" s="33"/>
      <c r="FB219" s="33"/>
      <c r="FC219" s="33"/>
      <c r="FD219" s="33"/>
      <c r="FE219" s="33"/>
      <c r="FF219" s="33"/>
      <c r="FG219" s="33"/>
      <c r="FH219" s="33"/>
      <c r="FI219" s="33"/>
      <c r="FJ219" s="33"/>
      <c r="FK219" s="33"/>
      <c r="FL219" s="33"/>
      <c r="FM219" s="33"/>
      <c r="FN219" s="33"/>
      <c r="FO219" s="33"/>
      <c r="FP219" s="33"/>
      <c r="FQ219" s="33"/>
      <c r="FR219" s="33"/>
      <c r="FS219" s="33"/>
      <c r="FT219" s="33"/>
      <c r="FU219" s="33"/>
      <c r="FV219" s="33"/>
      <c r="FW219" s="33"/>
      <c r="FX219" s="33"/>
      <c r="FY219" s="33"/>
      <c r="FZ219" s="33"/>
      <c r="GA219" s="33"/>
      <c r="GB219" s="33"/>
      <c r="GC219" s="33"/>
      <c r="GD219" s="33"/>
      <c r="GE219" s="33"/>
      <c r="GF219" s="33"/>
      <c r="GG219" s="33"/>
      <c r="GH219" s="33"/>
      <c r="GI219" s="33"/>
      <c r="GJ219" s="33"/>
      <c r="GK219" s="33"/>
      <c r="GL219" s="33"/>
      <c r="GM219" s="33"/>
      <c r="GN219" s="33"/>
      <c r="GO219" s="33"/>
      <c r="GP219" s="33"/>
      <c r="GQ219" s="33"/>
      <c r="GR219" s="33"/>
      <c r="GS219" s="33"/>
      <c r="GT219" s="33"/>
      <c r="GU219" s="33"/>
      <c r="GV219" s="33"/>
      <c r="GW219" s="33"/>
      <c r="GX219" s="33"/>
      <c r="GY219" s="33"/>
      <c r="GZ219" s="33"/>
      <c r="HA219" s="33"/>
      <c r="HB219" s="33"/>
      <c r="HC219" s="33"/>
      <c r="HD219" s="33"/>
      <c r="HE219" s="33"/>
      <c r="HF219" s="33"/>
      <c r="HG219" s="33"/>
      <c r="HH219" s="33"/>
      <c r="HI219" s="33"/>
      <c r="HJ219" s="33"/>
      <c r="HK219" s="33"/>
      <c r="HL219" s="33"/>
      <c r="HM219" s="33"/>
      <c r="HN219" s="33"/>
      <c r="HO219" s="33"/>
      <c r="HP219" s="33"/>
      <c r="HQ219" s="33"/>
      <c r="HR219" s="33"/>
      <c r="HS219" s="33"/>
      <c r="HT219" s="33"/>
      <c r="HU219" s="33"/>
      <c r="HV219" s="33"/>
      <c r="HW219" s="33"/>
      <c r="HX219" s="33"/>
      <c r="HY219" s="33"/>
      <c r="HZ219" s="33"/>
      <c r="IA219" s="33"/>
      <c r="IB219" s="33"/>
      <c r="IC219" s="33"/>
      <c r="ID219" s="33"/>
      <c r="IE219" s="33"/>
      <c r="IF219" s="33"/>
      <c r="IG219" s="33"/>
      <c r="IH219" s="33"/>
      <c r="II219" s="33"/>
      <c r="IJ219" s="33"/>
      <c r="IK219" s="33"/>
      <c r="IL219" s="33"/>
      <c r="IM219" s="33"/>
      <c r="IN219" s="33"/>
      <c r="IO219" s="33"/>
      <c r="IP219" s="33"/>
      <c r="IQ219" s="33"/>
      <c r="IR219" s="33"/>
      <c r="IS219" s="33"/>
      <c r="IT219" s="33"/>
      <c r="IU219" s="33"/>
      <c r="IV219" s="33"/>
      <c r="IW219" s="33"/>
      <c r="IX219" s="33"/>
      <c r="IY219" s="33"/>
      <c r="IZ219" s="33"/>
      <c r="JA219" s="33"/>
      <c r="JB219" s="33"/>
      <c r="JC219" s="33"/>
      <c r="JD219" s="33"/>
      <c r="JE219" s="33"/>
      <c r="JF219" s="33"/>
      <c r="JG219" s="33"/>
      <c r="JH219" s="33"/>
      <c r="JI219" s="33"/>
      <c r="JJ219" s="33"/>
      <c r="JK219" s="33"/>
      <c r="JL219" s="33"/>
      <c r="JM219" s="33"/>
      <c r="JN219" s="33"/>
      <c r="JO219" s="33"/>
      <c r="JP219" s="33"/>
      <c r="JQ219" s="33"/>
      <c r="JR219" s="33"/>
      <c r="JS219" s="33"/>
      <c r="JT219" s="33"/>
      <c r="JU219" s="33"/>
      <c r="JV219" s="33"/>
      <c r="JW219" s="33"/>
      <c r="JX219" s="33"/>
      <c r="JY219" s="33"/>
      <c r="JZ219" s="33"/>
      <c r="KA219" s="33"/>
      <c r="KB219" s="33"/>
      <c r="KC219" s="33"/>
      <c r="KD219" s="33"/>
      <c r="KE219" s="33"/>
      <c r="KF219" s="33"/>
      <c r="KG219" s="33"/>
      <c r="KH219" s="33"/>
      <c r="KI219" s="33"/>
      <c r="KJ219" s="33"/>
      <c r="KK219" s="33"/>
      <c r="KL219" s="33"/>
      <c r="KM219" s="33"/>
      <c r="KN219" s="33"/>
      <c r="KO219" s="33"/>
      <c r="KP219" s="33"/>
      <c r="KQ219" s="33"/>
      <c r="KR219" s="33"/>
      <c r="KS219" s="33"/>
      <c r="KT219" s="33"/>
      <c r="KU219" s="33"/>
      <c r="KV219" s="33"/>
      <c r="KW219" s="33"/>
      <c r="KX219" s="33"/>
      <c r="KY219" s="33"/>
      <c r="KZ219" s="33"/>
      <c r="LA219" s="33"/>
      <c r="LB219" s="33"/>
      <c r="LC219" s="33"/>
      <c r="LD219" s="33"/>
      <c r="LE219" s="33"/>
      <c r="LF219" s="33"/>
      <c r="LG219" s="33"/>
      <c r="LH219" s="33"/>
      <c r="LI219" s="33"/>
      <c r="LJ219" s="33"/>
      <c r="LK219" s="33"/>
      <c r="LL219" s="33"/>
      <c r="LM219" s="33"/>
      <c r="LN219" s="33"/>
      <c r="LO219" s="33"/>
      <c r="LP219" s="33"/>
      <c r="LQ219" s="33"/>
      <c r="LR219" s="33"/>
      <c r="LS219" s="33"/>
      <c r="LT219" s="33"/>
      <c r="LU219" s="33"/>
      <c r="LV219" s="33"/>
      <c r="LW219" s="33"/>
      <c r="LX219" s="33"/>
      <c r="LY219" s="33"/>
      <c r="LZ219" s="33"/>
      <c r="MA219" s="33"/>
      <c r="MB219" s="33"/>
      <c r="MC219" s="33"/>
      <c r="MD219" s="33"/>
      <c r="ME219" s="33"/>
      <c r="MF219" s="33"/>
      <c r="MG219" s="33"/>
      <c r="MH219" s="33"/>
      <c r="MI219" s="33"/>
      <c r="MJ219" s="33"/>
      <c r="MK219" s="33"/>
      <c r="ML219" s="33"/>
      <c r="MM219" s="33"/>
      <c r="MN219" s="33"/>
      <c r="MO219" s="33"/>
      <c r="MP219" s="33"/>
      <c r="MQ219" s="33"/>
      <c r="MR219" s="33"/>
      <c r="MS219" s="33"/>
      <c r="MT219" s="33"/>
      <c r="MU219" s="33"/>
      <c r="MV219" s="33"/>
    </row>
    <row r="220" spans="1:360" ht="0.75" customHeight="1" x14ac:dyDescent="0.25">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c r="BV220" s="33"/>
      <c r="BW220" s="33"/>
      <c r="BX220" s="33"/>
      <c r="BY220" s="33"/>
      <c r="BZ220" s="33"/>
      <c r="CA220" s="33"/>
      <c r="CB220" s="33"/>
      <c r="CC220" s="33"/>
      <c r="CD220" s="33"/>
      <c r="CE220" s="33"/>
      <c r="CF220" s="33"/>
      <c r="CG220" s="33"/>
      <c r="CH220" s="33"/>
      <c r="CI220" s="33"/>
      <c r="CJ220" s="33"/>
      <c r="CK220" s="33"/>
      <c r="CL220" s="33"/>
      <c r="CM220" s="33"/>
      <c r="CN220" s="33"/>
      <c r="CO220" s="33"/>
      <c r="CP220" s="33"/>
      <c r="CQ220" s="33"/>
      <c r="CR220" s="33"/>
      <c r="CS220" s="33"/>
      <c r="CT220" s="33"/>
      <c r="CU220" s="33"/>
      <c r="CV220" s="33"/>
      <c r="CW220" s="33"/>
      <c r="CX220" s="33"/>
      <c r="CY220" s="33"/>
      <c r="CZ220" s="33"/>
      <c r="DA220" s="33"/>
      <c r="DB220" s="33"/>
      <c r="DC220" s="33"/>
      <c r="DD220" s="33"/>
      <c r="DE220" s="33"/>
      <c r="DF220" s="33"/>
      <c r="DG220" s="33"/>
      <c r="DH220" s="33"/>
      <c r="DI220" s="33"/>
      <c r="DJ220" s="33"/>
      <c r="DK220" s="33"/>
      <c r="DL220" s="33"/>
      <c r="DM220" s="33"/>
      <c r="DN220" s="33"/>
      <c r="DO220" s="33"/>
      <c r="DP220" s="33"/>
      <c r="DQ220" s="33"/>
      <c r="DR220" s="33"/>
      <c r="DS220" s="33"/>
      <c r="DT220" s="33"/>
      <c r="DU220" s="33"/>
      <c r="DV220" s="33"/>
      <c r="DW220" s="33"/>
      <c r="DX220" s="33"/>
      <c r="DY220" s="33"/>
      <c r="DZ220" s="33"/>
      <c r="EA220" s="33"/>
      <c r="EB220" s="33"/>
      <c r="EC220" s="33"/>
      <c r="ED220" s="33"/>
      <c r="EE220" s="33"/>
      <c r="EF220" s="33"/>
      <c r="EG220" s="33"/>
      <c r="EH220" s="33"/>
      <c r="EI220" s="33"/>
      <c r="EJ220" s="33"/>
      <c r="EK220" s="33"/>
      <c r="EL220" s="33"/>
      <c r="EM220" s="33"/>
      <c r="EN220" s="33"/>
      <c r="EO220" s="33"/>
      <c r="EP220" s="33"/>
      <c r="EQ220" s="33"/>
      <c r="ER220" s="33"/>
      <c r="ES220" s="33"/>
      <c r="ET220" s="33"/>
      <c r="EU220" s="33"/>
      <c r="EV220" s="33"/>
      <c r="EW220" s="33"/>
      <c r="EX220" s="33"/>
      <c r="EY220" s="33"/>
      <c r="EZ220" s="33"/>
      <c r="FA220" s="33"/>
      <c r="FB220" s="33"/>
      <c r="FC220" s="33"/>
      <c r="FD220" s="33"/>
      <c r="FE220" s="33"/>
      <c r="FF220" s="33"/>
      <c r="FG220" s="33"/>
      <c r="FH220" s="33"/>
      <c r="FI220" s="33"/>
      <c r="FJ220" s="33"/>
      <c r="FK220" s="33"/>
      <c r="FL220" s="33"/>
      <c r="FM220" s="33"/>
      <c r="FN220" s="33"/>
      <c r="FO220" s="33"/>
      <c r="FP220" s="33"/>
      <c r="FQ220" s="33"/>
      <c r="FR220" s="33"/>
      <c r="FS220" s="33"/>
      <c r="FT220" s="33"/>
      <c r="FU220" s="33"/>
      <c r="FV220" s="33"/>
      <c r="FW220" s="33"/>
      <c r="FX220" s="33"/>
      <c r="FY220" s="33"/>
      <c r="FZ220" s="33"/>
      <c r="GA220" s="33"/>
      <c r="GB220" s="33"/>
      <c r="GC220" s="33"/>
      <c r="GD220" s="33"/>
      <c r="GE220" s="33"/>
      <c r="GF220" s="33"/>
      <c r="GG220" s="33"/>
      <c r="GH220" s="33"/>
      <c r="GI220" s="33"/>
      <c r="GJ220" s="33"/>
      <c r="GK220" s="33"/>
      <c r="GL220" s="33"/>
      <c r="GM220" s="33"/>
      <c r="GN220" s="33"/>
      <c r="GO220" s="33"/>
      <c r="GP220" s="33"/>
      <c r="GQ220" s="33"/>
      <c r="GR220" s="33"/>
      <c r="GS220" s="33"/>
      <c r="GT220" s="33"/>
      <c r="GU220" s="33"/>
      <c r="GV220" s="33"/>
      <c r="GW220" s="33"/>
      <c r="GX220" s="33"/>
      <c r="GY220" s="33"/>
      <c r="GZ220" s="33"/>
      <c r="HA220" s="33"/>
      <c r="HB220" s="33"/>
      <c r="HC220" s="33"/>
      <c r="HD220" s="33"/>
      <c r="HE220" s="33"/>
      <c r="HF220" s="33"/>
      <c r="HG220" s="33"/>
      <c r="HH220" s="33"/>
      <c r="HI220" s="33"/>
      <c r="HJ220" s="33"/>
      <c r="HK220" s="33"/>
      <c r="HL220" s="33"/>
      <c r="HM220" s="33"/>
      <c r="HN220" s="33"/>
      <c r="HO220" s="33"/>
      <c r="HP220" s="33"/>
      <c r="HQ220" s="33"/>
      <c r="HR220" s="33"/>
      <c r="HS220" s="33"/>
      <c r="HT220" s="33"/>
      <c r="HU220" s="33"/>
      <c r="HV220" s="33"/>
      <c r="HW220" s="33"/>
      <c r="HX220" s="33"/>
      <c r="HY220" s="33"/>
      <c r="HZ220" s="33"/>
      <c r="IA220" s="33"/>
      <c r="IB220" s="33"/>
      <c r="IC220" s="33"/>
      <c r="ID220" s="33"/>
      <c r="IE220" s="33"/>
      <c r="IF220" s="33"/>
      <c r="IG220" s="33"/>
      <c r="IH220" s="33"/>
      <c r="II220" s="33"/>
      <c r="IJ220" s="33"/>
      <c r="IK220" s="33"/>
      <c r="IL220" s="33"/>
      <c r="IM220" s="33"/>
      <c r="IN220" s="33"/>
      <c r="IO220" s="33"/>
      <c r="IP220" s="33"/>
      <c r="IQ220" s="33"/>
      <c r="IR220" s="33"/>
      <c r="IS220" s="33"/>
      <c r="IT220" s="33"/>
      <c r="IU220" s="33"/>
      <c r="IV220" s="33"/>
      <c r="IW220" s="33"/>
      <c r="IX220" s="33"/>
      <c r="IY220" s="33"/>
      <c r="IZ220" s="33"/>
      <c r="JA220" s="33"/>
      <c r="JB220" s="33"/>
      <c r="JC220" s="33"/>
      <c r="JD220" s="33"/>
      <c r="JE220" s="33"/>
      <c r="JF220" s="33"/>
      <c r="JG220" s="33"/>
      <c r="JH220" s="33"/>
      <c r="JI220" s="33"/>
      <c r="JJ220" s="33"/>
      <c r="JK220" s="33"/>
      <c r="JL220" s="33"/>
      <c r="JM220" s="33"/>
      <c r="JN220" s="33"/>
      <c r="JO220" s="33"/>
      <c r="JP220" s="33"/>
      <c r="JQ220" s="33"/>
      <c r="JR220" s="33"/>
      <c r="JS220" s="33"/>
      <c r="JT220" s="33"/>
      <c r="JU220" s="33"/>
      <c r="JV220" s="33"/>
      <c r="JW220" s="33"/>
      <c r="JX220" s="33"/>
      <c r="JY220" s="33"/>
      <c r="JZ220" s="33"/>
      <c r="KA220" s="33"/>
      <c r="KB220" s="33"/>
      <c r="KC220" s="33"/>
      <c r="KD220" s="33"/>
      <c r="KE220" s="33"/>
      <c r="KF220" s="33"/>
      <c r="KG220" s="33"/>
      <c r="KH220" s="33"/>
      <c r="KI220" s="33"/>
      <c r="KJ220" s="33"/>
      <c r="KK220" s="33"/>
      <c r="KL220" s="33"/>
      <c r="KM220" s="33"/>
      <c r="KN220" s="33"/>
      <c r="KO220" s="33"/>
      <c r="KP220" s="33"/>
      <c r="KQ220" s="33"/>
      <c r="KR220" s="33"/>
      <c r="KS220" s="33"/>
      <c r="KT220" s="33"/>
      <c r="KU220" s="33"/>
      <c r="KV220" s="33"/>
      <c r="KW220" s="33"/>
      <c r="KX220" s="33"/>
      <c r="KY220" s="33"/>
      <c r="KZ220" s="33"/>
      <c r="LA220" s="33"/>
      <c r="LB220" s="33"/>
      <c r="LC220" s="33"/>
      <c r="LD220" s="33"/>
      <c r="LE220" s="33"/>
      <c r="LF220" s="33"/>
      <c r="LG220" s="33"/>
      <c r="LH220" s="33"/>
      <c r="LI220" s="33"/>
      <c r="LJ220" s="33"/>
      <c r="LK220" s="33"/>
      <c r="LL220" s="33"/>
      <c r="LM220" s="33"/>
      <c r="LN220" s="33"/>
      <c r="LO220" s="33"/>
      <c r="LP220" s="33"/>
      <c r="LQ220" s="33"/>
      <c r="LR220" s="33"/>
      <c r="LS220" s="33"/>
      <c r="LT220" s="33"/>
      <c r="LU220" s="33"/>
      <c r="LV220" s="33"/>
      <c r="LW220" s="33"/>
      <c r="LX220" s="33"/>
      <c r="LY220" s="33"/>
      <c r="LZ220" s="33"/>
      <c r="MA220" s="33"/>
      <c r="MB220" s="33"/>
      <c r="MC220" s="33"/>
      <c r="MD220" s="33"/>
      <c r="ME220" s="33"/>
      <c r="MF220" s="33"/>
      <c r="MG220" s="33"/>
      <c r="MH220" s="33"/>
      <c r="MI220" s="33"/>
      <c r="MJ220" s="33"/>
      <c r="MK220" s="33"/>
      <c r="ML220" s="33"/>
      <c r="MM220" s="33"/>
      <c r="MN220" s="33"/>
      <c r="MO220" s="33"/>
      <c r="MP220" s="33"/>
      <c r="MQ220" s="33"/>
      <c r="MR220" s="33"/>
      <c r="MS220" s="33"/>
      <c r="MT220" s="33"/>
      <c r="MU220" s="33"/>
      <c r="MV220" s="33"/>
    </row>
    <row r="221" spans="1:360" ht="0.75" customHeight="1" x14ac:dyDescent="0.25">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c r="BV221" s="33"/>
      <c r="BW221" s="33"/>
      <c r="BX221" s="33"/>
      <c r="BY221" s="33"/>
      <c r="BZ221" s="33"/>
      <c r="CA221" s="33"/>
      <c r="CB221" s="33"/>
      <c r="CC221" s="33"/>
      <c r="CD221" s="33"/>
      <c r="CE221" s="33"/>
      <c r="CF221" s="33"/>
      <c r="CG221" s="33"/>
      <c r="CH221" s="33"/>
      <c r="CI221" s="33"/>
      <c r="CJ221" s="33"/>
      <c r="CK221" s="33"/>
      <c r="CL221" s="33"/>
      <c r="CM221" s="33"/>
      <c r="CN221" s="33"/>
      <c r="CO221" s="33"/>
      <c r="CP221" s="33"/>
      <c r="CQ221" s="33"/>
      <c r="CR221" s="33"/>
      <c r="CS221" s="33"/>
      <c r="CT221" s="33"/>
      <c r="CU221" s="33"/>
      <c r="CV221" s="33"/>
      <c r="CW221" s="33"/>
      <c r="CX221" s="33"/>
      <c r="CY221" s="33"/>
      <c r="CZ221" s="33"/>
      <c r="DA221" s="33"/>
      <c r="DB221" s="33"/>
      <c r="DC221" s="33"/>
      <c r="DD221" s="33"/>
      <c r="DE221" s="33"/>
      <c r="DF221" s="33"/>
      <c r="DG221" s="33"/>
      <c r="DH221" s="33"/>
      <c r="DI221" s="33"/>
      <c r="DJ221" s="33"/>
      <c r="DK221" s="33"/>
      <c r="DL221" s="33"/>
      <c r="DM221" s="33"/>
      <c r="DN221" s="33"/>
      <c r="DO221" s="33"/>
      <c r="DP221" s="33"/>
      <c r="DQ221" s="33"/>
      <c r="DR221" s="33"/>
      <c r="DS221" s="33"/>
      <c r="DT221" s="33"/>
      <c r="DU221" s="33"/>
      <c r="DV221" s="33"/>
      <c r="DW221" s="33"/>
      <c r="DX221" s="33"/>
      <c r="DY221" s="33"/>
      <c r="DZ221" s="33"/>
      <c r="EA221" s="33"/>
      <c r="EB221" s="33"/>
      <c r="EC221" s="33"/>
      <c r="ED221" s="33"/>
      <c r="EE221" s="33"/>
      <c r="EF221" s="33"/>
      <c r="EG221" s="33"/>
      <c r="EH221" s="33"/>
      <c r="EI221" s="33"/>
      <c r="EJ221" s="33"/>
      <c r="EK221" s="33"/>
      <c r="EL221" s="33"/>
      <c r="EM221" s="33"/>
      <c r="EN221" s="33"/>
      <c r="EO221" s="33"/>
      <c r="EP221" s="33"/>
      <c r="EQ221" s="33"/>
      <c r="ER221" s="33"/>
      <c r="ES221" s="33"/>
      <c r="ET221" s="33"/>
      <c r="EU221" s="33"/>
      <c r="EV221" s="33"/>
      <c r="EW221" s="33"/>
      <c r="EX221" s="33"/>
      <c r="EY221" s="33"/>
      <c r="EZ221" s="33"/>
      <c r="FA221" s="33"/>
      <c r="FB221" s="33"/>
      <c r="FC221" s="33"/>
      <c r="FD221" s="33"/>
      <c r="FE221" s="33"/>
      <c r="FF221" s="33"/>
      <c r="FG221" s="33"/>
      <c r="FH221" s="33"/>
      <c r="FI221" s="33"/>
      <c r="FJ221" s="33"/>
      <c r="FK221" s="33"/>
      <c r="FL221" s="33"/>
      <c r="FM221" s="33"/>
      <c r="FN221" s="33"/>
      <c r="FO221" s="33"/>
      <c r="FP221" s="33"/>
      <c r="FQ221" s="33"/>
      <c r="FR221" s="33"/>
      <c r="FS221" s="33"/>
      <c r="FT221" s="33"/>
      <c r="FU221" s="33"/>
      <c r="FV221" s="33"/>
      <c r="FW221" s="33"/>
      <c r="FX221" s="33"/>
      <c r="FY221" s="33"/>
      <c r="FZ221" s="33"/>
      <c r="GA221" s="33"/>
      <c r="GB221" s="33"/>
      <c r="GC221" s="33"/>
      <c r="GD221" s="33"/>
      <c r="GE221" s="33"/>
      <c r="GF221" s="33"/>
      <c r="GG221" s="33"/>
      <c r="GH221" s="33"/>
      <c r="GI221" s="33"/>
      <c r="GJ221" s="33"/>
      <c r="GK221" s="33"/>
      <c r="GL221" s="33"/>
      <c r="GM221" s="33"/>
      <c r="GN221" s="33"/>
      <c r="GO221" s="33"/>
      <c r="GP221" s="33"/>
      <c r="GQ221" s="33"/>
      <c r="GR221" s="33"/>
      <c r="GS221" s="33"/>
      <c r="GT221" s="33"/>
      <c r="GU221" s="33"/>
      <c r="GV221" s="33"/>
      <c r="GW221" s="33"/>
      <c r="GX221" s="33"/>
      <c r="GY221" s="33"/>
      <c r="GZ221" s="33"/>
      <c r="HA221" s="33"/>
      <c r="HB221" s="33"/>
      <c r="HC221" s="33"/>
      <c r="HD221" s="33"/>
      <c r="HE221" s="33"/>
      <c r="HF221" s="33"/>
      <c r="HG221" s="33"/>
      <c r="HH221" s="33"/>
      <c r="HI221" s="33"/>
      <c r="HJ221" s="33"/>
      <c r="HK221" s="33"/>
      <c r="HL221" s="33"/>
      <c r="HM221" s="33"/>
      <c r="HN221" s="33"/>
      <c r="HO221" s="33"/>
      <c r="HP221" s="33"/>
      <c r="HQ221" s="33"/>
      <c r="HR221" s="33"/>
      <c r="HS221" s="33"/>
      <c r="HT221" s="33"/>
      <c r="HU221" s="33"/>
      <c r="HV221" s="33"/>
      <c r="HW221" s="33"/>
      <c r="HX221" s="33"/>
      <c r="HY221" s="33"/>
      <c r="HZ221" s="33"/>
      <c r="IA221" s="33"/>
      <c r="IB221" s="33"/>
      <c r="IC221" s="33"/>
      <c r="ID221" s="33"/>
      <c r="IE221" s="33"/>
      <c r="IF221" s="33"/>
      <c r="IG221" s="33"/>
      <c r="IH221" s="33"/>
      <c r="II221" s="33"/>
      <c r="IJ221" s="33"/>
      <c r="IK221" s="33"/>
      <c r="IL221" s="33"/>
      <c r="IM221" s="33"/>
      <c r="IN221" s="33"/>
      <c r="IO221" s="33"/>
      <c r="IP221" s="33"/>
      <c r="IQ221" s="33"/>
      <c r="IR221" s="33"/>
      <c r="IS221" s="33"/>
      <c r="IT221" s="33"/>
      <c r="IU221" s="33"/>
      <c r="IV221" s="33"/>
      <c r="IW221" s="33"/>
      <c r="IX221" s="33"/>
      <c r="IY221" s="33"/>
      <c r="IZ221" s="33"/>
      <c r="JA221" s="33"/>
      <c r="JB221" s="33"/>
      <c r="JC221" s="33"/>
      <c r="JD221" s="33"/>
      <c r="JE221" s="33"/>
      <c r="JF221" s="33"/>
      <c r="JG221" s="33"/>
      <c r="JH221" s="33"/>
      <c r="JI221" s="33"/>
      <c r="JJ221" s="33"/>
      <c r="JK221" s="33"/>
      <c r="JL221" s="33"/>
      <c r="JM221" s="33"/>
      <c r="JN221" s="33"/>
      <c r="JO221" s="33"/>
      <c r="JP221" s="33"/>
      <c r="JQ221" s="33"/>
      <c r="JR221" s="33"/>
      <c r="JS221" s="33"/>
      <c r="JT221" s="33"/>
      <c r="JU221" s="33"/>
      <c r="JV221" s="33"/>
      <c r="JW221" s="33"/>
      <c r="JX221" s="33"/>
      <c r="JY221" s="33"/>
      <c r="JZ221" s="33"/>
      <c r="KA221" s="33"/>
      <c r="KB221" s="33"/>
      <c r="KC221" s="33"/>
      <c r="KD221" s="33"/>
      <c r="KE221" s="33"/>
      <c r="KF221" s="33"/>
      <c r="KG221" s="33"/>
      <c r="KH221" s="33"/>
      <c r="KI221" s="33"/>
      <c r="KJ221" s="33"/>
      <c r="KK221" s="33"/>
      <c r="KL221" s="33"/>
      <c r="KM221" s="33"/>
      <c r="KN221" s="33"/>
      <c r="KO221" s="33"/>
      <c r="KP221" s="33"/>
      <c r="KQ221" s="33"/>
      <c r="KR221" s="33"/>
      <c r="KS221" s="33"/>
      <c r="KT221" s="33"/>
      <c r="KU221" s="33"/>
      <c r="KV221" s="33"/>
      <c r="KW221" s="33"/>
      <c r="KX221" s="33"/>
      <c r="KY221" s="33"/>
      <c r="KZ221" s="33"/>
      <c r="LA221" s="33"/>
      <c r="LB221" s="33"/>
      <c r="LC221" s="33"/>
      <c r="LD221" s="33"/>
      <c r="LE221" s="33"/>
      <c r="LF221" s="33"/>
      <c r="LG221" s="33"/>
      <c r="LH221" s="33"/>
      <c r="LI221" s="33"/>
      <c r="LJ221" s="33"/>
      <c r="LK221" s="33"/>
      <c r="LL221" s="33"/>
      <c r="LM221" s="33"/>
      <c r="LN221" s="33"/>
      <c r="LO221" s="33"/>
      <c r="LP221" s="33"/>
      <c r="LQ221" s="33"/>
      <c r="LR221" s="33"/>
      <c r="LS221" s="33"/>
      <c r="LT221" s="33"/>
      <c r="LU221" s="33"/>
      <c r="LV221" s="33"/>
      <c r="LW221" s="33"/>
      <c r="LX221" s="33"/>
      <c r="LY221" s="33"/>
      <c r="LZ221" s="33"/>
      <c r="MA221" s="33"/>
      <c r="MB221" s="33"/>
      <c r="MC221" s="33"/>
      <c r="MD221" s="33"/>
      <c r="ME221" s="33"/>
      <c r="MF221" s="33"/>
      <c r="MG221" s="33"/>
      <c r="MH221" s="33"/>
      <c r="MI221" s="33"/>
      <c r="MJ221" s="33"/>
      <c r="MK221" s="33"/>
      <c r="ML221" s="33"/>
      <c r="MM221" s="33"/>
      <c r="MN221" s="33"/>
      <c r="MO221" s="33"/>
      <c r="MP221" s="33"/>
      <c r="MQ221" s="33"/>
      <c r="MR221" s="33"/>
      <c r="MS221" s="33"/>
      <c r="MT221" s="33"/>
      <c r="MU221" s="33"/>
      <c r="MV221" s="33"/>
    </row>
    <row r="222" spans="1:360" ht="0.75" customHeight="1" x14ac:dyDescent="0.25">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c r="BV222" s="33"/>
      <c r="BW222" s="33"/>
      <c r="BX222" s="33"/>
      <c r="BY222" s="33"/>
      <c r="BZ222" s="33"/>
      <c r="CA222" s="33"/>
      <c r="CB222" s="33"/>
      <c r="CC222" s="33"/>
      <c r="CD222" s="33"/>
      <c r="CE222" s="33"/>
      <c r="CF222" s="33"/>
      <c r="CG222" s="33"/>
      <c r="CH222" s="33"/>
      <c r="CI222" s="33"/>
      <c r="CJ222" s="33"/>
      <c r="CK222" s="33"/>
      <c r="CL222" s="33"/>
      <c r="CM222" s="33"/>
      <c r="CN222" s="33"/>
      <c r="CO222" s="33"/>
      <c r="CP222" s="33"/>
      <c r="CQ222" s="33"/>
      <c r="CR222" s="33"/>
      <c r="CS222" s="33"/>
      <c r="CT222" s="33"/>
      <c r="CU222" s="33"/>
      <c r="CV222" s="33"/>
      <c r="CW222" s="33"/>
      <c r="CX222" s="33"/>
      <c r="CY222" s="33"/>
      <c r="CZ222" s="33"/>
      <c r="DA222" s="33"/>
      <c r="DB222" s="33"/>
      <c r="DC222" s="33"/>
      <c r="DD222" s="33"/>
      <c r="DE222" s="33"/>
      <c r="DF222" s="33"/>
      <c r="DG222" s="33"/>
      <c r="DH222" s="33"/>
      <c r="DI222" s="33"/>
      <c r="DJ222" s="33"/>
      <c r="DK222" s="33"/>
      <c r="DL222" s="33"/>
      <c r="DM222" s="33"/>
      <c r="DN222" s="33"/>
      <c r="DO222" s="33"/>
      <c r="DP222" s="33"/>
      <c r="DQ222" s="33"/>
      <c r="DR222" s="33"/>
      <c r="DS222" s="33"/>
      <c r="DT222" s="33"/>
      <c r="DU222" s="33"/>
      <c r="DV222" s="33"/>
      <c r="DW222" s="33"/>
      <c r="DX222" s="33"/>
      <c r="DY222" s="33"/>
      <c r="DZ222" s="33"/>
      <c r="EA222" s="33"/>
      <c r="EB222" s="33"/>
      <c r="EC222" s="33"/>
      <c r="ED222" s="33"/>
      <c r="EE222" s="33"/>
      <c r="EF222" s="33"/>
      <c r="EG222" s="33"/>
      <c r="EH222" s="33"/>
      <c r="EI222" s="33"/>
      <c r="EJ222" s="33"/>
      <c r="EK222" s="33"/>
      <c r="EL222" s="33"/>
      <c r="EM222" s="33"/>
      <c r="EN222" s="33"/>
      <c r="EO222" s="33"/>
      <c r="EP222" s="33"/>
      <c r="EQ222" s="33"/>
      <c r="ER222" s="33"/>
      <c r="ES222" s="33"/>
      <c r="ET222" s="33"/>
      <c r="EU222" s="33"/>
      <c r="EV222" s="33"/>
      <c r="EW222" s="33"/>
      <c r="EX222" s="33"/>
      <c r="EY222" s="33"/>
      <c r="EZ222" s="33"/>
      <c r="FA222" s="33"/>
      <c r="FB222" s="33"/>
      <c r="FC222" s="33"/>
      <c r="FD222" s="33"/>
      <c r="FE222" s="33"/>
      <c r="FF222" s="33"/>
      <c r="FG222" s="33"/>
      <c r="FH222" s="33"/>
      <c r="FI222" s="33"/>
      <c r="FJ222" s="33"/>
      <c r="FK222" s="33"/>
      <c r="FL222" s="33"/>
      <c r="FM222" s="33"/>
      <c r="FN222" s="33"/>
      <c r="FO222" s="33"/>
      <c r="FP222" s="33"/>
      <c r="FQ222" s="33"/>
      <c r="FR222" s="33"/>
      <c r="FS222" s="33"/>
      <c r="FT222" s="33"/>
      <c r="FU222" s="33"/>
      <c r="FV222" s="33"/>
      <c r="FW222" s="33"/>
      <c r="FX222" s="33"/>
      <c r="FY222" s="33"/>
      <c r="FZ222" s="33"/>
      <c r="GA222" s="33"/>
      <c r="GB222" s="33"/>
      <c r="GC222" s="33"/>
      <c r="GD222" s="33"/>
      <c r="GE222" s="33"/>
      <c r="GF222" s="33"/>
      <c r="GG222" s="33"/>
      <c r="GH222" s="33"/>
      <c r="GI222" s="33"/>
      <c r="GJ222" s="33"/>
      <c r="GK222" s="33"/>
      <c r="GL222" s="33"/>
      <c r="GM222" s="33"/>
      <c r="GN222" s="33"/>
      <c r="GO222" s="33"/>
      <c r="GP222" s="33"/>
      <c r="GQ222" s="33"/>
      <c r="GR222" s="33"/>
      <c r="GS222" s="33"/>
      <c r="GT222" s="33"/>
      <c r="GU222" s="33"/>
      <c r="GV222" s="33"/>
      <c r="GW222" s="33"/>
      <c r="GX222" s="33"/>
      <c r="GY222" s="33"/>
      <c r="GZ222" s="33"/>
      <c r="HA222" s="33"/>
      <c r="HB222" s="33"/>
      <c r="HC222" s="33"/>
      <c r="HD222" s="33"/>
      <c r="HE222" s="33"/>
      <c r="HF222" s="33"/>
      <c r="HG222" s="33"/>
      <c r="HH222" s="33"/>
      <c r="HI222" s="33"/>
      <c r="HJ222" s="33"/>
      <c r="HK222" s="33"/>
      <c r="HL222" s="33"/>
      <c r="HM222" s="33"/>
      <c r="HN222" s="33"/>
      <c r="HO222" s="33"/>
      <c r="HP222" s="33"/>
      <c r="HQ222" s="33"/>
      <c r="HR222" s="33"/>
      <c r="HS222" s="33"/>
      <c r="HT222" s="33"/>
      <c r="HU222" s="33"/>
      <c r="HV222" s="33"/>
      <c r="HW222" s="33"/>
      <c r="HX222" s="33"/>
      <c r="HY222" s="33"/>
      <c r="HZ222" s="33"/>
      <c r="IA222" s="33"/>
      <c r="IB222" s="33"/>
      <c r="IC222" s="33"/>
      <c r="ID222" s="33"/>
      <c r="IE222" s="33"/>
      <c r="IF222" s="33"/>
      <c r="IG222" s="33"/>
      <c r="IH222" s="33"/>
      <c r="II222" s="33"/>
      <c r="IJ222" s="33"/>
      <c r="IK222" s="33"/>
      <c r="IL222" s="33"/>
      <c r="IM222" s="33"/>
      <c r="IN222" s="33"/>
      <c r="IO222" s="33"/>
      <c r="IP222" s="33"/>
      <c r="IQ222" s="33"/>
      <c r="IR222" s="33"/>
      <c r="IS222" s="33"/>
      <c r="IT222" s="33"/>
      <c r="IU222" s="33"/>
      <c r="IV222" s="33"/>
      <c r="IW222" s="33"/>
      <c r="IX222" s="33"/>
      <c r="IY222" s="33"/>
      <c r="IZ222" s="33"/>
      <c r="JA222" s="33"/>
      <c r="JB222" s="33"/>
      <c r="JC222" s="33"/>
      <c r="JD222" s="33"/>
      <c r="JE222" s="33"/>
      <c r="JF222" s="33"/>
      <c r="JG222" s="33"/>
      <c r="JH222" s="33"/>
      <c r="JI222" s="33"/>
      <c r="JJ222" s="33"/>
      <c r="JK222" s="33"/>
      <c r="JL222" s="33"/>
      <c r="JM222" s="33"/>
      <c r="JN222" s="33"/>
      <c r="JO222" s="33"/>
      <c r="JP222" s="33"/>
      <c r="JQ222" s="33"/>
      <c r="JR222" s="33"/>
      <c r="JS222" s="33"/>
      <c r="JT222" s="33"/>
      <c r="JU222" s="33"/>
      <c r="JV222" s="33"/>
      <c r="JW222" s="33"/>
      <c r="JX222" s="33"/>
      <c r="JY222" s="33"/>
      <c r="JZ222" s="33"/>
      <c r="KA222" s="33"/>
      <c r="KB222" s="33"/>
      <c r="KC222" s="33"/>
      <c r="KD222" s="33"/>
      <c r="KE222" s="33"/>
      <c r="KF222" s="33"/>
      <c r="KG222" s="33"/>
      <c r="KH222" s="33"/>
      <c r="KI222" s="33"/>
      <c r="KJ222" s="33"/>
      <c r="KK222" s="33"/>
      <c r="KL222" s="33"/>
      <c r="KM222" s="33"/>
      <c r="KN222" s="33"/>
      <c r="KO222" s="33"/>
      <c r="KP222" s="33"/>
      <c r="KQ222" s="33"/>
      <c r="KR222" s="33"/>
      <c r="KS222" s="33"/>
      <c r="KT222" s="33"/>
      <c r="KU222" s="33"/>
      <c r="KV222" s="33"/>
      <c r="KW222" s="33"/>
      <c r="KX222" s="33"/>
      <c r="KY222" s="33"/>
      <c r="KZ222" s="33"/>
      <c r="LA222" s="33"/>
      <c r="LB222" s="33"/>
      <c r="LC222" s="33"/>
      <c r="LD222" s="33"/>
      <c r="LE222" s="33"/>
      <c r="LF222" s="33"/>
      <c r="LG222" s="33"/>
      <c r="LH222" s="33"/>
      <c r="LI222" s="33"/>
      <c r="LJ222" s="33"/>
      <c r="LK222" s="33"/>
      <c r="LL222" s="33"/>
      <c r="LM222" s="33"/>
      <c r="LN222" s="33"/>
      <c r="LO222" s="33"/>
      <c r="LP222" s="33"/>
      <c r="LQ222" s="33"/>
      <c r="LR222" s="33"/>
      <c r="LS222" s="33"/>
      <c r="LT222" s="33"/>
      <c r="LU222" s="33"/>
      <c r="LV222" s="33"/>
      <c r="LW222" s="33"/>
      <c r="LX222" s="33"/>
      <c r="LY222" s="33"/>
      <c r="LZ222" s="33"/>
      <c r="MA222" s="33"/>
      <c r="MB222" s="33"/>
      <c r="MC222" s="33"/>
      <c r="MD222" s="33"/>
      <c r="ME222" s="33"/>
      <c r="MF222" s="33"/>
      <c r="MG222" s="33"/>
      <c r="MH222" s="33"/>
      <c r="MI222" s="33"/>
      <c r="MJ222" s="33"/>
      <c r="MK222" s="33"/>
      <c r="ML222" s="33"/>
      <c r="MM222" s="33"/>
      <c r="MN222" s="33"/>
      <c r="MO222" s="33"/>
      <c r="MP222" s="33"/>
      <c r="MQ222" s="33"/>
      <c r="MR222" s="33"/>
      <c r="MS222" s="33"/>
      <c r="MT222" s="33"/>
      <c r="MU222" s="33"/>
      <c r="MV222" s="33"/>
    </row>
    <row r="223" spans="1:360" ht="0.75" customHeight="1" x14ac:dyDescent="0.25">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c r="BV223" s="33"/>
      <c r="BW223" s="33"/>
      <c r="BX223" s="33"/>
      <c r="BY223" s="33"/>
      <c r="BZ223" s="33"/>
      <c r="CA223" s="33"/>
      <c r="CB223" s="33"/>
      <c r="CC223" s="33"/>
      <c r="CD223" s="33"/>
      <c r="CE223" s="33"/>
      <c r="CF223" s="33"/>
      <c r="CG223" s="33"/>
      <c r="CH223" s="33"/>
      <c r="CI223" s="33"/>
      <c r="CJ223" s="33"/>
      <c r="CK223" s="33"/>
      <c r="CL223" s="33"/>
      <c r="CM223" s="33"/>
      <c r="CN223" s="33"/>
      <c r="CO223" s="33"/>
      <c r="CP223" s="33"/>
      <c r="CQ223" s="33"/>
      <c r="CR223" s="33"/>
      <c r="CS223" s="33"/>
      <c r="CT223" s="33"/>
      <c r="CU223" s="33"/>
      <c r="CV223" s="33"/>
      <c r="CW223" s="33"/>
      <c r="CX223" s="33"/>
      <c r="CY223" s="33"/>
      <c r="CZ223" s="33"/>
      <c r="DA223" s="33"/>
      <c r="DB223" s="33"/>
      <c r="DC223" s="33"/>
      <c r="DD223" s="33"/>
      <c r="DE223" s="33"/>
      <c r="DF223" s="33"/>
      <c r="DG223" s="33"/>
      <c r="DH223" s="33"/>
      <c r="DI223" s="33"/>
      <c r="DJ223" s="33"/>
      <c r="DK223" s="33"/>
      <c r="DL223" s="33"/>
      <c r="DM223" s="33"/>
      <c r="DN223" s="33"/>
      <c r="DO223" s="33"/>
      <c r="DP223" s="33"/>
      <c r="DQ223" s="33"/>
      <c r="DR223" s="33"/>
      <c r="DS223" s="33"/>
      <c r="DT223" s="33"/>
      <c r="DU223" s="33"/>
      <c r="DV223" s="33"/>
      <c r="DW223" s="33"/>
      <c r="DX223" s="33"/>
      <c r="DY223" s="33"/>
      <c r="DZ223" s="33"/>
      <c r="EA223" s="33"/>
      <c r="EB223" s="33"/>
      <c r="EC223" s="33"/>
      <c r="ED223" s="33"/>
      <c r="EE223" s="33"/>
      <c r="EF223" s="33"/>
      <c r="EG223" s="33"/>
      <c r="EH223" s="33"/>
      <c r="EI223" s="33"/>
      <c r="EJ223" s="33"/>
      <c r="EK223" s="33"/>
      <c r="EL223" s="33"/>
      <c r="EM223" s="33"/>
      <c r="EN223" s="33"/>
      <c r="EO223" s="33"/>
      <c r="EP223" s="33"/>
      <c r="EQ223" s="33"/>
      <c r="ER223" s="33"/>
      <c r="ES223" s="33"/>
      <c r="ET223" s="33"/>
      <c r="EU223" s="33"/>
      <c r="EV223" s="33"/>
      <c r="EW223" s="33"/>
      <c r="EX223" s="33"/>
      <c r="EY223" s="33"/>
      <c r="EZ223" s="33"/>
      <c r="FA223" s="33"/>
      <c r="FB223" s="33"/>
      <c r="FC223" s="33"/>
      <c r="FD223" s="33"/>
      <c r="FE223" s="33"/>
      <c r="FF223" s="33"/>
      <c r="FG223" s="33"/>
      <c r="FH223" s="33"/>
      <c r="FI223" s="33"/>
      <c r="FJ223" s="33"/>
      <c r="FK223" s="33"/>
      <c r="FL223" s="33"/>
      <c r="FM223" s="33"/>
      <c r="FN223" s="33"/>
      <c r="FO223" s="33"/>
      <c r="FP223" s="33"/>
      <c r="FQ223" s="33"/>
      <c r="FR223" s="33"/>
      <c r="FS223" s="33"/>
      <c r="FT223" s="33"/>
      <c r="FU223" s="33"/>
      <c r="FV223" s="33"/>
      <c r="FW223" s="33"/>
      <c r="FX223" s="33"/>
      <c r="FY223" s="33"/>
      <c r="FZ223" s="33"/>
      <c r="GA223" s="33"/>
      <c r="GB223" s="33"/>
      <c r="GC223" s="33"/>
      <c r="GD223" s="33"/>
      <c r="GE223" s="33"/>
      <c r="GF223" s="33"/>
      <c r="GG223" s="33"/>
      <c r="GH223" s="33"/>
      <c r="GI223" s="33"/>
      <c r="GJ223" s="33"/>
      <c r="GK223" s="33"/>
      <c r="GL223" s="33"/>
      <c r="GM223" s="33"/>
      <c r="GN223" s="33"/>
      <c r="GO223" s="33"/>
      <c r="GP223" s="33"/>
      <c r="GQ223" s="33"/>
      <c r="GR223" s="33"/>
      <c r="GS223" s="33"/>
      <c r="GT223" s="33"/>
      <c r="GU223" s="33"/>
      <c r="GV223" s="33"/>
      <c r="GW223" s="33"/>
      <c r="GX223" s="33"/>
      <c r="GY223" s="33"/>
      <c r="GZ223" s="33"/>
      <c r="HA223" s="33"/>
      <c r="HB223" s="33"/>
      <c r="HC223" s="33"/>
      <c r="HD223" s="33"/>
      <c r="HE223" s="33"/>
      <c r="HF223" s="33"/>
      <c r="HG223" s="33"/>
      <c r="HH223" s="33"/>
      <c r="HI223" s="33"/>
      <c r="HJ223" s="33"/>
      <c r="HK223" s="33"/>
      <c r="HL223" s="33"/>
      <c r="HM223" s="33"/>
      <c r="HN223" s="33"/>
      <c r="HO223" s="33"/>
      <c r="HP223" s="33"/>
      <c r="HQ223" s="33"/>
      <c r="HR223" s="33"/>
      <c r="HS223" s="33"/>
      <c r="HT223" s="33"/>
      <c r="HU223" s="33"/>
      <c r="HV223" s="33"/>
      <c r="HW223" s="33"/>
      <c r="HX223" s="33"/>
      <c r="HY223" s="33"/>
      <c r="HZ223" s="33"/>
      <c r="IA223" s="33"/>
      <c r="IB223" s="33"/>
      <c r="IC223" s="33"/>
      <c r="ID223" s="33"/>
      <c r="IE223" s="33"/>
      <c r="IF223" s="33"/>
      <c r="IG223" s="33"/>
      <c r="IH223" s="33"/>
      <c r="II223" s="33"/>
      <c r="IJ223" s="33"/>
      <c r="IK223" s="33"/>
      <c r="IL223" s="33"/>
      <c r="IM223" s="33"/>
      <c r="IN223" s="33"/>
      <c r="IO223" s="33"/>
      <c r="IP223" s="33"/>
      <c r="IQ223" s="33"/>
      <c r="IR223" s="33"/>
      <c r="IS223" s="33"/>
      <c r="IT223" s="33"/>
      <c r="IU223" s="33"/>
      <c r="IV223" s="33"/>
      <c r="IW223" s="33"/>
      <c r="IX223" s="33"/>
      <c r="IY223" s="33"/>
      <c r="IZ223" s="33"/>
      <c r="JA223" s="33"/>
      <c r="JB223" s="33"/>
      <c r="JC223" s="33"/>
      <c r="JD223" s="33"/>
      <c r="JE223" s="33"/>
      <c r="JF223" s="33"/>
      <c r="JG223" s="33"/>
      <c r="JH223" s="33"/>
      <c r="JI223" s="33"/>
      <c r="JJ223" s="33"/>
      <c r="JK223" s="33"/>
      <c r="JL223" s="33"/>
      <c r="JM223" s="33"/>
      <c r="JN223" s="33"/>
      <c r="JO223" s="33"/>
      <c r="JP223" s="33"/>
      <c r="JQ223" s="33"/>
      <c r="JR223" s="33"/>
      <c r="JS223" s="33"/>
      <c r="JT223" s="33"/>
      <c r="JU223" s="33"/>
      <c r="JV223" s="33"/>
      <c r="JW223" s="33"/>
      <c r="JX223" s="33"/>
      <c r="JY223" s="33"/>
      <c r="JZ223" s="33"/>
      <c r="KA223" s="33"/>
      <c r="KB223" s="33"/>
      <c r="KC223" s="33"/>
      <c r="KD223" s="33"/>
      <c r="KE223" s="33"/>
      <c r="KF223" s="33"/>
      <c r="KG223" s="33"/>
      <c r="KH223" s="33"/>
      <c r="KI223" s="33"/>
      <c r="KJ223" s="33"/>
      <c r="KK223" s="33"/>
      <c r="KL223" s="33"/>
      <c r="KM223" s="33"/>
      <c r="KN223" s="33"/>
      <c r="KO223" s="33"/>
      <c r="KP223" s="33"/>
      <c r="KQ223" s="33"/>
      <c r="KR223" s="33"/>
      <c r="KS223" s="33"/>
      <c r="KT223" s="33"/>
      <c r="KU223" s="33"/>
      <c r="KV223" s="33"/>
      <c r="KW223" s="33"/>
      <c r="KX223" s="33"/>
      <c r="KY223" s="33"/>
      <c r="KZ223" s="33"/>
      <c r="LA223" s="33"/>
      <c r="LB223" s="33"/>
      <c r="LC223" s="33"/>
      <c r="LD223" s="33"/>
      <c r="LE223" s="33"/>
      <c r="LF223" s="33"/>
      <c r="LG223" s="33"/>
      <c r="LH223" s="33"/>
      <c r="LI223" s="33"/>
      <c r="LJ223" s="33"/>
      <c r="LK223" s="33"/>
      <c r="LL223" s="33"/>
      <c r="LM223" s="33"/>
      <c r="LN223" s="33"/>
      <c r="LO223" s="33"/>
      <c r="LP223" s="33"/>
      <c r="LQ223" s="33"/>
      <c r="LR223" s="33"/>
      <c r="LS223" s="33"/>
      <c r="LT223" s="33"/>
      <c r="LU223" s="33"/>
      <c r="LV223" s="33"/>
      <c r="LW223" s="33"/>
      <c r="LX223" s="33"/>
      <c r="LY223" s="33"/>
      <c r="LZ223" s="33"/>
      <c r="MA223" s="33"/>
      <c r="MB223" s="33"/>
      <c r="MC223" s="33"/>
      <c r="MD223" s="33"/>
      <c r="ME223" s="33"/>
      <c r="MF223" s="33"/>
      <c r="MG223" s="33"/>
      <c r="MH223" s="33"/>
      <c r="MI223" s="33"/>
      <c r="MJ223" s="33"/>
      <c r="MK223" s="33"/>
      <c r="ML223" s="33"/>
      <c r="MM223" s="33"/>
      <c r="MN223" s="33"/>
      <c r="MO223" s="33"/>
      <c r="MP223" s="33"/>
      <c r="MQ223" s="33"/>
      <c r="MR223" s="33"/>
      <c r="MS223" s="33"/>
      <c r="MT223" s="33"/>
      <c r="MU223" s="33"/>
      <c r="MV223" s="33"/>
    </row>
    <row r="224" spans="1:360" ht="0.75" customHeight="1" x14ac:dyDescent="0.25">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c r="BV224" s="33"/>
      <c r="BW224" s="33"/>
      <c r="BX224" s="33"/>
      <c r="BY224" s="33"/>
      <c r="BZ224" s="33"/>
      <c r="CA224" s="33"/>
      <c r="CB224" s="33"/>
      <c r="CC224" s="33"/>
      <c r="CD224" s="33"/>
      <c r="CE224" s="33"/>
      <c r="CF224" s="33"/>
      <c r="CG224" s="33"/>
      <c r="CH224" s="33"/>
      <c r="CI224" s="33"/>
      <c r="CJ224" s="33"/>
      <c r="CK224" s="33"/>
      <c r="CL224" s="33"/>
      <c r="CM224" s="33"/>
      <c r="CN224" s="33"/>
      <c r="CO224" s="33"/>
      <c r="CP224" s="33"/>
      <c r="CQ224" s="33"/>
      <c r="CR224" s="33"/>
      <c r="CS224" s="33"/>
      <c r="CT224" s="33"/>
      <c r="CU224" s="33"/>
      <c r="CV224" s="33"/>
      <c r="CW224" s="33"/>
      <c r="CX224" s="33"/>
      <c r="CY224" s="33"/>
      <c r="CZ224" s="33"/>
      <c r="DA224" s="33"/>
      <c r="DB224" s="33"/>
      <c r="DC224" s="33"/>
      <c r="DD224" s="33"/>
      <c r="DE224" s="33"/>
      <c r="DF224" s="33"/>
      <c r="DG224" s="33"/>
      <c r="DH224" s="33"/>
      <c r="DI224" s="33"/>
      <c r="DJ224" s="33"/>
      <c r="DK224" s="33"/>
      <c r="DL224" s="33"/>
      <c r="DM224" s="33"/>
      <c r="DN224" s="33"/>
      <c r="DO224" s="33"/>
      <c r="DP224" s="33"/>
      <c r="DQ224" s="33"/>
      <c r="DR224" s="33"/>
      <c r="DS224" s="33"/>
      <c r="DT224" s="33"/>
      <c r="DU224" s="33"/>
      <c r="DV224" s="33"/>
      <c r="DW224" s="33"/>
      <c r="DX224" s="33"/>
      <c r="DY224" s="33"/>
      <c r="DZ224" s="33"/>
      <c r="EA224" s="33"/>
      <c r="EB224" s="33"/>
      <c r="EC224" s="33"/>
      <c r="ED224" s="33"/>
      <c r="EE224" s="33"/>
      <c r="EF224" s="33"/>
      <c r="EG224" s="33"/>
      <c r="EH224" s="33"/>
      <c r="EI224" s="33"/>
      <c r="EJ224" s="33"/>
      <c r="EK224" s="33"/>
      <c r="EL224" s="33"/>
      <c r="EM224" s="33"/>
      <c r="EN224" s="33"/>
      <c r="EO224" s="33"/>
      <c r="EP224" s="33"/>
      <c r="EQ224" s="33"/>
      <c r="ER224" s="33"/>
      <c r="ES224" s="33"/>
      <c r="ET224" s="33"/>
      <c r="EU224" s="33"/>
      <c r="EV224" s="33"/>
      <c r="EW224" s="33"/>
      <c r="EX224" s="33"/>
      <c r="EY224" s="33"/>
      <c r="EZ224" s="33"/>
      <c r="FA224" s="33"/>
      <c r="FB224" s="33"/>
      <c r="FC224" s="33"/>
      <c r="FD224" s="33"/>
      <c r="FE224" s="33"/>
      <c r="FF224" s="33"/>
      <c r="FG224" s="33"/>
      <c r="FH224" s="33"/>
      <c r="FI224" s="33"/>
      <c r="FJ224" s="33"/>
      <c r="FK224" s="33"/>
      <c r="FL224" s="33"/>
      <c r="FM224" s="33"/>
      <c r="FN224" s="33"/>
      <c r="FO224" s="33"/>
      <c r="FP224" s="33"/>
      <c r="FQ224" s="33"/>
      <c r="FR224" s="33"/>
      <c r="FS224" s="33"/>
      <c r="FT224" s="33"/>
      <c r="FU224" s="33"/>
      <c r="FV224" s="33"/>
      <c r="FW224" s="33"/>
      <c r="FX224" s="33"/>
      <c r="FY224" s="33"/>
      <c r="FZ224" s="33"/>
      <c r="GA224" s="33"/>
      <c r="GB224" s="33"/>
      <c r="GC224" s="33"/>
      <c r="GD224" s="33"/>
      <c r="GE224" s="33"/>
      <c r="GF224" s="33"/>
      <c r="GG224" s="33"/>
      <c r="GH224" s="33"/>
      <c r="GI224" s="33"/>
      <c r="GJ224" s="33"/>
      <c r="GK224" s="33"/>
      <c r="GL224" s="33"/>
      <c r="GM224" s="33"/>
      <c r="GN224" s="33"/>
      <c r="GO224" s="33"/>
      <c r="GP224" s="33"/>
      <c r="GQ224" s="33"/>
      <c r="GR224" s="33"/>
      <c r="GS224" s="33"/>
      <c r="GT224" s="33"/>
      <c r="GU224" s="33"/>
      <c r="GV224" s="33"/>
      <c r="GW224" s="33"/>
      <c r="GX224" s="33"/>
      <c r="GY224" s="33"/>
      <c r="GZ224" s="33"/>
      <c r="HA224" s="33"/>
      <c r="HB224" s="33"/>
      <c r="HC224" s="33"/>
      <c r="HD224" s="33"/>
      <c r="HE224" s="33"/>
      <c r="HF224" s="33"/>
      <c r="HG224" s="33"/>
      <c r="HH224" s="33"/>
      <c r="HI224" s="33"/>
      <c r="HJ224" s="33"/>
      <c r="HK224" s="33"/>
      <c r="HL224" s="33"/>
      <c r="HM224" s="33"/>
      <c r="HN224" s="33"/>
      <c r="HO224" s="33"/>
      <c r="HP224" s="33"/>
      <c r="HQ224" s="33"/>
      <c r="HR224" s="33"/>
      <c r="HS224" s="33"/>
      <c r="HT224" s="33"/>
      <c r="HU224" s="33"/>
      <c r="HV224" s="33"/>
      <c r="HW224" s="33"/>
      <c r="HX224" s="33"/>
      <c r="HY224" s="33"/>
      <c r="HZ224" s="33"/>
      <c r="IA224" s="33"/>
      <c r="IB224" s="33"/>
      <c r="IC224" s="33"/>
      <c r="ID224" s="33"/>
      <c r="IE224" s="33"/>
      <c r="IF224" s="33"/>
      <c r="IG224" s="33"/>
      <c r="IH224" s="33"/>
      <c r="II224" s="33"/>
      <c r="IJ224" s="33"/>
      <c r="IK224" s="33"/>
      <c r="IL224" s="33"/>
      <c r="IM224" s="33"/>
      <c r="IN224" s="33"/>
      <c r="IO224" s="33"/>
      <c r="IP224" s="33"/>
      <c r="IQ224" s="33"/>
      <c r="IR224" s="33"/>
      <c r="IS224" s="33"/>
      <c r="IT224" s="33"/>
      <c r="IU224" s="33"/>
      <c r="IV224" s="33"/>
      <c r="IW224" s="33"/>
      <c r="IX224" s="33"/>
      <c r="IY224" s="33"/>
      <c r="IZ224" s="33"/>
      <c r="JA224" s="33"/>
      <c r="JB224" s="33"/>
      <c r="JC224" s="33"/>
      <c r="JD224" s="33"/>
      <c r="JE224" s="33"/>
      <c r="JF224" s="33"/>
      <c r="JG224" s="33"/>
      <c r="JH224" s="33"/>
      <c r="JI224" s="33"/>
      <c r="JJ224" s="33"/>
      <c r="JK224" s="33"/>
      <c r="JL224" s="33"/>
      <c r="JM224" s="33"/>
      <c r="JN224" s="33"/>
      <c r="JO224" s="33"/>
      <c r="JP224" s="33"/>
      <c r="JQ224" s="33"/>
      <c r="JR224" s="33"/>
      <c r="JS224" s="33"/>
      <c r="JT224" s="33"/>
      <c r="JU224" s="33"/>
      <c r="JV224" s="33"/>
      <c r="JW224" s="33"/>
      <c r="JX224" s="33"/>
      <c r="JY224" s="33"/>
      <c r="JZ224" s="33"/>
      <c r="KA224" s="33"/>
      <c r="KB224" s="33"/>
      <c r="KC224" s="33"/>
      <c r="KD224" s="33"/>
      <c r="KE224" s="33"/>
      <c r="KF224" s="33"/>
      <c r="KG224" s="33"/>
      <c r="KH224" s="33"/>
      <c r="KI224" s="33"/>
      <c r="KJ224" s="33"/>
      <c r="KK224" s="33"/>
      <c r="KL224" s="33"/>
      <c r="KM224" s="33"/>
      <c r="KN224" s="33"/>
      <c r="KO224" s="33"/>
      <c r="KP224" s="33"/>
      <c r="KQ224" s="33"/>
      <c r="KR224" s="33"/>
      <c r="KS224" s="33"/>
      <c r="KT224" s="33"/>
      <c r="KU224" s="33"/>
      <c r="KV224" s="33"/>
      <c r="KW224" s="33"/>
      <c r="KX224" s="33"/>
      <c r="KY224" s="33"/>
      <c r="KZ224" s="33"/>
      <c r="LA224" s="33"/>
      <c r="LB224" s="33"/>
      <c r="LC224" s="33"/>
      <c r="LD224" s="33"/>
      <c r="LE224" s="33"/>
      <c r="LF224" s="33"/>
      <c r="LG224" s="33"/>
      <c r="LH224" s="33"/>
      <c r="LI224" s="33"/>
      <c r="LJ224" s="33"/>
      <c r="LK224" s="33"/>
      <c r="LL224" s="33"/>
      <c r="LM224" s="33"/>
      <c r="LN224" s="33"/>
      <c r="LO224" s="33"/>
      <c r="LP224" s="33"/>
      <c r="LQ224" s="33"/>
      <c r="LR224" s="33"/>
      <c r="LS224" s="33"/>
      <c r="LT224" s="33"/>
      <c r="LU224" s="33"/>
      <c r="LV224" s="33"/>
      <c r="LW224" s="33"/>
      <c r="LX224" s="33"/>
      <c r="LY224" s="33"/>
      <c r="LZ224" s="33"/>
      <c r="MA224" s="33"/>
      <c r="MB224" s="33"/>
      <c r="MC224" s="33"/>
      <c r="MD224" s="33"/>
      <c r="ME224" s="33"/>
      <c r="MF224" s="33"/>
      <c r="MG224" s="33"/>
      <c r="MH224" s="33"/>
      <c r="MI224" s="33"/>
      <c r="MJ224" s="33"/>
      <c r="MK224" s="33"/>
      <c r="ML224" s="33"/>
      <c r="MM224" s="33"/>
      <c r="MN224" s="33"/>
      <c r="MO224" s="33"/>
      <c r="MP224" s="33"/>
      <c r="MQ224" s="33"/>
      <c r="MR224" s="33"/>
      <c r="MS224" s="33"/>
      <c r="MT224" s="33"/>
      <c r="MU224" s="33"/>
      <c r="MV224" s="33"/>
    </row>
    <row r="225" spans="1:360" ht="0.75" customHeight="1" x14ac:dyDescent="0.25">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c r="BV225" s="33"/>
      <c r="BW225" s="33"/>
      <c r="BX225" s="33"/>
      <c r="BY225" s="33"/>
      <c r="BZ225" s="33"/>
      <c r="CA225" s="33"/>
      <c r="CB225" s="33"/>
      <c r="CC225" s="33"/>
      <c r="CD225" s="33"/>
      <c r="CE225" s="33"/>
      <c r="CF225" s="33"/>
      <c r="CG225" s="33"/>
      <c r="CH225" s="33"/>
      <c r="CI225" s="33"/>
      <c r="CJ225" s="33"/>
      <c r="CK225" s="33"/>
      <c r="CL225" s="33"/>
      <c r="CM225" s="33"/>
      <c r="CN225" s="33"/>
      <c r="CO225" s="33"/>
      <c r="CP225" s="33"/>
      <c r="CQ225" s="33"/>
      <c r="CR225" s="33"/>
      <c r="CS225" s="33"/>
      <c r="CT225" s="33"/>
      <c r="CU225" s="33"/>
      <c r="CV225" s="33"/>
      <c r="CW225" s="33"/>
      <c r="CX225" s="33"/>
      <c r="CY225" s="33"/>
      <c r="CZ225" s="33"/>
      <c r="DA225" s="33"/>
      <c r="DB225" s="33"/>
      <c r="DC225" s="33"/>
      <c r="DD225" s="33"/>
      <c r="DE225" s="33"/>
      <c r="DF225" s="33"/>
      <c r="DG225" s="33"/>
      <c r="DH225" s="33"/>
      <c r="DI225" s="33"/>
      <c r="DJ225" s="33"/>
      <c r="DK225" s="33"/>
      <c r="DL225" s="33"/>
      <c r="DM225" s="33"/>
      <c r="DN225" s="33"/>
      <c r="DO225" s="33"/>
      <c r="DP225" s="33"/>
      <c r="DQ225" s="33"/>
      <c r="DR225" s="33"/>
      <c r="DS225" s="33"/>
      <c r="DT225" s="33"/>
      <c r="DU225" s="33"/>
      <c r="DV225" s="33"/>
      <c r="DW225" s="33"/>
      <c r="DX225" s="33"/>
      <c r="DY225" s="33"/>
      <c r="DZ225" s="33"/>
      <c r="EA225" s="33"/>
      <c r="EB225" s="33"/>
      <c r="EC225" s="33"/>
      <c r="ED225" s="33"/>
      <c r="EE225" s="33"/>
      <c r="EF225" s="33"/>
      <c r="EG225" s="33"/>
      <c r="EH225" s="33"/>
      <c r="EI225" s="33"/>
      <c r="EJ225" s="33"/>
      <c r="EK225" s="33"/>
      <c r="EL225" s="33"/>
      <c r="EM225" s="33"/>
      <c r="EN225" s="33"/>
      <c r="EO225" s="33"/>
      <c r="EP225" s="33"/>
      <c r="EQ225" s="33"/>
      <c r="ER225" s="33"/>
      <c r="ES225" s="33"/>
      <c r="ET225" s="33"/>
      <c r="EU225" s="33"/>
      <c r="EV225" s="33"/>
      <c r="EW225" s="33"/>
      <c r="EX225" s="33"/>
      <c r="EY225" s="33"/>
      <c r="EZ225" s="33"/>
      <c r="FA225" s="33"/>
      <c r="FB225" s="33"/>
      <c r="FC225" s="33"/>
      <c r="FD225" s="33"/>
      <c r="FE225" s="33"/>
      <c r="FF225" s="33"/>
      <c r="FG225" s="33"/>
      <c r="FH225" s="33"/>
      <c r="FI225" s="33"/>
      <c r="FJ225" s="33"/>
      <c r="FK225" s="33"/>
      <c r="FL225" s="33"/>
      <c r="FM225" s="33"/>
      <c r="FN225" s="33"/>
      <c r="FO225" s="33"/>
      <c r="FP225" s="33"/>
      <c r="FQ225" s="33"/>
      <c r="FR225" s="33"/>
      <c r="FS225" s="33"/>
      <c r="FT225" s="33"/>
      <c r="FU225" s="33"/>
      <c r="FV225" s="33"/>
      <c r="FW225" s="33"/>
      <c r="FX225" s="33"/>
      <c r="FY225" s="33"/>
      <c r="FZ225" s="33"/>
      <c r="GA225" s="33"/>
      <c r="GB225" s="33"/>
      <c r="GC225" s="33"/>
      <c r="GD225" s="33"/>
      <c r="GE225" s="33"/>
      <c r="GF225" s="33"/>
      <c r="GG225" s="33"/>
      <c r="GH225" s="33"/>
      <c r="GI225" s="33"/>
      <c r="GJ225" s="33"/>
      <c r="GK225" s="33"/>
      <c r="GL225" s="33"/>
      <c r="GM225" s="33"/>
      <c r="GN225" s="33"/>
      <c r="GO225" s="33"/>
      <c r="GP225" s="33"/>
      <c r="GQ225" s="33"/>
      <c r="GR225" s="33"/>
      <c r="GS225" s="33"/>
      <c r="GT225" s="33"/>
      <c r="GU225" s="33"/>
      <c r="GV225" s="33"/>
      <c r="GW225" s="33"/>
      <c r="GX225" s="33"/>
      <c r="GY225" s="33"/>
      <c r="GZ225" s="33"/>
      <c r="HA225" s="33"/>
      <c r="HB225" s="33"/>
      <c r="HC225" s="33"/>
      <c r="HD225" s="33"/>
      <c r="HE225" s="33"/>
      <c r="HF225" s="33"/>
      <c r="HG225" s="33"/>
      <c r="HH225" s="33"/>
      <c r="HI225" s="33"/>
      <c r="HJ225" s="33"/>
      <c r="HK225" s="33"/>
      <c r="HL225" s="33"/>
      <c r="HM225" s="33"/>
      <c r="HN225" s="33"/>
      <c r="HO225" s="33"/>
      <c r="HP225" s="33"/>
      <c r="HQ225" s="33"/>
      <c r="HR225" s="33"/>
      <c r="HS225" s="33"/>
      <c r="HT225" s="33"/>
      <c r="HU225" s="33"/>
      <c r="HV225" s="33"/>
      <c r="HW225" s="33"/>
      <c r="HX225" s="33"/>
      <c r="HY225" s="33"/>
      <c r="HZ225" s="33"/>
      <c r="IA225" s="33"/>
      <c r="IB225" s="33"/>
      <c r="IC225" s="33"/>
      <c r="ID225" s="33"/>
      <c r="IE225" s="33"/>
      <c r="IF225" s="33"/>
      <c r="IG225" s="33"/>
      <c r="IH225" s="33"/>
      <c r="II225" s="33"/>
      <c r="IJ225" s="33"/>
      <c r="IK225" s="33"/>
      <c r="IL225" s="33"/>
      <c r="IM225" s="33"/>
      <c r="IN225" s="33"/>
      <c r="IO225" s="33"/>
      <c r="IP225" s="33"/>
      <c r="IQ225" s="33"/>
      <c r="IR225" s="33"/>
      <c r="IS225" s="33"/>
      <c r="IT225" s="33"/>
      <c r="IU225" s="33"/>
      <c r="IV225" s="33"/>
      <c r="IW225" s="33"/>
      <c r="IX225" s="33"/>
      <c r="IY225" s="33"/>
      <c r="IZ225" s="33"/>
      <c r="JA225" s="33"/>
      <c r="JB225" s="33"/>
      <c r="JC225" s="33"/>
      <c r="JD225" s="33"/>
      <c r="JE225" s="33"/>
      <c r="JF225" s="33"/>
      <c r="JG225" s="33"/>
      <c r="JH225" s="33"/>
      <c r="JI225" s="33"/>
      <c r="JJ225" s="33"/>
      <c r="JK225" s="33"/>
      <c r="JL225" s="33"/>
      <c r="JM225" s="33"/>
      <c r="JN225" s="33"/>
      <c r="JO225" s="33"/>
      <c r="JP225" s="33"/>
      <c r="JQ225" s="33"/>
      <c r="JR225" s="33"/>
      <c r="JS225" s="33"/>
      <c r="JT225" s="33"/>
      <c r="JU225" s="33"/>
      <c r="JV225" s="33"/>
      <c r="JW225" s="33"/>
      <c r="JX225" s="33"/>
      <c r="JY225" s="33"/>
      <c r="JZ225" s="33"/>
      <c r="KA225" s="33"/>
      <c r="KB225" s="33"/>
      <c r="KC225" s="33"/>
      <c r="KD225" s="33"/>
      <c r="KE225" s="33"/>
      <c r="KF225" s="33"/>
      <c r="KG225" s="33"/>
      <c r="KH225" s="33"/>
      <c r="KI225" s="33"/>
      <c r="KJ225" s="33"/>
      <c r="KK225" s="33"/>
      <c r="KL225" s="33"/>
      <c r="KM225" s="33"/>
      <c r="KN225" s="33"/>
      <c r="KO225" s="33"/>
      <c r="KP225" s="33"/>
      <c r="KQ225" s="33"/>
      <c r="KR225" s="33"/>
      <c r="KS225" s="33"/>
      <c r="KT225" s="33"/>
      <c r="KU225" s="33"/>
      <c r="KV225" s="33"/>
      <c r="KW225" s="33"/>
      <c r="KX225" s="33"/>
      <c r="KY225" s="33"/>
      <c r="KZ225" s="33"/>
      <c r="LA225" s="33"/>
      <c r="LB225" s="33"/>
      <c r="LC225" s="33"/>
      <c r="LD225" s="33"/>
      <c r="LE225" s="33"/>
      <c r="LF225" s="33"/>
      <c r="LG225" s="33"/>
      <c r="LH225" s="33"/>
      <c r="LI225" s="33"/>
      <c r="LJ225" s="33"/>
      <c r="LK225" s="33"/>
      <c r="LL225" s="33"/>
      <c r="LM225" s="33"/>
      <c r="LN225" s="33"/>
      <c r="LO225" s="33"/>
      <c r="LP225" s="33"/>
      <c r="LQ225" s="33"/>
      <c r="LR225" s="33"/>
      <c r="LS225" s="33"/>
      <c r="LT225" s="33"/>
      <c r="LU225" s="33"/>
      <c r="LV225" s="33"/>
      <c r="LW225" s="33"/>
      <c r="LX225" s="33"/>
      <c r="LY225" s="33"/>
      <c r="LZ225" s="33"/>
      <c r="MA225" s="33"/>
      <c r="MB225" s="33"/>
      <c r="MC225" s="33"/>
      <c r="MD225" s="33"/>
      <c r="ME225" s="33"/>
      <c r="MF225" s="33"/>
      <c r="MG225" s="33"/>
      <c r="MH225" s="33"/>
      <c r="MI225" s="33"/>
      <c r="MJ225" s="33"/>
      <c r="MK225" s="33"/>
      <c r="ML225" s="33"/>
      <c r="MM225" s="33"/>
      <c r="MN225" s="33"/>
      <c r="MO225" s="33"/>
      <c r="MP225" s="33"/>
      <c r="MQ225" s="33"/>
      <c r="MR225" s="33"/>
      <c r="MS225" s="33"/>
      <c r="MT225" s="33"/>
      <c r="MU225" s="33"/>
      <c r="MV225" s="33"/>
    </row>
    <row r="226" spans="1:360" ht="0.75" customHeight="1" x14ac:dyDescent="0.25">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c r="BV226" s="33"/>
      <c r="BW226" s="33"/>
      <c r="BX226" s="33"/>
      <c r="BY226" s="33"/>
      <c r="BZ226" s="33"/>
      <c r="CA226" s="33"/>
      <c r="CB226" s="33"/>
      <c r="CC226" s="33"/>
      <c r="CD226" s="33"/>
      <c r="CE226" s="33"/>
      <c r="CF226" s="33"/>
      <c r="CG226" s="33"/>
      <c r="CH226" s="33"/>
      <c r="CI226" s="33"/>
      <c r="CJ226" s="33"/>
      <c r="CK226" s="33"/>
      <c r="CL226" s="33"/>
      <c r="CM226" s="33"/>
      <c r="CN226" s="33"/>
      <c r="CO226" s="33"/>
      <c r="CP226" s="33"/>
      <c r="CQ226" s="33"/>
      <c r="CR226" s="33"/>
      <c r="CS226" s="33"/>
      <c r="CT226" s="33"/>
      <c r="CU226" s="33"/>
      <c r="CV226" s="33"/>
      <c r="CW226" s="33"/>
      <c r="CX226" s="33"/>
      <c r="CY226" s="33"/>
      <c r="CZ226" s="33"/>
      <c r="DA226" s="33"/>
      <c r="DB226" s="33"/>
      <c r="DC226" s="33"/>
      <c r="DD226" s="33"/>
      <c r="DE226" s="33"/>
      <c r="DF226" s="33"/>
      <c r="DG226" s="33"/>
      <c r="DH226" s="33"/>
      <c r="DI226" s="33"/>
      <c r="DJ226" s="33"/>
      <c r="DK226" s="33"/>
      <c r="DL226" s="33"/>
      <c r="DM226" s="33"/>
      <c r="DN226" s="33"/>
      <c r="DO226" s="33"/>
      <c r="DP226" s="33"/>
      <c r="DQ226" s="33"/>
      <c r="DR226" s="33"/>
      <c r="DS226" s="33"/>
      <c r="DT226" s="33"/>
      <c r="DU226" s="33"/>
      <c r="DV226" s="33"/>
      <c r="DW226" s="33"/>
      <c r="DX226" s="33"/>
      <c r="DY226" s="33"/>
      <c r="DZ226" s="33"/>
      <c r="EA226" s="33"/>
      <c r="EB226" s="33"/>
      <c r="EC226" s="33"/>
      <c r="ED226" s="33"/>
      <c r="EE226" s="33"/>
      <c r="EF226" s="33"/>
      <c r="EG226" s="33"/>
      <c r="EH226" s="33"/>
      <c r="EI226" s="33"/>
      <c r="EJ226" s="33"/>
      <c r="EK226" s="33"/>
      <c r="EL226" s="33"/>
      <c r="EM226" s="33"/>
      <c r="EN226" s="33"/>
      <c r="EO226" s="33"/>
      <c r="EP226" s="33"/>
      <c r="EQ226" s="33"/>
      <c r="ER226" s="33"/>
      <c r="ES226" s="33"/>
      <c r="ET226" s="33"/>
      <c r="EU226" s="33"/>
      <c r="EV226" s="33"/>
      <c r="EW226" s="33"/>
      <c r="EX226" s="33"/>
      <c r="EY226" s="33"/>
      <c r="EZ226" s="33"/>
      <c r="FA226" s="33"/>
      <c r="FB226" s="33"/>
      <c r="FC226" s="33"/>
      <c r="FD226" s="33"/>
      <c r="FE226" s="33"/>
      <c r="FF226" s="33"/>
      <c r="FG226" s="33"/>
      <c r="FH226" s="33"/>
      <c r="FI226" s="33"/>
      <c r="FJ226" s="33"/>
      <c r="FK226" s="33"/>
      <c r="FL226" s="33"/>
      <c r="FM226" s="33"/>
      <c r="FN226" s="33"/>
      <c r="FO226" s="33"/>
      <c r="FP226" s="33"/>
      <c r="FQ226" s="33"/>
      <c r="FR226" s="33"/>
      <c r="FS226" s="33"/>
      <c r="FT226" s="33"/>
      <c r="FU226" s="33"/>
      <c r="FV226" s="33"/>
      <c r="FW226" s="33"/>
      <c r="FX226" s="33"/>
      <c r="FY226" s="33"/>
      <c r="FZ226" s="33"/>
      <c r="GA226" s="33"/>
      <c r="GB226" s="33"/>
      <c r="GC226" s="33"/>
      <c r="GD226" s="33"/>
      <c r="GE226" s="33"/>
      <c r="GF226" s="33"/>
      <c r="GG226" s="33"/>
      <c r="GH226" s="33"/>
      <c r="GI226" s="33"/>
      <c r="GJ226" s="33"/>
      <c r="GK226" s="33"/>
      <c r="GL226" s="33"/>
      <c r="GM226" s="33"/>
      <c r="GN226" s="33"/>
      <c r="GO226" s="33"/>
      <c r="GP226" s="33"/>
      <c r="GQ226" s="33"/>
      <c r="GR226" s="33"/>
      <c r="GS226" s="33"/>
      <c r="GT226" s="33"/>
      <c r="GU226" s="33"/>
      <c r="GV226" s="33"/>
      <c r="GW226" s="33"/>
      <c r="GX226" s="33"/>
      <c r="GY226" s="33"/>
      <c r="GZ226" s="33"/>
      <c r="HA226" s="33"/>
      <c r="HB226" s="33"/>
      <c r="HC226" s="33"/>
      <c r="HD226" s="33"/>
      <c r="HE226" s="33"/>
      <c r="HF226" s="33"/>
      <c r="HG226" s="33"/>
      <c r="HH226" s="33"/>
      <c r="HI226" s="33"/>
      <c r="HJ226" s="33"/>
      <c r="HK226" s="33"/>
      <c r="HL226" s="33"/>
      <c r="HM226" s="33"/>
      <c r="HN226" s="33"/>
      <c r="HO226" s="33"/>
      <c r="HP226" s="33"/>
      <c r="HQ226" s="33"/>
      <c r="HR226" s="33"/>
      <c r="HS226" s="33"/>
      <c r="HT226" s="33"/>
      <c r="HU226" s="33"/>
      <c r="HV226" s="33"/>
      <c r="HW226" s="33"/>
      <c r="HX226" s="33"/>
      <c r="HY226" s="33"/>
      <c r="HZ226" s="33"/>
      <c r="IA226" s="33"/>
      <c r="IB226" s="33"/>
      <c r="IC226" s="33"/>
      <c r="ID226" s="33"/>
      <c r="IE226" s="33"/>
      <c r="IF226" s="33"/>
      <c r="IG226" s="33"/>
      <c r="IH226" s="33"/>
      <c r="II226" s="33"/>
      <c r="IJ226" s="33"/>
      <c r="IK226" s="33"/>
      <c r="IL226" s="33"/>
      <c r="IM226" s="33"/>
      <c r="IN226" s="33"/>
      <c r="IO226" s="33"/>
      <c r="IP226" s="33"/>
      <c r="IQ226" s="33"/>
      <c r="IR226" s="33"/>
      <c r="IS226" s="33"/>
      <c r="IT226" s="33"/>
      <c r="IU226" s="33"/>
      <c r="IV226" s="33"/>
      <c r="IW226" s="33"/>
      <c r="IX226" s="33"/>
      <c r="IY226" s="33"/>
      <c r="IZ226" s="33"/>
      <c r="JA226" s="33"/>
      <c r="JB226" s="33"/>
      <c r="JC226" s="33"/>
      <c r="JD226" s="33"/>
      <c r="JE226" s="33"/>
      <c r="JF226" s="33"/>
      <c r="JG226" s="33"/>
      <c r="JH226" s="33"/>
      <c r="JI226" s="33"/>
      <c r="JJ226" s="33"/>
      <c r="JK226" s="33"/>
      <c r="JL226" s="33"/>
      <c r="JM226" s="33"/>
      <c r="JN226" s="33"/>
      <c r="JO226" s="33"/>
      <c r="JP226" s="33"/>
      <c r="JQ226" s="33"/>
      <c r="JR226" s="33"/>
      <c r="JS226" s="33"/>
      <c r="JT226" s="33"/>
      <c r="JU226" s="33"/>
      <c r="JV226" s="33"/>
      <c r="JW226" s="33"/>
      <c r="JX226" s="33"/>
      <c r="JY226" s="33"/>
      <c r="JZ226" s="33"/>
      <c r="KA226" s="33"/>
      <c r="KB226" s="33"/>
      <c r="KC226" s="33"/>
      <c r="KD226" s="33"/>
      <c r="KE226" s="33"/>
      <c r="KF226" s="33"/>
      <c r="KG226" s="33"/>
      <c r="KH226" s="33"/>
      <c r="KI226" s="33"/>
      <c r="KJ226" s="33"/>
      <c r="KK226" s="33"/>
      <c r="KL226" s="33"/>
      <c r="KM226" s="33"/>
      <c r="KN226" s="33"/>
      <c r="KO226" s="33"/>
      <c r="KP226" s="33"/>
      <c r="KQ226" s="33"/>
      <c r="KR226" s="33"/>
      <c r="KS226" s="33"/>
      <c r="KT226" s="33"/>
      <c r="KU226" s="33"/>
      <c r="KV226" s="33"/>
      <c r="KW226" s="33"/>
      <c r="KX226" s="33"/>
      <c r="KY226" s="33"/>
      <c r="KZ226" s="33"/>
      <c r="LA226" s="33"/>
      <c r="LB226" s="33"/>
      <c r="LC226" s="33"/>
      <c r="LD226" s="33"/>
      <c r="LE226" s="33"/>
      <c r="LF226" s="33"/>
      <c r="LG226" s="33"/>
      <c r="LH226" s="33"/>
      <c r="LI226" s="33"/>
      <c r="LJ226" s="33"/>
      <c r="LK226" s="33"/>
      <c r="LL226" s="33"/>
      <c r="LM226" s="33"/>
      <c r="LN226" s="33"/>
      <c r="LO226" s="33"/>
      <c r="LP226" s="33"/>
      <c r="LQ226" s="33"/>
      <c r="LR226" s="33"/>
      <c r="LS226" s="33"/>
      <c r="LT226" s="33"/>
      <c r="LU226" s="33"/>
      <c r="LV226" s="33"/>
      <c r="LW226" s="33"/>
      <c r="LX226" s="33"/>
      <c r="LY226" s="33"/>
      <c r="LZ226" s="33"/>
      <c r="MA226" s="33"/>
      <c r="MB226" s="33"/>
      <c r="MC226" s="33"/>
      <c r="MD226" s="33"/>
      <c r="ME226" s="33"/>
      <c r="MF226" s="33"/>
      <c r="MG226" s="33"/>
      <c r="MH226" s="33"/>
      <c r="MI226" s="33"/>
      <c r="MJ226" s="33"/>
      <c r="MK226" s="33"/>
      <c r="ML226" s="33"/>
      <c r="MM226" s="33"/>
      <c r="MN226" s="33"/>
      <c r="MO226" s="33"/>
      <c r="MP226" s="33"/>
      <c r="MQ226" s="33"/>
      <c r="MR226" s="33"/>
      <c r="MS226" s="33"/>
      <c r="MT226" s="33"/>
      <c r="MU226" s="33"/>
      <c r="MV226" s="33"/>
    </row>
    <row r="227" spans="1:360" ht="0.75" customHeight="1" x14ac:dyDescent="0.25">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c r="BV227" s="33"/>
      <c r="BW227" s="33"/>
      <c r="BX227" s="33"/>
      <c r="BY227" s="33"/>
      <c r="BZ227" s="33"/>
      <c r="CA227" s="33"/>
      <c r="CB227" s="33"/>
      <c r="CC227" s="33"/>
      <c r="CD227" s="33"/>
      <c r="CE227" s="33"/>
      <c r="CF227" s="33"/>
      <c r="CG227" s="33"/>
      <c r="CH227" s="33"/>
      <c r="CI227" s="33"/>
      <c r="CJ227" s="33"/>
      <c r="CK227" s="33"/>
      <c r="CL227" s="33"/>
      <c r="CM227" s="33"/>
      <c r="CN227" s="33"/>
      <c r="CO227" s="33"/>
      <c r="CP227" s="33"/>
      <c r="CQ227" s="33"/>
      <c r="CR227" s="33"/>
      <c r="CS227" s="33"/>
      <c r="CT227" s="33"/>
      <c r="CU227" s="33"/>
      <c r="CV227" s="33"/>
      <c r="CW227" s="33"/>
      <c r="CX227" s="33"/>
      <c r="CY227" s="33"/>
      <c r="CZ227" s="33"/>
      <c r="DA227" s="33"/>
      <c r="DB227" s="33"/>
      <c r="DC227" s="33"/>
      <c r="DD227" s="33"/>
      <c r="DE227" s="33"/>
      <c r="DF227" s="33"/>
      <c r="DG227" s="33"/>
      <c r="DH227" s="33"/>
      <c r="DI227" s="33"/>
      <c r="DJ227" s="33"/>
      <c r="DK227" s="33"/>
      <c r="DL227" s="33"/>
      <c r="DM227" s="33"/>
      <c r="DN227" s="33"/>
      <c r="DO227" s="33"/>
      <c r="DP227" s="33"/>
      <c r="DQ227" s="33"/>
      <c r="DR227" s="33"/>
      <c r="DS227" s="33"/>
      <c r="DT227" s="33"/>
      <c r="DU227" s="33"/>
      <c r="DV227" s="33"/>
      <c r="DW227" s="33"/>
      <c r="DX227" s="33"/>
      <c r="DY227" s="33"/>
      <c r="DZ227" s="33"/>
      <c r="EA227" s="33"/>
      <c r="EB227" s="33"/>
      <c r="EC227" s="33"/>
      <c r="ED227" s="33"/>
      <c r="EE227" s="33"/>
      <c r="EF227" s="33"/>
      <c r="EG227" s="33"/>
      <c r="EH227" s="33"/>
      <c r="EI227" s="33"/>
      <c r="EJ227" s="33"/>
      <c r="EK227" s="33"/>
      <c r="EL227" s="33"/>
      <c r="EM227" s="33"/>
      <c r="EN227" s="33"/>
      <c r="EO227" s="33"/>
      <c r="EP227" s="33"/>
      <c r="EQ227" s="33"/>
      <c r="ER227" s="33"/>
      <c r="ES227" s="33"/>
      <c r="ET227" s="33"/>
      <c r="EU227" s="33"/>
      <c r="EV227" s="33"/>
      <c r="EW227" s="33"/>
      <c r="EX227" s="33"/>
      <c r="EY227" s="33"/>
      <c r="EZ227" s="33"/>
      <c r="FA227" s="33"/>
      <c r="FB227" s="33"/>
      <c r="FC227" s="33"/>
      <c r="FD227" s="33"/>
      <c r="FE227" s="33"/>
      <c r="FF227" s="33"/>
      <c r="FG227" s="33"/>
      <c r="FH227" s="33"/>
      <c r="FI227" s="33"/>
      <c r="FJ227" s="33"/>
      <c r="FK227" s="33"/>
      <c r="FL227" s="33"/>
      <c r="FM227" s="33"/>
      <c r="FN227" s="33"/>
      <c r="FO227" s="33"/>
      <c r="FP227" s="33"/>
      <c r="FQ227" s="33"/>
      <c r="FR227" s="33"/>
      <c r="FS227" s="33"/>
      <c r="FT227" s="33"/>
      <c r="FU227" s="33"/>
      <c r="FV227" s="33"/>
      <c r="FW227" s="33"/>
      <c r="FX227" s="33"/>
      <c r="FY227" s="33"/>
      <c r="FZ227" s="33"/>
      <c r="GA227" s="33"/>
      <c r="GB227" s="33"/>
      <c r="GC227" s="33"/>
      <c r="GD227" s="33"/>
      <c r="GE227" s="33"/>
      <c r="GF227" s="33"/>
      <c r="GG227" s="33"/>
      <c r="GH227" s="33"/>
      <c r="GI227" s="33"/>
      <c r="GJ227" s="33"/>
      <c r="GK227" s="33"/>
      <c r="GL227" s="33"/>
      <c r="GM227" s="33"/>
      <c r="GN227" s="33"/>
      <c r="GO227" s="33"/>
      <c r="GP227" s="33"/>
      <c r="GQ227" s="33"/>
      <c r="GR227" s="33"/>
      <c r="GS227" s="33"/>
      <c r="GT227" s="33"/>
      <c r="GU227" s="33"/>
      <c r="GV227" s="33"/>
      <c r="GW227" s="33"/>
      <c r="GX227" s="33"/>
      <c r="GY227" s="33"/>
      <c r="GZ227" s="33"/>
      <c r="HA227" s="33"/>
      <c r="HB227" s="33"/>
      <c r="HC227" s="33"/>
      <c r="HD227" s="33"/>
      <c r="HE227" s="33"/>
      <c r="HF227" s="33"/>
      <c r="HG227" s="33"/>
      <c r="HH227" s="33"/>
      <c r="HI227" s="33"/>
      <c r="HJ227" s="33"/>
      <c r="HK227" s="33"/>
      <c r="HL227" s="33"/>
      <c r="HM227" s="33"/>
      <c r="HN227" s="33"/>
      <c r="HO227" s="33"/>
      <c r="HP227" s="33"/>
      <c r="HQ227" s="33"/>
      <c r="HR227" s="33"/>
      <c r="HS227" s="33"/>
      <c r="HT227" s="33"/>
      <c r="HU227" s="33"/>
      <c r="HV227" s="33"/>
      <c r="HW227" s="33"/>
      <c r="HX227" s="33"/>
      <c r="HY227" s="33"/>
      <c r="HZ227" s="33"/>
      <c r="IA227" s="33"/>
      <c r="IB227" s="33"/>
      <c r="IC227" s="33"/>
      <c r="ID227" s="33"/>
      <c r="IE227" s="33"/>
      <c r="IF227" s="33"/>
      <c r="IG227" s="33"/>
      <c r="IH227" s="33"/>
      <c r="II227" s="33"/>
      <c r="IJ227" s="33"/>
      <c r="IK227" s="33"/>
      <c r="IL227" s="33"/>
      <c r="IM227" s="33"/>
      <c r="IN227" s="33"/>
      <c r="IO227" s="33"/>
      <c r="IP227" s="33"/>
      <c r="IQ227" s="33"/>
      <c r="IR227" s="33"/>
      <c r="IS227" s="33"/>
      <c r="IT227" s="33"/>
      <c r="IU227" s="33"/>
      <c r="IV227" s="33"/>
      <c r="IW227" s="33"/>
      <c r="IX227" s="33"/>
      <c r="IY227" s="33"/>
      <c r="IZ227" s="33"/>
      <c r="JA227" s="33"/>
      <c r="JB227" s="33"/>
      <c r="JC227" s="33"/>
      <c r="JD227" s="33"/>
      <c r="JE227" s="33"/>
      <c r="JF227" s="33"/>
      <c r="JG227" s="33"/>
      <c r="JH227" s="33"/>
      <c r="JI227" s="33"/>
      <c r="JJ227" s="33"/>
      <c r="JK227" s="33"/>
      <c r="JL227" s="33"/>
      <c r="JM227" s="33"/>
      <c r="JN227" s="33"/>
      <c r="JO227" s="33"/>
      <c r="JP227" s="33"/>
      <c r="JQ227" s="33"/>
      <c r="JR227" s="33"/>
      <c r="JS227" s="33"/>
      <c r="JT227" s="33"/>
      <c r="JU227" s="33"/>
      <c r="JV227" s="33"/>
      <c r="JW227" s="33"/>
      <c r="JX227" s="33"/>
      <c r="JY227" s="33"/>
      <c r="JZ227" s="33"/>
      <c r="KA227" s="33"/>
      <c r="KB227" s="33"/>
      <c r="KC227" s="33"/>
      <c r="KD227" s="33"/>
      <c r="KE227" s="33"/>
      <c r="KF227" s="33"/>
      <c r="KG227" s="33"/>
      <c r="KH227" s="33"/>
      <c r="KI227" s="33"/>
      <c r="KJ227" s="33"/>
      <c r="KK227" s="33"/>
      <c r="KL227" s="33"/>
      <c r="KM227" s="33"/>
      <c r="KN227" s="33"/>
      <c r="KO227" s="33"/>
      <c r="KP227" s="33"/>
      <c r="KQ227" s="33"/>
      <c r="KR227" s="33"/>
      <c r="KS227" s="33"/>
      <c r="KT227" s="33"/>
      <c r="KU227" s="33"/>
      <c r="KV227" s="33"/>
      <c r="KW227" s="33"/>
      <c r="KX227" s="33"/>
      <c r="KY227" s="33"/>
      <c r="KZ227" s="33"/>
      <c r="LA227" s="33"/>
      <c r="LB227" s="33"/>
      <c r="LC227" s="33"/>
      <c r="LD227" s="33"/>
      <c r="LE227" s="33"/>
      <c r="LF227" s="33"/>
      <c r="LG227" s="33"/>
      <c r="LH227" s="33"/>
      <c r="LI227" s="33"/>
      <c r="LJ227" s="33"/>
      <c r="LK227" s="33"/>
      <c r="LL227" s="33"/>
      <c r="LM227" s="33"/>
      <c r="LN227" s="33"/>
      <c r="LO227" s="33"/>
      <c r="LP227" s="33"/>
      <c r="LQ227" s="33"/>
      <c r="LR227" s="33"/>
      <c r="LS227" s="33"/>
      <c r="LT227" s="33"/>
      <c r="LU227" s="33"/>
      <c r="LV227" s="33"/>
      <c r="LW227" s="33"/>
      <c r="LX227" s="33"/>
      <c r="LY227" s="33"/>
      <c r="LZ227" s="33"/>
      <c r="MA227" s="33"/>
      <c r="MB227" s="33"/>
      <c r="MC227" s="33"/>
      <c r="MD227" s="33"/>
      <c r="ME227" s="33"/>
      <c r="MF227" s="33"/>
      <c r="MG227" s="33"/>
      <c r="MH227" s="33"/>
      <c r="MI227" s="33"/>
      <c r="MJ227" s="33"/>
      <c r="MK227" s="33"/>
      <c r="ML227" s="33"/>
      <c r="MM227" s="33"/>
      <c r="MN227" s="33"/>
      <c r="MO227" s="33"/>
      <c r="MP227" s="33"/>
      <c r="MQ227" s="33"/>
      <c r="MR227" s="33"/>
      <c r="MS227" s="33"/>
      <c r="MT227" s="33"/>
      <c r="MU227" s="33"/>
      <c r="MV227" s="33"/>
    </row>
    <row r="228" spans="1:360" ht="0.75" customHeight="1" x14ac:dyDescent="0.25">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c r="BV228" s="33"/>
      <c r="BW228" s="33"/>
      <c r="BX228" s="33"/>
      <c r="BY228" s="33"/>
      <c r="BZ228" s="33"/>
      <c r="CA228" s="33"/>
      <c r="CB228" s="33"/>
      <c r="CC228" s="33"/>
      <c r="CD228" s="33"/>
      <c r="CE228" s="33"/>
      <c r="CF228" s="33"/>
      <c r="CG228" s="33"/>
      <c r="CH228" s="33"/>
      <c r="CI228" s="33"/>
      <c r="CJ228" s="33"/>
      <c r="CK228" s="33"/>
      <c r="CL228" s="33"/>
      <c r="CM228" s="33"/>
      <c r="CN228" s="33"/>
      <c r="CO228" s="33"/>
      <c r="CP228" s="33"/>
      <c r="CQ228" s="33"/>
      <c r="CR228" s="33"/>
      <c r="CS228" s="33"/>
      <c r="CT228" s="33"/>
      <c r="CU228" s="33"/>
      <c r="CV228" s="33"/>
      <c r="CW228" s="33"/>
      <c r="CX228" s="33"/>
      <c r="CY228" s="33"/>
      <c r="CZ228" s="33"/>
      <c r="DA228" s="33"/>
      <c r="DB228" s="33"/>
      <c r="DC228" s="33"/>
      <c r="DD228" s="33"/>
      <c r="DE228" s="33"/>
      <c r="DF228" s="33"/>
      <c r="DG228" s="33"/>
      <c r="DH228" s="33"/>
      <c r="DI228" s="33"/>
      <c r="DJ228" s="33"/>
      <c r="DK228" s="33"/>
      <c r="DL228" s="33"/>
      <c r="DM228" s="33"/>
      <c r="DN228" s="33"/>
      <c r="DO228" s="33"/>
      <c r="DP228" s="33"/>
      <c r="DQ228" s="33"/>
      <c r="DR228" s="33"/>
      <c r="DS228" s="33"/>
      <c r="DT228" s="33"/>
      <c r="DU228" s="33"/>
      <c r="DV228" s="33"/>
      <c r="DW228" s="33"/>
      <c r="DX228" s="33"/>
      <c r="DY228" s="33"/>
      <c r="DZ228" s="33"/>
      <c r="EA228" s="33"/>
      <c r="EB228" s="33"/>
      <c r="EC228" s="33"/>
      <c r="ED228" s="33"/>
      <c r="EE228" s="33"/>
      <c r="EF228" s="33"/>
      <c r="EG228" s="33"/>
      <c r="EH228" s="33"/>
      <c r="EI228" s="33"/>
      <c r="EJ228" s="33"/>
      <c r="EK228" s="33"/>
      <c r="EL228" s="33"/>
      <c r="EM228" s="33"/>
      <c r="EN228" s="33"/>
      <c r="EO228" s="33"/>
      <c r="EP228" s="33"/>
      <c r="EQ228" s="33"/>
      <c r="ER228" s="33"/>
      <c r="ES228" s="33"/>
      <c r="ET228" s="33"/>
      <c r="EU228" s="33"/>
      <c r="EV228" s="33"/>
      <c r="EW228" s="33"/>
      <c r="EX228" s="33"/>
      <c r="EY228" s="33"/>
      <c r="EZ228" s="33"/>
      <c r="FA228" s="33"/>
      <c r="FB228" s="33"/>
      <c r="FC228" s="33"/>
      <c r="FD228" s="33"/>
      <c r="FE228" s="33"/>
      <c r="FF228" s="33"/>
      <c r="FG228" s="33"/>
      <c r="FH228" s="33"/>
      <c r="FI228" s="33"/>
      <c r="FJ228" s="33"/>
      <c r="FK228" s="33"/>
      <c r="FL228" s="33"/>
      <c r="FM228" s="33"/>
      <c r="FN228" s="33"/>
      <c r="FO228" s="33"/>
      <c r="FP228" s="33"/>
      <c r="FQ228" s="33"/>
      <c r="FR228" s="33"/>
      <c r="FS228" s="33"/>
      <c r="FT228" s="33"/>
      <c r="FU228" s="33"/>
      <c r="FV228" s="33"/>
      <c r="FW228" s="33"/>
      <c r="FX228" s="33"/>
      <c r="FY228" s="33"/>
      <c r="FZ228" s="33"/>
      <c r="GA228" s="33"/>
      <c r="GB228" s="33"/>
      <c r="GC228" s="33"/>
      <c r="GD228" s="33"/>
      <c r="GE228" s="33"/>
      <c r="GF228" s="33"/>
      <c r="GG228" s="33"/>
      <c r="GH228" s="33"/>
      <c r="GI228" s="33"/>
      <c r="GJ228" s="33"/>
      <c r="GK228" s="33"/>
      <c r="GL228" s="33"/>
      <c r="GM228" s="33"/>
      <c r="GN228" s="33"/>
      <c r="GO228" s="33"/>
      <c r="GP228" s="33"/>
      <c r="GQ228" s="33"/>
      <c r="GR228" s="33"/>
      <c r="GS228" s="33"/>
      <c r="GT228" s="33"/>
      <c r="GU228" s="33"/>
      <c r="GV228" s="33"/>
      <c r="GW228" s="33"/>
      <c r="GX228" s="33"/>
      <c r="GY228" s="33"/>
      <c r="GZ228" s="33"/>
      <c r="HA228" s="33"/>
      <c r="HB228" s="33"/>
      <c r="HC228" s="33"/>
      <c r="HD228" s="33"/>
      <c r="HE228" s="33"/>
      <c r="HF228" s="33"/>
      <c r="HG228" s="33"/>
      <c r="HH228" s="33"/>
      <c r="HI228" s="33"/>
      <c r="HJ228" s="33"/>
      <c r="HK228" s="33"/>
      <c r="HL228" s="33"/>
      <c r="HM228" s="33"/>
      <c r="HN228" s="33"/>
      <c r="HO228" s="33"/>
      <c r="HP228" s="33"/>
      <c r="HQ228" s="33"/>
      <c r="HR228" s="33"/>
      <c r="HS228" s="33"/>
      <c r="HT228" s="33"/>
      <c r="HU228" s="33"/>
      <c r="HV228" s="33"/>
      <c r="HW228" s="33"/>
      <c r="HX228" s="33"/>
      <c r="HY228" s="33"/>
      <c r="HZ228" s="33"/>
      <c r="IA228" s="33"/>
      <c r="IB228" s="33"/>
      <c r="IC228" s="33"/>
      <c r="ID228" s="33"/>
      <c r="IE228" s="33"/>
      <c r="IF228" s="33"/>
      <c r="IG228" s="33"/>
      <c r="IH228" s="33"/>
      <c r="II228" s="33"/>
      <c r="IJ228" s="33"/>
      <c r="IK228" s="33"/>
      <c r="IL228" s="33"/>
      <c r="IM228" s="33"/>
      <c r="IN228" s="33"/>
      <c r="IO228" s="33"/>
      <c r="IP228" s="33"/>
      <c r="IQ228" s="33"/>
      <c r="IR228" s="33"/>
      <c r="IS228" s="33"/>
      <c r="IT228" s="33"/>
      <c r="IU228" s="33"/>
      <c r="IV228" s="33"/>
      <c r="IW228" s="33"/>
      <c r="IX228" s="33"/>
      <c r="IY228" s="33"/>
      <c r="IZ228" s="33"/>
      <c r="JA228" s="33"/>
      <c r="JB228" s="33"/>
      <c r="JC228" s="33"/>
      <c r="JD228" s="33"/>
      <c r="JE228" s="33"/>
      <c r="JF228" s="33"/>
      <c r="JG228" s="33"/>
      <c r="JH228" s="33"/>
      <c r="JI228" s="33"/>
      <c r="JJ228" s="33"/>
      <c r="JK228" s="33"/>
      <c r="JL228" s="33"/>
      <c r="JM228" s="33"/>
      <c r="JN228" s="33"/>
      <c r="JO228" s="33"/>
      <c r="JP228" s="33"/>
      <c r="JQ228" s="33"/>
      <c r="JR228" s="33"/>
      <c r="JS228" s="33"/>
      <c r="JT228" s="33"/>
      <c r="JU228" s="33"/>
      <c r="JV228" s="33"/>
      <c r="JW228" s="33"/>
      <c r="JX228" s="33"/>
      <c r="JY228" s="33"/>
      <c r="JZ228" s="33"/>
      <c r="KA228" s="33"/>
      <c r="KB228" s="33"/>
      <c r="KC228" s="33"/>
      <c r="KD228" s="33"/>
      <c r="KE228" s="33"/>
      <c r="KF228" s="33"/>
      <c r="KG228" s="33"/>
      <c r="KH228" s="33"/>
      <c r="KI228" s="33"/>
      <c r="KJ228" s="33"/>
      <c r="KK228" s="33"/>
      <c r="KL228" s="33"/>
      <c r="KM228" s="33"/>
      <c r="KN228" s="33"/>
      <c r="KO228" s="33"/>
      <c r="KP228" s="33"/>
      <c r="KQ228" s="33"/>
      <c r="KR228" s="33"/>
      <c r="KS228" s="33"/>
      <c r="KT228" s="33"/>
      <c r="KU228" s="33"/>
      <c r="KV228" s="33"/>
      <c r="KW228" s="33"/>
      <c r="KX228" s="33"/>
      <c r="KY228" s="33"/>
      <c r="KZ228" s="33"/>
      <c r="LA228" s="33"/>
      <c r="LB228" s="33"/>
      <c r="LC228" s="33"/>
      <c r="LD228" s="33"/>
      <c r="LE228" s="33"/>
      <c r="LF228" s="33"/>
      <c r="LG228" s="33"/>
      <c r="LH228" s="33"/>
      <c r="LI228" s="33"/>
      <c r="LJ228" s="33"/>
      <c r="LK228" s="33"/>
      <c r="LL228" s="33"/>
      <c r="LM228" s="33"/>
      <c r="LN228" s="33"/>
      <c r="LO228" s="33"/>
      <c r="LP228" s="33"/>
      <c r="LQ228" s="33"/>
      <c r="LR228" s="33"/>
      <c r="LS228" s="33"/>
      <c r="LT228" s="33"/>
      <c r="LU228" s="33"/>
      <c r="LV228" s="33"/>
      <c r="LW228" s="33"/>
      <c r="LX228" s="33"/>
      <c r="LY228" s="33"/>
      <c r="LZ228" s="33"/>
      <c r="MA228" s="33"/>
      <c r="MB228" s="33"/>
      <c r="MC228" s="33"/>
      <c r="MD228" s="33"/>
      <c r="ME228" s="33"/>
      <c r="MF228" s="33"/>
      <c r="MG228" s="33"/>
      <c r="MH228" s="33"/>
      <c r="MI228" s="33"/>
      <c r="MJ228" s="33"/>
      <c r="MK228" s="33"/>
      <c r="ML228" s="33"/>
      <c r="MM228" s="33"/>
      <c r="MN228" s="33"/>
      <c r="MO228" s="33"/>
      <c r="MP228" s="33"/>
      <c r="MQ228" s="33"/>
      <c r="MR228" s="33"/>
      <c r="MS228" s="33"/>
      <c r="MT228" s="33"/>
      <c r="MU228" s="33"/>
      <c r="MV228" s="33"/>
    </row>
    <row r="229" spans="1:360" ht="0.75" customHeight="1" x14ac:dyDescent="0.25">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c r="BV229" s="33"/>
      <c r="BW229" s="33"/>
      <c r="BX229" s="33"/>
      <c r="BY229" s="33"/>
      <c r="BZ229" s="33"/>
      <c r="CA229" s="33"/>
      <c r="CB229" s="33"/>
      <c r="CC229" s="33"/>
      <c r="CD229" s="33"/>
      <c r="CE229" s="33"/>
      <c r="CF229" s="33"/>
      <c r="CG229" s="33"/>
      <c r="CH229" s="33"/>
      <c r="CI229" s="33"/>
      <c r="CJ229" s="33"/>
      <c r="CK229" s="33"/>
      <c r="CL229" s="33"/>
      <c r="CM229" s="33"/>
      <c r="CN229" s="33"/>
      <c r="CO229" s="33"/>
      <c r="CP229" s="33"/>
      <c r="CQ229" s="33"/>
      <c r="CR229" s="33"/>
      <c r="CS229" s="33"/>
      <c r="CT229" s="33"/>
      <c r="CU229" s="33"/>
      <c r="CV229" s="33"/>
      <c r="CW229" s="33"/>
      <c r="CX229" s="33"/>
      <c r="CY229" s="33"/>
      <c r="CZ229" s="33"/>
      <c r="DA229" s="33"/>
      <c r="DB229" s="33"/>
      <c r="DC229" s="33"/>
      <c r="DD229" s="33"/>
      <c r="DE229" s="33"/>
      <c r="DF229" s="33"/>
      <c r="DG229" s="33"/>
      <c r="DH229" s="33"/>
      <c r="DI229" s="33"/>
      <c r="DJ229" s="33"/>
      <c r="DK229" s="33"/>
      <c r="DL229" s="33"/>
      <c r="DM229" s="33"/>
      <c r="DN229" s="33"/>
      <c r="DO229" s="33"/>
      <c r="DP229" s="33"/>
      <c r="DQ229" s="33"/>
      <c r="DR229" s="33"/>
      <c r="DS229" s="33"/>
      <c r="DT229" s="33"/>
      <c r="DU229" s="33"/>
      <c r="DV229" s="33"/>
      <c r="DW229" s="33"/>
      <c r="DX229" s="33"/>
      <c r="DY229" s="33"/>
      <c r="DZ229" s="33"/>
      <c r="EA229" s="33"/>
      <c r="EB229" s="33"/>
      <c r="EC229" s="33"/>
      <c r="ED229" s="33"/>
      <c r="EE229" s="33"/>
      <c r="EF229" s="33"/>
      <c r="EG229" s="33"/>
      <c r="EH229" s="33"/>
      <c r="EI229" s="33"/>
      <c r="EJ229" s="33"/>
      <c r="EK229" s="33"/>
      <c r="EL229" s="33"/>
      <c r="EM229" s="33"/>
      <c r="EN229" s="33"/>
      <c r="EO229" s="33"/>
      <c r="EP229" s="33"/>
      <c r="EQ229" s="33"/>
      <c r="ER229" s="33"/>
      <c r="ES229" s="33"/>
      <c r="ET229" s="33"/>
      <c r="EU229" s="33"/>
      <c r="EV229" s="33"/>
      <c r="EW229" s="33"/>
      <c r="EX229" s="33"/>
      <c r="EY229" s="33"/>
      <c r="EZ229" s="33"/>
      <c r="FA229" s="33"/>
      <c r="FB229" s="33"/>
      <c r="FC229" s="33"/>
      <c r="FD229" s="33"/>
      <c r="FE229" s="33"/>
      <c r="FF229" s="33"/>
      <c r="FG229" s="33"/>
      <c r="FH229" s="33"/>
      <c r="FI229" s="33"/>
      <c r="FJ229" s="33"/>
      <c r="FK229" s="33"/>
      <c r="FL229" s="33"/>
      <c r="FM229" s="33"/>
      <c r="FN229" s="33"/>
      <c r="FO229" s="33"/>
      <c r="FP229" s="33"/>
      <c r="FQ229" s="33"/>
      <c r="FR229" s="33"/>
      <c r="FS229" s="33"/>
      <c r="FT229" s="33"/>
      <c r="FU229" s="33"/>
      <c r="FV229" s="33"/>
      <c r="FW229" s="33"/>
      <c r="FX229" s="33"/>
      <c r="FY229" s="33"/>
      <c r="FZ229" s="33"/>
      <c r="GA229" s="33"/>
      <c r="GB229" s="33"/>
      <c r="GC229" s="33"/>
      <c r="GD229" s="33"/>
      <c r="GE229" s="33"/>
      <c r="GF229" s="33"/>
      <c r="GG229" s="33"/>
      <c r="GH229" s="33"/>
      <c r="GI229" s="33"/>
      <c r="GJ229" s="33"/>
      <c r="GK229" s="33"/>
      <c r="GL229" s="33"/>
      <c r="GM229" s="33"/>
      <c r="GN229" s="33"/>
      <c r="GO229" s="33"/>
      <c r="GP229" s="33"/>
      <c r="GQ229" s="33"/>
      <c r="GR229" s="33"/>
      <c r="GS229" s="33"/>
      <c r="GT229" s="33"/>
      <c r="GU229" s="33"/>
      <c r="GV229" s="33"/>
      <c r="GW229" s="33"/>
      <c r="GX229" s="33"/>
      <c r="GY229" s="33"/>
      <c r="GZ229" s="33"/>
      <c r="HA229" s="33"/>
      <c r="HB229" s="33"/>
      <c r="HC229" s="33"/>
      <c r="HD229" s="33"/>
      <c r="HE229" s="33"/>
      <c r="HF229" s="33"/>
      <c r="HG229" s="33"/>
      <c r="HH229" s="33"/>
      <c r="HI229" s="33"/>
      <c r="HJ229" s="33"/>
      <c r="HK229" s="33"/>
      <c r="HL229" s="33"/>
      <c r="HM229" s="33"/>
      <c r="HN229" s="33"/>
      <c r="HO229" s="33"/>
      <c r="HP229" s="33"/>
      <c r="HQ229" s="33"/>
      <c r="HR229" s="33"/>
      <c r="HS229" s="33"/>
      <c r="HT229" s="33"/>
      <c r="HU229" s="33"/>
      <c r="HV229" s="33"/>
      <c r="HW229" s="33"/>
      <c r="HX229" s="33"/>
      <c r="HY229" s="33"/>
      <c r="HZ229" s="33"/>
      <c r="IA229" s="33"/>
      <c r="IB229" s="33"/>
      <c r="IC229" s="33"/>
      <c r="ID229" s="33"/>
      <c r="IE229" s="33"/>
      <c r="IF229" s="33"/>
      <c r="IG229" s="33"/>
      <c r="IH229" s="33"/>
      <c r="II229" s="33"/>
      <c r="IJ229" s="33"/>
      <c r="IK229" s="33"/>
      <c r="IL229" s="33"/>
      <c r="IM229" s="33"/>
      <c r="IN229" s="33"/>
      <c r="IO229" s="33"/>
      <c r="IP229" s="33"/>
      <c r="IQ229" s="33"/>
      <c r="IR229" s="33"/>
      <c r="IS229" s="33"/>
      <c r="IT229" s="33"/>
      <c r="IU229" s="33"/>
      <c r="IV229" s="33"/>
      <c r="IW229" s="33"/>
      <c r="IX229" s="33"/>
      <c r="IY229" s="33"/>
      <c r="IZ229" s="33"/>
      <c r="JA229" s="33"/>
      <c r="JB229" s="33"/>
      <c r="JC229" s="33"/>
      <c r="JD229" s="33"/>
      <c r="JE229" s="33"/>
      <c r="JF229" s="33"/>
      <c r="JG229" s="33"/>
      <c r="JH229" s="33"/>
      <c r="JI229" s="33"/>
      <c r="JJ229" s="33"/>
      <c r="JK229" s="33"/>
      <c r="JL229" s="33"/>
      <c r="JM229" s="33"/>
      <c r="JN229" s="33"/>
      <c r="JO229" s="33"/>
      <c r="JP229" s="33"/>
      <c r="JQ229" s="33"/>
      <c r="JR229" s="33"/>
      <c r="JS229" s="33"/>
      <c r="JT229" s="33"/>
      <c r="JU229" s="33"/>
      <c r="JV229" s="33"/>
      <c r="JW229" s="33"/>
      <c r="JX229" s="33"/>
      <c r="JY229" s="33"/>
      <c r="JZ229" s="33"/>
      <c r="KA229" s="33"/>
      <c r="KB229" s="33"/>
      <c r="KC229" s="33"/>
      <c r="KD229" s="33"/>
      <c r="KE229" s="33"/>
      <c r="KF229" s="33"/>
      <c r="KG229" s="33"/>
      <c r="KH229" s="33"/>
      <c r="KI229" s="33"/>
      <c r="KJ229" s="33"/>
      <c r="KK229" s="33"/>
      <c r="KL229" s="33"/>
      <c r="KM229" s="33"/>
      <c r="KN229" s="33"/>
      <c r="KO229" s="33"/>
      <c r="KP229" s="33"/>
      <c r="KQ229" s="33"/>
      <c r="KR229" s="33"/>
      <c r="KS229" s="33"/>
      <c r="KT229" s="33"/>
      <c r="KU229" s="33"/>
      <c r="KV229" s="33"/>
      <c r="KW229" s="33"/>
      <c r="KX229" s="33"/>
      <c r="KY229" s="33"/>
      <c r="KZ229" s="33"/>
      <c r="LA229" s="33"/>
      <c r="LB229" s="33"/>
      <c r="LC229" s="33"/>
      <c r="LD229" s="33"/>
      <c r="LE229" s="33"/>
      <c r="LF229" s="33"/>
      <c r="LG229" s="33"/>
      <c r="LH229" s="33"/>
      <c r="LI229" s="33"/>
      <c r="LJ229" s="33"/>
      <c r="LK229" s="33"/>
      <c r="LL229" s="33"/>
      <c r="LM229" s="33"/>
      <c r="LN229" s="33"/>
      <c r="LO229" s="33"/>
      <c r="LP229" s="33"/>
      <c r="LQ229" s="33"/>
      <c r="LR229" s="33"/>
      <c r="LS229" s="33"/>
      <c r="LT229" s="33"/>
      <c r="LU229" s="33"/>
      <c r="LV229" s="33"/>
      <c r="LW229" s="33"/>
      <c r="LX229" s="33"/>
      <c r="LY229" s="33"/>
      <c r="LZ229" s="33"/>
      <c r="MA229" s="33"/>
      <c r="MB229" s="33"/>
      <c r="MC229" s="33"/>
      <c r="MD229" s="33"/>
      <c r="ME229" s="33"/>
      <c r="MF229" s="33"/>
      <c r="MG229" s="33"/>
      <c r="MH229" s="33"/>
      <c r="MI229" s="33"/>
      <c r="MJ229" s="33"/>
      <c r="MK229" s="33"/>
      <c r="ML229" s="33"/>
      <c r="MM229" s="33"/>
      <c r="MN229" s="33"/>
      <c r="MO229" s="33"/>
      <c r="MP229" s="33"/>
      <c r="MQ229" s="33"/>
      <c r="MR229" s="33"/>
      <c r="MS229" s="33"/>
      <c r="MT229" s="33"/>
      <c r="MU229" s="33"/>
      <c r="MV229" s="33"/>
    </row>
    <row r="230" spans="1:360" ht="0.75" customHeight="1" x14ac:dyDescent="0.25">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c r="BV230" s="33"/>
      <c r="BW230" s="33"/>
      <c r="BX230" s="33"/>
      <c r="BY230" s="33"/>
      <c r="BZ230" s="33"/>
      <c r="CA230" s="33"/>
      <c r="CB230" s="33"/>
      <c r="CC230" s="33"/>
      <c r="CD230" s="33"/>
      <c r="CE230" s="33"/>
      <c r="CF230" s="33"/>
      <c r="CG230" s="33"/>
      <c r="CH230" s="33"/>
      <c r="CI230" s="33"/>
      <c r="CJ230" s="33"/>
      <c r="CK230" s="33"/>
      <c r="CL230" s="33"/>
      <c r="CM230" s="33"/>
      <c r="CN230" s="33"/>
      <c r="CO230" s="33"/>
      <c r="CP230" s="33"/>
      <c r="CQ230" s="33"/>
      <c r="CR230" s="33"/>
      <c r="CS230" s="33"/>
      <c r="CT230" s="33"/>
      <c r="CU230" s="33"/>
      <c r="CV230" s="33"/>
      <c r="CW230" s="33"/>
      <c r="CX230" s="33"/>
      <c r="CY230" s="33"/>
      <c r="CZ230" s="33"/>
      <c r="DA230" s="33"/>
      <c r="DB230" s="33"/>
      <c r="DC230" s="33"/>
      <c r="DD230" s="33"/>
      <c r="DE230" s="33"/>
      <c r="DF230" s="33"/>
      <c r="DG230" s="33"/>
      <c r="DH230" s="33"/>
      <c r="DI230" s="33"/>
      <c r="DJ230" s="33"/>
      <c r="DK230" s="33"/>
      <c r="DL230" s="33"/>
      <c r="DM230" s="33"/>
      <c r="DN230" s="33"/>
      <c r="DO230" s="33"/>
      <c r="DP230" s="33"/>
      <c r="DQ230" s="33"/>
      <c r="DR230" s="33"/>
      <c r="DS230" s="33"/>
      <c r="DT230" s="33"/>
      <c r="DU230" s="33"/>
      <c r="DV230" s="33"/>
      <c r="DW230" s="33"/>
      <c r="DX230" s="33"/>
      <c r="DY230" s="33"/>
      <c r="DZ230" s="33"/>
      <c r="EA230" s="33"/>
      <c r="EB230" s="33"/>
      <c r="EC230" s="33"/>
      <c r="ED230" s="33"/>
      <c r="EE230" s="33"/>
      <c r="EF230" s="33"/>
      <c r="EG230" s="33"/>
      <c r="EH230" s="33"/>
      <c r="EI230" s="33"/>
      <c r="EJ230" s="33"/>
      <c r="EK230" s="33"/>
      <c r="EL230" s="33"/>
      <c r="EM230" s="33"/>
      <c r="EN230" s="33"/>
      <c r="EO230" s="33"/>
      <c r="EP230" s="33"/>
      <c r="EQ230" s="33"/>
      <c r="ER230" s="33"/>
      <c r="ES230" s="33"/>
      <c r="ET230" s="33"/>
      <c r="EU230" s="33"/>
      <c r="EV230" s="33"/>
      <c r="EW230" s="33"/>
      <c r="EX230" s="33"/>
      <c r="EY230" s="33"/>
      <c r="EZ230" s="33"/>
      <c r="FA230" s="33"/>
      <c r="FB230" s="33"/>
      <c r="FC230" s="33"/>
      <c r="FD230" s="33"/>
      <c r="FE230" s="33"/>
      <c r="FF230" s="33"/>
      <c r="FG230" s="33"/>
      <c r="FH230" s="33"/>
      <c r="FI230" s="33"/>
      <c r="FJ230" s="33"/>
      <c r="FK230" s="33"/>
      <c r="FL230" s="33"/>
      <c r="FM230" s="33"/>
      <c r="FN230" s="33"/>
      <c r="FO230" s="33"/>
      <c r="FP230" s="33"/>
      <c r="FQ230" s="33"/>
      <c r="FR230" s="33"/>
      <c r="FS230" s="33"/>
      <c r="FT230" s="33"/>
      <c r="FU230" s="33"/>
      <c r="FV230" s="33"/>
      <c r="FW230" s="33"/>
      <c r="FX230" s="33"/>
      <c r="FY230" s="33"/>
      <c r="FZ230" s="33"/>
      <c r="GA230" s="33"/>
      <c r="GB230" s="33"/>
      <c r="GC230" s="33"/>
      <c r="GD230" s="33"/>
      <c r="GE230" s="33"/>
      <c r="GF230" s="33"/>
      <c r="GG230" s="33"/>
      <c r="GH230" s="33"/>
      <c r="GI230" s="33"/>
      <c r="GJ230" s="33"/>
      <c r="GK230" s="33"/>
      <c r="GL230" s="33"/>
      <c r="GM230" s="33"/>
      <c r="GN230" s="33"/>
      <c r="GO230" s="33"/>
      <c r="GP230" s="33"/>
      <c r="GQ230" s="33"/>
      <c r="GR230" s="33"/>
      <c r="GS230" s="33"/>
      <c r="GT230" s="33"/>
      <c r="GU230" s="33"/>
      <c r="GV230" s="33"/>
      <c r="GW230" s="33"/>
      <c r="GX230" s="33"/>
      <c r="GY230" s="33"/>
      <c r="GZ230" s="33"/>
      <c r="HA230" s="33"/>
      <c r="HB230" s="33"/>
      <c r="HC230" s="33"/>
      <c r="HD230" s="33"/>
      <c r="HE230" s="33"/>
      <c r="HF230" s="33"/>
      <c r="HG230" s="33"/>
      <c r="HH230" s="33"/>
      <c r="HI230" s="33"/>
      <c r="HJ230" s="33"/>
      <c r="HK230" s="33"/>
      <c r="HL230" s="33"/>
      <c r="HM230" s="33"/>
      <c r="HN230" s="33"/>
      <c r="HO230" s="33"/>
      <c r="HP230" s="33"/>
      <c r="HQ230" s="33"/>
      <c r="HR230" s="33"/>
      <c r="HS230" s="33"/>
      <c r="HT230" s="33"/>
      <c r="HU230" s="33"/>
      <c r="HV230" s="33"/>
      <c r="HW230" s="33"/>
      <c r="HX230" s="33"/>
      <c r="HY230" s="33"/>
      <c r="HZ230" s="33"/>
      <c r="IA230" s="33"/>
      <c r="IB230" s="33"/>
      <c r="IC230" s="33"/>
      <c r="ID230" s="33"/>
      <c r="IE230" s="33"/>
      <c r="IF230" s="33"/>
      <c r="IG230" s="33"/>
      <c r="IH230" s="33"/>
      <c r="II230" s="33"/>
      <c r="IJ230" s="33"/>
      <c r="IK230" s="33"/>
      <c r="IL230" s="33"/>
      <c r="IM230" s="33"/>
      <c r="IN230" s="33"/>
      <c r="IO230" s="33"/>
      <c r="IP230" s="33"/>
      <c r="IQ230" s="33"/>
      <c r="IR230" s="33"/>
      <c r="IS230" s="33"/>
      <c r="IT230" s="33"/>
      <c r="IU230" s="33"/>
      <c r="IV230" s="33"/>
      <c r="IW230" s="33"/>
      <c r="IX230" s="33"/>
      <c r="IY230" s="33"/>
      <c r="IZ230" s="33"/>
      <c r="JA230" s="33"/>
      <c r="JB230" s="33"/>
      <c r="JC230" s="33"/>
      <c r="JD230" s="33"/>
      <c r="JE230" s="33"/>
      <c r="JF230" s="33"/>
      <c r="JG230" s="33"/>
      <c r="JH230" s="33"/>
      <c r="JI230" s="33"/>
      <c r="JJ230" s="33"/>
      <c r="JK230" s="33"/>
      <c r="JL230" s="33"/>
      <c r="JM230" s="33"/>
      <c r="JN230" s="33"/>
      <c r="JO230" s="33"/>
      <c r="JP230" s="33"/>
      <c r="JQ230" s="33"/>
      <c r="JR230" s="33"/>
      <c r="JS230" s="33"/>
      <c r="JT230" s="33"/>
      <c r="JU230" s="33"/>
      <c r="JV230" s="33"/>
      <c r="JW230" s="33"/>
      <c r="JX230" s="33"/>
      <c r="JY230" s="33"/>
      <c r="JZ230" s="33"/>
      <c r="KA230" s="33"/>
      <c r="KB230" s="33"/>
      <c r="KC230" s="33"/>
      <c r="KD230" s="33"/>
      <c r="KE230" s="33"/>
      <c r="KF230" s="33"/>
      <c r="KG230" s="33"/>
      <c r="KH230" s="33"/>
      <c r="KI230" s="33"/>
      <c r="KJ230" s="33"/>
      <c r="KK230" s="33"/>
      <c r="KL230" s="33"/>
      <c r="KM230" s="33"/>
      <c r="KN230" s="33"/>
      <c r="KO230" s="33"/>
      <c r="KP230" s="33"/>
      <c r="KQ230" s="33"/>
      <c r="KR230" s="33"/>
      <c r="KS230" s="33"/>
      <c r="KT230" s="33"/>
      <c r="KU230" s="33"/>
      <c r="KV230" s="33"/>
      <c r="KW230" s="33"/>
      <c r="KX230" s="33"/>
      <c r="KY230" s="33"/>
      <c r="KZ230" s="33"/>
      <c r="LA230" s="33"/>
      <c r="LB230" s="33"/>
      <c r="LC230" s="33"/>
      <c r="LD230" s="33"/>
      <c r="LE230" s="33"/>
      <c r="LF230" s="33"/>
      <c r="LG230" s="33"/>
      <c r="LH230" s="33"/>
      <c r="LI230" s="33"/>
      <c r="LJ230" s="33"/>
      <c r="LK230" s="33"/>
      <c r="LL230" s="33"/>
      <c r="LM230" s="33"/>
      <c r="LN230" s="33"/>
      <c r="LO230" s="33"/>
      <c r="LP230" s="33"/>
      <c r="LQ230" s="33"/>
      <c r="LR230" s="33"/>
      <c r="LS230" s="33"/>
      <c r="LT230" s="33"/>
      <c r="LU230" s="33"/>
      <c r="LV230" s="33"/>
      <c r="LW230" s="33"/>
      <c r="LX230" s="33"/>
      <c r="LY230" s="33"/>
      <c r="LZ230" s="33"/>
      <c r="MA230" s="33"/>
      <c r="MB230" s="33"/>
      <c r="MC230" s="33"/>
      <c r="MD230" s="33"/>
      <c r="ME230" s="33"/>
      <c r="MF230" s="33"/>
      <c r="MG230" s="33"/>
      <c r="MH230" s="33"/>
      <c r="MI230" s="33"/>
      <c r="MJ230" s="33"/>
      <c r="MK230" s="33"/>
      <c r="ML230" s="33"/>
      <c r="MM230" s="33"/>
      <c r="MN230" s="33"/>
      <c r="MO230" s="33"/>
      <c r="MP230" s="33"/>
      <c r="MQ230" s="33"/>
      <c r="MR230" s="33"/>
      <c r="MS230" s="33"/>
      <c r="MT230" s="33"/>
      <c r="MU230" s="33"/>
      <c r="MV230" s="33"/>
    </row>
    <row r="231" spans="1:360" ht="0.75" customHeight="1" x14ac:dyDescent="0.25">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c r="BV231" s="33"/>
      <c r="BW231" s="33"/>
      <c r="BX231" s="33"/>
      <c r="BY231" s="33"/>
      <c r="BZ231" s="33"/>
      <c r="CA231" s="33"/>
      <c r="CB231" s="33"/>
      <c r="CC231" s="33"/>
      <c r="CD231" s="33"/>
      <c r="CE231" s="33"/>
      <c r="CF231" s="33"/>
      <c r="CG231" s="33"/>
      <c r="CH231" s="33"/>
      <c r="CI231" s="33"/>
      <c r="CJ231" s="33"/>
      <c r="CK231" s="33"/>
      <c r="CL231" s="33"/>
      <c r="CM231" s="33"/>
      <c r="CN231" s="33"/>
      <c r="CO231" s="33"/>
      <c r="CP231" s="33"/>
      <c r="CQ231" s="33"/>
      <c r="CR231" s="33"/>
      <c r="CS231" s="33"/>
      <c r="CT231" s="33"/>
      <c r="CU231" s="33"/>
      <c r="CV231" s="33"/>
      <c r="CW231" s="33"/>
      <c r="CX231" s="33"/>
      <c r="CY231" s="33"/>
      <c r="CZ231" s="33"/>
      <c r="DA231" s="33"/>
      <c r="DB231" s="33"/>
      <c r="DC231" s="33"/>
      <c r="DD231" s="33"/>
      <c r="DE231" s="33"/>
      <c r="DF231" s="33"/>
      <c r="DG231" s="33"/>
      <c r="DH231" s="33"/>
      <c r="DI231" s="33"/>
      <c r="DJ231" s="33"/>
      <c r="DK231" s="33"/>
      <c r="DL231" s="33"/>
      <c r="DM231" s="33"/>
      <c r="DN231" s="33"/>
      <c r="DO231" s="33"/>
      <c r="DP231" s="33"/>
      <c r="DQ231" s="33"/>
      <c r="DR231" s="33"/>
      <c r="DS231" s="33"/>
      <c r="DT231" s="33"/>
      <c r="DU231" s="33"/>
      <c r="DV231" s="33"/>
      <c r="DW231" s="33"/>
      <c r="DX231" s="33"/>
      <c r="DY231" s="33"/>
      <c r="DZ231" s="33"/>
      <c r="EA231" s="33"/>
      <c r="EB231" s="33"/>
      <c r="EC231" s="33"/>
      <c r="ED231" s="33"/>
      <c r="EE231" s="33"/>
      <c r="EF231" s="33"/>
      <c r="EG231" s="33"/>
      <c r="EH231" s="33"/>
      <c r="EI231" s="33"/>
      <c r="EJ231" s="33"/>
      <c r="EK231" s="33"/>
      <c r="EL231" s="33"/>
      <c r="EM231" s="33"/>
      <c r="EN231" s="33"/>
      <c r="EO231" s="33"/>
      <c r="EP231" s="33"/>
      <c r="EQ231" s="33"/>
      <c r="ER231" s="33"/>
      <c r="ES231" s="33"/>
      <c r="ET231" s="33"/>
      <c r="EU231" s="33"/>
      <c r="EV231" s="33"/>
      <c r="EW231" s="33"/>
      <c r="EX231" s="33"/>
      <c r="EY231" s="33"/>
      <c r="EZ231" s="33"/>
      <c r="FA231" s="33"/>
      <c r="FB231" s="33"/>
      <c r="FC231" s="33"/>
      <c r="FD231" s="33"/>
      <c r="FE231" s="33"/>
      <c r="FF231" s="33"/>
      <c r="FG231" s="33"/>
      <c r="FH231" s="33"/>
      <c r="FI231" s="33"/>
      <c r="FJ231" s="33"/>
      <c r="FK231" s="33"/>
      <c r="FL231" s="33"/>
      <c r="FM231" s="33"/>
      <c r="FN231" s="33"/>
      <c r="FO231" s="33"/>
      <c r="FP231" s="33"/>
      <c r="FQ231" s="33"/>
      <c r="FR231" s="33"/>
      <c r="FS231" s="33"/>
      <c r="FT231" s="33"/>
      <c r="FU231" s="33"/>
      <c r="FV231" s="33"/>
      <c r="FW231" s="33"/>
      <c r="FX231" s="33"/>
      <c r="FY231" s="33"/>
      <c r="FZ231" s="33"/>
      <c r="GA231" s="33"/>
      <c r="GB231" s="33"/>
      <c r="GC231" s="33"/>
      <c r="GD231" s="33"/>
      <c r="GE231" s="33"/>
      <c r="GF231" s="33"/>
      <c r="GG231" s="33"/>
      <c r="GH231" s="33"/>
      <c r="GI231" s="33"/>
      <c r="GJ231" s="33"/>
      <c r="GK231" s="33"/>
      <c r="GL231" s="33"/>
      <c r="GM231" s="33"/>
      <c r="GN231" s="33"/>
      <c r="GO231" s="33"/>
      <c r="GP231" s="33"/>
      <c r="GQ231" s="33"/>
      <c r="GR231" s="33"/>
      <c r="GS231" s="33"/>
      <c r="GT231" s="33"/>
      <c r="GU231" s="33"/>
      <c r="GV231" s="33"/>
      <c r="GW231" s="33"/>
      <c r="GX231" s="33"/>
      <c r="GY231" s="33"/>
      <c r="GZ231" s="33"/>
      <c r="HA231" s="33"/>
      <c r="HB231" s="33"/>
      <c r="HC231" s="33"/>
      <c r="HD231" s="33"/>
      <c r="HE231" s="33"/>
      <c r="HF231" s="33"/>
      <c r="HG231" s="33"/>
      <c r="HH231" s="33"/>
      <c r="HI231" s="33"/>
      <c r="HJ231" s="33"/>
      <c r="HK231" s="33"/>
      <c r="HL231" s="33"/>
      <c r="HM231" s="33"/>
      <c r="HN231" s="33"/>
      <c r="HO231" s="33"/>
      <c r="HP231" s="33"/>
      <c r="HQ231" s="33"/>
      <c r="HR231" s="33"/>
      <c r="HS231" s="33"/>
      <c r="HT231" s="33"/>
      <c r="HU231" s="33"/>
      <c r="HV231" s="33"/>
      <c r="HW231" s="33"/>
      <c r="HX231" s="33"/>
      <c r="HY231" s="33"/>
      <c r="HZ231" s="33"/>
      <c r="IA231" s="33"/>
      <c r="IB231" s="33"/>
      <c r="IC231" s="33"/>
      <c r="ID231" s="33"/>
      <c r="IE231" s="33"/>
      <c r="IF231" s="33"/>
      <c r="IG231" s="33"/>
      <c r="IH231" s="33"/>
      <c r="II231" s="33"/>
      <c r="IJ231" s="33"/>
      <c r="IK231" s="33"/>
      <c r="IL231" s="33"/>
      <c r="IM231" s="33"/>
      <c r="IN231" s="33"/>
      <c r="IO231" s="33"/>
      <c r="IP231" s="33"/>
      <c r="IQ231" s="33"/>
      <c r="IR231" s="33"/>
      <c r="IS231" s="33"/>
      <c r="IT231" s="33"/>
      <c r="IU231" s="33"/>
      <c r="IV231" s="33"/>
      <c r="IW231" s="33"/>
      <c r="IX231" s="33"/>
      <c r="IY231" s="33"/>
      <c r="IZ231" s="33"/>
      <c r="JA231" s="33"/>
      <c r="JB231" s="33"/>
      <c r="JC231" s="33"/>
      <c r="JD231" s="33"/>
      <c r="JE231" s="33"/>
      <c r="JF231" s="33"/>
      <c r="JG231" s="33"/>
      <c r="JH231" s="33"/>
      <c r="JI231" s="33"/>
      <c r="JJ231" s="33"/>
      <c r="JK231" s="33"/>
      <c r="JL231" s="33"/>
      <c r="JM231" s="33"/>
      <c r="JN231" s="33"/>
      <c r="JO231" s="33"/>
      <c r="JP231" s="33"/>
      <c r="JQ231" s="33"/>
      <c r="JR231" s="33"/>
      <c r="JS231" s="33"/>
      <c r="JT231" s="33"/>
      <c r="JU231" s="33"/>
      <c r="JV231" s="33"/>
      <c r="JW231" s="33"/>
      <c r="JX231" s="33"/>
      <c r="JY231" s="33"/>
      <c r="JZ231" s="33"/>
      <c r="KA231" s="33"/>
      <c r="KB231" s="33"/>
      <c r="KC231" s="33"/>
      <c r="KD231" s="33"/>
      <c r="KE231" s="33"/>
      <c r="KF231" s="33"/>
      <c r="KG231" s="33"/>
      <c r="KH231" s="33"/>
      <c r="KI231" s="33"/>
      <c r="KJ231" s="33"/>
      <c r="KK231" s="33"/>
      <c r="KL231" s="33"/>
      <c r="KM231" s="33"/>
      <c r="KN231" s="33"/>
      <c r="KO231" s="33"/>
      <c r="KP231" s="33"/>
      <c r="KQ231" s="33"/>
      <c r="KR231" s="33"/>
      <c r="KS231" s="33"/>
      <c r="KT231" s="33"/>
      <c r="KU231" s="33"/>
      <c r="KV231" s="33"/>
      <c r="KW231" s="33"/>
      <c r="KX231" s="33"/>
      <c r="KY231" s="33"/>
      <c r="KZ231" s="33"/>
      <c r="LA231" s="33"/>
      <c r="LB231" s="33"/>
      <c r="LC231" s="33"/>
      <c r="LD231" s="33"/>
      <c r="LE231" s="33"/>
      <c r="LF231" s="33"/>
      <c r="LG231" s="33"/>
      <c r="LH231" s="33"/>
      <c r="LI231" s="33"/>
      <c r="LJ231" s="33"/>
      <c r="LK231" s="33"/>
      <c r="LL231" s="33"/>
      <c r="LM231" s="33"/>
      <c r="LN231" s="33"/>
      <c r="LO231" s="33"/>
      <c r="LP231" s="33"/>
      <c r="LQ231" s="33"/>
      <c r="LR231" s="33"/>
      <c r="LS231" s="33"/>
      <c r="LT231" s="33"/>
      <c r="LU231" s="33"/>
      <c r="LV231" s="33"/>
      <c r="LW231" s="33"/>
      <c r="LX231" s="33"/>
      <c r="LY231" s="33"/>
      <c r="LZ231" s="33"/>
      <c r="MA231" s="33"/>
      <c r="MB231" s="33"/>
      <c r="MC231" s="33"/>
      <c r="MD231" s="33"/>
      <c r="ME231" s="33"/>
      <c r="MF231" s="33"/>
      <c r="MG231" s="33"/>
      <c r="MH231" s="33"/>
      <c r="MI231" s="33"/>
      <c r="MJ231" s="33"/>
      <c r="MK231" s="33"/>
      <c r="ML231" s="33"/>
      <c r="MM231" s="33"/>
      <c r="MN231" s="33"/>
      <c r="MO231" s="33"/>
      <c r="MP231" s="33"/>
      <c r="MQ231" s="33"/>
      <c r="MR231" s="33"/>
      <c r="MS231" s="33"/>
      <c r="MT231" s="33"/>
      <c r="MU231" s="33"/>
      <c r="MV231" s="33"/>
    </row>
    <row r="232" spans="1:360" ht="0.75" customHeight="1" x14ac:dyDescent="0.25">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c r="BV232" s="33"/>
      <c r="BW232" s="33"/>
      <c r="BX232" s="33"/>
      <c r="BY232" s="33"/>
      <c r="BZ232" s="33"/>
      <c r="CA232" s="33"/>
      <c r="CB232" s="33"/>
      <c r="CC232" s="33"/>
      <c r="CD232" s="33"/>
      <c r="CE232" s="33"/>
      <c r="CF232" s="33"/>
      <c r="CG232" s="33"/>
      <c r="CH232" s="33"/>
      <c r="CI232" s="33"/>
      <c r="CJ232" s="33"/>
      <c r="CK232" s="33"/>
      <c r="CL232" s="33"/>
      <c r="CM232" s="33"/>
      <c r="CN232" s="33"/>
      <c r="CO232" s="33"/>
      <c r="CP232" s="33"/>
      <c r="CQ232" s="33"/>
      <c r="CR232" s="33"/>
      <c r="CS232" s="33"/>
      <c r="CT232" s="33"/>
      <c r="CU232" s="33"/>
      <c r="CV232" s="33"/>
      <c r="CW232" s="33"/>
      <c r="CX232" s="33"/>
      <c r="CY232" s="33"/>
      <c r="CZ232" s="33"/>
      <c r="DA232" s="33"/>
      <c r="DB232" s="33"/>
      <c r="DC232" s="33"/>
      <c r="DD232" s="33"/>
      <c r="DE232" s="33"/>
      <c r="DF232" s="33"/>
      <c r="DG232" s="33"/>
      <c r="DH232" s="33"/>
      <c r="DI232" s="33"/>
      <c r="DJ232" s="33"/>
      <c r="DK232" s="33"/>
      <c r="DL232" s="33"/>
      <c r="DM232" s="33"/>
      <c r="DN232" s="33"/>
      <c r="DO232" s="33"/>
      <c r="DP232" s="33"/>
      <c r="DQ232" s="33"/>
      <c r="DR232" s="33"/>
      <c r="DS232" s="33"/>
      <c r="DT232" s="33"/>
      <c r="DU232" s="33"/>
      <c r="DV232" s="33"/>
      <c r="DW232" s="33"/>
      <c r="DX232" s="33"/>
      <c r="DY232" s="33"/>
      <c r="DZ232" s="33"/>
      <c r="EA232" s="33"/>
      <c r="EB232" s="33"/>
      <c r="EC232" s="33"/>
      <c r="ED232" s="33"/>
      <c r="EE232" s="33"/>
      <c r="EF232" s="33"/>
      <c r="EG232" s="33"/>
      <c r="EH232" s="33"/>
      <c r="EI232" s="33"/>
      <c r="EJ232" s="33"/>
      <c r="EK232" s="33"/>
      <c r="EL232" s="33"/>
      <c r="EM232" s="33"/>
      <c r="EN232" s="33"/>
      <c r="EO232" s="33"/>
      <c r="EP232" s="33"/>
      <c r="EQ232" s="33"/>
      <c r="ER232" s="33"/>
      <c r="ES232" s="33"/>
      <c r="ET232" s="33"/>
      <c r="EU232" s="33"/>
      <c r="EV232" s="33"/>
      <c r="EW232" s="33"/>
      <c r="EX232" s="33"/>
      <c r="EY232" s="33"/>
      <c r="EZ232" s="33"/>
      <c r="FA232" s="33"/>
      <c r="FB232" s="33"/>
      <c r="FC232" s="33"/>
      <c r="FD232" s="33"/>
      <c r="FE232" s="33"/>
      <c r="FF232" s="33"/>
      <c r="FG232" s="33"/>
      <c r="FH232" s="33"/>
      <c r="FI232" s="33"/>
      <c r="FJ232" s="33"/>
      <c r="FK232" s="33"/>
      <c r="FL232" s="33"/>
      <c r="FM232" s="33"/>
      <c r="FN232" s="33"/>
      <c r="FO232" s="33"/>
      <c r="FP232" s="33"/>
      <c r="FQ232" s="33"/>
      <c r="FR232" s="33"/>
      <c r="FS232" s="33"/>
      <c r="FT232" s="33"/>
      <c r="FU232" s="33"/>
      <c r="FV232" s="33"/>
      <c r="FW232" s="33"/>
      <c r="FX232" s="33"/>
      <c r="FY232" s="33"/>
      <c r="FZ232" s="33"/>
      <c r="GA232" s="33"/>
      <c r="GB232" s="33"/>
      <c r="GC232" s="33"/>
      <c r="GD232" s="33"/>
      <c r="GE232" s="33"/>
      <c r="GF232" s="33"/>
      <c r="GG232" s="33"/>
      <c r="GH232" s="33"/>
      <c r="GI232" s="33"/>
      <c r="GJ232" s="33"/>
      <c r="GK232" s="33"/>
      <c r="GL232" s="33"/>
      <c r="GM232" s="33"/>
      <c r="GN232" s="33"/>
      <c r="GO232" s="33"/>
      <c r="GP232" s="33"/>
      <c r="GQ232" s="33"/>
      <c r="GR232" s="33"/>
      <c r="GS232" s="33"/>
      <c r="GT232" s="33"/>
      <c r="GU232" s="33"/>
      <c r="GV232" s="33"/>
      <c r="GW232" s="33"/>
      <c r="GX232" s="33"/>
      <c r="GY232" s="33"/>
      <c r="GZ232" s="33"/>
      <c r="HA232" s="33"/>
      <c r="HB232" s="33"/>
      <c r="HC232" s="33"/>
      <c r="HD232" s="33"/>
      <c r="HE232" s="33"/>
      <c r="HF232" s="33"/>
      <c r="HG232" s="33"/>
      <c r="HH232" s="33"/>
      <c r="HI232" s="33"/>
      <c r="HJ232" s="33"/>
      <c r="HK232" s="33"/>
      <c r="HL232" s="33"/>
      <c r="HM232" s="33"/>
      <c r="HN232" s="33"/>
      <c r="HO232" s="33"/>
      <c r="HP232" s="33"/>
      <c r="HQ232" s="33"/>
      <c r="HR232" s="33"/>
      <c r="HS232" s="33"/>
      <c r="HT232" s="33"/>
      <c r="HU232" s="33"/>
      <c r="HV232" s="33"/>
      <c r="HW232" s="33"/>
      <c r="HX232" s="33"/>
      <c r="HY232" s="33"/>
      <c r="HZ232" s="33"/>
      <c r="IA232" s="33"/>
      <c r="IB232" s="33"/>
      <c r="IC232" s="33"/>
      <c r="ID232" s="33"/>
      <c r="IE232" s="33"/>
      <c r="IF232" s="33"/>
      <c r="IG232" s="33"/>
      <c r="IH232" s="33"/>
      <c r="II232" s="33"/>
      <c r="IJ232" s="33"/>
      <c r="IK232" s="33"/>
      <c r="IL232" s="33"/>
      <c r="IM232" s="33"/>
      <c r="IN232" s="33"/>
      <c r="IO232" s="33"/>
      <c r="IP232" s="33"/>
      <c r="IQ232" s="33"/>
      <c r="IR232" s="33"/>
      <c r="IS232" s="33"/>
      <c r="IT232" s="33"/>
      <c r="IU232" s="33"/>
      <c r="IV232" s="33"/>
      <c r="IW232" s="33"/>
      <c r="IX232" s="33"/>
      <c r="IY232" s="33"/>
      <c r="IZ232" s="33"/>
      <c r="JA232" s="33"/>
      <c r="JB232" s="33"/>
      <c r="JC232" s="33"/>
      <c r="JD232" s="33"/>
      <c r="JE232" s="33"/>
      <c r="JF232" s="33"/>
      <c r="JG232" s="33"/>
      <c r="JH232" s="33"/>
      <c r="JI232" s="33"/>
      <c r="JJ232" s="33"/>
      <c r="JK232" s="33"/>
      <c r="JL232" s="33"/>
      <c r="JM232" s="33"/>
      <c r="JN232" s="33"/>
      <c r="JO232" s="33"/>
      <c r="JP232" s="33"/>
      <c r="JQ232" s="33"/>
      <c r="JR232" s="33"/>
      <c r="JS232" s="33"/>
      <c r="JT232" s="33"/>
      <c r="JU232" s="33"/>
      <c r="JV232" s="33"/>
      <c r="JW232" s="33"/>
      <c r="JX232" s="33"/>
      <c r="JY232" s="33"/>
      <c r="JZ232" s="33"/>
      <c r="KA232" s="33"/>
      <c r="KB232" s="33"/>
      <c r="KC232" s="33"/>
      <c r="KD232" s="33"/>
      <c r="KE232" s="33"/>
      <c r="KF232" s="33"/>
      <c r="KG232" s="33"/>
      <c r="KH232" s="33"/>
      <c r="KI232" s="33"/>
      <c r="KJ232" s="33"/>
      <c r="KK232" s="33"/>
      <c r="KL232" s="33"/>
      <c r="KM232" s="33"/>
      <c r="KN232" s="33"/>
      <c r="KO232" s="33"/>
      <c r="KP232" s="33"/>
      <c r="KQ232" s="33"/>
      <c r="KR232" s="33"/>
      <c r="KS232" s="33"/>
      <c r="KT232" s="33"/>
      <c r="KU232" s="33"/>
      <c r="KV232" s="33"/>
      <c r="KW232" s="33"/>
      <c r="KX232" s="33"/>
      <c r="KY232" s="33"/>
      <c r="KZ232" s="33"/>
      <c r="LA232" s="33"/>
      <c r="LB232" s="33"/>
      <c r="LC232" s="33"/>
      <c r="LD232" s="33"/>
      <c r="LE232" s="33"/>
      <c r="LF232" s="33"/>
      <c r="LG232" s="33"/>
      <c r="LH232" s="33"/>
      <c r="LI232" s="33"/>
      <c r="LJ232" s="33"/>
      <c r="LK232" s="33"/>
      <c r="LL232" s="33"/>
      <c r="LM232" s="33"/>
      <c r="LN232" s="33"/>
      <c r="LO232" s="33"/>
      <c r="LP232" s="33"/>
      <c r="LQ232" s="33"/>
      <c r="LR232" s="33"/>
      <c r="LS232" s="33"/>
      <c r="LT232" s="33"/>
      <c r="LU232" s="33"/>
      <c r="LV232" s="33"/>
      <c r="LW232" s="33"/>
      <c r="LX232" s="33"/>
      <c r="LY232" s="33"/>
      <c r="LZ232" s="33"/>
      <c r="MA232" s="33"/>
      <c r="MB232" s="33"/>
      <c r="MC232" s="33"/>
      <c r="MD232" s="33"/>
      <c r="ME232" s="33"/>
      <c r="MF232" s="33"/>
      <c r="MG232" s="33"/>
      <c r="MH232" s="33"/>
      <c r="MI232" s="33"/>
      <c r="MJ232" s="33"/>
      <c r="MK232" s="33"/>
      <c r="ML232" s="33"/>
      <c r="MM232" s="33"/>
      <c r="MN232" s="33"/>
      <c r="MO232" s="33"/>
      <c r="MP232" s="33"/>
      <c r="MQ232" s="33"/>
      <c r="MR232" s="33"/>
      <c r="MS232" s="33"/>
      <c r="MT232" s="33"/>
      <c r="MU232" s="33"/>
      <c r="MV232" s="33"/>
    </row>
    <row r="233" spans="1:360" ht="0.75" customHeight="1" x14ac:dyDescent="0.25">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c r="BV233" s="33"/>
      <c r="BW233" s="33"/>
      <c r="BX233" s="33"/>
      <c r="BY233" s="33"/>
      <c r="BZ233" s="33"/>
      <c r="CA233" s="33"/>
      <c r="CB233" s="33"/>
      <c r="CC233" s="33"/>
      <c r="CD233" s="33"/>
      <c r="CE233" s="33"/>
      <c r="CF233" s="33"/>
      <c r="CG233" s="33"/>
      <c r="CH233" s="33"/>
      <c r="CI233" s="33"/>
      <c r="CJ233" s="33"/>
      <c r="CK233" s="33"/>
      <c r="CL233" s="33"/>
      <c r="CM233" s="33"/>
      <c r="CN233" s="33"/>
      <c r="CO233" s="33"/>
      <c r="CP233" s="33"/>
      <c r="CQ233" s="33"/>
      <c r="CR233" s="33"/>
      <c r="CS233" s="33"/>
      <c r="CT233" s="33"/>
      <c r="CU233" s="33"/>
      <c r="CV233" s="33"/>
      <c r="CW233" s="33"/>
      <c r="CX233" s="33"/>
      <c r="CY233" s="33"/>
      <c r="CZ233" s="33"/>
      <c r="DA233" s="33"/>
      <c r="DB233" s="33"/>
      <c r="DC233" s="33"/>
      <c r="DD233" s="33"/>
      <c r="DE233" s="33"/>
      <c r="DF233" s="33"/>
      <c r="DG233" s="33"/>
      <c r="DH233" s="33"/>
      <c r="DI233" s="33"/>
      <c r="DJ233" s="33"/>
      <c r="DK233" s="33"/>
      <c r="DL233" s="33"/>
      <c r="DM233" s="33"/>
      <c r="DN233" s="33"/>
      <c r="DO233" s="33"/>
      <c r="DP233" s="33"/>
      <c r="DQ233" s="33"/>
      <c r="DR233" s="33"/>
      <c r="DS233" s="33"/>
      <c r="DT233" s="33"/>
      <c r="DU233" s="33"/>
      <c r="DV233" s="33"/>
      <c r="DW233" s="33"/>
      <c r="DX233" s="33"/>
      <c r="DY233" s="33"/>
      <c r="DZ233" s="33"/>
      <c r="EA233" s="33"/>
      <c r="EB233" s="33"/>
      <c r="EC233" s="33"/>
      <c r="ED233" s="33"/>
      <c r="EE233" s="33"/>
      <c r="EF233" s="33"/>
      <c r="EG233" s="33"/>
      <c r="EH233" s="33"/>
      <c r="EI233" s="33"/>
      <c r="EJ233" s="33"/>
      <c r="EK233" s="33"/>
      <c r="EL233" s="33"/>
      <c r="EM233" s="33"/>
      <c r="EN233" s="33"/>
      <c r="EO233" s="33"/>
      <c r="EP233" s="33"/>
      <c r="EQ233" s="33"/>
      <c r="ER233" s="33"/>
      <c r="ES233" s="33"/>
      <c r="ET233" s="33"/>
      <c r="EU233" s="33"/>
      <c r="EV233" s="33"/>
      <c r="EW233" s="33"/>
      <c r="EX233" s="33"/>
      <c r="EY233" s="33"/>
      <c r="EZ233" s="33"/>
      <c r="FA233" s="33"/>
      <c r="FB233" s="33"/>
      <c r="FC233" s="33"/>
      <c r="FD233" s="33"/>
      <c r="FE233" s="33"/>
      <c r="FF233" s="33"/>
      <c r="FG233" s="33"/>
      <c r="FH233" s="33"/>
      <c r="FI233" s="33"/>
      <c r="FJ233" s="33"/>
      <c r="FK233" s="33"/>
      <c r="FL233" s="33"/>
      <c r="FM233" s="33"/>
      <c r="FN233" s="33"/>
      <c r="FO233" s="33"/>
      <c r="FP233" s="33"/>
      <c r="FQ233" s="33"/>
      <c r="FR233" s="33"/>
      <c r="FS233" s="33"/>
      <c r="FT233" s="33"/>
      <c r="FU233" s="33"/>
      <c r="FV233" s="33"/>
      <c r="FW233" s="33"/>
      <c r="FX233" s="33"/>
      <c r="FY233" s="33"/>
      <c r="FZ233" s="33"/>
      <c r="GA233" s="33"/>
      <c r="GB233" s="33"/>
      <c r="GC233" s="33"/>
      <c r="GD233" s="33"/>
      <c r="GE233" s="33"/>
      <c r="GF233" s="33"/>
      <c r="GG233" s="33"/>
      <c r="GH233" s="33"/>
      <c r="GI233" s="33"/>
      <c r="GJ233" s="33"/>
      <c r="GK233" s="33"/>
      <c r="GL233" s="33"/>
      <c r="GM233" s="33"/>
      <c r="GN233" s="33"/>
      <c r="GO233" s="33"/>
      <c r="GP233" s="33"/>
      <c r="GQ233" s="33"/>
      <c r="GR233" s="33"/>
      <c r="GS233" s="33"/>
      <c r="GT233" s="33"/>
      <c r="GU233" s="33"/>
      <c r="GV233" s="33"/>
      <c r="GW233" s="33"/>
      <c r="GX233" s="33"/>
      <c r="GY233" s="33"/>
      <c r="GZ233" s="33"/>
      <c r="HA233" s="33"/>
      <c r="HB233" s="33"/>
      <c r="HC233" s="33"/>
      <c r="HD233" s="33"/>
      <c r="HE233" s="33"/>
      <c r="HF233" s="33"/>
      <c r="HG233" s="33"/>
      <c r="HH233" s="33"/>
      <c r="HI233" s="33"/>
      <c r="HJ233" s="33"/>
      <c r="HK233" s="33"/>
      <c r="HL233" s="33"/>
      <c r="HM233" s="33"/>
      <c r="HN233" s="33"/>
      <c r="HO233" s="33"/>
      <c r="HP233" s="33"/>
      <c r="HQ233" s="33"/>
      <c r="HR233" s="33"/>
      <c r="HS233" s="33"/>
      <c r="HT233" s="33"/>
      <c r="HU233" s="33"/>
      <c r="HV233" s="33"/>
      <c r="HW233" s="33"/>
      <c r="HX233" s="33"/>
      <c r="HY233" s="33"/>
      <c r="HZ233" s="33"/>
      <c r="IA233" s="33"/>
      <c r="IB233" s="33"/>
      <c r="IC233" s="33"/>
      <c r="ID233" s="33"/>
      <c r="IE233" s="33"/>
      <c r="IF233" s="33"/>
      <c r="IG233" s="33"/>
      <c r="IH233" s="33"/>
      <c r="II233" s="33"/>
      <c r="IJ233" s="33"/>
      <c r="IK233" s="33"/>
      <c r="IL233" s="33"/>
      <c r="IM233" s="33"/>
      <c r="IN233" s="33"/>
      <c r="IO233" s="33"/>
      <c r="IP233" s="33"/>
      <c r="IQ233" s="33"/>
      <c r="IR233" s="33"/>
      <c r="IS233" s="33"/>
      <c r="IT233" s="33"/>
      <c r="IU233" s="33"/>
      <c r="IV233" s="33"/>
      <c r="IW233" s="33"/>
      <c r="IX233" s="33"/>
      <c r="IY233" s="33"/>
      <c r="IZ233" s="33"/>
      <c r="JA233" s="33"/>
      <c r="JB233" s="33"/>
      <c r="JC233" s="33"/>
      <c r="JD233" s="33"/>
      <c r="JE233" s="33"/>
      <c r="JF233" s="33"/>
      <c r="JG233" s="33"/>
      <c r="JH233" s="33"/>
      <c r="JI233" s="33"/>
      <c r="JJ233" s="33"/>
      <c r="JK233" s="33"/>
      <c r="JL233" s="33"/>
      <c r="JM233" s="33"/>
      <c r="JN233" s="33"/>
      <c r="JO233" s="33"/>
      <c r="JP233" s="33"/>
      <c r="JQ233" s="33"/>
      <c r="JR233" s="33"/>
      <c r="JS233" s="33"/>
      <c r="JT233" s="33"/>
      <c r="JU233" s="33"/>
      <c r="JV233" s="33"/>
      <c r="JW233" s="33"/>
      <c r="JX233" s="33"/>
      <c r="JY233" s="33"/>
      <c r="JZ233" s="33"/>
      <c r="KA233" s="33"/>
      <c r="KB233" s="33"/>
      <c r="KC233" s="33"/>
      <c r="KD233" s="33"/>
      <c r="KE233" s="33"/>
      <c r="KF233" s="33"/>
      <c r="KG233" s="33"/>
      <c r="KH233" s="33"/>
      <c r="KI233" s="33"/>
      <c r="KJ233" s="33"/>
      <c r="KK233" s="33"/>
      <c r="KL233" s="33"/>
      <c r="KM233" s="33"/>
      <c r="KN233" s="33"/>
      <c r="KO233" s="33"/>
      <c r="KP233" s="33"/>
      <c r="KQ233" s="33"/>
      <c r="KR233" s="33"/>
      <c r="KS233" s="33"/>
      <c r="KT233" s="33"/>
      <c r="KU233" s="33"/>
      <c r="KV233" s="33"/>
      <c r="KW233" s="33"/>
      <c r="KX233" s="33"/>
      <c r="KY233" s="33"/>
      <c r="KZ233" s="33"/>
      <c r="LA233" s="33"/>
      <c r="LB233" s="33"/>
      <c r="LC233" s="33"/>
      <c r="LD233" s="33"/>
      <c r="LE233" s="33"/>
      <c r="LF233" s="33"/>
      <c r="LG233" s="33"/>
      <c r="LH233" s="33"/>
      <c r="LI233" s="33"/>
      <c r="LJ233" s="33"/>
      <c r="LK233" s="33"/>
      <c r="LL233" s="33"/>
      <c r="LM233" s="33"/>
      <c r="LN233" s="33"/>
      <c r="LO233" s="33"/>
      <c r="LP233" s="33"/>
      <c r="LQ233" s="33"/>
      <c r="LR233" s="33"/>
      <c r="LS233" s="33"/>
      <c r="LT233" s="33"/>
      <c r="LU233" s="33"/>
      <c r="LV233" s="33"/>
      <c r="LW233" s="33"/>
      <c r="LX233" s="33"/>
      <c r="LY233" s="33"/>
      <c r="LZ233" s="33"/>
      <c r="MA233" s="33"/>
      <c r="MB233" s="33"/>
      <c r="MC233" s="33"/>
      <c r="MD233" s="33"/>
      <c r="ME233" s="33"/>
      <c r="MF233" s="33"/>
      <c r="MG233" s="33"/>
      <c r="MH233" s="33"/>
      <c r="MI233" s="33"/>
      <c r="MJ233" s="33"/>
      <c r="MK233" s="33"/>
      <c r="ML233" s="33"/>
      <c r="MM233" s="33"/>
      <c r="MN233" s="33"/>
      <c r="MO233" s="33"/>
      <c r="MP233" s="33"/>
      <c r="MQ233" s="33"/>
      <c r="MR233" s="33"/>
      <c r="MS233" s="33"/>
      <c r="MT233" s="33"/>
      <c r="MU233" s="33"/>
      <c r="MV233" s="33"/>
    </row>
    <row r="234" spans="1:360" ht="0.75" customHeight="1" x14ac:dyDescent="0.25">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c r="CM234" s="33"/>
      <c r="CN234" s="33"/>
      <c r="CO234" s="33"/>
      <c r="CP234" s="33"/>
      <c r="CQ234" s="33"/>
      <c r="CR234" s="33"/>
      <c r="CS234" s="33"/>
      <c r="CT234" s="33"/>
      <c r="CU234" s="33"/>
      <c r="CV234" s="33"/>
      <c r="CW234" s="33"/>
      <c r="CX234" s="33"/>
      <c r="CY234" s="33"/>
      <c r="CZ234" s="33"/>
      <c r="DA234" s="33"/>
      <c r="DB234" s="33"/>
      <c r="DC234" s="33"/>
      <c r="DD234" s="33"/>
      <c r="DE234" s="33"/>
      <c r="DF234" s="33"/>
      <c r="DG234" s="33"/>
      <c r="DH234" s="33"/>
      <c r="DI234" s="33"/>
      <c r="DJ234" s="33"/>
      <c r="DK234" s="33"/>
      <c r="DL234" s="33"/>
      <c r="DM234" s="33"/>
      <c r="DN234" s="33"/>
      <c r="DO234" s="33"/>
      <c r="DP234" s="33"/>
      <c r="DQ234" s="33"/>
      <c r="DR234" s="33"/>
      <c r="DS234" s="33"/>
      <c r="DT234" s="33"/>
      <c r="DU234" s="33"/>
      <c r="DV234" s="33"/>
      <c r="DW234" s="33"/>
      <c r="DX234" s="33"/>
      <c r="DY234" s="33"/>
      <c r="DZ234" s="33"/>
      <c r="EA234" s="33"/>
      <c r="EB234" s="33"/>
      <c r="EC234" s="33"/>
      <c r="ED234" s="33"/>
      <c r="EE234" s="33"/>
      <c r="EF234" s="33"/>
      <c r="EG234" s="33"/>
      <c r="EH234" s="33"/>
      <c r="EI234" s="33"/>
      <c r="EJ234" s="33"/>
      <c r="EK234" s="33"/>
      <c r="EL234" s="33"/>
      <c r="EM234" s="33"/>
      <c r="EN234" s="33"/>
      <c r="EO234" s="33"/>
      <c r="EP234" s="33"/>
      <c r="EQ234" s="33"/>
      <c r="ER234" s="33"/>
      <c r="ES234" s="33"/>
      <c r="ET234" s="33"/>
      <c r="EU234" s="33"/>
      <c r="EV234" s="33"/>
      <c r="EW234" s="33"/>
      <c r="EX234" s="33"/>
      <c r="EY234" s="33"/>
      <c r="EZ234" s="33"/>
      <c r="FA234" s="33"/>
      <c r="FB234" s="33"/>
      <c r="FC234" s="33"/>
      <c r="FD234" s="33"/>
      <c r="FE234" s="33"/>
      <c r="FF234" s="33"/>
      <c r="FG234" s="33"/>
      <c r="FH234" s="33"/>
      <c r="FI234" s="33"/>
      <c r="FJ234" s="33"/>
      <c r="FK234" s="33"/>
      <c r="FL234" s="33"/>
      <c r="FM234" s="33"/>
      <c r="FN234" s="33"/>
      <c r="FO234" s="33"/>
      <c r="FP234" s="33"/>
      <c r="FQ234" s="33"/>
      <c r="FR234" s="33"/>
      <c r="FS234" s="33"/>
      <c r="FT234" s="33"/>
      <c r="FU234" s="33"/>
      <c r="FV234" s="33"/>
      <c r="FW234" s="33"/>
      <c r="FX234" s="33"/>
      <c r="FY234" s="33"/>
      <c r="FZ234" s="33"/>
      <c r="GA234" s="33"/>
      <c r="GB234" s="33"/>
      <c r="GC234" s="33"/>
      <c r="GD234" s="33"/>
      <c r="GE234" s="33"/>
      <c r="GF234" s="33"/>
      <c r="GG234" s="33"/>
      <c r="GH234" s="33"/>
      <c r="GI234" s="33"/>
      <c r="GJ234" s="33"/>
      <c r="GK234" s="33"/>
      <c r="GL234" s="33"/>
      <c r="GM234" s="33"/>
      <c r="GN234" s="33"/>
      <c r="GO234" s="33"/>
      <c r="GP234" s="33"/>
      <c r="GQ234" s="33"/>
      <c r="GR234" s="33"/>
      <c r="GS234" s="33"/>
      <c r="GT234" s="33"/>
      <c r="GU234" s="33"/>
      <c r="GV234" s="33"/>
      <c r="GW234" s="33"/>
      <c r="GX234" s="33"/>
      <c r="GY234" s="33"/>
      <c r="GZ234" s="33"/>
      <c r="HA234" s="33"/>
      <c r="HB234" s="33"/>
      <c r="HC234" s="33"/>
      <c r="HD234" s="33"/>
      <c r="HE234" s="33"/>
      <c r="HF234" s="33"/>
      <c r="HG234" s="33"/>
      <c r="HH234" s="33"/>
      <c r="HI234" s="33"/>
      <c r="HJ234" s="33"/>
      <c r="HK234" s="33"/>
      <c r="HL234" s="33"/>
      <c r="HM234" s="33"/>
      <c r="HN234" s="33"/>
      <c r="HO234" s="33"/>
      <c r="HP234" s="33"/>
      <c r="HQ234" s="33"/>
      <c r="HR234" s="33"/>
      <c r="HS234" s="33"/>
      <c r="HT234" s="33"/>
      <c r="HU234" s="33"/>
      <c r="HV234" s="33"/>
      <c r="HW234" s="33"/>
      <c r="HX234" s="33"/>
      <c r="HY234" s="33"/>
      <c r="HZ234" s="33"/>
      <c r="IA234" s="33"/>
      <c r="IB234" s="33"/>
      <c r="IC234" s="33"/>
      <c r="ID234" s="33"/>
      <c r="IE234" s="33"/>
      <c r="IF234" s="33"/>
      <c r="IG234" s="33"/>
      <c r="IH234" s="33"/>
      <c r="II234" s="33"/>
      <c r="IJ234" s="33"/>
      <c r="IK234" s="33"/>
      <c r="IL234" s="33"/>
      <c r="IM234" s="33"/>
      <c r="IN234" s="33"/>
      <c r="IO234" s="33"/>
      <c r="IP234" s="33"/>
      <c r="IQ234" s="33"/>
      <c r="IR234" s="33"/>
      <c r="IS234" s="33"/>
      <c r="IT234" s="33"/>
      <c r="IU234" s="33"/>
      <c r="IV234" s="33"/>
      <c r="IW234" s="33"/>
      <c r="IX234" s="33"/>
      <c r="IY234" s="33"/>
      <c r="IZ234" s="33"/>
      <c r="JA234" s="33"/>
      <c r="JB234" s="33"/>
      <c r="JC234" s="33"/>
      <c r="JD234" s="33"/>
      <c r="JE234" s="33"/>
      <c r="JF234" s="33"/>
      <c r="JG234" s="33"/>
      <c r="JH234" s="33"/>
      <c r="JI234" s="33"/>
      <c r="JJ234" s="33"/>
      <c r="JK234" s="33"/>
      <c r="JL234" s="33"/>
      <c r="JM234" s="33"/>
      <c r="JN234" s="33"/>
      <c r="JO234" s="33"/>
      <c r="JP234" s="33"/>
      <c r="JQ234" s="33"/>
      <c r="JR234" s="33"/>
      <c r="JS234" s="33"/>
      <c r="JT234" s="33"/>
      <c r="JU234" s="33"/>
      <c r="JV234" s="33"/>
      <c r="JW234" s="33"/>
      <c r="JX234" s="33"/>
      <c r="JY234" s="33"/>
      <c r="JZ234" s="33"/>
      <c r="KA234" s="33"/>
      <c r="KB234" s="33"/>
      <c r="KC234" s="33"/>
      <c r="KD234" s="33"/>
      <c r="KE234" s="33"/>
      <c r="KF234" s="33"/>
      <c r="KG234" s="33"/>
      <c r="KH234" s="33"/>
      <c r="KI234" s="33"/>
      <c r="KJ234" s="33"/>
      <c r="KK234" s="33"/>
      <c r="KL234" s="33"/>
      <c r="KM234" s="33"/>
      <c r="KN234" s="33"/>
      <c r="KO234" s="33"/>
      <c r="KP234" s="33"/>
      <c r="KQ234" s="33"/>
      <c r="KR234" s="33"/>
      <c r="KS234" s="33"/>
      <c r="KT234" s="33"/>
      <c r="KU234" s="33"/>
      <c r="KV234" s="33"/>
      <c r="KW234" s="33"/>
      <c r="KX234" s="33"/>
      <c r="KY234" s="33"/>
      <c r="KZ234" s="33"/>
      <c r="LA234" s="33"/>
      <c r="LB234" s="33"/>
      <c r="LC234" s="33"/>
      <c r="LD234" s="33"/>
      <c r="LE234" s="33"/>
      <c r="LF234" s="33"/>
      <c r="LG234" s="33"/>
      <c r="LH234" s="33"/>
      <c r="LI234" s="33"/>
      <c r="LJ234" s="33"/>
      <c r="LK234" s="33"/>
      <c r="LL234" s="33"/>
      <c r="LM234" s="33"/>
      <c r="LN234" s="33"/>
      <c r="LO234" s="33"/>
      <c r="LP234" s="33"/>
      <c r="LQ234" s="33"/>
      <c r="LR234" s="33"/>
      <c r="LS234" s="33"/>
      <c r="LT234" s="33"/>
      <c r="LU234" s="33"/>
      <c r="LV234" s="33"/>
      <c r="LW234" s="33"/>
      <c r="LX234" s="33"/>
      <c r="LY234" s="33"/>
      <c r="LZ234" s="33"/>
      <c r="MA234" s="33"/>
      <c r="MB234" s="33"/>
      <c r="MC234" s="33"/>
      <c r="MD234" s="33"/>
      <c r="ME234" s="33"/>
      <c r="MF234" s="33"/>
      <c r="MG234" s="33"/>
      <c r="MH234" s="33"/>
      <c r="MI234" s="33"/>
      <c r="MJ234" s="33"/>
      <c r="MK234" s="33"/>
      <c r="ML234" s="33"/>
      <c r="MM234" s="33"/>
      <c r="MN234" s="33"/>
      <c r="MO234" s="33"/>
      <c r="MP234" s="33"/>
      <c r="MQ234" s="33"/>
      <c r="MR234" s="33"/>
      <c r="MS234" s="33"/>
      <c r="MT234" s="33"/>
      <c r="MU234" s="33"/>
      <c r="MV234" s="33"/>
    </row>
    <row r="235" spans="1:360" ht="0.75" customHeight="1" x14ac:dyDescent="0.25">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c r="CM235" s="33"/>
      <c r="CN235" s="33"/>
      <c r="CO235" s="33"/>
      <c r="CP235" s="33"/>
      <c r="CQ235" s="33"/>
      <c r="CR235" s="33"/>
      <c r="CS235" s="33"/>
      <c r="CT235" s="33"/>
      <c r="CU235" s="33"/>
      <c r="CV235" s="33"/>
      <c r="CW235" s="33"/>
      <c r="CX235" s="33"/>
      <c r="CY235" s="33"/>
      <c r="CZ235" s="33"/>
      <c r="DA235" s="33"/>
      <c r="DB235" s="33"/>
      <c r="DC235" s="33"/>
      <c r="DD235" s="33"/>
      <c r="DE235" s="33"/>
      <c r="DF235" s="33"/>
      <c r="DG235" s="33"/>
      <c r="DH235" s="33"/>
      <c r="DI235" s="33"/>
      <c r="DJ235" s="33"/>
      <c r="DK235" s="33"/>
      <c r="DL235" s="33"/>
      <c r="DM235" s="33"/>
      <c r="DN235" s="33"/>
      <c r="DO235" s="33"/>
      <c r="DP235" s="33"/>
      <c r="DQ235" s="33"/>
      <c r="DR235" s="33"/>
      <c r="DS235" s="33"/>
      <c r="DT235" s="33"/>
      <c r="DU235" s="33"/>
      <c r="DV235" s="33"/>
      <c r="DW235" s="33"/>
      <c r="DX235" s="33"/>
      <c r="DY235" s="33"/>
      <c r="DZ235" s="33"/>
      <c r="EA235" s="33"/>
      <c r="EB235" s="33"/>
      <c r="EC235" s="33"/>
      <c r="ED235" s="33"/>
      <c r="EE235" s="33"/>
      <c r="EF235" s="33"/>
      <c r="EG235" s="33"/>
      <c r="EH235" s="33"/>
      <c r="EI235" s="33"/>
      <c r="EJ235" s="33"/>
      <c r="EK235" s="33"/>
      <c r="EL235" s="33"/>
      <c r="EM235" s="33"/>
      <c r="EN235" s="33"/>
      <c r="EO235" s="33"/>
      <c r="EP235" s="33"/>
      <c r="EQ235" s="33"/>
      <c r="ER235" s="33"/>
      <c r="ES235" s="33"/>
      <c r="ET235" s="33"/>
      <c r="EU235" s="33"/>
      <c r="EV235" s="33"/>
      <c r="EW235" s="33"/>
      <c r="EX235" s="33"/>
      <c r="EY235" s="33"/>
      <c r="EZ235" s="33"/>
      <c r="FA235" s="33"/>
      <c r="FB235" s="33"/>
      <c r="FC235" s="33"/>
      <c r="FD235" s="33"/>
      <c r="FE235" s="33"/>
      <c r="FF235" s="33"/>
      <c r="FG235" s="33"/>
      <c r="FH235" s="33"/>
      <c r="FI235" s="33"/>
      <c r="FJ235" s="33"/>
      <c r="FK235" s="33"/>
      <c r="FL235" s="33"/>
      <c r="FM235" s="33"/>
      <c r="FN235" s="33"/>
      <c r="FO235" s="33"/>
      <c r="FP235" s="33"/>
      <c r="FQ235" s="33"/>
      <c r="FR235" s="33"/>
      <c r="FS235" s="33"/>
      <c r="FT235" s="33"/>
      <c r="FU235" s="33"/>
      <c r="FV235" s="33"/>
      <c r="FW235" s="33"/>
      <c r="FX235" s="33"/>
      <c r="FY235" s="33"/>
      <c r="FZ235" s="33"/>
      <c r="GA235" s="33"/>
      <c r="GB235" s="33"/>
      <c r="GC235" s="33"/>
      <c r="GD235" s="33"/>
      <c r="GE235" s="33"/>
      <c r="GF235" s="33"/>
      <c r="GG235" s="33"/>
      <c r="GH235" s="33"/>
      <c r="GI235" s="33"/>
      <c r="GJ235" s="33"/>
      <c r="GK235" s="33"/>
      <c r="GL235" s="33"/>
      <c r="GM235" s="33"/>
      <c r="GN235" s="33"/>
      <c r="GO235" s="33"/>
      <c r="GP235" s="33"/>
      <c r="GQ235" s="33"/>
      <c r="GR235" s="33"/>
      <c r="GS235" s="33"/>
      <c r="GT235" s="33"/>
      <c r="GU235" s="33"/>
      <c r="GV235" s="33"/>
      <c r="GW235" s="33"/>
      <c r="GX235" s="33"/>
      <c r="GY235" s="33"/>
      <c r="GZ235" s="33"/>
      <c r="HA235" s="33"/>
      <c r="HB235" s="33"/>
      <c r="HC235" s="33"/>
      <c r="HD235" s="33"/>
      <c r="HE235" s="33"/>
      <c r="HF235" s="33"/>
      <c r="HG235" s="33"/>
      <c r="HH235" s="33"/>
      <c r="HI235" s="33"/>
      <c r="HJ235" s="33"/>
      <c r="HK235" s="33"/>
      <c r="HL235" s="33"/>
      <c r="HM235" s="33"/>
      <c r="HN235" s="33"/>
      <c r="HO235" s="33"/>
      <c r="HP235" s="33"/>
      <c r="HQ235" s="33"/>
      <c r="HR235" s="33"/>
      <c r="HS235" s="33"/>
      <c r="HT235" s="33"/>
      <c r="HU235" s="33"/>
      <c r="HV235" s="33"/>
      <c r="HW235" s="33"/>
      <c r="HX235" s="33"/>
      <c r="HY235" s="33"/>
      <c r="HZ235" s="33"/>
      <c r="IA235" s="33"/>
      <c r="IB235" s="33"/>
      <c r="IC235" s="33"/>
      <c r="ID235" s="33"/>
      <c r="IE235" s="33"/>
      <c r="IF235" s="33"/>
      <c r="IG235" s="33"/>
      <c r="IH235" s="33"/>
      <c r="II235" s="33"/>
      <c r="IJ235" s="33"/>
      <c r="IK235" s="33"/>
      <c r="IL235" s="33"/>
      <c r="IM235" s="33"/>
      <c r="IN235" s="33"/>
      <c r="IO235" s="33"/>
      <c r="IP235" s="33"/>
      <c r="IQ235" s="33"/>
      <c r="IR235" s="33"/>
      <c r="IS235" s="33"/>
      <c r="IT235" s="33"/>
      <c r="IU235" s="33"/>
      <c r="IV235" s="33"/>
      <c r="IW235" s="33"/>
      <c r="IX235" s="33"/>
      <c r="IY235" s="33"/>
      <c r="IZ235" s="33"/>
      <c r="JA235" s="33"/>
      <c r="JB235" s="33"/>
      <c r="JC235" s="33"/>
      <c r="JD235" s="33"/>
      <c r="JE235" s="33"/>
      <c r="JF235" s="33"/>
      <c r="JG235" s="33"/>
      <c r="JH235" s="33"/>
      <c r="JI235" s="33"/>
      <c r="JJ235" s="33"/>
      <c r="JK235" s="33"/>
      <c r="JL235" s="33"/>
      <c r="JM235" s="33"/>
      <c r="JN235" s="33"/>
      <c r="JO235" s="33"/>
      <c r="JP235" s="33"/>
      <c r="JQ235" s="33"/>
      <c r="JR235" s="33"/>
      <c r="JS235" s="33"/>
      <c r="JT235" s="33"/>
      <c r="JU235" s="33"/>
      <c r="JV235" s="33"/>
      <c r="JW235" s="33"/>
      <c r="JX235" s="33"/>
      <c r="JY235" s="33"/>
      <c r="JZ235" s="33"/>
      <c r="KA235" s="33"/>
      <c r="KB235" s="33"/>
      <c r="KC235" s="33"/>
      <c r="KD235" s="33"/>
      <c r="KE235" s="33"/>
      <c r="KF235" s="33"/>
      <c r="KG235" s="33"/>
      <c r="KH235" s="33"/>
      <c r="KI235" s="33"/>
      <c r="KJ235" s="33"/>
      <c r="KK235" s="33"/>
      <c r="KL235" s="33"/>
      <c r="KM235" s="33"/>
      <c r="KN235" s="33"/>
      <c r="KO235" s="33"/>
      <c r="KP235" s="33"/>
      <c r="KQ235" s="33"/>
      <c r="KR235" s="33"/>
      <c r="KS235" s="33"/>
      <c r="KT235" s="33"/>
      <c r="KU235" s="33"/>
      <c r="KV235" s="33"/>
      <c r="KW235" s="33"/>
      <c r="KX235" s="33"/>
      <c r="KY235" s="33"/>
      <c r="KZ235" s="33"/>
      <c r="LA235" s="33"/>
      <c r="LB235" s="33"/>
      <c r="LC235" s="33"/>
      <c r="LD235" s="33"/>
      <c r="LE235" s="33"/>
      <c r="LF235" s="33"/>
      <c r="LG235" s="33"/>
      <c r="LH235" s="33"/>
      <c r="LI235" s="33"/>
      <c r="LJ235" s="33"/>
      <c r="LK235" s="33"/>
      <c r="LL235" s="33"/>
      <c r="LM235" s="33"/>
      <c r="LN235" s="33"/>
      <c r="LO235" s="33"/>
      <c r="LP235" s="33"/>
      <c r="LQ235" s="33"/>
      <c r="LR235" s="33"/>
      <c r="LS235" s="33"/>
      <c r="LT235" s="33"/>
      <c r="LU235" s="33"/>
      <c r="LV235" s="33"/>
      <c r="LW235" s="33"/>
      <c r="LX235" s="33"/>
      <c r="LY235" s="33"/>
      <c r="LZ235" s="33"/>
      <c r="MA235" s="33"/>
      <c r="MB235" s="33"/>
      <c r="MC235" s="33"/>
      <c r="MD235" s="33"/>
      <c r="ME235" s="33"/>
      <c r="MF235" s="33"/>
      <c r="MG235" s="33"/>
      <c r="MH235" s="33"/>
      <c r="MI235" s="33"/>
      <c r="MJ235" s="33"/>
      <c r="MK235" s="33"/>
      <c r="ML235" s="33"/>
      <c r="MM235" s="33"/>
      <c r="MN235" s="33"/>
      <c r="MO235" s="33"/>
      <c r="MP235" s="33"/>
      <c r="MQ235" s="33"/>
      <c r="MR235" s="33"/>
      <c r="MS235" s="33"/>
      <c r="MT235" s="33"/>
      <c r="MU235" s="33"/>
      <c r="MV235" s="33"/>
    </row>
    <row r="236" spans="1:360" ht="0.75" customHeight="1" x14ac:dyDescent="0.25">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c r="BV236" s="33"/>
      <c r="BW236" s="33"/>
      <c r="BX236" s="33"/>
      <c r="BY236" s="33"/>
      <c r="BZ236" s="33"/>
      <c r="CA236" s="33"/>
      <c r="CB236" s="33"/>
      <c r="CC236" s="33"/>
      <c r="CD236" s="33"/>
      <c r="CE236" s="33"/>
      <c r="CF236" s="33"/>
      <c r="CG236" s="33"/>
      <c r="CH236" s="33"/>
      <c r="CI236" s="33"/>
      <c r="CJ236" s="33"/>
      <c r="CK236" s="33"/>
      <c r="CL236" s="33"/>
      <c r="CM236" s="33"/>
      <c r="CN236" s="33"/>
      <c r="CO236" s="33"/>
      <c r="CP236" s="33"/>
      <c r="CQ236" s="33"/>
      <c r="CR236" s="33"/>
      <c r="CS236" s="33"/>
      <c r="CT236" s="33"/>
      <c r="CU236" s="33"/>
      <c r="CV236" s="33"/>
      <c r="CW236" s="33"/>
      <c r="CX236" s="33"/>
      <c r="CY236" s="33"/>
      <c r="CZ236" s="33"/>
      <c r="DA236" s="33"/>
      <c r="DB236" s="33"/>
      <c r="DC236" s="33"/>
      <c r="DD236" s="33"/>
      <c r="DE236" s="33"/>
      <c r="DF236" s="33"/>
      <c r="DG236" s="33"/>
      <c r="DH236" s="33"/>
      <c r="DI236" s="33"/>
      <c r="DJ236" s="33"/>
      <c r="DK236" s="33"/>
      <c r="DL236" s="33"/>
      <c r="DM236" s="33"/>
      <c r="DN236" s="33"/>
      <c r="DO236" s="33"/>
      <c r="DP236" s="33"/>
      <c r="DQ236" s="33"/>
      <c r="DR236" s="33"/>
      <c r="DS236" s="33"/>
      <c r="DT236" s="33"/>
      <c r="DU236" s="33"/>
      <c r="DV236" s="33"/>
      <c r="DW236" s="33"/>
      <c r="DX236" s="33"/>
      <c r="DY236" s="33"/>
      <c r="DZ236" s="33"/>
      <c r="EA236" s="33"/>
      <c r="EB236" s="33"/>
      <c r="EC236" s="33"/>
      <c r="ED236" s="33"/>
      <c r="EE236" s="33"/>
      <c r="EF236" s="33"/>
      <c r="EG236" s="33"/>
      <c r="EH236" s="33"/>
      <c r="EI236" s="33"/>
      <c r="EJ236" s="33"/>
      <c r="EK236" s="33"/>
      <c r="EL236" s="33"/>
      <c r="EM236" s="33"/>
      <c r="EN236" s="33"/>
      <c r="EO236" s="33"/>
      <c r="EP236" s="33"/>
      <c r="EQ236" s="33"/>
      <c r="ER236" s="33"/>
      <c r="ES236" s="33"/>
      <c r="ET236" s="33"/>
      <c r="EU236" s="33"/>
      <c r="EV236" s="33"/>
      <c r="EW236" s="33"/>
      <c r="EX236" s="33"/>
      <c r="EY236" s="33"/>
      <c r="EZ236" s="33"/>
      <c r="FA236" s="33"/>
      <c r="FB236" s="33"/>
      <c r="FC236" s="33"/>
      <c r="FD236" s="33"/>
      <c r="FE236" s="33"/>
      <c r="FF236" s="33"/>
      <c r="FG236" s="33"/>
      <c r="FH236" s="33"/>
      <c r="FI236" s="33"/>
      <c r="FJ236" s="33"/>
      <c r="FK236" s="33"/>
      <c r="FL236" s="33"/>
      <c r="FM236" s="33"/>
      <c r="FN236" s="33"/>
      <c r="FO236" s="33"/>
      <c r="FP236" s="33"/>
      <c r="FQ236" s="33"/>
      <c r="FR236" s="33"/>
      <c r="FS236" s="33"/>
      <c r="FT236" s="33"/>
      <c r="FU236" s="33"/>
      <c r="FV236" s="33"/>
      <c r="FW236" s="33"/>
      <c r="FX236" s="33"/>
      <c r="FY236" s="33"/>
      <c r="FZ236" s="33"/>
      <c r="GA236" s="33"/>
      <c r="GB236" s="33"/>
      <c r="GC236" s="33"/>
      <c r="GD236" s="33"/>
      <c r="GE236" s="33"/>
      <c r="GF236" s="33"/>
      <c r="GG236" s="33"/>
      <c r="GH236" s="33"/>
      <c r="GI236" s="33"/>
      <c r="GJ236" s="33"/>
      <c r="GK236" s="33"/>
      <c r="GL236" s="33"/>
      <c r="GM236" s="33"/>
      <c r="GN236" s="33"/>
      <c r="GO236" s="33"/>
      <c r="GP236" s="33"/>
      <c r="GQ236" s="33"/>
      <c r="GR236" s="33"/>
      <c r="GS236" s="33"/>
      <c r="GT236" s="33"/>
      <c r="GU236" s="33"/>
      <c r="GV236" s="33"/>
      <c r="GW236" s="33"/>
      <c r="GX236" s="33"/>
      <c r="GY236" s="33"/>
      <c r="GZ236" s="33"/>
      <c r="HA236" s="33"/>
      <c r="HB236" s="33"/>
      <c r="HC236" s="33"/>
      <c r="HD236" s="33"/>
      <c r="HE236" s="33"/>
      <c r="HF236" s="33"/>
      <c r="HG236" s="33"/>
      <c r="HH236" s="33"/>
      <c r="HI236" s="33"/>
      <c r="HJ236" s="33"/>
      <c r="HK236" s="33"/>
      <c r="HL236" s="33"/>
      <c r="HM236" s="33"/>
      <c r="HN236" s="33"/>
      <c r="HO236" s="33"/>
      <c r="HP236" s="33"/>
      <c r="HQ236" s="33"/>
      <c r="HR236" s="33"/>
      <c r="HS236" s="33"/>
      <c r="HT236" s="33"/>
      <c r="HU236" s="33"/>
      <c r="HV236" s="33"/>
      <c r="HW236" s="33"/>
      <c r="HX236" s="33"/>
      <c r="HY236" s="33"/>
      <c r="HZ236" s="33"/>
      <c r="IA236" s="33"/>
      <c r="IB236" s="33"/>
      <c r="IC236" s="33"/>
      <c r="ID236" s="33"/>
      <c r="IE236" s="33"/>
      <c r="IF236" s="33"/>
      <c r="IG236" s="33"/>
      <c r="IH236" s="33"/>
      <c r="II236" s="33"/>
      <c r="IJ236" s="33"/>
      <c r="IK236" s="33"/>
      <c r="IL236" s="33"/>
      <c r="IM236" s="33"/>
      <c r="IN236" s="33"/>
      <c r="IO236" s="33"/>
      <c r="IP236" s="33"/>
      <c r="IQ236" s="33"/>
      <c r="IR236" s="33"/>
      <c r="IS236" s="33"/>
      <c r="IT236" s="33"/>
      <c r="IU236" s="33"/>
      <c r="IV236" s="33"/>
      <c r="IW236" s="33"/>
      <c r="IX236" s="33"/>
      <c r="IY236" s="33"/>
      <c r="IZ236" s="33"/>
      <c r="JA236" s="33"/>
      <c r="JB236" s="33"/>
      <c r="JC236" s="33"/>
      <c r="JD236" s="33"/>
      <c r="JE236" s="33"/>
      <c r="JF236" s="33"/>
      <c r="JG236" s="33"/>
      <c r="JH236" s="33"/>
      <c r="JI236" s="33"/>
      <c r="JJ236" s="33"/>
      <c r="JK236" s="33"/>
      <c r="JL236" s="33"/>
      <c r="JM236" s="33"/>
      <c r="JN236" s="33"/>
      <c r="JO236" s="33"/>
      <c r="JP236" s="33"/>
      <c r="JQ236" s="33"/>
      <c r="JR236" s="33"/>
      <c r="JS236" s="33"/>
      <c r="JT236" s="33"/>
      <c r="JU236" s="33"/>
      <c r="JV236" s="33"/>
      <c r="JW236" s="33"/>
      <c r="JX236" s="33"/>
      <c r="JY236" s="33"/>
      <c r="JZ236" s="33"/>
      <c r="KA236" s="33"/>
      <c r="KB236" s="33"/>
      <c r="KC236" s="33"/>
      <c r="KD236" s="33"/>
      <c r="KE236" s="33"/>
      <c r="KF236" s="33"/>
      <c r="KG236" s="33"/>
      <c r="KH236" s="33"/>
      <c r="KI236" s="33"/>
      <c r="KJ236" s="33"/>
      <c r="KK236" s="33"/>
      <c r="KL236" s="33"/>
      <c r="KM236" s="33"/>
      <c r="KN236" s="33"/>
      <c r="KO236" s="33"/>
      <c r="KP236" s="33"/>
      <c r="KQ236" s="33"/>
      <c r="KR236" s="33"/>
      <c r="KS236" s="33"/>
      <c r="KT236" s="33"/>
      <c r="KU236" s="33"/>
      <c r="KV236" s="33"/>
      <c r="KW236" s="33"/>
      <c r="KX236" s="33"/>
      <c r="KY236" s="33"/>
      <c r="KZ236" s="33"/>
      <c r="LA236" s="33"/>
      <c r="LB236" s="33"/>
      <c r="LC236" s="33"/>
      <c r="LD236" s="33"/>
      <c r="LE236" s="33"/>
      <c r="LF236" s="33"/>
      <c r="LG236" s="33"/>
      <c r="LH236" s="33"/>
      <c r="LI236" s="33"/>
      <c r="LJ236" s="33"/>
      <c r="LK236" s="33"/>
      <c r="LL236" s="33"/>
      <c r="LM236" s="33"/>
      <c r="LN236" s="33"/>
      <c r="LO236" s="33"/>
      <c r="LP236" s="33"/>
      <c r="LQ236" s="33"/>
      <c r="LR236" s="33"/>
      <c r="LS236" s="33"/>
      <c r="LT236" s="33"/>
      <c r="LU236" s="33"/>
      <c r="LV236" s="33"/>
      <c r="LW236" s="33"/>
      <c r="LX236" s="33"/>
      <c r="LY236" s="33"/>
      <c r="LZ236" s="33"/>
      <c r="MA236" s="33"/>
      <c r="MB236" s="33"/>
      <c r="MC236" s="33"/>
      <c r="MD236" s="33"/>
      <c r="ME236" s="33"/>
      <c r="MF236" s="33"/>
      <c r="MG236" s="33"/>
      <c r="MH236" s="33"/>
      <c r="MI236" s="33"/>
      <c r="MJ236" s="33"/>
      <c r="MK236" s="33"/>
      <c r="ML236" s="33"/>
      <c r="MM236" s="33"/>
      <c r="MN236" s="33"/>
      <c r="MO236" s="33"/>
      <c r="MP236" s="33"/>
      <c r="MQ236" s="33"/>
      <c r="MR236" s="33"/>
      <c r="MS236" s="33"/>
      <c r="MT236" s="33"/>
      <c r="MU236" s="33"/>
      <c r="MV236" s="33"/>
    </row>
    <row r="237" spans="1:360" ht="0.75" customHeight="1" x14ac:dyDescent="0.25">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c r="BV237" s="33"/>
      <c r="BW237" s="33"/>
      <c r="BX237" s="33"/>
      <c r="BY237" s="33"/>
      <c r="BZ237" s="33"/>
      <c r="CA237" s="33"/>
      <c r="CB237" s="33"/>
      <c r="CC237" s="33"/>
      <c r="CD237" s="33"/>
      <c r="CE237" s="33"/>
      <c r="CF237" s="33"/>
      <c r="CG237" s="33"/>
      <c r="CH237" s="33"/>
      <c r="CI237" s="33"/>
      <c r="CJ237" s="33"/>
      <c r="CK237" s="33"/>
      <c r="CL237" s="33"/>
      <c r="CM237" s="33"/>
      <c r="CN237" s="33"/>
      <c r="CO237" s="33"/>
      <c r="CP237" s="33"/>
      <c r="CQ237" s="33"/>
      <c r="CR237" s="33"/>
      <c r="CS237" s="33"/>
      <c r="CT237" s="33"/>
      <c r="CU237" s="33"/>
      <c r="CV237" s="33"/>
      <c r="CW237" s="33"/>
      <c r="CX237" s="33"/>
      <c r="CY237" s="33"/>
      <c r="CZ237" s="33"/>
      <c r="DA237" s="33"/>
      <c r="DB237" s="33"/>
      <c r="DC237" s="33"/>
      <c r="DD237" s="33"/>
      <c r="DE237" s="33"/>
      <c r="DF237" s="33"/>
      <c r="DG237" s="33"/>
      <c r="DH237" s="33"/>
      <c r="DI237" s="33"/>
      <c r="DJ237" s="33"/>
      <c r="DK237" s="33"/>
      <c r="DL237" s="33"/>
      <c r="DM237" s="33"/>
      <c r="DN237" s="33"/>
      <c r="DO237" s="33"/>
      <c r="DP237" s="33"/>
      <c r="DQ237" s="33"/>
      <c r="DR237" s="33"/>
      <c r="DS237" s="33"/>
      <c r="DT237" s="33"/>
      <c r="DU237" s="33"/>
      <c r="DV237" s="33"/>
      <c r="DW237" s="33"/>
      <c r="DX237" s="33"/>
      <c r="DY237" s="33"/>
      <c r="DZ237" s="33"/>
      <c r="EA237" s="33"/>
      <c r="EB237" s="33"/>
      <c r="EC237" s="33"/>
      <c r="ED237" s="33"/>
      <c r="EE237" s="33"/>
      <c r="EF237" s="33"/>
      <c r="EG237" s="33"/>
      <c r="EH237" s="33"/>
      <c r="EI237" s="33"/>
      <c r="EJ237" s="33"/>
      <c r="EK237" s="33"/>
      <c r="EL237" s="33"/>
      <c r="EM237" s="33"/>
      <c r="EN237" s="33"/>
      <c r="EO237" s="33"/>
      <c r="EP237" s="33"/>
      <c r="EQ237" s="33"/>
      <c r="ER237" s="33"/>
      <c r="ES237" s="33"/>
      <c r="ET237" s="33"/>
      <c r="EU237" s="33"/>
      <c r="EV237" s="33"/>
      <c r="EW237" s="33"/>
      <c r="EX237" s="33"/>
      <c r="EY237" s="33"/>
      <c r="EZ237" s="33"/>
      <c r="FA237" s="33"/>
      <c r="FB237" s="33"/>
      <c r="FC237" s="33"/>
      <c r="FD237" s="33"/>
      <c r="FE237" s="33"/>
      <c r="FF237" s="33"/>
      <c r="FG237" s="33"/>
      <c r="FH237" s="33"/>
      <c r="FI237" s="33"/>
      <c r="FJ237" s="33"/>
      <c r="FK237" s="33"/>
      <c r="FL237" s="33"/>
      <c r="FM237" s="33"/>
      <c r="FN237" s="33"/>
      <c r="FO237" s="33"/>
      <c r="FP237" s="33"/>
      <c r="FQ237" s="33"/>
      <c r="FR237" s="33"/>
      <c r="FS237" s="33"/>
      <c r="FT237" s="33"/>
      <c r="FU237" s="33"/>
      <c r="FV237" s="33"/>
      <c r="FW237" s="33"/>
      <c r="FX237" s="33"/>
      <c r="FY237" s="33"/>
      <c r="FZ237" s="33"/>
      <c r="GA237" s="33"/>
      <c r="GB237" s="33"/>
      <c r="GC237" s="33"/>
      <c r="GD237" s="33"/>
      <c r="GE237" s="33"/>
      <c r="GF237" s="33"/>
      <c r="GG237" s="33"/>
      <c r="GH237" s="33"/>
      <c r="GI237" s="33"/>
      <c r="GJ237" s="33"/>
      <c r="GK237" s="33"/>
      <c r="GL237" s="33"/>
      <c r="GM237" s="33"/>
      <c r="GN237" s="33"/>
      <c r="GO237" s="33"/>
      <c r="GP237" s="33"/>
      <c r="GQ237" s="33"/>
      <c r="GR237" s="33"/>
      <c r="GS237" s="33"/>
      <c r="GT237" s="33"/>
      <c r="GU237" s="33"/>
      <c r="GV237" s="33"/>
      <c r="GW237" s="33"/>
      <c r="GX237" s="33"/>
      <c r="GY237" s="33"/>
      <c r="GZ237" s="33"/>
      <c r="HA237" s="33"/>
      <c r="HB237" s="33"/>
      <c r="HC237" s="33"/>
      <c r="HD237" s="33"/>
      <c r="HE237" s="33"/>
      <c r="HF237" s="33"/>
      <c r="HG237" s="33"/>
      <c r="HH237" s="33"/>
      <c r="HI237" s="33"/>
      <c r="HJ237" s="33"/>
      <c r="HK237" s="33"/>
      <c r="HL237" s="33"/>
      <c r="HM237" s="33"/>
      <c r="HN237" s="33"/>
      <c r="HO237" s="33"/>
      <c r="HP237" s="33"/>
      <c r="HQ237" s="33"/>
      <c r="HR237" s="33"/>
      <c r="HS237" s="33"/>
      <c r="HT237" s="33"/>
      <c r="HU237" s="33"/>
      <c r="HV237" s="33"/>
      <c r="HW237" s="33"/>
      <c r="HX237" s="33"/>
      <c r="HY237" s="33"/>
      <c r="HZ237" s="33"/>
      <c r="IA237" s="33"/>
      <c r="IB237" s="33"/>
      <c r="IC237" s="33"/>
      <c r="ID237" s="33"/>
      <c r="IE237" s="33"/>
      <c r="IF237" s="33"/>
      <c r="IG237" s="33"/>
      <c r="IH237" s="33"/>
      <c r="II237" s="33"/>
      <c r="IJ237" s="33"/>
      <c r="IK237" s="33"/>
      <c r="IL237" s="33"/>
      <c r="IM237" s="33"/>
      <c r="IN237" s="33"/>
      <c r="IO237" s="33"/>
      <c r="IP237" s="33"/>
      <c r="IQ237" s="33"/>
      <c r="IR237" s="33"/>
      <c r="IS237" s="33"/>
      <c r="IT237" s="33"/>
      <c r="IU237" s="33"/>
      <c r="IV237" s="33"/>
      <c r="IW237" s="33"/>
      <c r="IX237" s="33"/>
      <c r="IY237" s="33"/>
      <c r="IZ237" s="33"/>
      <c r="JA237" s="33"/>
      <c r="JB237" s="33"/>
      <c r="JC237" s="33"/>
      <c r="JD237" s="33"/>
      <c r="JE237" s="33"/>
      <c r="JF237" s="33"/>
      <c r="JG237" s="33"/>
      <c r="JH237" s="33"/>
      <c r="JI237" s="33"/>
      <c r="JJ237" s="33"/>
      <c r="JK237" s="33"/>
      <c r="JL237" s="33"/>
      <c r="JM237" s="33"/>
      <c r="JN237" s="33"/>
      <c r="JO237" s="33"/>
      <c r="JP237" s="33"/>
      <c r="JQ237" s="33"/>
      <c r="JR237" s="33"/>
      <c r="JS237" s="33"/>
      <c r="JT237" s="33"/>
      <c r="JU237" s="33"/>
      <c r="JV237" s="33"/>
      <c r="JW237" s="33"/>
      <c r="JX237" s="33"/>
      <c r="JY237" s="33"/>
      <c r="JZ237" s="33"/>
      <c r="KA237" s="33"/>
      <c r="KB237" s="33"/>
      <c r="KC237" s="33"/>
      <c r="KD237" s="33"/>
      <c r="KE237" s="33"/>
      <c r="KF237" s="33"/>
      <c r="KG237" s="33"/>
      <c r="KH237" s="33"/>
      <c r="KI237" s="33"/>
      <c r="KJ237" s="33"/>
      <c r="KK237" s="33"/>
      <c r="KL237" s="33"/>
      <c r="KM237" s="33"/>
      <c r="KN237" s="33"/>
      <c r="KO237" s="33"/>
      <c r="KP237" s="33"/>
      <c r="KQ237" s="33"/>
      <c r="KR237" s="33"/>
      <c r="KS237" s="33"/>
      <c r="KT237" s="33"/>
      <c r="KU237" s="33"/>
      <c r="KV237" s="33"/>
      <c r="KW237" s="33"/>
      <c r="KX237" s="33"/>
      <c r="KY237" s="33"/>
      <c r="KZ237" s="33"/>
      <c r="LA237" s="33"/>
      <c r="LB237" s="33"/>
      <c r="LC237" s="33"/>
      <c r="LD237" s="33"/>
      <c r="LE237" s="33"/>
      <c r="LF237" s="33"/>
      <c r="LG237" s="33"/>
      <c r="LH237" s="33"/>
      <c r="LI237" s="33"/>
      <c r="LJ237" s="33"/>
      <c r="LK237" s="33"/>
      <c r="LL237" s="33"/>
      <c r="LM237" s="33"/>
      <c r="LN237" s="33"/>
      <c r="LO237" s="33"/>
      <c r="LP237" s="33"/>
      <c r="LQ237" s="33"/>
      <c r="LR237" s="33"/>
      <c r="LS237" s="33"/>
      <c r="LT237" s="33"/>
      <c r="LU237" s="33"/>
      <c r="LV237" s="33"/>
      <c r="LW237" s="33"/>
      <c r="LX237" s="33"/>
      <c r="LY237" s="33"/>
      <c r="LZ237" s="33"/>
      <c r="MA237" s="33"/>
      <c r="MB237" s="33"/>
      <c r="MC237" s="33"/>
      <c r="MD237" s="33"/>
      <c r="ME237" s="33"/>
      <c r="MF237" s="33"/>
      <c r="MG237" s="33"/>
      <c r="MH237" s="33"/>
      <c r="MI237" s="33"/>
      <c r="MJ237" s="33"/>
      <c r="MK237" s="33"/>
      <c r="ML237" s="33"/>
      <c r="MM237" s="33"/>
      <c r="MN237" s="33"/>
      <c r="MO237" s="33"/>
      <c r="MP237" s="33"/>
      <c r="MQ237" s="33"/>
      <c r="MR237" s="33"/>
      <c r="MS237" s="33"/>
      <c r="MT237" s="33"/>
      <c r="MU237" s="33"/>
      <c r="MV237" s="33"/>
    </row>
    <row r="238" spans="1:360" ht="0.75" customHeight="1" x14ac:dyDescent="0.25">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c r="BV238" s="33"/>
      <c r="BW238" s="33"/>
      <c r="BX238" s="33"/>
      <c r="BY238" s="33"/>
      <c r="BZ238" s="33"/>
      <c r="CA238" s="33"/>
      <c r="CB238" s="33"/>
      <c r="CC238" s="33"/>
      <c r="CD238" s="33"/>
      <c r="CE238" s="33"/>
      <c r="CF238" s="33"/>
      <c r="CG238" s="33"/>
      <c r="CH238" s="33"/>
      <c r="CI238" s="33"/>
      <c r="CJ238" s="33"/>
      <c r="CK238" s="33"/>
      <c r="CL238" s="33"/>
      <c r="CM238" s="33"/>
      <c r="CN238" s="33"/>
      <c r="CO238" s="33"/>
      <c r="CP238" s="33"/>
      <c r="CQ238" s="33"/>
      <c r="CR238" s="33"/>
      <c r="CS238" s="33"/>
      <c r="CT238" s="33"/>
      <c r="CU238" s="33"/>
      <c r="CV238" s="33"/>
      <c r="CW238" s="33"/>
      <c r="CX238" s="33"/>
      <c r="CY238" s="33"/>
      <c r="CZ238" s="33"/>
      <c r="DA238" s="33"/>
      <c r="DB238" s="33"/>
      <c r="DC238" s="33"/>
      <c r="DD238" s="33"/>
      <c r="DE238" s="33"/>
      <c r="DF238" s="33"/>
      <c r="DG238" s="33"/>
      <c r="DH238" s="33"/>
      <c r="DI238" s="33"/>
      <c r="DJ238" s="33"/>
      <c r="DK238" s="33"/>
      <c r="DL238" s="33"/>
      <c r="DM238" s="33"/>
      <c r="DN238" s="33"/>
      <c r="DO238" s="33"/>
      <c r="DP238" s="33"/>
      <c r="DQ238" s="33"/>
      <c r="DR238" s="33"/>
      <c r="DS238" s="33"/>
      <c r="DT238" s="33"/>
      <c r="DU238" s="33"/>
      <c r="DV238" s="33"/>
      <c r="DW238" s="33"/>
      <c r="DX238" s="33"/>
      <c r="DY238" s="33"/>
      <c r="DZ238" s="33"/>
      <c r="EA238" s="33"/>
      <c r="EB238" s="33"/>
      <c r="EC238" s="33"/>
      <c r="ED238" s="33"/>
      <c r="EE238" s="33"/>
      <c r="EF238" s="33"/>
      <c r="EG238" s="33"/>
      <c r="EH238" s="33"/>
      <c r="EI238" s="33"/>
      <c r="EJ238" s="33"/>
      <c r="EK238" s="33"/>
      <c r="EL238" s="33"/>
      <c r="EM238" s="33"/>
      <c r="EN238" s="33"/>
      <c r="EO238" s="33"/>
      <c r="EP238" s="33"/>
      <c r="EQ238" s="33"/>
      <c r="ER238" s="33"/>
      <c r="ES238" s="33"/>
      <c r="ET238" s="33"/>
      <c r="EU238" s="33"/>
      <c r="EV238" s="33"/>
      <c r="EW238" s="33"/>
      <c r="EX238" s="33"/>
      <c r="EY238" s="33"/>
      <c r="EZ238" s="33"/>
      <c r="FA238" s="33"/>
      <c r="FB238" s="33"/>
      <c r="FC238" s="33"/>
      <c r="FD238" s="33"/>
      <c r="FE238" s="33"/>
      <c r="FF238" s="33"/>
      <c r="FG238" s="33"/>
      <c r="FH238" s="33"/>
      <c r="FI238" s="33"/>
      <c r="FJ238" s="33"/>
      <c r="FK238" s="33"/>
      <c r="FL238" s="33"/>
      <c r="FM238" s="33"/>
      <c r="FN238" s="33"/>
      <c r="FO238" s="33"/>
      <c r="FP238" s="33"/>
      <c r="FQ238" s="33"/>
      <c r="FR238" s="33"/>
      <c r="FS238" s="33"/>
      <c r="FT238" s="33"/>
      <c r="FU238" s="33"/>
      <c r="FV238" s="33"/>
      <c r="FW238" s="33"/>
      <c r="FX238" s="33"/>
      <c r="FY238" s="33"/>
      <c r="FZ238" s="33"/>
      <c r="GA238" s="33"/>
      <c r="GB238" s="33"/>
      <c r="GC238" s="33"/>
      <c r="GD238" s="33"/>
      <c r="GE238" s="33"/>
      <c r="GF238" s="33"/>
      <c r="GG238" s="33"/>
      <c r="GH238" s="33"/>
      <c r="GI238" s="33"/>
      <c r="GJ238" s="33"/>
      <c r="GK238" s="33"/>
      <c r="GL238" s="33"/>
      <c r="GM238" s="33"/>
      <c r="GN238" s="33"/>
      <c r="GO238" s="33"/>
      <c r="GP238" s="33"/>
      <c r="GQ238" s="33"/>
      <c r="GR238" s="33"/>
      <c r="GS238" s="33"/>
      <c r="GT238" s="33"/>
      <c r="GU238" s="33"/>
      <c r="GV238" s="33"/>
      <c r="GW238" s="33"/>
      <c r="GX238" s="33"/>
      <c r="GY238" s="33"/>
      <c r="GZ238" s="33"/>
      <c r="HA238" s="33"/>
      <c r="HB238" s="33"/>
      <c r="HC238" s="33"/>
      <c r="HD238" s="33"/>
      <c r="HE238" s="33"/>
      <c r="HF238" s="33"/>
      <c r="HG238" s="33"/>
      <c r="HH238" s="33"/>
      <c r="HI238" s="33"/>
      <c r="HJ238" s="33"/>
      <c r="HK238" s="33"/>
      <c r="HL238" s="33"/>
      <c r="HM238" s="33"/>
      <c r="HN238" s="33"/>
      <c r="HO238" s="33"/>
      <c r="HP238" s="33"/>
      <c r="HQ238" s="33"/>
      <c r="HR238" s="33"/>
      <c r="HS238" s="33"/>
      <c r="HT238" s="33"/>
      <c r="HU238" s="33"/>
      <c r="HV238" s="33"/>
      <c r="HW238" s="33"/>
      <c r="HX238" s="33"/>
      <c r="HY238" s="33"/>
      <c r="HZ238" s="33"/>
      <c r="IA238" s="33"/>
      <c r="IB238" s="33"/>
      <c r="IC238" s="33"/>
      <c r="ID238" s="33"/>
      <c r="IE238" s="33"/>
      <c r="IF238" s="33"/>
      <c r="IG238" s="33"/>
      <c r="IH238" s="33"/>
      <c r="II238" s="33"/>
      <c r="IJ238" s="33"/>
      <c r="IK238" s="33"/>
      <c r="IL238" s="33"/>
      <c r="IM238" s="33"/>
      <c r="IN238" s="33"/>
      <c r="IO238" s="33"/>
      <c r="IP238" s="33"/>
      <c r="IQ238" s="33"/>
      <c r="IR238" s="33"/>
      <c r="IS238" s="33"/>
      <c r="IT238" s="33"/>
      <c r="IU238" s="33"/>
      <c r="IV238" s="33"/>
      <c r="IW238" s="33"/>
      <c r="IX238" s="33"/>
      <c r="IY238" s="33"/>
      <c r="IZ238" s="33"/>
      <c r="JA238" s="33"/>
      <c r="JB238" s="33"/>
      <c r="JC238" s="33"/>
      <c r="JD238" s="33"/>
      <c r="JE238" s="33"/>
      <c r="JF238" s="33"/>
      <c r="JG238" s="33"/>
      <c r="JH238" s="33"/>
      <c r="JI238" s="33"/>
      <c r="JJ238" s="33"/>
      <c r="JK238" s="33"/>
      <c r="JL238" s="33"/>
      <c r="JM238" s="33"/>
      <c r="JN238" s="33"/>
      <c r="JO238" s="33"/>
      <c r="JP238" s="33"/>
      <c r="JQ238" s="33"/>
      <c r="JR238" s="33"/>
      <c r="JS238" s="33"/>
      <c r="JT238" s="33"/>
      <c r="JU238" s="33"/>
      <c r="JV238" s="33"/>
      <c r="JW238" s="33"/>
      <c r="JX238" s="33"/>
      <c r="JY238" s="33"/>
      <c r="JZ238" s="33"/>
      <c r="KA238" s="33"/>
      <c r="KB238" s="33"/>
      <c r="KC238" s="33"/>
      <c r="KD238" s="33"/>
      <c r="KE238" s="33"/>
      <c r="KF238" s="33"/>
      <c r="KG238" s="33"/>
      <c r="KH238" s="33"/>
      <c r="KI238" s="33"/>
      <c r="KJ238" s="33"/>
      <c r="KK238" s="33"/>
      <c r="KL238" s="33"/>
      <c r="KM238" s="33"/>
      <c r="KN238" s="33"/>
      <c r="KO238" s="33"/>
      <c r="KP238" s="33"/>
      <c r="KQ238" s="33"/>
      <c r="KR238" s="33"/>
      <c r="KS238" s="33"/>
      <c r="KT238" s="33"/>
      <c r="KU238" s="33"/>
      <c r="KV238" s="33"/>
      <c r="KW238" s="33"/>
      <c r="KX238" s="33"/>
      <c r="KY238" s="33"/>
      <c r="KZ238" s="33"/>
      <c r="LA238" s="33"/>
      <c r="LB238" s="33"/>
      <c r="LC238" s="33"/>
      <c r="LD238" s="33"/>
      <c r="LE238" s="33"/>
      <c r="LF238" s="33"/>
      <c r="LG238" s="33"/>
      <c r="LH238" s="33"/>
      <c r="LI238" s="33"/>
      <c r="LJ238" s="33"/>
      <c r="LK238" s="33"/>
      <c r="LL238" s="33"/>
      <c r="LM238" s="33"/>
      <c r="LN238" s="33"/>
      <c r="LO238" s="33"/>
      <c r="LP238" s="33"/>
      <c r="LQ238" s="33"/>
      <c r="LR238" s="33"/>
      <c r="LS238" s="33"/>
      <c r="LT238" s="33"/>
      <c r="LU238" s="33"/>
      <c r="LV238" s="33"/>
      <c r="LW238" s="33"/>
      <c r="LX238" s="33"/>
      <c r="LY238" s="33"/>
      <c r="LZ238" s="33"/>
      <c r="MA238" s="33"/>
      <c r="MB238" s="33"/>
      <c r="MC238" s="33"/>
      <c r="MD238" s="33"/>
      <c r="ME238" s="33"/>
      <c r="MF238" s="33"/>
      <c r="MG238" s="33"/>
      <c r="MH238" s="33"/>
      <c r="MI238" s="33"/>
      <c r="MJ238" s="33"/>
      <c r="MK238" s="33"/>
      <c r="ML238" s="33"/>
      <c r="MM238" s="33"/>
      <c r="MN238" s="33"/>
      <c r="MO238" s="33"/>
      <c r="MP238" s="33"/>
      <c r="MQ238" s="33"/>
      <c r="MR238" s="33"/>
      <c r="MS238" s="33"/>
      <c r="MT238" s="33"/>
      <c r="MU238" s="33"/>
      <c r="MV238" s="33"/>
    </row>
    <row r="239" spans="1:360" ht="0.75" customHeight="1" x14ac:dyDescent="0.25">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c r="BV239" s="33"/>
      <c r="BW239" s="33"/>
      <c r="BX239" s="33"/>
      <c r="BY239" s="33"/>
      <c r="BZ239" s="33"/>
      <c r="CA239" s="33"/>
      <c r="CB239" s="33"/>
      <c r="CC239" s="33"/>
      <c r="CD239" s="33"/>
      <c r="CE239" s="33"/>
      <c r="CF239" s="33"/>
      <c r="CG239" s="33"/>
      <c r="CH239" s="33"/>
      <c r="CI239" s="33"/>
      <c r="CJ239" s="33"/>
      <c r="CK239" s="33"/>
      <c r="CL239" s="33"/>
      <c r="CM239" s="33"/>
      <c r="CN239" s="33"/>
      <c r="CO239" s="33"/>
      <c r="CP239" s="33"/>
      <c r="CQ239" s="33"/>
      <c r="CR239" s="33"/>
      <c r="CS239" s="33"/>
      <c r="CT239" s="33"/>
      <c r="CU239" s="33"/>
      <c r="CV239" s="33"/>
      <c r="CW239" s="33"/>
      <c r="CX239" s="33"/>
      <c r="CY239" s="33"/>
      <c r="CZ239" s="33"/>
      <c r="DA239" s="33"/>
      <c r="DB239" s="33"/>
      <c r="DC239" s="33"/>
      <c r="DD239" s="33"/>
      <c r="DE239" s="33"/>
      <c r="DF239" s="33"/>
      <c r="DG239" s="33"/>
      <c r="DH239" s="33"/>
      <c r="DI239" s="33"/>
      <c r="DJ239" s="33"/>
      <c r="DK239" s="33"/>
      <c r="DL239" s="33"/>
      <c r="DM239" s="33"/>
      <c r="DN239" s="33"/>
      <c r="DO239" s="33"/>
      <c r="DP239" s="33"/>
      <c r="DQ239" s="33"/>
      <c r="DR239" s="33"/>
      <c r="DS239" s="33"/>
      <c r="DT239" s="33"/>
      <c r="DU239" s="33"/>
      <c r="DV239" s="33"/>
      <c r="DW239" s="33"/>
      <c r="DX239" s="33"/>
      <c r="DY239" s="33"/>
      <c r="DZ239" s="33"/>
      <c r="EA239" s="33"/>
      <c r="EB239" s="33"/>
      <c r="EC239" s="33"/>
      <c r="ED239" s="33"/>
      <c r="EE239" s="33"/>
      <c r="EF239" s="33"/>
      <c r="EG239" s="33"/>
      <c r="EH239" s="33"/>
      <c r="EI239" s="33"/>
      <c r="EJ239" s="33"/>
      <c r="EK239" s="33"/>
      <c r="EL239" s="33"/>
      <c r="EM239" s="33"/>
      <c r="EN239" s="33"/>
      <c r="EO239" s="33"/>
      <c r="EP239" s="33"/>
      <c r="EQ239" s="33"/>
      <c r="ER239" s="33"/>
      <c r="ES239" s="33"/>
      <c r="ET239" s="33"/>
      <c r="EU239" s="33"/>
      <c r="EV239" s="33"/>
      <c r="EW239" s="33"/>
      <c r="EX239" s="33"/>
      <c r="EY239" s="33"/>
      <c r="EZ239" s="33"/>
      <c r="FA239" s="33"/>
      <c r="FB239" s="33"/>
      <c r="FC239" s="33"/>
      <c r="FD239" s="33"/>
      <c r="FE239" s="33"/>
      <c r="FF239" s="33"/>
      <c r="FG239" s="33"/>
      <c r="FH239" s="33"/>
      <c r="FI239" s="33"/>
      <c r="FJ239" s="33"/>
      <c r="FK239" s="33"/>
      <c r="FL239" s="33"/>
      <c r="FM239" s="33"/>
      <c r="FN239" s="33"/>
      <c r="FO239" s="33"/>
      <c r="FP239" s="33"/>
      <c r="FQ239" s="33"/>
      <c r="FR239" s="33"/>
      <c r="FS239" s="33"/>
      <c r="FT239" s="33"/>
      <c r="FU239" s="33"/>
      <c r="FV239" s="33"/>
      <c r="FW239" s="33"/>
      <c r="FX239" s="33"/>
      <c r="FY239" s="33"/>
      <c r="FZ239" s="33"/>
      <c r="GA239" s="33"/>
      <c r="GB239" s="33"/>
      <c r="GC239" s="33"/>
      <c r="GD239" s="33"/>
      <c r="GE239" s="33"/>
      <c r="GF239" s="33"/>
      <c r="GG239" s="33"/>
      <c r="GH239" s="33"/>
      <c r="GI239" s="33"/>
      <c r="GJ239" s="33"/>
      <c r="GK239" s="33"/>
      <c r="GL239" s="33"/>
      <c r="GM239" s="33"/>
      <c r="GN239" s="33"/>
      <c r="GO239" s="33"/>
      <c r="GP239" s="33"/>
      <c r="GQ239" s="33"/>
      <c r="GR239" s="33"/>
      <c r="GS239" s="33"/>
      <c r="GT239" s="33"/>
      <c r="GU239" s="33"/>
      <c r="GV239" s="33"/>
      <c r="GW239" s="33"/>
      <c r="GX239" s="33"/>
      <c r="GY239" s="33"/>
      <c r="GZ239" s="33"/>
      <c r="HA239" s="33"/>
      <c r="HB239" s="33"/>
      <c r="HC239" s="33"/>
      <c r="HD239" s="33"/>
      <c r="HE239" s="33"/>
      <c r="HF239" s="33"/>
      <c r="HG239" s="33"/>
      <c r="HH239" s="33"/>
      <c r="HI239" s="33"/>
      <c r="HJ239" s="33"/>
      <c r="HK239" s="33"/>
      <c r="HL239" s="33"/>
      <c r="HM239" s="33"/>
      <c r="HN239" s="33"/>
      <c r="HO239" s="33"/>
      <c r="HP239" s="33"/>
      <c r="HQ239" s="33"/>
      <c r="HR239" s="33"/>
      <c r="HS239" s="33"/>
      <c r="HT239" s="33"/>
      <c r="HU239" s="33"/>
      <c r="HV239" s="33"/>
      <c r="HW239" s="33"/>
      <c r="HX239" s="33"/>
      <c r="HY239" s="33"/>
      <c r="HZ239" s="33"/>
      <c r="IA239" s="33"/>
      <c r="IB239" s="33"/>
      <c r="IC239" s="33"/>
      <c r="ID239" s="33"/>
      <c r="IE239" s="33"/>
      <c r="IF239" s="33"/>
      <c r="IG239" s="33"/>
      <c r="IH239" s="33"/>
      <c r="II239" s="33"/>
      <c r="IJ239" s="33"/>
      <c r="IK239" s="33"/>
      <c r="IL239" s="33"/>
      <c r="IM239" s="33"/>
      <c r="IN239" s="33"/>
      <c r="IO239" s="33"/>
      <c r="IP239" s="33"/>
      <c r="IQ239" s="33"/>
      <c r="IR239" s="33"/>
      <c r="IS239" s="33"/>
      <c r="IT239" s="33"/>
      <c r="IU239" s="33"/>
      <c r="IV239" s="33"/>
      <c r="IW239" s="33"/>
      <c r="IX239" s="33"/>
      <c r="IY239" s="33"/>
      <c r="IZ239" s="33"/>
      <c r="JA239" s="33"/>
      <c r="JB239" s="33"/>
      <c r="JC239" s="33"/>
      <c r="JD239" s="33"/>
      <c r="JE239" s="33"/>
      <c r="JF239" s="33"/>
      <c r="JG239" s="33"/>
      <c r="JH239" s="33"/>
      <c r="JI239" s="33"/>
      <c r="JJ239" s="33"/>
      <c r="JK239" s="33"/>
      <c r="JL239" s="33"/>
      <c r="JM239" s="33"/>
      <c r="JN239" s="33"/>
      <c r="JO239" s="33"/>
      <c r="JP239" s="33"/>
      <c r="JQ239" s="33"/>
      <c r="JR239" s="33"/>
      <c r="JS239" s="33"/>
      <c r="JT239" s="33"/>
      <c r="JU239" s="33"/>
      <c r="JV239" s="33"/>
      <c r="JW239" s="33"/>
      <c r="JX239" s="33"/>
      <c r="JY239" s="33"/>
      <c r="JZ239" s="33"/>
      <c r="KA239" s="33"/>
      <c r="KB239" s="33"/>
      <c r="KC239" s="33"/>
      <c r="KD239" s="33"/>
      <c r="KE239" s="33"/>
      <c r="KF239" s="33"/>
      <c r="KG239" s="33"/>
      <c r="KH239" s="33"/>
      <c r="KI239" s="33"/>
      <c r="KJ239" s="33"/>
      <c r="KK239" s="33"/>
      <c r="KL239" s="33"/>
      <c r="KM239" s="33"/>
      <c r="KN239" s="33"/>
      <c r="KO239" s="33"/>
      <c r="KP239" s="33"/>
      <c r="KQ239" s="33"/>
      <c r="KR239" s="33"/>
      <c r="KS239" s="33"/>
      <c r="KT239" s="33"/>
      <c r="KU239" s="33"/>
      <c r="KV239" s="33"/>
      <c r="KW239" s="33"/>
      <c r="KX239" s="33"/>
      <c r="KY239" s="33"/>
      <c r="KZ239" s="33"/>
      <c r="LA239" s="33"/>
      <c r="LB239" s="33"/>
      <c r="LC239" s="33"/>
      <c r="LD239" s="33"/>
      <c r="LE239" s="33"/>
      <c r="LF239" s="33"/>
      <c r="LG239" s="33"/>
      <c r="LH239" s="33"/>
      <c r="LI239" s="33"/>
      <c r="LJ239" s="33"/>
      <c r="LK239" s="33"/>
      <c r="LL239" s="33"/>
      <c r="LM239" s="33"/>
      <c r="LN239" s="33"/>
      <c r="LO239" s="33"/>
      <c r="LP239" s="33"/>
      <c r="LQ239" s="33"/>
      <c r="LR239" s="33"/>
      <c r="LS239" s="33"/>
      <c r="LT239" s="33"/>
      <c r="LU239" s="33"/>
      <c r="LV239" s="33"/>
      <c r="LW239" s="33"/>
      <c r="LX239" s="33"/>
      <c r="LY239" s="33"/>
      <c r="LZ239" s="33"/>
      <c r="MA239" s="33"/>
      <c r="MB239" s="33"/>
      <c r="MC239" s="33"/>
      <c r="MD239" s="33"/>
      <c r="ME239" s="33"/>
      <c r="MF239" s="33"/>
      <c r="MG239" s="33"/>
      <c r="MH239" s="33"/>
      <c r="MI239" s="33"/>
      <c r="MJ239" s="33"/>
      <c r="MK239" s="33"/>
      <c r="ML239" s="33"/>
      <c r="MM239" s="33"/>
      <c r="MN239" s="33"/>
      <c r="MO239" s="33"/>
      <c r="MP239" s="33"/>
      <c r="MQ239" s="33"/>
      <c r="MR239" s="33"/>
      <c r="MS239" s="33"/>
      <c r="MT239" s="33"/>
      <c r="MU239" s="33"/>
      <c r="MV239" s="33"/>
    </row>
    <row r="240" spans="1:360" ht="0.75" customHeight="1" x14ac:dyDescent="0.25">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c r="BV240" s="33"/>
      <c r="BW240" s="33"/>
      <c r="BX240" s="33"/>
      <c r="BY240" s="33"/>
      <c r="BZ240" s="33"/>
      <c r="CA240" s="33"/>
      <c r="CB240" s="33"/>
      <c r="CC240" s="33"/>
      <c r="CD240" s="33"/>
      <c r="CE240" s="33"/>
      <c r="CF240" s="33"/>
      <c r="CG240" s="33"/>
      <c r="CH240" s="33"/>
      <c r="CI240" s="33"/>
      <c r="CJ240" s="33"/>
      <c r="CK240" s="33"/>
      <c r="CL240" s="33"/>
      <c r="CM240" s="33"/>
      <c r="CN240" s="33"/>
      <c r="CO240" s="33"/>
      <c r="CP240" s="33"/>
      <c r="CQ240" s="33"/>
      <c r="CR240" s="33"/>
      <c r="CS240" s="33"/>
      <c r="CT240" s="33"/>
      <c r="CU240" s="33"/>
      <c r="CV240" s="33"/>
      <c r="CW240" s="33"/>
      <c r="CX240" s="33"/>
      <c r="CY240" s="33"/>
      <c r="CZ240" s="33"/>
      <c r="DA240" s="33"/>
      <c r="DB240" s="33"/>
      <c r="DC240" s="33"/>
      <c r="DD240" s="33"/>
      <c r="DE240" s="33"/>
      <c r="DF240" s="33"/>
      <c r="DG240" s="33"/>
      <c r="DH240" s="33"/>
      <c r="DI240" s="33"/>
      <c r="DJ240" s="33"/>
      <c r="DK240" s="33"/>
      <c r="DL240" s="33"/>
      <c r="DM240" s="33"/>
      <c r="DN240" s="33"/>
      <c r="DO240" s="33"/>
      <c r="DP240" s="33"/>
      <c r="DQ240" s="33"/>
      <c r="DR240" s="33"/>
      <c r="DS240" s="33"/>
      <c r="DT240" s="33"/>
      <c r="DU240" s="33"/>
      <c r="DV240" s="33"/>
      <c r="DW240" s="33"/>
      <c r="DX240" s="33"/>
      <c r="DY240" s="33"/>
      <c r="DZ240" s="33"/>
      <c r="EA240" s="33"/>
      <c r="EB240" s="33"/>
      <c r="EC240" s="33"/>
      <c r="ED240" s="33"/>
      <c r="EE240" s="33"/>
      <c r="EF240" s="33"/>
      <c r="EG240" s="33"/>
      <c r="EH240" s="33"/>
      <c r="EI240" s="33"/>
      <c r="EJ240" s="33"/>
      <c r="EK240" s="33"/>
      <c r="EL240" s="33"/>
      <c r="EM240" s="33"/>
      <c r="EN240" s="33"/>
      <c r="EO240" s="33"/>
      <c r="EP240" s="33"/>
      <c r="EQ240" s="33"/>
      <c r="ER240" s="33"/>
      <c r="ES240" s="33"/>
      <c r="ET240" s="33"/>
      <c r="EU240" s="33"/>
      <c r="EV240" s="33"/>
      <c r="EW240" s="33"/>
      <c r="EX240" s="33"/>
      <c r="EY240" s="33"/>
      <c r="EZ240" s="33"/>
      <c r="FA240" s="33"/>
      <c r="FB240" s="33"/>
      <c r="FC240" s="33"/>
      <c r="FD240" s="33"/>
      <c r="FE240" s="33"/>
      <c r="FF240" s="33"/>
      <c r="FG240" s="33"/>
      <c r="FH240" s="33"/>
      <c r="FI240" s="33"/>
      <c r="FJ240" s="33"/>
      <c r="FK240" s="33"/>
      <c r="FL240" s="33"/>
      <c r="FM240" s="33"/>
      <c r="FN240" s="33"/>
      <c r="FO240" s="33"/>
      <c r="FP240" s="33"/>
      <c r="FQ240" s="33"/>
      <c r="FR240" s="33"/>
      <c r="FS240" s="33"/>
      <c r="FT240" s="33"/>
      <c r="FU240" s="33"/>
      <c r="FV240" s="33"/>
      <c r="FW240" s="33"/>
      <c r="FX240" s="33"/>
      <c r="FY240" s="33"/>
      <c r="FZ240" s="33"/>
      <c r="GA240" s="33"/>
      <c r="GB240" s="33"/>
      <c r="GC240" s="33"/>
      <c r="GD240" s="33"/>
      <c r="GE240" s="33"/>
      <c r="GF240" s="33"/>
      <c r="GG240" s="33"/>
      <c r="GH240" s="33"/>
      <c r="GI240" s="33"/>
      <c r="GJ240" s="33"/>
      <c r="GK240" s="33"/>
      <c r="GL240" s="33"/>
      <c r="GM240" s="33"/>
      <c r="GN240" s="33"/>
      <c r="GO240" s="33"/>
      <c r="GP240" s="33"/>
      <c r="GQ240" s="33"/>
      <c r="GR240" s="33"/>
      <c r="GS240" s="33"/>
      <c r="GT240" s="33"/>
      <c r="GU240" s="33"/>
      <c r="GV240" s="33"/>
      <c r="GW240" s="33"/>
      <c r="GX240" s="33"/>
      <c r="GY240" s="33"/>
      <c r="GZ240" s="33"/>
      <c r="HA240" s="33"/>
      <c r="HB240" s="33"/>
      <c r="HC240" s="33"/>
      <c r="HD240" s="33"/>
      <c r="HE240" s="33"/>
      <c r="HF240" s="33"/>
      <c r="HG240" s="33"/>
      <c r="HH240" s="33"/>
      <c r="HI240" s="33"/>
      <c r="HJ240" s="33"/>
      <c r="HK240" s="33"/>
      <c r="HL240" s="33"/>
      <c r="HM240" s="33"/>
      <c r="HN240" s="33"/>
      <c r="HO240" s="33"/>
      <c r="HP240" s="33"/>
      <c r="HQ240" s="33"/>
      <c r="HR240" s="33"/>
      <c r="HS240" s="33"/>
      <c r="HT240" s="33"/>
      <c r="HU240" s="33"/>
      <c r="HV240" s="33"/>
      <c r="HW240" s="33"/>
      <c r="HX240" s="33"/>
      <c r="HY240" s="33"/>
      <c r="HZ240" s="33"/>
      <c r="IA240" s="33"/>
      <c r="IB240" s="33"/>
      <c r="IC240" s="33"/>
      <c r="ID240" s="33"/>
      <c r="IE240" s="33"/>
      <c r="IF240" s="33"/>
      <c r="IG240" s="33"/>
      <c r="IH240" s="33"/>
      <c r="II240" s="33"/>
      <c r="IJ240" s="33"/>
      <c r="IK240" s="33"/>
      <c r="IL240" s="33"/>
      <c r="IM240" s="33"/>
      <c r="IN240" s="33"/>
      <c r="IO240" s="33"/>
      <c r="IP240" s="33"/>
      <c r="IQ240" s="33"/>
      <c r="IR240" s="33"/>
      <c r="IS240" s="33"/>
      <c r="IT240" s="33"/>
      <c r="IU240" s="33"/>
      <c r="IV240" s="33"/>
      <c r="IW240" s="33"/>
      <c r="IX240" s="33"/>
      <c r="IY240" s="33"/>
      <c r="IZ240" s="33"/>
      <c r="JA240" s="33"/>
      <c r="JB240" s="33"/>
      <c r="JC240" s="33"/>
      <c r="JD240" s="33"/>
      <c r="JE240" s="33"/>
      <c r="JF240" s="33"/>
      <c r="JG240" s="33"/>
      <c r="JH240" s="33"/>
      <c r="JI240" s="33"/>
      <c r="JJ240" s="33"/>
      <c r="JK240" s="33"/>
      <c r="JL240" s="33"/>
      <c r="JM240" s="33"/>
      <c r="JN240" s="33"/>
      <c r="JO240" s="33"/>
      <c r="JP240" s="33"/>
      <c r="JQ240" s="33"/>
      <c r="JR240" s="33"/>
      <c r="JS240" s="33"/>
      <c r="JT240" s="33"/>
      <c r="JU240" s="33"/>
      <c r="JV240" s="33"/>
      <c r="JW240" s="33"/>
      <c r="JX240" s="33"/>
      <c r="JY240" s="33"/>
      <c r="JZ240" s="33"/>
      <c r="KA240" s="33"/>
      <c r="KB240" s="33"/>
      <c r="KC240" s="33"/>
      <c r="KD240" s="33"/>
      <c r="KE240" s="33"/>
      <c r="KF240" s="33"/>
      <c r="KG240" s="33"/>
      <c r="KH240" s="33"/>
      <c r="KI240" s="33"/>
      <c r="KJ240" s="33"/>
      <c r="KK240" s="33"/>
      <c r="KL240" s="33"/>
      <c r="KM240" s="33"/>
      <c r="KN240" s="33"/>
      <c r="KO240" s="33"/>
      <c r="KP240" s="33"/>
      <c r="KQ240" s="33"/>
      <c r="KR240" s="33"/>
      <c r="KS240" s="33"/>
      <c r="KT240" s="33"/>
      <c r="KU240" s="33"/>
      <c r="KV240" s="33"/>
      <c r="KW240" s="33"/>
      <c r="KX240" s="33"/>
      <c r="KY240" s="33"/>
      <c r="KZ240" s="33"/>
      <c r="LA240" s="33"/>
      <c r="LB240" s="33"/>
      <c r="LC240" s="33"/>
      <c r="LD240" s="33"/>
      <c r="LE240" s="33"/>
      <c r="LF240" s="33"/>
      <c r="LG240" s="33"/>
      <c r="LH240" s="33"/>
      <c r="LI240" s="33"/>
      <c r="LJ240" s="33"/>
      <c r="LK240" s="33"/>
      <c r="LL240" s="33"/>
      <c r="LM240" s="33"/>
      <c r="LN240" s="33"/>
      <c r="LO240" s="33"/>
      <c r="LP240" s="33"/>
      <c r="LQ240" s="33"/>
      <c r="LR240" s="33"/>
      <c r="LS240" s="33"/>
      <c r="LT240" s="33"/>
      <c r="LU240" s="33"/>
      <c r="LV240" s="33"/>
      <c r="LW240" s="33"/>
      <c r="LX240" s="33"/>
      <c r="LY240" s="33"/>
      <c r="LZ240" s="33"/>
      <c r="MA240" s="33"/>
      <c r="MB240" s="33"/>
      <c r="MC240" s="33"/>
      <c r="MD240" s="33"/>
      <c r="ME240" s="33"/>
      <c r="MF240" s="33"/>
      <c r="MG240" s="33"/>
      <c r="MH240" s="33"/>
      <c r="MI240" s="33"/>
      <c r="MJ240" s="33"/>
      <c r="MK240" s="33"/>
      <c r="ML240" s="33"/>
      <c r="MM240" s="33"/>
      <c r="MN240" s="33"/>
      <c r="MO240" s="33"/>
      <c r="MP240" s="33"/>
      <c r="MQ240" s="33"/>
      <c r="MR240" s="33"/>
      <c r="MS240" s="33"/>
      <c r="MT240" s="33"/>
      <c r="MU240" s="33"/>
      <c r="MV240" s="33"/>
    </row>
    <row r="241" spans="1:360" ht="0.75" customHeight="1" x14ac:dyDescent="0.25">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c r="BV241" s="33"/>
      <c r="BW241" s="33"/>
      <c r="BX241" s="33"/>
      <c r="BY241" s="33"/>
      <c r="BZ241" s="33"/>
      <c r="CA241" s="33"/>
      <c r="CB241" s="33"/>
      <c r="CC241" s="33"/>
      <c r="CD241" s="33"/>
      <c r="CE241" s="33"/>
      <c r="CF241" s="33"/>
      <c r="CG241" s="33"/>
      <c r="CH241" s="33"/>
      <c r="CI241" s="33"/>
      <c r="CJ241" s="33"/>
      <c r="CK241" s="33"/>
      <c r="CL241" s="33"/>
      <c r="CM241" s="33"/>
      <c r="CN241" s="33"/>
      <c r="CO241" s="33"/>
      <c r="CP241" s="33"/>
      <c r="CQ241" s="33"/>
      <c r="CR241" s="33"/>
      <c r="CS241" s="33"/>
      <c r="CT241" s="33"/>
      <c r="CU241" s="33"/>
      <c r="CV241" s="33"/>
      <c r="CW241" s="33"/>
      <c r="CX241" s="33"/>
      <c r="CY241" s="33"/>
      <c r="CZ241" s="33"/>
      <c r="DA241" s="33"/>
      <c r="DB241" s="33"/>
      <c r="DC241" s="33"/>
      <c r="DD241" s="33"/>
      <c r="DE241" s="33"/>
      <c r="DF241" s="33"/>
      <c r="DG241" s="33"/>
      <c r="DH241" s="33"/>
      <c r="DI241" s="33"/>
      <c r="DJ241" s="33"/>
      <c r="DK241" s="33"/>
      <c r="DL241" s="33"/>
      <c r="DM241" s="33"/>
      <c r="DN241" s="33"/>
      <c r="DO241" s="33"/>
      <c r="DP241" s="33"/>
      <c r="DQ241" s="33"/>
      <c r="DR241" s="33"/>
      <c r="DS241" s="33"/>
      <c r="DT241" s="33"/>
      <c r="DU241" s="33"/>
      <c r="DV241" s="33"/>
      <c r="DW241" s="33"/>
      <c r="DX241" s="33"/>
      <c r="DY241" s="33"/>
      <c r="DZ241" s="33"/>
      <c r="EA241" s="33"/>
      <c r="EB241" s="33"/>
      <c r="EC241" s="33"/>
      <c r="ED241" s="33"/>
      <c r="EE241" s="33"/>
      <c r="EF241" s="33"/>
      <c r="EG241" s="33"/>
      <c r="EH241" s="33"/>
      <c r="EI241" s="33"/>
      <c r="EJ241" s="33"/>
      <c r="EK241" s="33"/>
      <c r="EL241" s="33"/>
      <c r="EM241" s="33"/>
      <c r="EN241" s="33"/>
      <c r="EO241" s="33"/>
      <c r="EP241" s="33"/>
      <c r="EQ241" s="33"/>
      <c r="ER241" s="33"/>
      <c r="ES241" s="33"/>
      <c r="ET241" s="33"/>
      <c r="EU241" s="33"/>
      <c r="EV241" s="33"/>
      <c r="EW241" s="33"/>
      <c r="EX241" s="33"/>
      <c r="EY241" s="33"/>
      <c r="EZ241" s="33"/>
      <c r="FA241" s="33"/>
      <c r="FB241" s="33"/>
      <c r="FC241" s="33"/>
      <c r="FD241" s="33"/>
      <c r="FE241" s="33"/>
      <c r="FF241" s="33"/>
      <c r="FG241" s="33"/>
      <c r="FH241" s="33"/>
      <c r="FI241" s="33"/>
      <c r="FJ241" s="33"/>
      <c r="FK241" s="33"/>
      <c r="FL241" s="33"/>
      <c r="FM241" s="33"/>
      <c r="FN241" s="33"/>
      <c r="FO241" s="33"/>
      <c r="FP241" s="33"/>
      <c r="FQ241" s="33"/>
      <c r="FR241" s="33"/>
      <c r="FS241" s="33"/>
      <c r="FT241" s="33"/>
      <c r="FU241" s="33"/>
      <c r="FV241" s="33"/>
      <c r="FW241" s="33"/>
      <c r="FX241" s="33"/>
      <c r="FY241" s="33"/>
      <c r="FZ241" s="33"/>
      <c r="GA241" s="33"/>
      <c r="GB241" s="33"/>
      <c r="GC241" s="33"/>
      <c r="GD241" s="33"/>
      <c r="GE241" s="33"/>
      <c r="GF241" s="33"/>
      <c r="GG241" s="33"/>
      <c r="GH241" s="33"/>
      <c r="GI241" s="33"/>
      <c r="GJ241" s="33"/>
      <c r="GK241" s="33"/>
      <c r="GL241" s="33"/>
      <c r="GM241" s="33"/>
      <c r="GN241" s="33"/>
      <c r="GO241" s="33"/>
      <c r="GP241" s="33"/>
      <c r="GQ241" s="33"/>
      <c r="GR241" s="33"/>
      <c r="GS241" s="33"/>
      <c r="GT241" s="33"/>
      <c r="GU241" s="33"/>
      <c r="GV241" s="33"/>
      <c r="GW241" s="33"/>
      <c r="GX241" s="33"/>
      <c r="GY241" s="33"/>
      <c r="GZ241" s="33"/>
      <c r="HA241" s="33"/>
      <c r="HB241" s="33"/>
      <c r="HC241" s="33"/>
      <c r="HD241" s="33"/>
      <c r="HE241" s="33"/>
      <c r="HF241" s="33"/>
      <c r="HG241" s="33"/>
      <c r="HH241" s="33"/>
      <c r="HI241" s="33"/>
      <c r="HJ241" s="33"/>
      <c r="HK241" s="33"/>
      <c r="HL241" s="33"/>
      <c r="HM241" s="33"/>
      <c r="HN241" s="33"/>
      <c r="HO241" s="33"/>
      <c r="HP241" s="33"/>
      <c r="HQ241" s="33"/>
      <c r="HR241" s="33"/>
      <c r="HS241" s="33"/>
      <c r="HT241" s="33"/>
      <c r="HU241" s="33"/>
      <c r="HV241" s="33"/>
      <c r="HW241" s="33"/>
      <c r="HX241" s="33"/>
      <c r="HY241" s="33"/>
      <c r="HZ241" s="33"/>
      <c r="IA241" s="33"/>
      <c r="IB241" s="33"/>
      <c r="IC241" s="33"/>
      <c r="ID241" s="33"/>
      <c r="IE241" s="33"/>
      <c r="IF241" s="33"/>
      <c r="IG241" s="33"/>
      <c r="IH241" s="33"/>
      <c r="II241" s="33"/>
      <c r="IJ241" s="33"/>
      <c r="IK241" s="33"/>
      <c r="IL241" s="33"/>
      <c r="IM241" s="33"/>
      <c r="IN241" s="33"/>
      <c r="IO241" s="33"/>
      <c r="IP241" s="33"/>
      <c r="IQ241" s="33"/>
      <c r="IR241" s="33"/>
      <c r="IS241" s="33"/>
      <c r="IT241" s="33"/>
      <c r="IU241" s="33"/>
      <c r="IV241" s="33"/>
      <c r="IW241" s="33"/>
      <c r="IX241" s="33"/>
      <c r="IY241" s="33"/>
      <c r="IZ241" s="33"/>
      <c r="JA241" s="33"/>
      <c r="JB241" s="33"/>
      <c r="JC241" s="33"/>
      <c r="JD241" s="33"/>
      <c r="JE241" s="33"/>
      <c r="JF241" s="33"/>
      <c r="JG241" s="33"/>
      <c r="JH241" s="33"/>
      <c r="JI241" s="33"/>
      <c r="JJ241" s="33"/>
      <c r="JK241" s="33"/>
      <c r="JL241" s="33"/>
      <c r="JM241" s="33"/>
      <c r="JN241" s="33"/>
      <c r="JO241" s="33"/>
      <c r="JP241" s="33"/>
      <c r="JQ241" s="33"/>
      <c r="JR241" s="33"/>
      <c r="JS241" s="33"/>
      <c r="JT241" s="33"/>
      <c r="JU241" s="33"/>
      <c r="JV241" s="33"/>
      <c r="JW241" s="33"/>
      <c r="JX241" s="33"/>
      <c r="JY241" s="33"/>
      <c r="JZ241" s="33"/>
      <c r="KA241" s="33"/>
      <c r="KB241" s="33"/>
      <c r="KC241" s="33"/>
      <c r="KD241" s="33"/>
      <c r="KE241" s="33"/>
      <c r="KF241" s="33"/>
      <c r="KG241" s="33"/>
      <c r="KH241" s="33"/>
      <c r="KI241" s="33"/>
      <c r="KJ241" s="33"/>
      <c r="KK241" s="33"/>
      <c r="KL241" s="33"/>
      <c r="KM241" s="33"/>
      <c r="KN241" s="33"/>
      <c r="KO241" s="33"/>
      <c r="KP241" s="33"/>
      <c r="KQ241" s="33"/>
      <c r="KR241" s="33"/>
      <c r="KS241" s="33"/>
      <c r="KT241" s="33"/>
      <c r="KU241" s="33"/>
      <c r="KV241" s="33"/>
      <c r="KW241" s="33"/>
      <c r="KX241" s="33"/>
      <c r="KY241" s="33"/>
      <c r="KZ241" s="33"/>
      <c r="LA241" s="33"/>
      <c r="LB241" s="33"/>
      <c r="LC241" s="33"/>
      <c r="LD241" s="33"/>
      <c r="LE241" s="33"/>
      <c r="LF241" s="33"/>
      <c r="LG241" s="33"/>
      <c r="LH241" s="33"/>
      <c r="LI241" s="33"/>
      <c r="LJ241" s="33"/>
      <c r="LK241" s="33"/>
      <c r="LL241" s="33"/>
      <c r="LM241" s="33"/>
      <c r="LN241" s="33"/>
      <c r="LO241" s="33"/>
      <c r="LP241" s="33"/>
      <c r="LQ241" s="33"/>
      <c r="LR241" s="33"/>
      <c r="LS241" s="33"/>
      <c r="LT241" s="33"/>
      <c r="LU241" s="33"/>
      <c r="LV241" s="33"/>
      <c r="LW241" s="33"/>
      <c r="LX241" s="33"/>
      <c r="LY241" s="33"/>
      <c r="LZ241" s="33"/>
      <c r="MA241" s="33"/>
      <c r="MB241" s="33"/>
      <c r="MC241" s="33"/>
      <c r="MD241" s="33"/>
      <c r="ME241" s="33"/>
      <c r="MF241" s="33"/>
      <c r="MG241" s="33"/>
      <c r="MH241" s="33"/>
      <c r="MI241" s="33"/>
      <c r="MJ241" s="33"/>
      <c r="MK241" s="33"/>
      <c r="ML241" s="33"/>
      <c r="MM241" s="33"/>
      <c r="MN241" s="33"/>
      <c r="MO241" s="33"/>
      <c r="MP241" s="33"/>
      <c r="MQ241" s="33"/>
      <c r="MR241" s="33"/>
      <c r="MS241" s="33"/>
      <c r="MT241" s="33"/>
      <c r="MU241" s="33"/>
      <c r="MV241" s="33"/>
    </row>
    <row r="242" spans="1:360" ht="0.75" customHeight="1" x14ac:dyDescent="0.25">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c r="BV242" s="33"/>
      <c r="BW242" s="33"/>
      <c r="BX242" s="33"/>
      <c r="BY242" s="33"/>
      <c r="BZ242" s="33"/>
      <c r="CA242" s="33"/>
      <c r="CB242" s="33"/>
      <c r="CC242" s="33"/>
      <c r="CD242" s="33"/>
      <c r="CE242" s="33"/>
      <c r="CF242" s="33"/>
      <c r="CG242" s="33"/>
      <c r="CH242" s="33"/>
      <c r="CI242" s="33"/>
      <c r="CJ242" s="33"/>
      <c r="CK242" s="33"/>
      <c r="CL242" s="33"/>
      <c r="CM242" s="33"/>
      <c r="CN242" s="33"/>
      <c r="CO242" s="33"/>
      <c r="CP242" s="33"/>
      <c r="CQ242" s="33"/>
      <c r="CR242" s="33"/>
      <c r="CS242" s="33"/>
      <c r="CT242" s="33"/>
      <c r="CU242" s="33"/>
      <c r="CV242" s="33"/>
      <c r="CW242" s="33"/>
      <c r="CX242" s="33"/>
      <c r="CY242" s="33"/>
      <c r="CZ242" s="33"/>
      <c r="DA242" s="33"/>
      <c r="DB242" s="33"/>
      <c r="DC242" s="33"/>
      <c r="DD242" s="33"/>
      <c r="DE242" s="33"/>
      <c r="DF242" s="33"/>
      <c r="DG242" s="33"/>
      <c r="DH242" s="33"/>
      <c r="DI242" s="33"/>
      <c r="DJ242" s="33"/>
      <c r="DK242" s="33"/>
      <c r="DL242" s="33"/>
      <c r="DM242" s="33"/>
      <c r="DN242" s="33"/>
      <c r="DO242" s="33"/>
      <c r="DP242" s="33"/>
      <c r="DQ242" s="33"/>
      <c r="DR242" s="33"/>
      <c r="DS242" s="33"/>
      <c r="DT242" s="33"/>
      <c r="DU242" s="33"/>
      <c r="DV242" s="33"/>
      <c r="DW242" s="33"/>
      <c r="DX242" s="33"/>
      <c r="DY242" s="33"/>
      <c r="DZ242" s="33"/>
      <c r="EA242" s="33"/>
      <c r="EB242" s="33"/>
      <c r="EC242" s="33"/>
      <c r="ED242" s="33"/>
      <c r="EE242" s="33"/>
      <c r="EF242" s="33"/>
      <c r="EG242" s="33"/>
      <c r="EH242" s="33"/>
      <c r="EI242" s="33"/>
      <c r="EJ242" s="33"/>
      <c r="EK242" s="33"/>
      <c r="EL242" s="33"/>
      <c r="EM242" s="33"/>
      <c r="EN242" s="33"/>
      <c r="EO242" s="33"/>
      <c r="EP242" s="33"/>
      <c r="EQ242" s="33"/>
      <c r="ER242" s="33"/>
      <c r="ES242" s="33"/>
      <c r="ET242" s="33"/>
      <c r="EU242" s="33"/>
      <c r="EV242" s="33"/>
      <c r="EW242" s="33"/>
      <c r="EX242" s="33"/>
      <c r="EY242" s="33"/>
      <c r="EZ242" s="33"/>
      <c r="FA242" s="33"/>
      <c r="FB242" s="33"/>
      <c r="FC242" s="33"/>
      <c r="FD242" s="33"/>
      <c r="FE242" s="33"/>
      <c r="FF242" s="33"/>
      <c r="FG242" s="33"/>
      <c r="FH242" s="33"/>
      <c r="FI242" s="33"/>
      <c r="FJ242" s="33"/>
      <c r="FK242" s="33"/>
      <c r="FL242" s="33"/>
      <c r="FM242" s="33"/>
      <c r="FN242" s="33"/>
      <c r="FO242" s="33"/>
      <c r="FP242" s="33"/>
      <c r="FQ242" s="33"/>
      <c r="FR242" s="33"/>
      <c r="FS242" s="33"/>
      <c r="FT242" s="33"/>
      <c r="FU242" s="33"/>
      <c r="FV242" s="33"/>
      <c r="FW242" s="33"/>
      <c r="FX242" s="33"/>
      <c r="FY242" s="33"/>
      <c r="FZ242" s="33"/>
      <c r="GA242" s="33"/>
      <c r="GB242" s="33"/>
      <c r="GC242" s="33"/>
      <c r="GD242" s="33"/>
      <c r="GE242" s="33"/>
      <c r="GF242" s="33"/>
      <c r="GG242" s="33"/>
      <c r="GH242" s="33"/>
      <c r="GI242" s="33"/>
      <c r="GJ242" s="33"/>
      <c r="GK242" s="33"/>
      <c r="GL242" s="33"/>
      <c r="GM242" s="33"/>
      <c r="GN242" s="33"/>
      <c r="GO242" s="33"/>
      <c r="GP242" s="33"/>
      <c r="GQ242" s="33"/>
      <c r="GR242" s="33"/>
      <c r="GS242" s="33"/>
      <c r="GT242" s="33"/>
      <c r="GU242" s="33"/>
      <c r="GV242" s="33"/>
      <c r="GW242" s="33"/>
      <c r="GX242" s="33"/>
      <c r="GY242" s="33"/>
      <c r="GZ242" s="33"/>
      <c r="HA242" s="33"/>
      <c r="HB242" s="33"/>
      <c r="HC242" s="33"/>
      <c r="HD242" s="33"/>
      <c r="HE242" s="33"/>
      <c r="HF242" s="33"/>
      <c r="HG242" s="33"/>
      <c r="HH242" s="33"/>
      <c r="HI242" s="33"/>
      <c r="HJ242" s="33"/>
      <c r="HK242" s="33"/>
      <c r="HL242" s="33"/>
      <c r="HM242" s="33"/>
      <c r="HN242" s="33"/>
      <c r="HO242" s="33"/>
      <c r="HP242" s="33"/>
      <c r="HQ242" s="33"/>
      <c r="HR242" s="33"/>
      <c r="HS242" s="33"/>
      <c r="HT242" s="33"/>
      <c r="HU242" s="33"/>
      <c r="HV242" s="33"/>
      <c r="HW242" s="33"/>
      <c r="HX242" s="33"/>
      <c r="HY242" s="33"/>
      <c r="HZ242" s="33"/>
      <c r="IA242" s="33"/>
      <c r="IB242" s="33"/>
      <c r="IC242" s="33"/>
      <c r="ID242" s="33"/>
      <c r="IE242" s="33"/>
      <c r="IF242" s="33"/>
      <c r="IG242" s="33"/>
      <c r="IH242" s="33"/>
      <c r="II242" s="33"/>
      <c r="IJ242" s="33"/>
      <c r="IK242" s="33"/>
      <c r="IL242" s="33"/>
      <c r="IM242" s="33"/>
      <c r="IN242" s="33"/>
      <c r="IO242" s="33"/>
      <c r="IP242" s="33"/>
      <c r="IQ242" s="33"/>
      <c r="IR242" s="33"/>
      <c r="IS242" s="33"/>
      <c r="IT242" s="33"/>
      <c r="IU242" s="33"/>
      <c r="IV242" s="33"/>
      <c r="IW242" s="33"/>
      <c r="IX242" s="33"/>
      <c r="IY242" s="33"/>
      <c r="IZ242" s="33"/>
      <c r="JA242" s="33"/>
      <c r="JB242" s="33"/>
      <c r="JC242" s="33"/>
      <c r="JD242" s="33"/>
      <c r="JE242" s="33"/>
      <c r="JF242" s="33"/>
      <c r="JG242" s="33"/>
      <c r="JH242" s="33"/>
      <c r="JI242" s="33"/>
      <c r="JJ242" s="33"/>
      <c r="JK242" s="33"/>
      <c r="JL242" s="33"/>
      <c r="JM242" s="33"/>
      <c r="JN242" s="33"/>
      <c r="JO242" s="33"/>
      <c r="JP242" s="33"/>
      <c r="JQ242" s="33"/>
      <c r="JR242" s="33"/>
      <c r="JS242" s="33"/>
      <c r="JT242" s="33"/>
      <c r="JU242" s="33"/>
      <c r="JV242" s="33"/>
      <c r="JW242" s="33"/>
      <c r="JX242" s="33"/>
      <c r="JY242" s="33"/>
      <c r="JZ242" s="33"/>
      <c r="KA242" s="33"/>
      <c r="KB242" s="33"/>
      <c r="KC242" s="33"/>
      <c r="KD242" s="33"/>
      <c r="KE242" s="33"/>
      <c r="KF242" s="33"/>
      <c r="KG242" s="33"/>
      <c r="KH242" s="33"/>
      <c r="KI242" s="33"/>
      <c r="KJ242" s="33"/>
      <c r="KK242" s="33"/>
      <c r="KL242" s="33"/>
      <c r="KM242" s="33"/>
      <c r="KN242" s="33"/>
      <c r="KO242" s="33"/>
      <c r="KP242" s="33"/>
      <c r="KQ242" s="33"/>
      <c r="KR242" s="33"/>
      <c r="KS242" s="33"/>
      <c r="KT242" s="33"/>
      <c r="KU242" s="33"/>
      <c r="KV242" s="33"/>
      <c r="KW242" s="33"/>
      <c r="KX242" s="33"/>
      <c r="KY242" s="33"/>
      <c r="KZ242" s="33"/>
      <c r="LA242" s="33"/>
      <c r="LB242" s="33"/>
      <c r="LC242" s="33"/>
      <c r="LD242" s="33"/>
      <c r="LE242" s="33"/>
      <c r="LF242" s="33"/>
      <c r="LG242" s="33"/>
      <c r="LH242" s="33"/>
      <c r="LI242" s="33"/>
      <c r="LJ242" s="33"/>
      <c r="LK242" s="33"/>
      <c r="LL242" s="33"/>
      <c r="LM242" s="33"/>
      <c r="LN242" s="33"/>
      <c r="LO242" s="33"/>
      <c r="LP242" s="33"/>
      <c r="LQ242" s="33"/>
      <c r="LR242" s="33"/>
      <c r="LS242" s="33"/>
      <c r="LT242" s="33"/>
      <c r="LU242" s="33"/>
      <c r="LV242" s="33"/>
      <c r="LW242" s="33"/>
      <c r="LX242" s="33"/>
      <c r="LY242" s="33"/>
      <c r="LZ242" s="33"/>
      <c r="MA242" s="33"/>
      <c r="MB242" s="33"/>
      <c r="MC242" s="33"/>
      <c r="MD242" s="33"/>
      <c r="ME242" s="33"/>
      <c r="MF242" s="33"/>
      <c r="MG242" s="33"/>
      <c r="MH242" s="33"/>
      <c r="MI242" s="33"/>
      <c r="MJ242" s="33"/>
      <c r="MK242" s="33"/>
      <c r="ML242" s="33"/>
      <c r="MM242" s="33"/>
      <c r="MN242" s="33"/>
      <c r="MO242" s="33"/>
      <c r="MP242" s="33"/>
      <c r="MQ242" s="33"/>
      <c r="MR242" s="33"/>
      <c r="MS242" s="33"/>
      <c r="MT242" s="33"/>
      <c r="MU242" s="33"/>
      <c r="MV242" s="3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AA07F-BE80-48D4-8519-EA09CD2B00CD}">
  <sheetPr codeName="Sheet8"/>
  <dimension ref="B2:B36"/>
  <sheetViews>
    <sheetView tabSelected="1" workbookViewId="0">
      <selection activeCell="B3" sqref="B3"/>
    </sheetView>
  </sheetViews>
  <sheetFormatPr defaultRowHeight="15" x14ac:dyDescent="0.25"/>
  <cols>
    <col min="1" max="1" width="2.28515625" customWidth="1"/>
  </cols>
  <sheetData>
    <row r="2" spans="2:2" ht="28.5" x14ac:dyDescent="0.45">
      <c r="B2" s="137" t="s">
        <v>77</v>
      </c>
    </row>
    <row r="3" spans="2:2" x14ac:dyDescent="0.25">
      <c r="B3" s="140" t="s">
        <v>89</v>
      </c>
    </row>
    <row r="5" spans="2:2" x14ac:dyDescent="0.25">
      <c r="B5" s="13" t="s">
        <v>64</v>
      </c>
    </row>
    <row r="7" spans="2:2" x14ac:dyDescent="0.25">
      <c r="B7" t="s">
        <v>73</v>
      </c>
    </row>
    <row r="8" spans="2:2" x14ac:dyDescent="0.25">
      <c r="B8" t="s">
        <v>74</v>
      </c>
    </row>
    <row r="10" spans="2:2" x14ac:dyDescent="0.25">
      <c r="B10" t="s">
        <v>75</v>
      </c>
    </row>
    <row r="11" spans="2:2" x14ac:dyDescent="0.25">
      <c r="B11" t="s">
        <v>76</v>
      </c>
    </row>
    <row r="14" spans="2:2" x14ac:dyDescent="0.25">
      <c r="B14" s="13" t="s">
        <v>65</v>
      </c>
    </row>
    <row r="16" spans="2:2" x14ac:dyDescent="0.25">
      <c r="B16" t="s">
        <v>78</v>
      </c>
    </row>
    <row r="18" spans="2:2" x14ac:dyDescent="0.25">
      <c r="B18" t="s">
        <v>83</v>
      </c>
    </row>
    <row r="19" spans="2:2" x14ac:dyDescent="0.25">
      <c r="B19" t="s">
        <v>84</v>
      </c>
    </row>
    <row r="20" spans="2:2" x14ac:dyDescent="0.25">
      <c r="B20" t="s">
        <v>81</v>
      </c>
    </row>
    <row r="21" spans="2:2" x14ac:dyDescent="0.25">
      <c r="B21" t="s">
        <v>82</v>
      </c>
    </row>
    <row r="22" spans="2:2" x14ac:dyDescent="0.25">
      <c r="B22" t="s">
        <v>80</v>
      </c>
    </row>
    <row r="24" spans="2:2" x14ac:dyDescent="0.25">
      <c r="B24" s="140" t="s">
        <v>85</v>
      </c>
    </row>
    <row r="26" spans="2:2" x14ac:dyDescent="0.25">
      <c r="B26" t="s">
        <v>79</v>
      </c>
    </row>
    <row r="29" spans="2:2" x14ac:dyDescent="0.25">
      <c r="B29" s="141" t="s">
        <v>66</v>
      </c>
    </row>
    <row r="30" spans="2:2" x14ac:dyDescent="0.25">
      <c r="B30" s="138" t="s">
        <v>67</v>
      </c>
    </row>
    <row r="31" spans="2:2" x14ac:dyDescent="0.25">
      <c r="B31" s="138" t="s">
        <v>68</v>
      </c>
    </row>
    <row r="32" spans="2:2" x14ac:dyDescent="0.25">
      <c r="B32" s="138" t="s">
        <v>69</v>
      </c>
    </row>
    <row r="33" spans="2:2" x14ac:dyDescent="0.25">
      <c r="B33" s="138" t="s">
        <v>72</v>
      </c>
    </row>
    <row r="35" spans="2:2" x14ac:dyDescent="0.25">
      <c r="B35" s="139" t="s">
        <v>70</v>
      </c>
    </row>
    <row r="36" spans="2:2" x14ac:dyDescent="0.25">
      <c r="B36" s="139" t="s">
        <v>71</v>
      </c>
    </row>
  </sheetData>
  <hyperlinks>
    <hyperlink ref="B30" r:id="rId1" xr:uid="{83501D34-9824-4DC0-8FC7-319299C8E2DF}"/>
    <hyperlink ref="B31" r:id="rId2" xr:uid="{536751D0-0FEE-4633-97EF-B61E4D309A04}"/>
    <hyperlink ref="B32" r:id="rId3" xr:uid="{D31DB86C-1368-4B6D-96AD-B45BB795A0A9}"/>
    <hyperlink ref="B33" r:id="rId4" xr:uid="{175427E5-328B-4F63-98F0-F48A959E0A6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HW24"/>
  <sheetViews>
    <sheetView zoomScale="85" zoomScaleNormal="85" workbookViewId="0">
      <pane ySplit="5" topLeftCell="A6" activePane="bottomLeft" state="frozenSplit"/>
      <selection activeCell="BK1" sqref="BK1"/>
      <selection pane="bottomLeft" activeCell="P18" sqref="P18"/>
    </sheetView>
  </sheetViews>
  <sheetFormatPr defaultRowHeight="15" x14ac:dyDescent="0.25"/>
  <cols>
    <col min="1" max="1" width="2.28515625" customWidth="1"/>
    <col min="127" max="127" width="16.7109375" customWidth="1"/>
    <col min="166" max="166" width="9.140625" customWidth="1"/>
    <col min="227" max="227" width="15.140625" customWidth="1"/>
  </cols>
  <sheetData>
    <row r="2" spans="2:231" x14ac:dyDescent="0.25">
      <c r="B2" s="13" t="s">
        <v>0</v>
      </c>
      <c r="N2" s="13" t="s">
        <v>17</v>
      </c>
      <c r="X2" s="2" t="s">
        <v>21</v>
      </c>
      <c r="AB2" s="13" t="s">
        <v>4</v>
      </c>
      <c r="BN2" s="13" t="s">
        <v>15</v>
      </c>
      <c r="CS2" s="13" t="s">
        <v>52</v>
      </c>
      <c r="EB2" s="13" t="s">
        <v>55</v>
      </c>
      <c r="FJ2" s="13" t="s">
        <v>15</v>
      </c>
      <c r="GO2" s="13" t="s">
        <v>52</v>
      </c>
    </row>
    <row r="3" spans="2:231" x14ac:dyDescent="0.25">
      <c r="X3" t="s">
        <v>1</v>
      </c>
      <c r="Y3" t="s">
        <v>2</v>
      </c>
      <c r="Z3" t="s">
        <v>3</v>
      </c>
      <c r="AO3" s="2" t="s">
        <v>13</v>
      </c>
      <c r="DB3" s="2" t="s">
        <v>13</v>
      </c>
      <c r="EK3" s="2" t="s">
        <v>13</v>
      </c>
      <c r="GX3" s="2" t="s">
        <v>13</v>
      </c>
    </row>
    <row r="4" spans="2:231" x14ac:dyDescent="0.25">
      <c r="C4" s="3" t="s">
        <v>6</v>
      </c>
      <c r="D4" s="4"/>
      <c r="E4" s="4"/>
      <c r="F4" s="5"/>
      <c r="H4" s="3" t="s">
        <v>57</v>
      </c>
      <c r="I4" s="4"/>
      <c r="J4" s="4"/>
      <c r="K4" s="4"/>
      <c r="L4" s="5"/>
      <c r="O4" s="3" t="s">
        <v>6</v>
      </c>
      <c r="P4" s="4"/>
      <c r="Q4" s="4"/>
      <c r="R4" s="5"/>
      <c r="V4">
        <f>91/((X4-1)/2)-1</f>
        <v>0.14465408805031443</v>
      </c>
      <c r="X4">
        <f>16*10</f>
        <v>160</v>
      </c>
      <c r="Y4">
        <f>9*10</f>
        <v>90</v>
      </c>
      <c r="AB4" s="3" t="s">
        <v>7</v>
      </c>
      <c r="AC4" s="4"/>
      <c r="AD4" s="4"/>
      <c r="AE4" s="5"/>
      <c r="AF4" s="3" t="s">
        <v>22</v>
      </c>
      <c r="AG4" s="4"/>
      <c r="AH4" s="4"/>
      <c r="AI4" s="5"/>
      <c r="AJ4" s="3" t="s">
        <v>8</v>
      </c>
      <c r="AK4" s="4"/>
      <c r="AL4" s="4"/>
      <c r="AM4" s="5"/>
      <c r="AO4" s="15" t="s">
        <v>11</v>
      </c>
      <c r="AP4" s="2"/>
      <c r="AQ4" s="2"/>
      <c r="AR4" s="2"/>
      <c r="AS4" s="2"/>
      <c r="AT4" s="2"/>
      <c r="AU4" s="2"/>
      <c r="AV4" s="2"/>
      <c r="AW4" s="2"/>
      <c r="AX4" s="2"/>
      <c r="AY4" s="15" t="s">
        <v>12</v>
      </c>
      <c r="AZ4" s="15"/>
      <c r="BA4" s="15"/>
      <c r="BB4" s="15"/>
      <c r="BC4" s="15"/>
      <c r="BD4" s="15"/>
      <c r="BE4" s="15"/>
      <c r="BF4" s="15"/>
      <c r="BG4" s="15"/>
      <c r="BH4" s="15"/>
      <c r="BL4" s="9" t="s">
        <v>34</v>
      </c>
      <c r="BN4" s="3" t="s">
        <v>6</v>
      </c>
      <c r="BO4" s="4"/>
      <c r="BP4" s="4"/>
      <c r="BQ4" s="5"/>
      <c r="BR4" s="3" t="s">
        <v>23</v>
      </c>
      <c r="BS4" s="4"/>
      <c r="BT4" s="4"/>
      <c r="BU4" s="5"/>
      <c r="BV4" s="3" t="s">
        <v>19</v>
      </c>
      <c r="BW4" s="4"/>
      <c r="BX4" s="4"/>
      <c r="BY4" s="5"/>
      <c r="BZ4" s="3" t="s">
        <v>20</v>
      </c>
      <c r="CA4" s="4"/>
      <c r="CB4" s="4"/>
      <c r="CC4" s="5"/>
      <c r="CD4" s="3" t="s">
        <v>54</v>
      </c>
      <c r="CE4" s="4"/>
      <c r="CF4" s="4"/>
      <c r="CG4" s="5"/>
      <c r="CH4" s="3" t="s">
        <v>24</v>
      </c>
      <c r="CI4" s="4"/>
      <c r="CJ4" s="4"/>
      <c r="CK4" s="5"/>
      <c r="CL4" s="17" t="s">
        <v>28</v>
      </c>
      <c r="CM4" s="17" t="s">
        <v>29</v>
      </c>
      <c r="CN4" s="3" t="s">
        <v>31</v>
      </c>
      <c r="CO4" s="4"/>
      <c r="CP4" s="4"/>
      <c r="CQ4" s="5"/>
      <c r="CS4" s="3" t="s">
        <v>7</v>
      </c>
      <c r="CT4" s="4"/>
      <c r="CU4" s="4"/>
      <c r="CV4" s="5"/>
      <c r="CW4" s="3" t="s">
        <v>8</v>
      </c>
      <c r="CX4" s="4"/>
      <c r="CY4" s="4"/>
      <c r="CZ4" s="5"/>
      <c r="DB4" s="15" t="s">
        <v>11</v>
      </c>
      <c r="DC4" s="2"/>
      <c r="DD4" s="2"/>
      <c r="DE4" s="2"/>
      <c r="DF4" s="2"/>
      <c r="DG4" s="2"/>
      <c r="DH4" s="2"/>
      <c r="DI4" s="2"/>
      <c r="DJ4" s="2"/>
      <c r="DK4" s="2"/>
      <c r="DL4" s="15" t="s">
        <v>12</v>
      </c>
      <c r="DM4" s="15"/>
      <c r="DN4" s="15"/>
      <c r="DO4" s="15"/>
      <c r="DP4" s="15"/>
      <c r="DQ4" s="15"/>
      <c r="DR4" s="15"/>
      <c r="DS4" s="15"/>
      <c r="DT4" s="15"/>
      <c r="DU4" s="15"/>
      <c r="DY4" s="27" t="s">
        <v>18</v>
      </c>
      <c r="EB4" s="3" t="s">
        <v>7</v>
      </c>
      <c r="EC4" s="4"/>
      <c r="ED4" s="4"/>
      <c r="EE4" s="5"/>
      <c r="EF4" s="3" t="s">
        <v>8</v>
      </c>
      <c r="EG4" s="4"/>
      <c r="EH4" s="4"/>
      <c r="EI4" s="5"/>
      <c r="EK4" s="15" t="s">
        <v>11</v>
      </c>
      <c r="EL4" s="2"/>
      <c r="EM4" s="2"/>
      <c r="EN4" s="2"/>
      <c r="EO4" s="2"/>
      <c r="EP4" s="2"/>
      <c r="EQ4" s="2"/>
      <c r="ER4" s="2"/>
      <c r="ES4" s="2"/>
      <c r="ET4" s="2"/>
      <c r="EU4" s="15" t="s">
        <v>12</v>
      </c>
      <c r="EV4" s="15"/>
      <c r="EW4" s="15"/>
      <c r="EX4" s="15"/>
      <c r="EY4" s="15"/>
      <c r="EZ4" s="15"/>
      <c r="FA4" s="15"/>
      <c r="FB4" s="15"/>
      <c r="FC4" s="15"/>
      <c r="FD4" s="15"/>
      <c r="FH4" s="9" t="s">
        <v>34</v>
      </c>
      <c r="FJ4" s="3" t="s">
        <v>6</v>
      </c>
      <c r="FK4" s="4"/>
      <c r="FL4" s="4"/>
      <c r="FM4" s="5"/>
      <c r="FN4" s="3" t="s">
        <v>23</v>
      </c>
      <c r="FO4" s="4"/>
      <c r="FP4" s="4"/>
      <c r="FQ4" s="5"/>
      <c r="FR4" s="3" t="s">
        <v>19</v>
      </c>
      <c r="FS4" s="4"/>
      <c r="FT4" s="4"/>
      <c r="FU4" s="5"/>
      <c r="FV4" s="3" t="s">
        <v>20</v>
      </c>
      <c r="FW4" s="4"/>
      <c r="FX4" s="4"/>
      <c r="FY4" s="5"/>
      <c r="FZ4" s="3" t="s">
        <v>54</v>
      </c>
      <c r="GA4" s="4"/>
      <c r="GB4" s="4"/>
      <c r="GC4" s="5"/>
      <c r="GD4" s="3" t="s">
        <v>24</v>
      </c>
      <c r="GE4" s="4"/>
      <c r="GF4" s="4"/>
      <c r="GG4" s="5"/>
      <c r="GH4" s="17" t="s">
        <v>28</v>
      </c>
      <c r="GI4" s="17" t="s">
        <v>29</v>
      </c>
      <c r="GJ4" s="3" t="s">
        <v>31</v>
      </c>
      <c r="GK4" s="4"/>
      <c r="GL4" s="4"/>
      <c r="GM4" s="5"/>
      <c r="GO4" s="3" t="s">
        <v>7</v>
      </c>
      <c r="GP4" s="4"/>
      <c r="GQ4" s="4"/>
      <c r="GR4" s="5"/>
      <c r="GS4" s="3" t="s">
        <v>8</v>
      </c>
      <c r="GT4" s="4"/>
      <c r="GU4" s="4"/>
      <c r="GV4" s="5"/>
      <c r="GX4" s="15" t="s">
        <v>11</v>
      </c>
      <c r="GY4" s="2"/>
      <c r="GZ4" s="2"/>
      <c r="HA4" s="2"/>
      <c r="HB4" s="2"/>
      <c r="HC4" s="2"/>
      <c r="HD4" s="2"/>
      <c r="HE4" s="2"/>
      <c r="HF4" s="2"/>
      <c r="HG4" s="2"/>
      <c r="HH4" s="15" t="s">
        <v>12</v>
      </c>
      <c r="HI4" s="15"/>
      <c r="HJ4" s="15"/>
      <c r="HK4" s="15"/>
      <c r="HL4" s="15"/>
      <c r="HM4" s="15"/>
      <c r="HN4" s="15"/>
      <c r="HO4" s="15"/>
      <c r="HP4" s="15"/>
      <c r="HQ4" s="15"/>
      <c r="HU4" s="27" t="s">
        <v>18</v>
      </c>
      <c r="HW4" s="27" t="s">
        <v>18</v>
      </c>
    </row>
    <row r="5" spans="2:231" x14ac:dyDescent="0.25">
      <c r="C5" s="6" t="s">
        <v>1</v>
      </c>
      <c r="D5" s="7" t="s">
        <v>2</v>
      </c>
      <c r="E5" s="7" t="s">
        <v>3</v>
      </c>
      <c r="F5" s="8" t="s">
        <v>5</v>
      </c>
      <c r="G5" s="16" t="s">
        <v>10</v>
      </c>
      <c r="H5" s="6" t="s">
        <v>27</v>
      </c>
      <c r="I5" s="7" t="s">
        <v>25</v>
      </c>
      <c r="J5" s="7" t="s">
        <v>26</v>
      </c>
      <c r="K5" s="7" t="s">
        <v>32</v>
      </c>
      <c r="L5" s="8" t="s">
        <v>56</v>
      </c>
      <c r="O5" s="6" t="s">
        <v>1</v>
      </c>
      <c r="P5" s="7" t="s">
        <v>2</v>
      </c>
      <c r="Q5" s="7" t="s">
        <v>3</v>
      </c>
      <c r="R5" s="8" t="s">
        <v>5</v>
      </c>
      <c r="S5" s="12" t="s">
        <v>18</v>
      </c>
      <c r="V5">
        <f>44/((Y4-1)/2)-1</f>
        <v>-1.1235955056179803E-2</v>
      </c>
      <c r="AB5" s="6" t="s">
        <v>1</v>
      </c>
      <c r="AC5" s="7" t="s">
        <v>2</v>
      </c>
      <c r="AD5" s="7" t="s">
        <v>3</v>
      </c>
      <c r="AE5" s="8" t="s">
        <v>5</v>
      </c>
      <c r="AF5" s="6" t="s">
        <v>1</v>
      </c>
      <c r="AG5" s="7" t="s">
        <v>2</v>
      </c>
      <c r="AH5" s="7" t="s">
        <v>3</v>
      </c>
      <c r="AI5" s="8" t="s">
        <v>5</v>
      </c>
      <c r="AJ5" s="6" t="s">
        <v>1</v>
      </c>
      <c r="AK5" s="7" t="s">
        <v>2</v>
      </c>
      <c r="AL5" s="7" t="s">
        <v>3</v>
      </c>
      <c r="AM5" s="8" t="s">
        <v>5</v>
      </c>
      <c r="AO5" s="15">
        <v>0</v>
      </c>
      <c r="AP5" s="15">
        <v>1</v>
      </c>
      <c r="AQ5" s="15">
        <v>2</v>
      </c>
      <c r="AR5" s="15">
        <v>3</v>
      </c>
      <c r="AS5" s="15">
        <v>4</v>
      </c>
      <c r="AT5" s="15">
        <v>5</v>
      </c>
      <c r="AU5" s="15">
        <v>6</v>
      </c>
      <c r="AV5" s="15">
        <v>7</v>
      </c>
      <c r="AW5" s="15">
        <v>8</v>
      </c>
      <c r="AX5" s="15">
        <v>9</v>
      </c>
      <c r="AY5" s="15">
        <v>0</v>
      </c>
      <c r="AZ5" s="15">
        <v>1</v>
      </c>
      <c r="BA5" s="15">
        <v>2</v>
      </c>
      <c r="BB5" s="15">
        <v>3</v>
      </c>
      <c r="BC5" s="15">
        <v>4</v>
      </c>
      <c r="BD5" s="15">
        <v>5</v>
      </c>
      <c r="BE5" s="15">
        <v>6</v>
      </c>
      <c r="BF5" s="15">
        <v>7</v>
      </c>
      <c r="BG5" s="15">
        <v>8</v>
      </c>
      <c r="BH5" s="15">
        <v>9</v>
      </c>
      <c r="BJ5" s="9" t="s">
        <v>14</v>
      </c>
      <c r="BL5" s="9" t="s">
        <v>35</v>
      </c>
      <c r="BN5" s="6" t="s">
        <v>1</v>
      </c>
      <c r="BO5" s="7" t="s">
        <v>2</v>
      </c>
      <c r="BP5" s="7" t="s">
        <v>3</v>
      </c>
      <c r="BQ5" s="8" t="s">
        <v>5</v>
      </c>
      <c r="BR5" s="6" t="s">
        <v>1</v>
      </c>
      <c r="BS5" s="7" t="s">
        <v>2</v>
      </c>
      <c r="BT5" s="7" t="s">
        <v>3</v>
      </c>
      <c r="BU5" s="8" t="s">
        <v>5</v>
      </c>
      <c r="BV5" s="6" t="s">
        <v>1</v>
      </c>
      <c r="BW5" s="7" t="s">
        <v>2</v>
      </c>
      <c r="BX5" s="7" t="s">
        <v>3</v>
      </c>
      <c r="BY5" s="8" t="s">
        <v>5</v>
      </c>
      <c r="BZ5" s="6" t="s">
        <v>1</v>
      </c>
      <c r="CA5" s="7" t="s">
        <v>2</v>
      </c>
      <c r="CB5" s="7" t="s">
        <v>3</v>
      </c>
      <c r="CC5" s="8" t="s">
        <v>5</v>
      </c>
      <c r="CD5" s="6" t="s">
        <v>1</v>
      </c>
      <c r="CE5" s="7" t="s">
        <v>2</v>
      </c>
      <c r="CF5" s="7" t="s">
        <v>3</v>
      </c>
      <c r="CG5" s="8" t="s">
        <v>5</v>
      </c>
      <c r="CH5" s="6" t="s">
        <v>1</v>
      </c>
      <c r="CI5" s="7" t="s">
        <v>2</v>
      </c>
      <c r="CJ5" s="7" t="s">
        <v>3</v>
      </c>
      <c r="CK5" s="8" t="s">
        <v>5</v>
      </c>
      <c r="CL5" s="17" t="s">
        <v>16</v>
      </c>
      <c r="CM5" s="17" t="s">
        <v>30</v>
      </c>
      <c r="CN5" s="6" t="s">
        <v>27</v>
      </c>
      <c r="CO5" s="7" t="s">
        <v>25</v>
      </c>
      <c r="CP5" s="7" t="s">
        <v>26</v>
      </c>
      <c r="CQ5" s="8" t="s">
        <v>33</v>
      </c>
      <c r="CS5" s="6" t="s">
        <v>1</v>
      </c>
      <c r="CT5" s="7" t="s">
        <v>2</v>
      </c>
      <c r="CU5" s="7" t="s">
        <v>3</v>
      </c>
      <c r="CV5" s="8" t="s">
        <v>5</v>
      </c>
      <c r="CW5" s="6" t="s">
        <v>1</v>
      </c>
      <c r="CX5" s="7" t="s">
        <v>2</v>
      </c>
      <c r="CY5" s="7" t="s">
        <v>3</v>
      </c>
      <c r="CZ5" s="8" t="s">
        <v>5</v>
      </c>
      <c r="DB5" s="15">
        <v>0</v>
      </c>
      <c r="DC5" s="15">
        <v>1</v>
      </c>
      <c r="DD5" s="15">
        <v>2</v>
      </c>
      <c r="DE5" s="15">
        <v>3</v>
      </c>
      <c r="DF5" s="15">
        <v>4</v>
      </c>
      <c r="DG5" s="15">
        <v>5</v>
      </c>
      <c r="DH5" s="15">
        <v>6</v>
      </c>
      <c r="DI5" s="15">
        <v>7</v>
      </c>
      <c r="DJ5" s="15">
        <v>8</v>
      </c>
      <c r="DK5" s="15">
        <v>9</v>
      </c>
      <c r="DL5" s="15">
        <v>0</v>
      </c>
      <c r="DM5" s="15">
        <v>1</v>
      </c>
      <c r="DN5" s="15">
        <v>2</v>
      </c>
      <c r="DO5" s="15">
        <v>3</v>
      </c>
      <c r="DP5" s="15">
        <v>4</v>
      </c>
      <c r="DQ5" s="15">
        <v>5</v>
      </c>
      <c r="DR5" s="15">
        <v>6</v>
      </c>
      <c r="DS5" s="15">
        <v>7</v>
      </c>
      <c r="DT5" s="15">
        <v>8</v>
      </c>
      <c r="DU5" s="15">
        <v>9</v>
      </c>
      <c r="DW5" s="9" t="s">
        <v>14</v>
      </c>
      <c r="DY5" s="28" t="s">
        <v>53</v>
      </c>
      <c r="EB5" s="6" t="s">
        <v>1</v>
      </c>
      <c r="EC5" s="7" t="s">
        <v>2</v>
      </c>
      <c r="ED5" s="7" t="s">
        <v>3</v>
      </c>
      <c r="EE5" s="8" t="s">
        <v>5</v>
      </c>
      <c r="EF5" s="6" t="s">
        <v>1</v>
      </c>
      <c r="EG5" s="7" t="s">
        <v>2</v>
      </c>
      <c r="EH5" s="7" t="s">
        <v>3</v>
      </c>
      <c r="EI5" s="8" t="s">
        <v>5</v>
      </c>
      <c r="EK5" s="15">
        <v>0</v>
      </c>
      <c r="EL5" s="15">
        <v>1</v>
      </c>
      <c r="EM5" s="15">
        <v>2</v>
      </c>
      <c r="EN5" s="15">
        <v>3</v>
      </c>
      <c r="EO5" s="15">
        <v>4</v>
      </c>
      <c r="EP5" s="15">
        <v>5</v>
      </c>
      <c r="EQ5" s="15">
        <v>6</v>
      </c>
      <c r="ER5" s="15">
        <v>7</v>
      </c>
      <c r="ES5" s="15">
        <v>8</v>
      </c>
      <c r="ET5" s="15">
        <v>9</v>
      </c>
      <c r="EU5" s="15">
        <v>0</v>
      </c>
      <c r="EV5" s="15">
        <v>1</v>
      </c>
      <c r="EW5" s="15">
        <v>2</v>
      </c>
      <c r="EX5" s="15">
        <v>3</v>
      </c>
      <c r="EY5" s="15">
        <v>4</v>
      </c>
      <c r="EZ5" s="15">
        <v>5</v>
      </c>
      <c r="FA5" s="15">
        <v>6</v>
      </c>
      <c r="FB5" s="15">
        <v>7</v>
      </c>
      <c r="FC5" s="15">
        <v>8</v>
      </c>
      <c r="FD5" s="15">
        <v>9</v>
      </c>
      <c r="FF5" s="9" t="s">
        <v>14</v>
      </c>
      <c r="FH5" s="9" t="s">
        <v>35</v>
      </c>
      <c r="FJ5" s="6" t="s">
        <v>1</v>
      </c>
      <c r="FK5" s="7" t="s">
        <v>2</v>
      </c>
      <c r="FL5" s="7" t="s">
        <v>3</v>
      </c>
      <c r="FM5" s="8" t="s">
        <v>5</v>
      </c>
      <c r="FN5" s="6" t="s">
        <v>1</v>
      </c>
      <c r="FO5" s="7" t="s">
        <v>2</v>
      </c>
      <c r="FP5" s="7" t="s">
        <v>3</v>
      </c>
      <c r="FQ5" s="8" t="s">
        <v>5</v>
      </c>
      <c r="FR5" s="6" t="s">
        <v>1</v>
      </c>
      <c r="FS5" s="7" t="s">
        <v>2</v>
      </c>
      <c r="FT5" s="7" t="s">
        <v>3</v>
      </c>
      <c r="FU5" s="8" t="s">
        <v>5</v>
      </c>
      <c r="FV5" s="6" t="s">
        <v>1</v>
      </c>
      <c r="FW5" s="7" t="s">
        <v>2</v>
      </c>
      <c r="FX5" s="7" t="s">
        <v>3</v>
      </c>
      <c r="FY5" s="8" t="s">
        <v>5</v>
      </c>
      <c r="FZ5" s="6" t="s">
        <v>1</v>
      </c>
      <c r="GA5" s="7" t="s">
        <v>2</v>
      </c>
      <c r="GB5" s="7" t="s">
        <v>3</v>
      </c>
      <c r="GC5" s="8" t="s">
        <v>5</v>
      </c>
      <c r="GD5" s="6" t="s">
        <v>1</v>
      </c>
      <c r="GE5" s="7" t="s">
        <v>2</v>
      </c>
      <c r="GF5" s="7" t="s">
        <v>3</v>
      </c>
      <c r="GG5" s="8" t="s">
        <v>5</v>
      </c>
      <c r="GH5" s="17" t="s">
        <v>16</v>
      </c>
      <c r="GI5" s="17" t="s">
        <v>30</v>
      </c>
      <c r="GJ5" s="6" t="s">
        <v>27</v>
      </c>
      <c r="GK5" s="7" t="s">
        <v>25</v>
      </c>
      <c r="GL5" s="7" t="s">
        <v>26</v>
      </c>
      <c r="GM5" s="8" t="s">
        <v>33</v>
      </c>
      <c r="GO5" s="6" t="s">
        <v>1</v>
      </c>
      <c r="GP5" s="7" t="s">
        <v>2</v>
      </c>
      <c r="GQ5" s="7" t="s">
        <v>3</v>
      </c>
      <c r="GR5" s="8" t="s">
        <v>5</v>
      </c>
      <c r="GS5" s="6" t="s">
        <v>1</v>
      </c>
      <c r="GT5" s="7" t="s">
        <v>2</v>
      </c>
      <c r="GU5" s="7" t="s">
        <v>3</v>
      </c>
      <c r="GV5" s="8" t="s">
        <v>5</v>
      </c>
      <c r="GX5" s="15">
        <v>0</v>
      </c>
      <c r="GY5" s="15">
        <v>1</v>
      </c>
      <c r="GZ5" s="15">
        <v>2</v>
      </c>
      <c r="HA5" s="15">
        <v>3</v>
      </c>
      <c r="HB5" s="15">
        <v>4</v>
      </c>
      <c r="HC5" s="15">
        <v>5</v>
      </c>
      <c r="HD5" s="15">
        <v>6</v>
      </c>
      <c r="HE5" s="15">
        <v>7</v>
      </c>
      <c r="HF5" s="15">
        <v>8</v>
      </c>
      <c r="HG5" s="15">
        <v>9</v>
      </c>
      <c r="HH5" s="15">
        <v>0</v>
      </c>
      <c r="HI5" s="15">
        <v>1</v>
      </c>
      <c r="HJ5" s="15">
        <v>2</v>
      </c>
      <c r="HK5" s="15">
        <v>3</v>
      </c>
      <c r="HL5" s="15">
        <v>4</v>
      </c>
      <c r="HM5" s="15">
        <v>5</v>
      </c>
      <c r="HN5" s="15">
        <v>6</v>
      </c>
      <c r="HO5" s="15">
        <v>7</v>
      </c>
      <c r="HP5" s="15">
        <v>8</v>
      </c>
      <c r="HQ5" s="15">
        <v>9</v>
      </c>
      <c r="HS5" s="9" t="s">
        <v>14</v>
      </c>
      <c r="HU5" s="28" t="s">
        <v>53</v>
      </c>
      <c r="HW5" s="28" t="s">
        <v>53</v>
      </c>
    </row>
    <row r="6" spans="2:231" x14ac:dyDescent="0.25">
      <c r="B6">
        <v>0</v>
      </c>
      <c r="C6" s="10">
        <v>0</v>
      </c>
      <c r="D6" s="10">
        <v>-1000</v>
      </c>
      <c r="E6" s="10">
        <v>0</v>
      </c>
      <c r="F6" s="10">
        <v>1</v>
      </c>
      <c r="G6" s="10">
        <v>999</v>
      </c>
      <c r="H6" s="10">
        <v>0</v>
      </c>
      <c r="I6" s="10">
        <v>0.9</v>
      </c>
      <c r="J6" s="10">
        <v>0.9</v>
      </c>
      <c r="K6" s="10">
        <v>200</v>
      </c>
      <c r="L6" s="10">
        <v>0.6</v>
      </c>
      <c r="N6">
        <v>1</v>
      </c>
      <c r="O6" s="10">
        <v>-10</v>
      </c>
      <c r="P6" s="10">
        <v>10</v>
      </c>
      <c r="Q6" s="10">
        <v>-10</v>
      </c>
      <c r="R6" s="10">
        <v>1</v>
      </c>
      <c r="S6" s="10">
        <v>1</v>
      </c>
      <c r="X6" s="11">
        <f>(MOD((ROW(W6)-ROW($W$6)),$X$4)-($X$4-1)/2)/(($X$4-1)/2)*$X$4/$Y$4</f>
        <v>-1.7777777777777777</v>
      </c>
      <c r="Y6" s="11">
        <f>(INT((ROW(W6)-ROW($W$6))/$X$4)-($Y$4-1)/2)/(($Y$4-1)/2)</f>
        <v>-1</v>
      </c>
      <c r="Z6" s="11">
        <v>4</v>
      </c>
      <c r="AB6" s="10">
        <f t="array" aca="1" ref="AB6:AE6" ca="1">TRANSPOSE(Screen!$GL$98:$GL$101)</f>
        <v>0</v>
      </c>
      <c r="AC6" s="10">
        <f ca="1"/>
        <v>0.50000000000000033</v>
      </c>
      <c r="AD6" s="10">
        <f ca="1"/>
        <v>-15</v>
      </c>
      <c r="AE6" s="10">
        <f ca="1"/>
        <v>1</v>
      </c>
      <c r="AF6" s="10">
        <f t="array" aca="1" ref="AF6:AH6" ca="1">TRANSPOSE(MMULT(Screen!$GI$98:$GK$100,TRANSPOSE(X6:Z6)))</f>
        <v>-1.7777777777777777</v>
      </c>
      <c r="AG6" s="10">
        <f ca="1"/>
        <v>-1.2380565658529825</v>
      </c>
      <c r="AH6" s="10">
        <f ca="1"/>
        <v>3.9400359935205556</v>
      </c>
      <c r="AI6" s="10">
        <v>1</v>
      </c>
      <c r="AJ6" s="10">
        <f t="array" aca="1" ref="AJ6" ca="1">AF6/SQRT(SUM(($AF6:$AH6)*($AF6:$AH6)))</f>
        <v>-0.3953824451236479</v>
      </c>
      <c r="AK6" s="10">
        <f t="array" aca="1" ref="AK6" ca="1">AG6/SQRT(SUM(($AF6:$AH6)*($AF6:$AH6)))</f>
        <v>-0.27534703061719062</v>
      </c>
      <c r="AL6" s="10">
        <f t="array" aca="1" ref="AL6" ca="1">AH6/SQRT(SUM(($AF6:$AH6)*($AF6:$AH6)))</f>
        <v>0.87627434905875301</v>
      </c>
      <c r="AM6" s="10">
        <v>0</v>
      </c>
      <c r="AO6" s="10">
        <f t="array" aca="1" ref="AO6" ca="1">-SUM(($AJ6:$AM6)*($AB6:$AE6-OFFSET($C$6:$F$6,AO$5,0)))+SQRT(SUM(($AJ6:$AM6)*($AB6:$AE6-OFFSET($C$6:$F$6,AO$5,0)))^2-SUM(($AB6:$AE6-OFFSET($C$6:$F$6,AO$5,0))*($AB6:$AE6-OFFSET($C$6:$F$6,AO$5,0)))+OFFSET($G$6,AO$5,0)^2)</f>
        <v>571.61706182729472</v>
      </c>
      <c r="AP6" s="10" t="e">
        <f t="array" aca="1" ref="AP6" ca="1">-SUM(($AJ6:$AM6)*($AB6:$AE6-OFFSET($C$6:$F$6,AP$5,0)))+SQRT(SUM(($AJ6:$AM6)*($AB6:$AE6-OFFSET($C$6:$F$6,AP$5,0)))^2-SUM(($AB6:$AE6-OFFSET($C$6:$F$6,AP$5,0))*($AB6:$AE6-OFFSET($C$6:$F$6,AP$5,0)))+OFFSET($G$6,AP$5,0)^2)</f>
        <v>#NUM!</v>
      </c>
      <c r="AQ6" s="10" t="e">
        <f t="array" aca="1" ref="AQ6" ca="1">-SUM(($AJ6:$AM6)*($AB6:$AE6-OFFSET($C$6:$F$6,AQ$5,0)))+SQRT(SUM(($AJ6:$AM6)*($AB6:$AE6-OFFSET($C$6:$F$6,AQ$5,0)))^2-SUM(($AB6:$AE6-OFFSET($C$6:$F$6,AQ$5,0))*($AB6:$AE6-OFFSET($C$6:$F$6,AQ$5,0)))+OFFSET($G$6,AQ$5,0)^2)</f>
        <v>#NUM!</v>
      </c>
      <c r="AR6" s="10" t="e">
        <f t="array" aca="1" ref="AR6" ca="1">-SUM(($AJ6:$AM6)*($AB6:$AE6-OFFSET($C$6:$F$6,AR$5,0)))+SQRT(SUM(($AJ6:$AM6)*($AB6:$AE6-OFFSET($C$6:$F$6,AR$5,0)))^2-SUM(($AB6:$AE6-OFFSET($C$6:$F$6,AR$5,0))*($AB6:$AE6-OFFSET($C$6:$F$6,AR$5,0)))+OFFSET($G$6,AR$5,0)^2)</f>
        <v>#NUM!</v>
      </c>
      <c r="AS6" s="10" t="e">
        <f t="array" aca="1" ref="AS6" ca="1">-SUM(($AJ6:$AM6)*($AB6:$AE6-OFFSET($C$6:$F$6,AS$5,0)))+SQRT(SUM(($AJ6:$AM6)*($AB6:$AE6-OFFSET($C$6:$F$6,AS$5,0)))^2-SUM(($AB6:$AE6-OFFSET($C$6:$F$6,AS$5,0))*($AB6:$AE6-OFFSET($C$6:$F$6,AS$5,0)))+OFFSET($G$6,AS$5,0)^2)</f>
        <v>#NUM!</v>
      </c>
      <c r="AT6" s="10" t="e">
        <f t="array" aca="1" ref="AT6" ca="1">-SUM(($AJ6:$AM6)*($AB6:$AE6-OFFSET($C$6:$F$6,AT$5,0)))+SQRT(SUM(($AJ6:$AM6)*($AB6:$AE6-OFFSET($C$6:$F$6,AT$5,0)))^2-SUM(($AB6:$AE6-OFFSET($C$6:$F$6,AT$5,0))*($AB6:$AE6-OFFSET($C$6:$F$6,AT$5,0)))+OFFSET($G$6,AT$5,0)^2)</f>
        <v>#NUM!</v>
      </c>
      <c r="AU6" s="10" t="e">
        <f t="array" aca="1" ref="AU6" ca="1">-SUM(($AJ6:$AM6)*($AB6:$AE6-OFFSET($C$6:$F$6,AU$5,0)))+SQRT(SUM(($AJ6:$AM6)*($AB6:$AE6-OFFSET($C$6:$F$6,AU$5,0)))^2-SUM(($AB6:$AE6-OFFSET($C$6:$F$6,AU$5,0))*($AB6:$AE6-OFFSET($C$6:$F$6,AU$5,0)))+OFFSET($G$6,AU$5,0)^2)</f>
        <v>#NUM!</v>
      </c>
      <c r="AV6" s="10" t="e">
        <f t="array" aca="1" ref="AV6" ca="1">-SUM(($AJ6:$AM6)*($AB6:$AE6-OFFSET($C$6:$F$6,AV$5,0)))+SQRT(SUM(($AJ6:$AM6)*($AB6:$AE6-OFFSET($C$6:$F$6,AV$5,0)))^2-SUM(($AB6:$AE6-OFFSET($C$6:$F$6,AV$5,0))*($AB6:$AE6-OFFSET($C$6:$F$6,AV$5,0)))+OFFSET($G$6,AV$5,0)^2)</f>
        <v>#NUM!</v>
      </c>
      <c r="AW6" s="10" t="e">
        <f t="array" aca="1" ref="AW6" ca="1">-SUM(($AJ6:$AM6)*($AB6:$AE6-OFFSET($C$6:$F$6,AW$5,0)))+SQRT(SUM(($AJ6:$AM6)*($AB6:$AE6-OFFSET($C$6:$F$6,AW$5,0)))^2-SUM(($AB6:$AE6-OFFSET($C$6:$F$6,AW$5,0))*($AB6:$AE6-OFFSET($C$6:$F$6,AW$5,0)))+OFFSET($G$6,AW$5,0)^2)</f>
        <v>#NUM!</v>
      </c>
      <c r="AX6" s="10" t="e">
        <f t="array" aca="1" ref="AX6" ca="1">-SUM(($AJ6:$AM6)*($AB6:$AE6-OFFSET($C$6:$F$6,AX$5,0)))+SQRT(SUM(($AJ6:$AM6)*($AB6:$AE6-OFFSET($C$6:$F$6,AX$5,0)))^2-SUM(($AB6:$AE6-OFFSET($C$6:$F$6,AX$5,0))*($AB6:$AE6-OFFSET($C$6:$F$6,AX$5,0)))+OFFSET($G$6,AX$5,0)^2)</f>
        <v>#NUM!</v>
      </c>
      <c r="AY6" s="10">
        <f t="array" aca="1" ref="AY6" ca="1">-SUM(($AJ6:$AM6)*($AB6:$AE6-OFFSET($C$6:$F$6,AO$5,0)))-SQRT(SUM(($AJ6:$AM6)*($AB6:$AE6-OFFSET($C$6:$F$6,AO$5,0)))^2-SUM(($AB6:$AE6-OFFSET($C$6:$F$6,AO$5,0))*($AB6:$AE6-OFFSET($C$6:$F$6,AO$5,0)))+OFFSET($G$6,AO$5,0)^2)</f>
        <v>5.6405769094663469</v>
      </c>
      <c r="AZ6" s="10" t="e">
        <f t="array" aca="1" ref="AZ6" ca="1">-SUM(($AJ6:$AM6)*($AB6:$AE6-OFFSET($C$6:$F$6,AP$5,0)))-SQRT(SUM(($AJ6:$AM6)*($AB6:$AE6-OFFSET($C$6:$F$6,AP$5,0)))^2-SUM(($AB6:$AE6-OFFSET($C$6:$F$6,AP$5,0))*($AB6:$AE6-OFFSET($C$6:$F$6,AP$5,0)))+OFFSET($G$6,AP$5,0)^2)</f>
        <v>#NUM!</v>
      </c>
      <c r="BA6" s="10" t="e">
        <f t="array" aca="1" ref="BA6" ca="1">-SUM(($AJ6:$AM6)*($AB6:$AE6-OFFSET($C$6:$F$6,AQ$5,0)))-SQRT(SUM(($AJ6:$AM6)*($AB6:$AE6-OFFSET($C$6:$F$6,AQ$5,0)))^2-SUM(($AB6:$AE6-OFFSET($C$6:$F$6,AQ$5,0))*($AB6:$AE6-OFFSET($C$6:$F$6,AQ$5,0)))+OFFSET($G$6,AQ$5,0)^2)</f>
        <v>#NUM!</v>
      </c>
      <c r="BB6" s="10" t="e">
        <f t="array" aca="1" ref="BB6" ca="1">-SUM(($AJ6:$AM6)*($AB6:$AE6-OFFSET($C$6:$F$6,AR$5,0)))-SQRT(SUM(($AJ6:$AM6)*($AB6:$AE6-OFFSET($C$6:$F$6,AR$5,0)))^2-SUM(($AB6:$AE6-OFFSET($C$6:$F$6,AR$5,0))*($AB6:$AE6-OFFSET($C$6:$F$6,AR$5,0)))+OFFSET($G$6,AR$5,0)^2)</f>
        <v>#NUM!</v>
      </c>
      <c r="BC6" s="10" t="e">
        <f t="array" aca="1" ref="BC6" ca="1">-SUM(($AJ6:$AM6)*($AB6:$AE6-OFFSET($C$6:$F$6,AS$5,0)))-SQRT(SUM(($AJ6:$AM6)*($AB6:$AE6-OFFSET($C$6:$F$6,AS$5,0)))^2-SUM(($AB6:$AE6-OFFSET($C$6:$F$6,AS$5,0))*($AB6:$AE6-OFFSET($C$6:$F$6,AS$5,0)))+OFFSET($G$6,AS$5,0)^2)</f>
        <v>#NUM!</v>
      </c>
      <c r="BD6" s="10" t="e">
        <f t="array" aca="1" ref="BD6" ca="1">-SUM(($AJ6:$AM6)*($AB6:$AE6-OFFSET($C$6:$F$6,AT$5,0)))-SQRT(SUM(($AJ6:$AM6)*($AB6:$AE6-OFFSET($C$6:$F$6,AT$5,0)))^2-SUM(($AB6:$AE6-OFFSET($C$6:$F$6,AT$5,0))*($AB6:$AE6-OFFSET($C$6:$F$6,AT$5,0)))+OFFSET($G$6,AT$5,0)^2)</f>
        <v>#NUM!</v>
      </c>
      <c r="BE6" s="10" t="e">
        <f t="array" aca="1" ref="BE6" ca="1">-SUM(($AJ6:$AM6)*($AB6:$AE6-OFFSET($C$6:$F$6,AU$5,0)))-SQRT(SUM(($AJ6:$AM6)*($AB6:$AE6-OFFSET($C$6:$F$6,AU$5,0)))^2-SUM(($AB6:$AE6-OFFSET($C$6:$F$6,AU$5,0))*($AB6:$AE6-OFFSET($C$6:$F$6,AU$5,0)))+OFFSET($G$6,AU$5,0)^2)</f>
        <v>#NUM!</v>
      </c>
      <c r="BF6" s="10" t="e">
        <f t="array" aca="1" ref="BF6" ca="1">-SUM(($AJ6:$AM6)*($AB6:$AE6-OFFSET($C$6:$F$6,AV$5,0)))-SQRT(SUM(($AJ6:$AM6)*($AB6:$AE6-OFFSET($C$6:$F$6,AV$5,0)))^2-SUM(($AB6:$AE6-OFFSET($C$6:$F$6,AV$5,0))*($AB6:$AE6-OFFSET($C$6:$F$6,AV$5,0)))+OFFSET($G$6,AV$5,0)^2)</f>
        <v>#NUM!</v>
      </c>
      <c r="BG6" s="10" t="e">
        <f t="array" aca="1" ref="BG6" ca="1">-SUM(($AJ6:$AM6)*($AB6:$AE6-OFFSET($C$6:$F$6,AW$5,0)))-SQRT(SUM(($AJ6:$AM6)*($AB6:$AE6-OFFSET($C$6:$F$6,AW$5,0)))^2-SUM(($AB6:$AE6-OFFSET($C$6:$F$6,AW$5,0))*($AB6:$AE6-OFFSET($C$6:$F$6,AW$5,0)))+OFFSET($G$6,AW$5,0)^2)</f>
        <v>#NUM!</v>
      </c>
      <c r="BH6" s="10" t="e">
        <f t="array" aca="1" ref="BH6" ca="1">-SUM(($AJ6:$AM6)*($AB6:$AE6-OFFSET($C$6:$F$6,AX$5,0)))-SQRT(SUM(($AJ6:$AM6)*($AB6:$AE6-OFFSET($C$6:$F$6,AX$5,0)))^2-SUM(($AB6:$AE6-OFFSET($C$6:$F$6,AX$5,0))*($AB6:$AE6-OFFSET($C$6:$F$6,AX$5,0)))+OFFSET($G$6,AX$5,0)^2)</f>
        <v>#NUM!</v>
      </c>
      <c r="BJ6" s="10">
        <f t="array" aca="1" ref="BJ6" ca="1">MIN(IF(IF(ISERROR(AO6:BH6),-1,AO6:BH6)&lt;0,9999999999,AO6:BH6))</f>
        <v>5.6405769094663469</v>
      </c>
      <c r="BL6">
        <f ca="1">IF(BJ6=9999999999,-1,INDEX($AO$5:$BH$5,0,MATCH(BJ6,AO6:BH6,0)))</f>
        <v>0</v>
      </c>
      <c r="BN6" s="10">
        <f ca="1">AB6+$BJ6*AJ6</f>
        <v>-2.2301850903727933</v>
      </c>
      <c r="BO6" s="10">
        <f ca="1">AC6+$BJ6*AK6</f>
        <v>-1.0531161029894482</v>
      </c>
      <c r="BP6" s="10">
        <f ca="1">AD6+$BJ6*AL6</f>
        <v>-10.057307140341544</v>
      </c>
      <c r="BQ6" s="10">
        <f ca="1">AE6+$BJ6*AM6</f>
        <v>1</v>
      </c>
      <c r="BR6" s="14">
        <f ca="1">-AJ6</f>
        <v>0.3953824451236479</v>
      </c>
      <c r="BS6" s="14">
        <f ca="1">-AK6</f>
        <v>0.27534703061719062</v>
      </c>
      <c r="BT6" s="14">
        <f ca="1">-AL6</f>
        <v>-0.87627434905875301</v>
      </c>
      <c r="BU6" s="14">
        <f>-AM6</f>
        <v>0</v>
      </c>
      <c r="BV6" s="10">
        <f t="array" aca="1" ref="BV6" ca="1">(BN6-OFFSET(C$6,$BL6,0))/SQRT(SUM(($BN6:$BQ6-OFFSET($C$6:$F$6,$BL6,0))*($BN6:$BQ6-OFFSET($C$6:$F$6,$BL6,0))))</f>
        <v>-2.2324175078806737E-3</v>
      </c>
      <c r="BW6" s="10">
        <f t="array" aca="1" ref="BW6" ca="1">(BO6-OFFSET(D$6,$BL6,0))/SQRT(SUM(($BN6:$BQ6-OFFSET($C$6:$F$6,$BL6,0))*($BN6:$BQ6-OFFSET($C$6:$F$6,$BL6,0))))</f>
        <v>0.99994683072773827</v>
      </c>
      <c r="BX6" s="10">
        <f t="array" aca="1" ref="BX6" ca="1">(BP6-OFFSET(E$6,$BL6,0))/SQRT(SUM(($BN6:$BQ6-OFFSET($C$6:$F$6,$BL6,0))*($BN6:$BQ6-OFFSET($C$6:$F$6,$BL6,0))))</f>
        <v>-1.0067374514856399E-2</v>
      </c>
      <c r="BY6" s="10">
        <f t="array" aca="1" ref="BY6" ca="1">(BQ6-OFFSET(F$6,$BL6,0))/SQRT(SUM(($BN6:$BQ6-OFFSET($C$6:$F$6,$BL6,0))*($BN6:$BQ6-OFFSET($C$6:$F$6,$BL6,0))))</f>
        <v>0</v>
      </c>
      <c r="BZ6" s="14">
        <f t="array" aca="1" ref="BZ6" ca="1">-(BN6-O$6)/SQRT(SUM(($O$6:$R$6-$BN6:$BQ6)*($O$6:$R$6-$BN6:$BQ6)))</f>
        <v>-0.57507710649287525</v>
      </c>
      <c r="CA6" s="14">
        <f t="array" aca="1" ref="CA6" ca="1">-(BO6-P$6)/SQRT(SUM(($O$6:$R$6-$BN6:$BQ6)*($O$6:$R$6-$BN6:$BQ6)))</f>
        <v>0.81808821705148649</v>
      </c>
      <c r="CB6" s="14">
        <f t="array" aca="1" ref="CB6" ca="1">-(BP6-Q$6)/SQRT(SUM(($O$6:$R$6-$BN6:$BQ6)*($O$6:$R$6-$BN6:$BQ6)))</f>
        <v>4.241545626545393E-3</v>
      </c>
      <c r="CC6" s="14">
        <f t="array" aca="1" ref="CC6" ca="1">-(BQ6-R$6)/SQRT(SUM(($O$6:$R$6-$BN6:$BQ6)*($O$6:$R$6-$BN6:$BQ6)))</f>
        <v>0</v>
      </c>
      <c r="CD6" s="14">
        <f t="array" aca="1" ref="CD6:CG6" ca="1">-BR6:BU6-BV6:BY6*2*SUM(-BR6:BU6*BV6:BY6)</f>
        <v>-0.39664720569820178</v>
      </c>
      <c r="CE6" s="14">
        <f ca="1"/>
        <v>0.29116587464808269</v>
      </c>
      <c r="CF6" s="14">
        <f ca="1"/>
        <v>0.87057074821764213</v>
      </c>
      <c r="CG6" s="14">
        <f ca="1"/>
        <v>0</v>
      </c>
      <c r="CH6" s="14">
        <f t="array" aca="1" ref="CH6:CK6" ca="1">-BZ6:CC6-BV6:BY6*2*SUM(-BZ6:CC6*BV6:BY6)</f>
        <v>0.57141913042729464</v>
      </c>
      <c r="CI6" s="14">
        <f ca="1"/>
        <v>0.8203963230235336</v>
      </c>
      <c r="CJ6" s="14">
        <f ca="1"/>
        <v>-2.0737660214690659E-2</v>
      </c>
      <c r="CK6" s="14">
        <f ca="1"/>
        <v>0</v>
      </c>
      <c r="CL6">
        <f t="array" aca="1" ref="CL6" ca="1">SUM(BZ6:CC6*BV6:BY6)</f>
        <v>0.81928583086891171</v>
      </c>
      <c r="CM6">
        <f t="array" aca="1" ref="CM6" ca="1">SUM(CH6:CK6*BR6:BU6)</f>
        <v>0.46999466415819363</v>
      </c>
      <c r="CN6" s="11">
        <f ca="1">$S$6*OFFSET($H$6,BL6,0)</f>
        <v>0</v>
      </c>
      <c r="CO6" s="11">
        <f ca="1">IF(CL6&lt;0,0,$S$6*OFFSET($I$6,BL6,0)*CL6)</f>
        <v>0.73735724778202061</v>
      </c>
      <c r="CP6" s="11">
        <f ca="1">IF(CL6&lt;0,0,IF(CM6&lt;0,0,$S$6*OFFSET($J$6,BL6,0)*CM6^OFFSET($K$6,BL6,0)))</f>
        <v>2.3595435338563058E-66</v>
      </c>
      <c r="CQ6" s="11">
        <f ca="1">IFERROR(SUM(CN6:CP6),0)</f>
        <v>0.73735724778202061</v>
      </c>
      <c r="CS6" s="10">
        <f t="array" aca="1" ref="CS6:CV6" ca="1">BN6:BQ6+BV6:BY6*0.001</f>
        <v>-2.2301873227903011</v>
      </c>
      <c r="CT6" s="10">
        <f ca="1"/>
        <v>-1.0521161561587205</v>
      </c>
      <c r="CU6" s="10">
        <f ca="1"/>
        <v>-10.057317207716059</v>
      </c>
      <c r="CV6" s="10">
        <f ca="1"/>
        <v>1</v>
      </c>
      <c r="CW6" s="10">
        <f ca="1">BZ6</f>
        <v>-0.57507710649287525</v>
      </c>
      <c r="CX6" s="10">
        <f ca="1">CA6</f>
        <v>0.81808821705148649</v>
      </c>
      <c r="CY6" s="10">
        <f ca="1">CB6</f>
        <v>4.241545626545393E-3</v>
      </c>
      <c r="CZ6" s="10">
        <f ca="1">CC6</f>
        <v>0</v>
      </c>
      <c r="DB6" s="10">
        <f t="array" aca="1" ref="DB6" ca="1">-SUM(($CW6:$CZ6)*($CS6:$CV6-OFFSET($C$6:$F$6,DB$5,0)))+SQRT(SUM(($CW6:$CZ6)*($CS6:$CV6-OFFSET($C$6:$F$6,DB$5,0)))^2-SUM(($CS6:$CV6-OFFSET($C$6:$F$6,DB$5,0))*($CS6:$CV6-OFFSET($C$6:$F$6,DB$5,0)))+OFFSET($G$6,DB$5,0)^2)</f>
        <v>-1.2205755397189932E-3</v>
      </c>
      <c r="DC6" s="10" t="e">
        <f t="array" aca="1" ref="DC6" ca="1">-SUM(($CW6:$CZ6)*($CS6:$CV6-OFFSET($C$6:$F$6,DC$5,0)))+SQRT(SUM(($CW6:$CZ6)*($CS6:$CV6-OFFSET($C$6:$F$6,DC$5,0)))^2-SUM(($CS6:$CV6-OFFSET($C$6:$F$6,DC$5,0))*($CS6:$CV6-OFFSET($C$6:$F$6,DC$5,0)))+OFFSET($G$6,DC$5,0)^2)</f>
        <v>#NUM!</v>
      </c>
      <c r="DD6" s="10" t="e">
        <f t="array" aca="1" ref="DD6" ca="1">-SUM(($CW6:$CZ6)*($CS6:$CV6-OFFSET($C$6:$F$6,DD$5,0)))+SQRT(SUM(($CW6:$CZ6)*($CS6:$CV6-OFFSET($C$6:$F$6,DD$5,0)))^2-SUM(($CS6:$CV6-OFFSET($C$6:$F$6,DD$5,0))*($CS6:$CV6-OFFSET($C$6:$F$6,DD$5,0)))+OFFSET($G$6,DD$5,0)^2)</f>
        <v>#NUM!</v>
      </c>
      <c r="DE6" s="10" t="e">
        <f t="array" aca="1" ref="DE6" ca="1">-SUM(($CW6:$CZ6)*($CS6:$CV6-OFFSET($C$6:$F$6,DE$5,0)))+SQRT(SUM(($CW6:$CZ6)*($CS6:$CV6-OFFSET($C$6:$F$6,DE$5,0)))^2-SUM(($CS6:$CV6-OFFSET($C$6:$F$6,DE$5,0))*($CS6:$CV6-OFFSET($C$6:$F$6,DE$5,0)))+OFFSET($G$6,DE$5,0)^2)</f>
        <v>#NUM!</v>
      </c>
      <c r="DF6" s="10" t="e">
        <f t="array" aca="1" ref="DF6" ca="1">-SUM(($CW6:$CZ6)*($CS6:$CV6-OFFSET($C$6:$F$6,DF$5,0)))+SQRT(SUM(($CW6:$CZ6)*($CS6:$CV6-OFFSET($C$6:$F$6,DF$5,0)))^2-SUM(($CS6:$CV6-OFFSET($C$6:$F$6,DF$5,0))*($CS6:$CV6-OFFSET($C$6:$F$6,DF$5,0)))+OFFSET($G$6,DF$5,0)^2)</f>
        <v>#NUM!</v>
      </c>
      <c r="DG6" s="10" t="e">
        <f t="array" aca="1" ref="DG6" ca="1">-SUM(($CW6:$CZ6)*($CS6:$CV6-OFFSET($C$6:$F$6,DG$5,0)))+SQRT(SUM(($CW6:$CZ6)*($CS6:$CV6-OFFSET($C$6:$F$6,DG$5,0)))^2-SUM(($CS6:$CV6-OFFSET($C$6:$F$6,DG$5,0))*($CS6:$CV6-OFFSET($C$6:$F$6,DG$5,0)))+OFFSET($G$6,DG$5,0)^2)</f>
        <v>#NUM!</v>
      </c>
      <c r="DH6" s="10" t="e">
        <f t="array" aca="1" ref="DH6" ca="1">-SUM(($CW6:$CZ6)*($CS6:$CV6-OFFSET($C$6:$F$6,DH$5,0)))+SQRT(SUM(($CW6:$CZ6)*($CS6:$CV6-OFFSET($C$6:$F$6,DH$5,0)))^2-SUM(($CS6:$CV6-OFFSET($C$6:$F$6,DH$5,0))*($CS6:$CV6-OFFSET($C$6:$F$6,DH$5,0)))+OFFSET($G$6,DH$5,0)^2)</f>
        <v>#NUM!</v>
      </c>
      <c r="DI6" s="10" t="e">
        <f t="array" aca="1" ref="DI6" ca="1">-SUM(($CW6:$CZ6)*($CS6:$CV6-OFFSET($C$6:$F$6,DI$5,0)))+SQRT(SUM(($CW6:$CZ6)*($CS6:$CV6-OFFSET($C$6:$F$6,DI$5,0)))^2-SUM(($CS6:$CV6-OFFSET($C$6:$F$6,DI$5,0))*($CS6:$CV6-OFFSET($C$6:$F$6,DI$5,0)))+OFFSET($G$6,DI$5,0)^2)</f>
        <v>#NUM!</v>
      </c>
      <c r="DJ6" s="10" t="e">
        <f t="array" aca="1" ref="DJ6" ca="1">-SUM(($CW6:$CZ6)*($CS6:$CV6-OFFSET($C$6:$F$6,DJ$5,0)))+SQRT(SUM(($CW6:$CZ6)*($CS6:$CV6-OFFSET($C$6:$F$6,DJ$5,0)))^2-SUM(($CS6:$CV6-OFFSET($C$6:$F$6,DJ$5,0))*($CS6:$CV6-OFFSET($C$6:$F$6,DJ$5,0)))+OFFSET($G$6,DJ$5,0)^2)</f>
        <v>#NUM!</v>
      </c>
      <c r="DK6" s="10" t="e">
        <f t="array" aca="1" ref="DK6" ca="1">-SUM(($CW6:$CZ6)*($CS6:$CV6-OFFSET($C$6:$F$6,DK$5,0)))+SQRT(SUM(($CW6:$CZ6)*($CS6:$CV6-OFFSET($C$6:$F$6,DK$5,0)))^2-SUM(($CS6:$CV6-OFFSET($C$6:$F$6,DK$5,0))*($CS6:$CV6-OFFSET($C$6:$F$6,DK$5,0)))+OFFSET($G$6,DK$5,0)^2)</f>
        <v>#NUM!</v>
      </c>
      <c r="DL6" s="10">
        <f t="array" aca="1" ref="DL6" ca="1">-SUM(($CW6:$CZ6)*($CS6:$CV6-OFFSET($C$6:$F$6,DB$5,0)))-SQRT(SUM(($CW6:$CZ6)*($CS6:$CV6-OFFSET($C$6:$F$6,DB$5,0)))^2-SUM(($CS6:$CV6-OFFSET($C$6:$F$6,DB$5,0))*($CS6:$CV6-OFFSET($C$6:$F$6,DB$5,0)))+OFFSET($G$6,DB$5,0)^2)</f>
        <v>-1636.9335080722076</v>
      </c>
      <c r="DM6" s="10" t="e">
        <f t="array" aca="1" ref="DM6" ca="1">-SUM(($CW6:$CZ6)*($CS6:$CV6-OFFSET($C$6:$F$6,DC$5,0)))-SQRT(SUM(($CW6:$CZ6)*($CS6:$CV6-OFFSET($C$6:$F$6,DC$5,0)))^2-SUM(($CS6:$CV6-OFFSET($C$6:$F$6,DC$5,0))*($CS6:$CV6-OFFSET($C$6:$F$6,DC$5,0)))+OFFSET($G$6,DC$5,0)^2)</f>
        <v>#NUM!</v>
      </c>
      <c r="DN6" s="10" t="e">
        <f t="array" aca="1" ref="DN6" ca="1">-SUM(($CW6:$CZ6)*($CS6:$CV6-OFFSET($C$6:$F$6,DD$5,0)))-SQRT(SUM(($CW6:$CZ6)*($CS6:$CV6-OFFSET($C$6:$F$6,DD$5,0)))^2-SUM(($CS6:$CV6-OFFSET($C$6:$F$6,DD$5,0))*($CS6:$CV6-OFFSET($C$6:$F$6,DD$5,0)))+OFFSET($G$6,DD$5,0)^2)</f>
        <v>#NUM!</v>
      </c>
      <c r="DO6" s="10" t="e">
        <f t="array" aca="1" ref="DO6" ca="1">-SUM(($CW6:$CZ6)*($CS6:$CV6-OFFSET($C$6:$F$6,DE$5,0)))-SQRT(SUM(($CW6:$CZ6)*($CS6:$CV6-OFFSET($C$6:$F$6,DE$5,0)))^2-SUM(($CS6:$CV6-OFFSET($C$6:$F$6,DE$5,0))*($CS6:$CV6-OFFSET($C$6:$F$6,DE$5,0)))+OFFSET($G$6,DE$5,0)^2)</f>
        <v>#NUM!</v>
      </c>
      <c r="DP6" s="10" t="e">
        <f t="array" aca="1" ref="DP6" ca="1">-SUM(($CW6:$CZ6)*($CS6:$CV6-OFFSET($C$6:$F$6,DF$5,0)))-SQRT(SUM(($CW6:$CZ6)*($CS6:$CV6-OFFSET($C$6:$F$6,DF$5,0)))^2-SUM(($CS6:$CV6-OFFSET($C$6:$F$6,DF$5,0))*($CS6:$CV6-OFFSET($C$6:$F$6,DF$5,0)))+OFFSET($G$6,DF$5,0)^2)</f>
        <v>#NUM!</v>
      </c>
      <c r="DQ6" s="10" t="e">
        <f t="array" aca="1" ref="DQ6" ca="1">-SUM(($CW6:$CZ6)*($CS6:$CV6-OFFSET($C$6:$F$6,DG$5,0)))-SQRT(SUM(($CW6:$CZ6)*($CS6:$CV6-OFFSET($C$6:$F$6,DG$5,0)))^2-SUM(($CS6:$CV6-OFFSET($C$6:$F$6,DG$5,0))*($CS6:$CV6-OFFSET($C$6:$F$6,DG$5,0)))+OFFSET($G$6,DG$5,0)^2)</f>
        <v>#NUM!</v>
      </c>
      <c r="DR6" s="10" t="e">
        <f t="array" aca="1" ref="DR6" ca="1">-SUM(($CW6:$CZ6)*($CS6:$CV6-OFFSET($C$6:$F$6,DH$5,0)))-SQRT(SUM(($CW6:$CZ6)*($CS6:$CV6-OFFSET($C$6:$F$6,DH$5,0)))^2-SUM(($CS6:$CV6-OFFSET($C$6:$F$6,DH$5,0))*($CS6:$CV6-OFFSET($C$6:$F$6,DH$5,0)))+OFFSET($G$6,DH$5,0)^2)</f>
        <v>#NUM!</v>
      </c>
      <c r="DS6" s="10" t="e">
        <f t="array" aca="1" ref="DS6" ca="1">-SUM(($CW6:$CZ6)*($CS6:$CV6-OFFSET($C$6:$F$6,DI$5,0)))-SQRT(SUM(($CW6:$CZ6)*($CS6:$CV6-OFFSET($C$6:$F$6,DI$5,0)))^2-SUM(($CS6:$CV6-OFFSET($C$6:$F$6,DI$5,0))*($CS6:$CV6-OFFSET($C$6:$F$6,DI$5,0)))+OFFSET($G$6,DI$5,0)^2)</f>
        <v>#NUM!</v>
      </c>
      <c r="DT6" s="10" t="e">
        <f t="array" aca="1" ref="DT6" ca="1">-SUM(($CW6:$CZ6)*($CS6:$CV6-OFFSET($C$6:$F$6,DJ$5,0)))-SQRT(SUM(($CW6:$CZ6)*($CS6:$CV6-OFFSET($C$6:$F$6,DJ$5,0)))^2-SUM(($CS6:$CV6-OFFSET($C$6:$F$6,DJ$5,0))*($CS6:$CV6-OFFSET($C$6:$F$6,DJ$5,0)))+OFFSET($G$6,DJ$5,0)^2)</f>
        <v>#NUM!</v>
      </c>
      <c r="DU6" s="10" t="e">
        <f t="array" aca="1" ref="DU6" ca="1">-SUM(($CW6:$CZ6)*($CS6:$CV6-OFFSET($C$6:$F$6,DK$5,0)))-SQRT(SUM(($CW6:$CZ6)*($CS6:$CV6-OFFSET($C$6:$F$6,DK$5,0)))^2-SUM(($CS6:$CV6-OFFSET($C$6:$F$6,DK$5,0))*($CS6:$CV6-OFFSET($C$6:$F$6,DK$5,0)))+OFFSET($G$6,DK$5,0)^2)</f>
        <v>#NUM!</v>
      </c>
      <c r="DW6" s="10">
        <f t="array" aca="1" ref="DW6" ca="1">MIN(IF(IF(ISERROR(DB6:DU6),-1,DB6:DU6)&lt;0,9999999999,DB6:DU6))</f>
        <v>9999999999</v>
      </c>
      <c r="DY6" s="11">
        <f ca="1">IF(DW6=9999999999,CQ6,IF(DW6&lt;BJ6,CN6,CQ6))</f>
        <v>0.73735724778202061</v>
      </c>
      <c r="EB6" s="10">
        <f t="array" aca="1" ref="EB6:EE6" ca="1">BN6:BQ6+BV6:BY6*0.01</f>
        <v>-2.2302074145478721</v>
      </c>
      <c r="EC6" s="10">
        <f ca="1"/>
        <v>-1.0431166346821708</v>
      </c>
      <c r="ED6" s="10">
        <f ca="1"/>
        <v>-10.057407814086693</v>
      </c>
      <c r="EE6" s="10">
        <f ca="1"/>
        <v>1</v>
      </c>
      <c r="EF6" s="10">
        <f ca="1">CD6</f>
        <v>-0.39664720569820178</v>
      </c>
      <c r="EG6" s="10">
        <f ca="1">CE6</f>
        <v>0.29116587464808269</v>
      </c>
      <c r="EH6" s="10">
        <f ca="1">CF6</f>
        <v>0.87057074821764213</v>
      </c>
      <c r="EI6" s="10">
        <f ca="1">CG6</f>
        <v>0</v>
      </c>
      <c r="EK6" s="10">
        <f t="array" aca="1" ref="EK6" ca="1">-SUM(($EF6:$EI6)*($EB6:$EE6-OFFSET($C$6:$F$6,EK$5,0)))+SQRT(SUM(($EF6:$EI6)*($EB6:$EE6-OFFSET($C$6:$F$6,EK$5,0)))^2-SUM(($EB6:$EE6-OFFSET($C$6:$F$6,EK$5,0))*($EB6:$EE6-OFFSET($C$6:$F$6,EK$5,0)))+OFFSET($G$6,EK$5,0)^2)</f>
        <v>-3.5303845446605919E-2</v>
      </c>
      <c r="EL6" s="10" t="e">
        <f t="array" aca="1" ref="EL6" ca="1">-SUM(($EF6:$EI6)*($EB6:$EE6-OFFSET($C$6:$F$6,EL$5,0)))+SQRT(SUM(($EF6:$EI6)*($EB6:$EE6-OFFSET($C$6:$F$6,EL$5,0)))^2-SUM(($EB6:$EE6-OFFSET($C$6:$F$6,EL$5,0))*($EB6:$EE6-OFFSET($C$6:$F$6,EL$5,0)))+OFFSET($G$6,EL$5,0)^2)</f>
        <v>#NUM!</v>
      </c>
      <c r="EM6" s="10" t="e">
        <f t="array" aca="1" ref="EM6" ca="1">-SUM(($EF6:$EI6)*($EB6:$EE6-OFFSET($C$6:$F$6,EM$5,0)))+SQRT(SUM(($EF6:$EI6)*($EB6:$EE6-OFFSET($C$6:$F$6,EM$5,0)))^2-SUM(($EB6:$EE6-OFFSET($C$6:$F$6,EM$5,0))*($EB6:$EE6-OFFSET($C$6:$F$6,EM$5,0)))+OFFSET($G$6,EM$5,0)^2)</f>
        <v>#NUM!</v>
      </c>
      <c r="EN6" s="10" t="e">
        <f t="array" aca="1" ref="EN6" ca="1">-SUM(($EF6:$EI6)*($EB6:$EE6-OFFSET($C$6:$F$6,EN$5,0)))+SQRT(SUM(($EF6:$EI6)*($EB6:$EE6-OFFSET($C$6:$F$6,EN$5,0)))^2-SUM(($EB6:$EE6-OFFSET($C$6:$F$6,EN$5,0))*($EB6:$EE6-OFFSET($C$6:$F$6,EN$5,0)))+OFFSET($G$6,EN$5,0)^2)</f>
        <v>#NUM!</v>
      </c>
      <c r="EO6" s="10" t="e">
        <f t="array" aca="1" ref="EO6" ca="1">-SUM(($EF6:$EI6)*($EB6:$EE6-OFFSET($C$6:$F$6,EO$5,0)))+SQRT(SUM(($EF6:$EI6)*($EB6:$EE6-OFFSET($C$6:$F$6,EO$5,0)))^2-SUM(($EB6:$EE6-OFFSET($C$6:$F$6,EO$5,0))*($EB6:$EE6-OFFSET($C$6:$F$6,EO$5,0)))+OFFSET($G$6,EO$5,0)^2)</f>
        <v>#NUM!</v>
      </c>
      <c r="EP6" s="10" t="e">
        <f t="array" aca="1" ref="EP6" ca="1">-SUM(($EF6:$EI6)*($EB6:$EE6-OFFSET($C$6:$F$6,EP$5,0)))+SQRT(SUM(($EF6:$EI6)*($EB6:$EE6-OFFSET($C$6:$F$6,EP$5,0)))^2-SUM(($EB6:$EE6-OFFSET($C$6:$F$6,EP$5,0))*($EB6:$EE6-OFFSET($C$6:$F$6,EP$5,0)))+OFFSET($G$6,EP$5,0)^2)</f>
        <v>#NUM!</v>
      </c>
      <c r="EQ6" s="10" t="e">
        <f t="array" aca="1" ref="EQ6" ca="1">-SUM(($EF6:$EI6)*($EB6:$EE6-OFFSET($C$6:$F$6,EQ$5,0)))+SQRT(SUM(($EF6:$EI6)*($EB6:$EE6-OFFSET($C$6:$F$6,EQ$5,0)))^2-SUM(($EB6:$EE6-OFFSET($C$6:$F$6,EQ$5,0))*($EB6:$EE6-OFFSET($C$6:$F$6,EQ$5,0)))+OFFSET($G$6,EQ$5,0)^2)</f>
        <v>#NUM!</v>
      </c>
      <c r="ER6" s="10" t="e">
        <f t="array" aca="1" ref="ER6" ca="1">-SUM(($EF6:$EI6)*($EB6:$EE6-OFFSET($C$6:$F$6,ER$5,0)))+SQRT(SUM(($EF6:$EI6)*($EB6:$EE6-OFFSET($C$6:$F$6,ER$5,0)))^2-SUM(($EB6:$EE6-OFFSET($C$6:$F$6,ER$5,0))*($EB6:$EE6-OFFSET($C$6:$F$6,ER$5,0)))+OFFSET($G$6,ER$5,0)^2)</f>
        <v>#NUM!</v>
      </c>
      <c r="ES6" s="10" t="e">
        <f t="array" aca="1" ref="ES6" ca="1">-SUM(($EF6:$EI6)*($EB6:$EE6-OFFSET($C$6:$F$6,ES$5,0)))+SQRT(SUM(($EF6:$EI6)*($EB6:$EE6-OFFSET($C$6:$F$6,ES$5,0)))^2-SUM(($EB6:$EE6-OFFSET($C$6:$F$6,ES$5,0))*($EB6:$EE6-OFFSET($C$6:$F$6,ES$5,0)))+OFFSET($G$6,ES$5,0)^2)</f>
        <v>#NUM!</v>
      </c>
      <c r="ET6" s="10" t="e">
        <f t="array" aca="1" ref="ET6" ca="1">-SUM(($EF6:$EI6)*($EB6:$EE6-OFFSET($C$6:$F$6,ET$5,0)))+SQRT(SUM(($EF6:$EI6)*($EB6:$EE6-OFFSET($C$6:$F$6,ET$5,0)))^2-SUM(($EB6:$EE6-OFFSET($C$6:$F$6,ET$5,0))*($EB6:$EE6-OFFSET($C$6:$F$6,ET$5,0)))+OFFSET($G$6,ET$5,0)^2)</f>
        <v>#NUM!</v>
      </c>
      <c r="EU6" s="10">
        <f t="array" aca="1" ref="EU6" ca="1">-SUM(($EF6:$EI6)*($EB6:$EE6-OFFSET($C$6:$F$6,EK$5,0)))-SQRT(SUM(($EF6:$EI6)*($EB6:$EE6-OFFSET($C$6:$F$6,EK$5,0)))^2-SUM(($EB6:$EE6-OFFSET($C$6:$F$6,EK$5,0))*($EB6:$EE6-OFFSET($C$6:$F$6,EK$5,0)))+OFFSET($G$6,EK$5,0)^2)</f>
        <v>-565.94684650266117</v>
      </c>
      <c r="EV6" s="10" t="e">
        <f t="array" aca="1" ref="EV6" ca="1">-SUM(($EF6:$EI6)*($EB6:$EE6-OFFSET($C$6:$F$6,EL$5,0)))-SQRT(SUM(($EF6:$EI6)*($EB6:$EE6-OFFSET($C$6:$F$6,EL$5,0)))^2-SUM(($EB6:$EE6-OFFSET($C$6:$F$6,EL$5,0))*($EB6:$EE6-OFFSET($C$6:$F$6,EL$5,0)))+OFFSET($G$6,EL$5,0)^2)</f>
        <v>#NUM!</v>
      </c>
      <c r="EW6" s="10" t="e">
        <f t="array" aca="1" ref="EW6" ca="1">-SUM(($EF6:$EI6)*($EB6:$EE6-OFFSET($C$6:$F$6,EM$5,0)))-SQRT(SUM(($EF6:$EI6)*($EB6:$EE6-OFFSET($C$6:$F$6,EM$5,0)))^2-SUM(($EB6:$EE6-OFFSET($C$6:$F$6,EM$5,0))*($EB6:$EE6-OFFSET($C$6:$F$6,EM$5,0)))+OFFSET($G$6,EM$5,0)^2)</f>
        <v>#NUM!</v>
      </c>
      <c r="EX6" s="10" t="e">
        <f t="array" aca="1" ref="EX6" ca="1">-SUM(($EF6:$EI6)*($EB6:$EE6-OFFSET($C$6:$F$6,EN$5,0)))-SQRT(SUM(($EF6:$EI6)*($EB6:$EE6-OFFSET($C$6:$F$6,EN$5,0)))^2-SUM(($EB6:$EE6-OFFSET($C$6:$F$6,EN$5,0))*($EB6:$EE6-OFFSET($C$6:$F$6,EN$5,0)))+OFFSET($G$6,EN$5,0)^2)</f>
        <v>#NUM!</v>
      </c>
      <c r="EY6" s="10" t="e">
        <f t="array" aca="1" ref="EY6" ca="1">-SUM(($EF6:$EI6)*($EB6:$EE6-OFFSET($C$6:$F$6,EO$5,0)))-SQRT(SUM(($EF6:$EI6)*($EB6:$EE6-OFFSET($C$6:$F$6,EO$5,0)))^2-SUM(($EB6:$EE6-OFFSET($C$6:$F$6,EO$5,0))*($EB6:$EE6-OFFSET($C$6:$F$6,EO$5,0)))+OFFSET($G$6,EO$5,0)^2)</f>
        <v>#NUM!</v>
      </c>
      <c r="EZ6" s="10" t="e">
        <f t="array" aca="1" ref="EZ6" ca="1">-SUM(($EF6:$EI6)*($EB6:$EE6-OFFSET($C$6:$F$6,EP$5,0)))-SQRT(SUM(($EF6:$EI6)*($EB6:$EE6-OFFSET($C$6:$F$6,EP$5,0)))^2-SUM(($EB6:$EE6-OFFSET($C$6:$F$6,EP$5,0))*($EB6:$EE6-OFFSET($C$6:$F$6,EP$5,0)))+OFFSET($G$6,EP$5,0)^2)</f>
        <v>#NUM!</v>
      </c>
      <c r="FA6" s="10" t="e">
        <f t="array" aca="1" ref="FA6" ca="1">-SUM(($EF6:$EI6)*($EB6:$EE6-OFFSET($C$6:$F$6,EQ$5,0)))-SQRT(SUM(($EF6:$EI6)*($EB6:$EE6-OFFSET($C$6:$F$6,EQ$5,0)))^2-SUM(($EB6:$EE6-OFFSET($C$6:$F$6,EQ$5,0))*($EB6:$EE6-OFFSET($C$6:$F$6,EQ$5,0)))+OFFSET($G$6,EQ$5,0)^2)</f>
        <v>#NUM!</v>
      </c>
      <c r="FB6" s="10" t="e">
        <f t="array" aca="1" ref="FB6" ca="1">-SUM(($EF6:$EI6)*($EB6:$EE6-OFFSET($C$6:$F$6,ER$5,0)))-SQRT(SUM(($EF6:$EI6)*($EB6:$EE6-OFFSET($C$6:$F$6,ER$5,0)))^2-SUM(($EB6:$EE6-OFFSET($C$6:$F$6,ER$5,0))*($EB6:$EE6-OFFSET($C$6:$F$6,ER$5,0)))+OFFSET($G$6,ER$5,0)^2)</f>
        <v>#NUM!</v>
      </c>
      <c r="FC6" s="10" t="e">
        <f t="array" aca="1" ref="FC6" ca="1">-SUM(($EF6:$EI6)*($EB6:$EE6-OFFSET($C$6:$F$6,ES$5,0)))-SQRT(SUM(($EF6:$EI6)*($EB6:$EE6-OFFSET($C$6:$F$6,ES$5,0)))^2-SUM(($EB6:$EE6-OFFSET($C$6:$F$6,ES$5,0))*($EB6:$EE6-OFFSET($C$6:$F$6,ES$5,0)))+OFFSET($G$6,ES$5,0)^2)</f>
        <v>#NUM!</v>
      </c>
      <c r="FD6" s="10" t="e">
        <f t="array" aca="1" ref="FD6" ca="1">-SUM(($EF6:$EI6)*($EB6:$EE6-OFFSET($C$6:$F$6,ET$5,0)))-SQRT(SUM(($EF6:$EI6)*($EB6:$EE6-OFFSET($C$6:$F$6,ET$5,0)))^2-SUM(($EB6:$EE6-OFFSET($C$6:$F$6,ET$5,0))*($EB6:$EE6-OFFSET($C$6:$F$6,ET$5,0)))+OFFSET($G$6,ET$5,0)^2)</f>
        <v>#NUM!</v>
      </c>
      <c r="FF6" s="10">
        <f t="array" aca="1" ref="FF6" ca="1">MIN(IF(IF(ISERROR(EK6:FD6),-1,EK6:FD6)&lt;0,9999999999,EK6:FD6))</f>
        <v>9999999999</v>
      </c>
      <c r="FH6">
        <f ca="1">IF(FF6=9999999999,-1,INDEX($AO$5:$BH$5,0,MATCH(FF6,EK6:FD6,0)))</f>
        <v>-1</v>
      </c>
      <c r="FJ6" s="10">
        <f ca="1">EB6+$FF6*EF6</f>
        <v>-3966472058.815578</v>
      </c>
      <c r="FK6" s="10">
        <f ca="1">EC6+$FF6*EG6</f>
        <v>2911658745.1465445</v>
      </c>
      <c r="FL6" s="10">
        <f ca="1">ED6+$FF6*EH6</f>
        <v>8705707471.2484436</v>
      </c>
      <c r="FM6" s="10">
        <f ca="1">EE6+$FF6*EI6</f>
        <v>1</v>
      </c>
      <c r="FN6" s="14">
        <f ca="1">-EF6</f>
        <v>0.39664720569820178</v>
      </c>
      <c r="FO6" s="14">
        <f t="shared" ref="FO6:FO24" ca="1" si="0">-EG6</f>
        <v>-0.29116587464808269</v>
      </c>
      <c r="FP6" s="14">
        <f t="shared" ref="FP6:FP24" ca="1" si="1">-EH6</f>
        <v>-0.87057074821764213</v>
      </c>
      <c r="FQ6" s="14">
        <f t="shared" ref="FQ6:FQ24" ca="1" si="2">-EI6</f>
        <v>0</v>
      </c>
      <c r="FR6" s="10" t="e">
        <f t="array" aca="1" ref="FR6" ca="1">(FJ6-OFFSET(C$6,$FH6,0))/SQRT(SUM(($FJ6:$FM6-OFFSET($C$6:$F$6,$FH6,0))*($FJ6:$FM6-OFFSET($C$6:$F$6,$FH6,0))))</f>
        <v>#VALUE!</v>
      </c>
      <c r="FS6" s="10" t="e">
        <f t="array" aca="1" ref="FS6" ca="1">(FK6-OFFSET(D$6,$FH6,0))/SQRT(SUM(($FJ6:$FM6-OFFSET($C$6:$F$6,$FH6,0))*($FJ6:$FM6-OFFSET($C$6:$F$6,$FH6,0))))</f>
        <v>#VALUE!</v>
      </c>
      <c r="FT6" s="10" t="e">
        <f t="array" aca="1" ref="FT6" ca="1">(FL6-OFFSET(E$6,$FH6,0))/SQRT(SUM(($FJ6:$FM6-OFFSET($C$6:$F$6,$FH6,0))*($FJ6:$FM6-OFFSET($C$6:$F$6,$FH6,0))))</f>
        <v>#VALUE!</v>
      </c>
      <c r="FU6" s="10" t="e">
        <f t="array" aca="1" ref="FU6" ca="1">(FM6-OFFSET(F$6,$FH6,0))/SQRT(SUM(($FJ6:$FM6-OFFSET($C$6:$F$6,$FH6,0))*($FJ6:$FM6-OFFSET($C$6:$F$6,$FH6,0))))</f>
        <v>#VALUE!</v>
      </c>
      <c r="FV6" s="14">
        <f t="array" aca="1" ref="FV6" ca="1">-(FJ6-O$6)/SQRT(SUM(($O$6:$R$6-$FJ6:$FM6)*($O$6:$R$6-$FJ6:$FM6)))</f>
        <v>0.39664720517298335</v>
      </c>
      <c r="FW6" s="14">
        <f t="array" aca="1" ref="FW6" ca="1">-(FK6-P$6)/SQRT(SUM(($O$6:$R$6-$FJ6:$FM6)*($O$6:$R$6-$FJ6:$FM6)))</f>
        <v>-0.29116587372858049</v>
      </c>
      <c r="FX6" s="14">
        <f t="array" aca="1" ref="FX6" ca="1">-(FL6-Q$6)/SQRT(SUM(($O$6:$R$6-$FJ6:$FM6)*($O$6:$R$6-$FJ6:$FM6)))</f>
        <v>-0.87057074876447216</v>
      </c>
      <c r="FY6" s="14">
        <f t="array" aca="1" ref="FY6" ca="1">-(FM6-R$6)/SQRT(SUM(($O$6:$R$6-$FJ6:$FM6)*($O$6:$R$6-$FJ6:$FM6)))</f>
        <v>0</v>
      </c>
      <c r="FZ6" s="14" t="e">
        <f t="array" aca="1" ref="FZ6:GC6" ca="1">-FN6:FQ6-FR6:FU6*2*SUM(-FN6:FQ6*FR6:FU6)</f>
        <v>#VALUE!</v>
      </c>
      <c r="GA6" s="14" t="e">
        <f ca="1"/>
        <v>#VALUE!</v>
      </c>
      <c r="GB6" s="14" t="e">
        <f ca="1"/>
        <v>#VALUE!</v>
      </c>
      <c r="GC6" s="14" t="e">
        <f ca="1"/>
        <v>#VALUE!</v>
      </c>
      <c r="GD6" s="14" t="e">
        <f t="array" aca="1" ref="GD6:GG6" ca="1">-FV6:FY6-FR6:FU6*2*SUM(-FV6:FY6*FR6:FU6)</f>
        <v>#VALUE!</v>
      </c>
      <c r="GE6" s="14" t="e">
        <f ca="1"/>
        <v>#VALUE!</v>
      </c>
      <c r="GF6" s="14" t="e">
        <f ca="1"/>
        <v>#VALUE!</v>
      </c>
      <c r="GG6" s="14" t="e">
        <f ca="1"/>
        <v>#VALUE!</v>
      </c>
      <c r="GH6" t="e">
        <f t="array" aca="1" ref="GH6" ca="1">SUM(FV6:FY6*FR6:FU6)</f>
        <v>#VALUE!</v>
      </c>
      <c r="GI6" t="e">
        <f t="array" aca="1" ref="GI6" ca="1">SUM(GD6:GG6*FN6:FQ6)</f>
        <v>#VALUE!</v>
      </c>
      <c r="GJ6" s="11" t="e">
        <f ca="1">$S$6*OFFSET($H$6,FH6,0)</f>
        <v>#VALUE!</v>
      </c>
      <c r="GK6" s="11" t="e">
        <f ca="1">IF(GH6&lt;0,0,$S$6*OFFSET($I$6,FH6,0)*GH6)</f>
        <v>#VALUE!</v>
      </c>
      <c r="GL6" s="11" t="e">
        <f ca="1">IF(GH6&lt;0,0,IF(GI6&lt;0,0,$S$6*OFFSET($J$6,FH6,0)*GI6^OFFSET($K$6,FH6,0)))</f>
        <v>#VALUE!</v>
      </c>
      <c r="GM6" s="11">
        <f ca="1">IFERROR(SUM(GJ6:GL6),0)</f>
        <v>0</v>
      </c>
      <c r="GO6" s="10" t="e">
        <f t="array" aca="1" ref="GO6:GR6" ca="1">FJ6:FM6+FR6:FU6*0.001</f>
        <v>#VALUE!</v>
      </c>
      <c r="GP6" s="10" t="e">
        <f ca="1"/>
        <v>#VALUE!</v>
      </c>
      <c r="GQ6" s="10" t="e">
        <f ca="1"/>
        <v>#VALUE!</v>
      </c>
      <c r="GR6" s="10" t="e">
        <f ca="1"/>
        <v>#VALUE!</v>
      </c>
      <c r="GS6" s="10">
        <f ca="1">FV6</f>
        <v>0.39664720517298335</v>
      </c>
      <c r="GT6" s="10">
        <f t="shared" ref="GT6:GT24" ca="1" si="3">FW6</f>
        <v>-0.29116587372858049</v>
      </c>
      <c r="GU6" s="10">
        <f t="shared" ref="GU6:GU24" ca="1" si="4">FX6</f>
        <v>-0.87057074876447216</v>
      </c>
      <c r="GV6" s="10">
        <f t="shared" ref="GV6:GV24" ca="1" si="5">FY6</f>
        <v>0</v>
      </c>
      <c r="GX6" s="10" t="e">
        <f t="array" aca="1" ref="GX6" ca="1">-SUM(($GS6:$GV6)*($GO6:$GR6-OFFSET($C$6:$F$6,GX$5,0)))+SQRT(SUM(($GS6:$GV6)*($GO6:$GR6-OFFSET($C$6:$F$6,GX$5,0)))^2-SUM(($GO6:$GR6-OFFSET($C$6:$F$6,GX$5,0))*($GO6:$GR6-OFFSET($C$6:$F$6,GX$5,0)))+OFFSET($G$6,GX$5,0)^2)</f>
        <v>#VALUE!</v>
      </c>
      <c r="GY6" s="10" t="e">
        <f t="array" aca="1" ref="GY6" ca="1">-SUM(($GS6:$GV6)*($GO6:$GR6-OFFSET($C$6:$F$6,GY$5,0)))+SQRT(SUM(($GS6:$GV6)*($GO6:$GR6-OFFSET($C$6:$F$6,GY$5,0)))^2-SUM(($GO6:$GR6-OFFSET($C$6:$F$6,GY$5,0))*($GO6:$GR6-OFFSET($C$6:$F$6,GY$5,0)))+OFFSET($G$6,GY$5,0)^2)</f>
        <v>#VALUE!</v>
      </c>
      <c r="GZ6" s="10" t="e">
        <f t="array" aca="1" ref="GZ6" ca="1">-SUM(($GS6:$GV6)*($GO6:$GR6-OFFSET($C$6:$F$6,GZ$5,0)))+SQRT(SUM(($GS6:$GV6)*($GO6:$GR6-OFFSET($C$6:$F$6,GZ$5,0)))^2-SUM(($GO6:$GR6-OFFSET($C$6:$F$6,GZ$5,0))*($GO6:$GR6-OFFSET($C$6:$F$6,GZ$5,0)))+OFFSET($G$6,GZ$5,0)^2)</f>
        <v>#VALUE!</v>
      </c>
      <c r="HA6" s="10" t="e">
        <f t="array" aca="1" ref="HA6" ca="1">-SUM(($GS6:$GV6)*($GO6:$GR6-OFFSET($C$6:$F$6,HA$5,0)))+SQRT(SUM(($GS6:$GV6)*($GO6:$GR6-OFFSET($C$6:$F$6,HA$5,0)))^2-SUM(($GO6:$GR6-OFFSET($C$6:$F$6,HA$5,0))*($GO6:$GR6-OFFSET($C$6:$F$6,HA$5,0)))+OFFSET($G$6,HA$5,0)^2)</f>
        <v>#VALUE!</v>
      </c>
      <c r="HB6" s="10" t="e">
        <f t="array" aca="1" ref="HB6" ca="1">-SUM(($GS6:$GV6)*($GO6:$GR6-OFFSET($C$6:$F$6,HB$5,0)))+SQRT(SUM(($GS6:$GV6)*($GO6:$GR6-OFFSET($C$6:$F$6,HB$5,0)))^2-SUM(($GO6:$GR6-OFFSET($C$6:$F$6,HB$5,0))*($GO6:$GR6-OFFSET($C$6:$F$6,HB$5,0)))+OFFSET($G$6,HB$5,0)^2)</f>
        <v>#VALUE!</v>
      </c>
      <c r="HC6" s="10" t="e">
        <f t="array" aca="1" ref="HC6" ca="1">-SUM(($GS6:$GV6)*($GO6:$GR6-OFFSET($C$6:$F$6,HC$5,0)))+SQRT(SUM(($GS6:$GV6)*($GO6:$GR6-OFFSET($C$6:$F$6,HC$5,0)))^2-SUM(($GO6:$GR6-OFFSET($C$6:$F$6,HC$5,0))*($GO6:$GR6-OFFSET($C$6:$F$6,HC$5,0)))+OFFSET($G$6,HC$5,0)^2)</f>
        <v>#VALUE!</v>
      </c>
      <c r="HD6" s="10" t="e">
        <f t="array" aca="1" ref="HD6" ca="1">-SUM(($GS6:$GV6)*($GO6:$GR6-OFFSET($C$6:$F$6,HD$5,0)))+SQRT(SUM(($GS6:$GV6)*($GO6:$GR6-OFFSET($C$6:$F$6,HD$5,0)))^2-SUM(($GO6:$GR6-OFFSET($C$6:$F$6,HD$5,0))*($GO6:$GR6-OFFSET($C$6:$F$6,HD$5,0)))+OFFSET($G$6,HD$5,0)^2)</f>
        <v>#VALUE!</v>
      </c>
      <c r="HE6" s="10" t="e">
        <f t="array" aca="1" ref="HE6" ca="1">-SUM(($GS6:$GV6)*($GO6:$GR6-OFFSET($C$6:$F$6,HE$5,0)))+SQRT(SUM(($GS6:$GV6)*($GO6:$GR6-OFFSET($C$6:$F$6,HE$5,0)))^2-SUM(($GO6:$GR6-OFFSET($C$6:$F$6,HE$5,0))*($GO6:$GR6-OFFSET($C$6:$F$6,HE$5,0)))+OFFSET($G$6,HE$5,0)^2)</f>
        <v>#VALUE!</v>
      </c>
      <c r="HF6" s="10" t="e">
        <f t="array" aca="1" ref="HF6" ca="1">-SUM(($GS6:$GV6)*($GO6:$GR6-OFFSET($C$6:$F$6,HF$5,0)))+SQRT(SUM(($GS6:$GV6)*($GO6:$GR6-OFFSET($C$6:$F$6,HF$5,0)))^2-SUM(($GO6:$GR6-OFFSET($C$6:$F$6,HF$5,0))*($GO6:$GR6-OFFSET($C$6:$F$6,HF$5,0)))+OFFSET($G$6,HF$5,0)^2)</f>
        <v>#VALUE!</v>
      </c>
      <c r="HG6" s="10" t="e">
        <f t="array" aca="1" ref="HG6" ca="1">-SUM(($GS6:$GV6)*($GO6:$GR6-OFFSET($C$6:$F$6,HG$5,0)))+SQRT(SUM(($GS6:$GV6)*($GO6:$GR6-OFFSET($C$6:$F$6,HG$5,0)))^2-SUM(($GO6:$GR6-OFFSET($C$6:$F$6,HG$5,0))*($GO6:$GR6-OFFSET($C$6:$F$6,HG$5,0)))+OFFSET($G$6,HG$5,0)^2)</f>
        <v>#VALUE!</v>
      </c>
      <c r="HH6" s="10" t="e">
        <f t="array" aca="1" ref="HH6" ca="1">-SUM(($GS6:$GV6)*($GO6:$GR6-OFFSET($C$6:$F$6,GX$5,0)))-SQRT(SUM(($GS6:$GV6)*($GO6:$GR6-OFFSET($C$6:$F$6,GX$5,0)))^2-SUM(($GO6:$GR6-OFFSET($C$6:$F$6,GX$5,0))*($GO6:$GR6-OFFSET($C$6:$F$6,GX$5,0)))+OFFSET($G$6,GX$5,0)^2)</f>
        <v>#VALUE!</v>
      </c>
      <c r="HI6" s="10" t="e">
        <f t="array" aca="1" ref="HI6" ca="1">-SUM(($GS6:$GV6)*($GO6:$GR6-OFFSET($C$6:$F$6,GY$5,0)))-SQRT(SUM(($GS6:$GV6)*($GO6:$GR6-OFFSET($C$6:$F$6,GY$5,0)))^2-SUM(($GO6:$GR6-OFFSET($C$6:$F$6,GY$5,0))*($GO6:$GR6-OFFSET($C$6:$F$6,GY$5,0)))+OFFSET($G$6,GY$5,0)^2)</f>
        <v>#VALUE!</v>
      </c>
      <c r="HJ6" s="10" t="e">
        <f t="array" aca="1" ref="HJ6" ca="1">-SUM(($GS6:$GV6)*($GO6:$GR6-OFFSET($C$6:$F$6,GZ$5,0)))-SQRT(SUM(($GS6:$GV6)*($GO6:$GR6-OFFSET($C$6:$F$6,GZ$5,0)))^2-SUM(($GO6:$GR6-OFFSET($C$6:$F$6,GZ$5,0))*($GO6:$GR6-OFFSET($C$6:$F$6,GZ$5,0)))+OFFSET($G$6,GZ$5,0)^2)</f>
        <v>#VALUE!</v>
      </c>
      <c r="HK6" s="10" t="e">
        <f t="array" aca="1" ref="HK6" ca="1">-SUM(($GS6:$GV6)*($GO6:$GR6-OFFSET($C$6:$F$6,HA$5,0)))-SQRT(SUM(($GS6:$GV6)*($GO6:$GR6-OFFSET($C$6:$F$6,HA$5,0)))^2-SUM(($GO6:$GR6-OFFSET($C$6:$F$6,HA$5,0))*($GO6:$GR6-OFFSET($C$6:$F$6,HA$5,0)))+OFFSET($G$6,HA$5,0)^2)</f>
        <v>#VALUE!</v>
      </c>
      <c r="HL6" s="10" t="e">
        <f t="array" aca="1" ref="HL6" ca="1">-SUM(($GS6:$GV6)*($GO6:$GR6-OFFSET($C$6:$F$6,HB$5,0)))-SQRT(SUM(($GS6:$GV6)*($GO6:$GR6-OFFSET($C$6:$F$6,HB$5,0)))^2-SUM(($GO6:$GR6-OFFSET($C$6:$F$6,HB$5,0))*($GO6:$GR6-OFFSET($C$6:$F$6,HB$5,0)))+OFFSET($G$6,HB$5,0)^2)</f>
        <v>#VALUE!</v>
      </c>
      <c r="HM6" s="10" t="e">
        <f t="array" aca="1" ref="HM6" ca="1">-SUM(($GS6:$GV6)*($GO6:$GR6-OFFSET($C$6:$F$6,HC$5,0)))-SQRT(SUM(($GS6:$GV6)*($GO6:$GR6-OFFSET($C$6:$F$6,HC$5,0)))^2-SUM(($GO6:$GR6-OFFSET($C$6:$F$6,HC$5,0))*($GO6:$GR6-OFFSET($C$6:$F$6,HC$5,0)))+OFFSET($G$6,HC$5,0)^2)</f>
        <v>#VALUE!</v>
      </c>
      <c r="HN6" s="10" t="e">
        <f t="array" aca="1" ref="HN6" ca="1">-SUM(($GS6:$GV6)*($GO6:$GR6-OFFSET($C$6:$F$6,HD$5,0)))-SQRT(SUM(($GS6:$GV6)*($GO6:$GR6-OFFSET($C$6:$F$6,HD$5,0)))^2-SUM(($GO6:$GR6-OFFSET($C$6:$F$6,HD$5,0))*($GO6:$GR6-OFFSET($C$6:$F$6,HD$5,0)))+OFFSET($G$6,HD$5,0)^2)</f>
        <v>#VALUE!</v>
      </c>
      <c r="HO6" s="10" t="e">
        <f t="array" aca="1" ref="HO6" ca="1">-SUM(($GS6:$GV6)*($GO6:$GR6-OFFSET($C$6:$F$6,HE$5,0)))-SQRT(SUM(($GS6:$GV6)*($GO6:$GR6-OFFSET($C$6:$F$6,HE$5,0)))^2-SUM(($GO6:$GR6-OFFSET($C$6:$F$6,HE$5,0))*($GO6:$GR6-OFFSET($C$6:$F$6,HE$5,0)))+OFFSET($G$6,HE$5,0)^2)</f>
        <v>#VALUE!</v>
      </c>
      <c r="HP6" s="10" t="e">
        <f t="array" aca="1" ref="HP6" ca="1">-SUM(($GS6:$GV6)*($GO6:$GR6-OFFSET($C$6:$F$6,HF$5,0)))-SQRT(SUM(($GS6:$GV6)*($GO6:$GR6-OFFSET($C$6:$F$6,HF$5,0)))^2-SUM(($GO6:$GR6-OFFSET($C$6:$F$6,HF$5,0))*($GO6:$GR6-OFFSET($C$6:$F$6,HF$5,0)))+OFFSET($G$6,HF$5,0)^2)</f>
        <v>#VALUE!</v>
      </c>
      <c r="HQ6" s="10" t="e">
        <f t="array" aca="1" ref="HQ6" ca="1">-SUM(($GS6:$GV6)*($GO6:$GR6-OFFSET($C$6:$F$6,HG$5,0)))-SQRT(SUM(($GS6:$GV6)*($GO6:$GR6-OFFSET($C$6:$F$6,HG$5,0)))^2-SUM(($GO6:$GR6-OFFSET($C$6:$F$6,HG$5,0))*($GO6:$GR6-OFFSET($C$6:$F$6,HG$5,0)))+OFFSET($G$6,HG$5,0)^2)</f>
        <v>#VALUE!</v>
      </c>
      <c r="HS6" s="10">
        <f t="array" aca="1" ref="HS6" ca="1">MIN(IF(IF(ISERROR(GX6:HQ6),-1,GX6:HQ6)&lt;0,9999999999,GX6:HQ6))</f>
        <v>9999999999</v>
      </c>
      <c r="HU6" s="11">
        <f ca="1">IF(HS6=9999999999,GM6,IF(HS6&lt;FF6,GJ6,GM6))</f>
        <v>0</v>
      </c>
      <c r="HW6" s="11">
        <f ca="1">IFERROR(OFFSET($L$6,BL6,0)*HU6+DY6,0)</f>
        <v>0.73735724778202061</v>
      </c>
    </row>
    <row r="7" spans="2:231" x14ac:dyDescent="0.25">
      <c r="B7">
        <v>1</v>
      </c>
      <c r="C7" s="10">
        <v>4</v>
      </c>
      <c r="D7" s="10">
        <v>0</v>
      </c>
      <c r="E7" s="10">
        <v>0</v>
      </c>
      <c r="F7" s="10">
        <v>1</v>
      </c>
      <c r="G7" s="10">
        <v>1</v>
      </c>
      <c r="H7" s="10">
        <v>0</v>
      </c>
      <c r="I7" s="10">
        <v>0.9</v>
      </c>
      <c r="J7" s="10">
        <v>0.9</v>
      </c>
      <c r="K7" s="10">
        <v>200</v>
      </c>
      <c r="L7" s="10">
        <v>0</v>
      </c>
      <c r="X7" s="11">
        <f t="shared" ref="X7:X24" si="6">(MOD((ROW(W7)-ROW($W$6)),$X$4)-($X$4-1)/2)/(($X$4-1)/2)*$X$4/$Y$4</f>
        <v>-1.7554157931516423</v>
      </c>
      <c r="Y7" s="11">
        <f t="shared" ref="Y7:Y24" si="7">(INT((ROW(W7)-ROW($W$6))/$X$4)-($Y$4-1)/2)/(($Y$4-1)/2)</f>
        <v>-1</v>
      </c>
      <c r="Z7" s="11">
        <v>4</v>
      </c>
      <c r="AB7" s="10">
        <f t="array" aca="1" ref="AB7:AE7" ca="1">TRANSPOSE(Screen!$GL$98:$GL$101)</f>
        <v>0</v>
      </c>
      <c r="AC7" s="10">
        <f ca="1"/>
        <v>0.50000000000000033</v>
      </c>
      <c r="AD7" s="10">
        <f ca="1"/>
        <v>-15</v>
      </c>
      <c r="AE7" s="10">
        <f ca="1"/>
        <v>1</v>
      </c>
      <c r="AF7" s="10">
        <f t="array" aca="1" ref="AF7:AH7" ca="1">TRANSPOSE(MMULT(Screen!$GI$98:$GK$100,TRANSPOSE(X7:Z7)))</f>
        <v>-1.7554157931516423</v>
      </c>
      <c r="AG7" s="10">
        <f ca="1"/>
        <v>-1.2380565658529825</v>
      </c>
      <c r="AH7" s="10">
        <f ca="1"/>
        <v>3.9400359935205556</v>
      </c>
      <c r="AI7" s="10">
        <v>1</v>
      </c>
      <c r="AJ7" s="10">
        <f t="array" aca="1" ref="AJ7" ca="1">AF7/SQRT(SUM(($AF7:$AH7)*($AF7:$AH7)))</f>
        <v>-0.39117418899770895</v>
      </c>
      <c r="AK7" s="10">
        <f t="array" aca="1" ref="AK7" ca="1">AG7/SQRT(SUM(($AF7:$AH7)*($AF7:$AH7)))</f>
        <v>-0.2758866446173035</v>
      </c>
      <c r="AL7" s="10">
        <f t="array" aca="1" ref="AL7" ca="1">AH7/SQRT(SUM(($AF7:$AH7)*($AF7:$AH7)))</f>
        <v>0.87799163616961085</v>
      </c>
      <c r="AM7" s="10">
        <v>0</v>
      </c>
      <c r="AO7" s="10">
        <f t="array" aca="1" ref="AO7" ca="1">-SUM(($AJ7:$AM7)*($AB7:$AE7-OFFSET($C$6:$F$6,AO$5,0)))+SQRT(SUM(($AJ7:$AM7)*($AB7:$AE7-OFFSET($C$6:$F$6,AO$5,0)))^2-SUM(($AB7:$AE7-OFFSET($C$6:$F$6,AO$5,0))*($AB7:$AE7-OFFSET($C$6:$F$6,AO$5,0)))+OFFSET($G$6,AO$5,0)^2)</f>
        <v>572.75959984982228</v>
      </c>
      <c r="AP7" s="10" t="e">
        <f t="array" aca="1" ref="AP7" ca="1">-SUM(($AJ7:$AM7)*($AB7:$AE7-OFFSET($C$6:$F$6,AP$5,0)))+SQRT(SUM(($AJ7:$AM7)*($AB7:$AE7-OFFSET($C$6:$F$6,AP$5,0)))^2-SUM(($AB7:$AE7-OFFSET($C$6:$F$6,AP$5,0))*($AB7:$AE7-OFFSET($C$6:$F$6,AP$5,0)))+OFFSET($G$6,AP$5,0)^2)</f>
        <v>#NUM!</v>
      </c>
      <c r="AQ7" s="10" t="e">
        <f t="array" aca="1" ref="AQ7" ca="1">-SUM(($AJ7:$AM7)*($AB7:$AE7-OFFSET($C$6:$F$6,AQ$5,0)))+SQRT(SUM(($AJ7:$AM7)*($AB7:$AE7-OFFSET($C$6:$F$6,AQ$5,0)))^2-SUM(($AB7:$AE7-OFFSET($C$6:$F$6,AQ$5,0))*($AB7:$AE7-OFFSET($C$6:$F$6,AQ$5,0)))+OFFSET($G$6,AQ$5,0)^2)</f>
        <v>#NUM!</v>
      </c>
      <c r="AR7" s="10" t="e">
        <f t="array" aca="1" ref="AR7" ca="1">-SUM(($AJ7:$AM7)*($AB7:$AE7-OFFSET($C$6:$F$6,AR$5,0)))+SQRT(SUM(($AJ7:$AM7)*($AB7:$AE7-OFFSET($C$6:$F$6,AR$5,0)))^2-SUM(($AB7:$AE7-OFFSET($C$6:$F$6,AR$5,0))*($AB7:$AE7-OFFSET($C$6:$F$6,AR$5,0)))+OFFSET($G$6,AR$5,0)^2)</f>
        <v>#NUM!</v>
      </c>
      <c r="AS7" s="10" t="e">
        <f t="array" aca="1" ref="AS7" ca="1">-SUM(($AJ7:$AM7)*($AB7:$AE7-OFFSET($C$6:$F$6,AS$5,0)))+SQRT(SUM(($AJ7:$AM7)*($AB7:$AE7-OFFSET($C$6:$F$6,AS$5,0)))^2-SUM(($AB7:$AE7-OFFSET($C$6:$F$6,AS$5,0))*($AB7:$AE7-OFFSET($C$6:$F$6,AS$5,0)))+OFFSET($G$6,AS$5,0)^2)</f>
        <v>#NUM!</v>
      </c>
      <c r="AT7" s="10" t="e">
        <f t="array" aca="1" ref="AT7" ca="1">-SUM(($AJ7:$AM7)*($AB7:$AE7-OFFSET($C$6:$F$6,AT$5,0)))+SQRT(SUM(($AJ7:$AM7)*($AB7:$AE7-OFFSET($C$6:$F$6,AT$5,0)))^2-SUM(($AB7:$AE7-OFFSET($C$6:$F$6,AT$5,0))*($AB7:$AE7-OFFSET($C$6:$F$6,AT$5,0)))+OFFSET($G$6,AT$5,0)^2)</f>
        <v>#NUM!</v>
      </c>
      <c r="AU7" s="10" t="e">
        <f t="array" aca="1" ref="AU7" ca="1">-SUM(($AJ7:$AM7)*($AB7:$AE7-OFFSET($C$6:$F$6,AU$5,0)))+SQRT(SUM(($AJ7:$AM7)*($AB7:$AE7-OFFSET($C$6:$F$6,AU$5,0)))^2-SUM(($AB7:$AE7-OFFSET($C$6:$F$6,AU$5,0))*($AB7:$AE7-OFFSET($C$6:$F$6,AU$5,0)))+OFFSET($G$6,AU$5,0)^2)</f>
        <v>#NUM!</v>
      </c>
      <c r="AV7" s="10" t="e">
        <f t="array" aca="1" ref="AV7" ca="1">-SUM(($AJ7:$AM7)*($AB7:$AE7-OFFSET($C$6:$F$6,AV$5,0)))+SQRT(SUM(($AJ7:$AM7)*($AB7:$AE7-OFFSET($C$6:$F$6,AV$5,0)))^2-SUM(($AB7:$AE7-OFFSET($C$6:$F$6,AV$5,0))*($AB7:$AE7-OFFSET($C$6:$F$6,AV$5,0)))+OFFSET($G$6,AV$5,0)^2)</f>
        <v>#NUM!</v>
      </c>
      <c r="AW7" s="10" t="e">
        <f t="array" aca="1" ref="AW7" ca="1">-SUM(($AJ7:$AM7)*($AB7:$AE7-OFFSET($C$6:$F$6,AW$5,0)))+SQRT(SUM(($AJ7:$AM7)*($AB7:$AE7-OFFSET($C$6:$F$6,AW$5,0)))^2-SUM(($AB7:$AE7-OFFSET($C$6:$F$6,AW$5,0))*($AB7:$AE7-OFFSET($C$6:$F$6,AW$5,0)))+OFFSET($G$6,AW$5,0)^2)</f>
        <v>#NUM!</v>
      </c>
      <c r="AX7" s="10" t="e">
        <f t="array" aca="1" ref="AX7" ca="1">-SUM(($AJ7:$AM7)*($AB7:$AE7-OFFSET($C$6:$F$6,AX$5,0)))+SQRT(SUM(($AJ7:$AM7)*($AB7:$AE7-OFFSET($C$6:$F$6,AX$5,0)))^2-SUM(($AB7:$AE7-OFFSET($C$6:$F$6,AX$5,0))*($AB7:$AE7-OFFSET($C$6:$F$6,AX$5,0)))+OFFSET($G$6,AX$5,0)^2)</f>
        <v>#NUM!</v>
      </c>
      <c r="AY7" s="10">
        <f t="array" aca="1" ref="AY7" ca="1">-SUM(($AJ7:$AM7)*($AB7:$AE7-OFFSET($C$6:$F$6,AO$5,0)))-SQRT(SUM(($AJ7:$AM7)*($AB7:$AE7-OFFSET($C$6:$F$6,AO$5,0)))^2-SUM(($AB7:$AE7-OFFSET($C$6:$F$6,AO$5,0))*($AB7:$AE7-OFFSET($C$6:$F$6,AO$5,0)))+OFFSET($G$6,AO$5,0)^2)</f>
        <v>5.6293251144903138</v>
      </c>
      <c r="AZ7" s="10" t="e">
        <f t="array" aca="1" ref="AZ7" ca="1">-SUM(($AJ7:$AM7)*($AB7:$AE7-OFFSET($C$6:$F$6,AP$5,0)))-SQRT(SUM(($AJ7:$AM7)*($AB7:$AE7-OFFSET($C$6:$F$6,AP$5,0)))^2-SUM(($AB7:$AE7-OFFSET($C$6:$F$6,AP$5,0))*($AB7:$AE7-OFFSET($C$6:$F$6,AP$5,0)))+OFFSET($G$6,AP$5,0)^2)</f>
        <v>#NUM!</v>
      </c>
      <c r="BA7" s="10" t="e">
        <f t="array" aca="1" ref="BA7" ca="1">-SUM(($AJ7:$AM7)*($AB7:$AE7-OFFSET($C$6:$F$6,AQ$5,0)))-SQRT(SUM(($AJ7:$AM7)*($AB7:$AE7-OFFSET($C$6:$F$6,AQ$5,0)))^2-SUM(($AB7:$AE7-OFFSET($C$6:$F$6,AQ$5,0))*($AB7:$AE7-OFFSET($C$6:$F$6,AQ$5,0)))+OFFSET($G$6,AQ$5,0)^2)</f>
        <v>#NUM!</v>
      </c>
      <c r="BB7" s="10" t="e">
        <f t="array" aca="1" ref="BB7" ca="1">-SUM(($AJ7:$AM7)*($AB7:$AE7-OFFSET($C$6:$F$6,AR$5,0)))-SQRT(SUM(($AJ7:$AM7)*($AB7:$AE7-OFFSET($C$6:$F$6,AR$5,0)))^2-SUM(($AB7:$AE7-OFFSET($C$6:$F$6,AR$5,0))*($AB7:$AE7-OFFSET($C$6:$F$6,AR$5,0)))+OFFSET($G$6,AR$5,0)^2)</f>
        <v>#NUM!</v>
      </c>
      <c r="BC7" s="10" t="e">
        <f t="array" aca="1" ref="BC7" ca="1">-SUM(($AJ7:$AM7)*($AB7:$AE7-OFFSET($C$6:$F$6,AS$5,0)))-SQRT(SUM(($AJ7:$AM7)*($AB7:$AE7-OFFSET($C$6:$F$6,AS$5,0)))^2-SUM(($AB7:$AE7-OFFSET($C$6:$F$6,AS$5,0))*($AB7:$AE7-OFFSET($C$6:$F$6,AS$5,0)))+OFFSET($G$6,AS$5,0)^2)</f>
        <v>#NUM!</v>
      </c>
      <c r="BD7" s="10" t="e">
        <f t="array" aca="1" ref="BD7" ca="1">-SUM(($AJ7:$AM7)*($AB7:$AE7-OFFSET($C$6:$F$6,AT$5,0)))-SQRT(SUM(($AJ7:$AM7)*($AB7:$AE7-OFFSET($C$6:$F$6,AT$5,0)))^2-SUM(($AB7:$AE7-OFFSET($C$6:$F$6,AT$5,0))*($AB7:$AE7-OFFSET($C$6:$F$6,AT$5,0)))+OFFSET($G$6,AT$5,0)^2)</f>
        <v>#NUM!</v>
      </c>
      <c r="BE7" s="10" t="e">
        <f t="array" aca="1" ref="BE7" ca="1">-SUM(($AJ7:$AM7)*($AB7:$AE7-OFFSET($C$6:$F$6,AU$5,0)))-SQRT(SUM(($AJ7:$AM7)*($AB7:$AE7-OFFSET($C$6:$F$6,AU$5,0)))^2-SUM(($AB7:$AE7-OFFSET($C$6:$F$6,AU$5,0))*($AB7:$AE7-OFFSET($C$6:$F$6,AU$5,0)))+OFFSET($G$6,AU$5,0)^2)</f>
        <v>#NUM!</v>
      </c>
      <c r="BF7" s="10" t="e">
        <f t="array" aca="1" ref="BF7" ca="1">-SUM(($AJ7:$AM7)*($AB7:$AE7-OFFSET($C$6:$F$6,AV$5,0)))-SQRT(SUM(($AJ7:$AM7)*($AB7:$AE7-OFFSET($C$6:$F$6,AV$5,0)))^2-SUM(($AB7:$AE7-OFFSET($C$6:$F$6,AV$5,0))*($AB7:$AE7-OFFSET($C$6:$F$6,AV$5,0)))+OFFSET($G$6,AV$5,0)^2)</f>
        <v>#NUM!</v>
      </c>
      <c r="BG7" s="10" t="e">
        <f t="array" aca="1" ref="BG7" ca="1">-SUM(($AJ7:$AM7)*($AB7:$AE7-OFFSET($C$6:$F$6,AW$5,0)))-SQRT(SUM(($AJ7:$AM7)*($AB7:$AE7-OFFSET($C$6:$F$6,AW$5,0)))^2-SUM(($AB7:$AE7-OFFSET($C$6:$F$6,AW$5,0))*($AB7:$AE7-OFFSET($C$6:$F$6,AW$5,0)))+OFFSET($G$6,AW$5,0)^2)</f>
        <v>#NUM!</v>
      </c>
      <c r="BH7" s="10" t="e">
        <f t="array" aca="1" ref="BH7" ca="1">-SUM(($AJ7:$AM7)*($AB7:$AE7-OFFSET($C$6:$F$6,AX$5,0)))-SQRT(SUM(($AJ7:$AM7)*($AB7:$AE7-OFFSET($C$6:$F$6,AX$5,0)))^2-SUM(($AB7:$AE7-OFFSET($C$6:$F$6,AX$5,0))*($AB7:$AE7-OFFSET($C$6:$F$6,AX$5,0)))+OFFSET($G$6,AX$5,0)^2)</f>
        <v>#NUM!</v>
      </c>
      <c r="BJ7" s="10">
        <f t="array" aca="1" ref="BJ7" ca="1">MIN(IF(IF(ISERROR(AO7:BH7),-1,AO7:BH7)&lt;0,9999999999,AO7:BH7))</f>
        <v>5.6293251144903138</v>
      </c>
      <c r="BL7">
        <f t="shared" ref="BL7:BL24" ca="1" si="8">IF(BJ7=9999999999,-1,INDEX($AO$5:$BH$5,0,MATCH(BJ7,AO7:BH7,0)))</f>
        <v>0</v>
      </c>
      <c r="BN7" s="10">
        <f t="shared" ref="BN7:BN16" ca="1" si="9">AB7+$BJ7*AJ7</f>
        <v>-2.2020466862651835</v>
      </c>
      <c r="BO7" s="10">
        <f t="shared" ref="BO7:BO16" ca="1" si="10">AC7+$BJ7*AK7</f>
        <v>-1.0530556172966503</v>
      </c>
      <c r="BP7" s="10">
        <f t="shared" ref="BP7:BP16" ca="1" si="11">AD7+$BJ7*AL7</f>
        <v>-10.057499632197967</v>
      </c>
      <c r="BQ7" s="10">
        <f t="shared" ref="BQ7:BQ16" ca="1" si="12">AE7+$BJ7*AM7</f>
        <v>1</v>
      </c>
      <c r="BR7" s="14">
        <f t="shared" ref="BR7:BR16" ca="1" si="13">-AJ7</f>
        <v>0.39117418899770895</v>
      </c>
      <c r="BS7" s="14">
        <f t="shared" ref="BS7:BS16" ca="1" si="14">-AK7</f>
        <v>0.2758866446173035</v>
      </c>
      <c r="BT7" s="14">
        <f t="shared" ref="BT7:BT16" ca="1" si="15">-AL7</f>
        <v>-0.87799163616961085</v>
      </c>
      <c r="BU7" s="14">
        <f t="shared" ref="BU7:BU16" si="16">-AM7</f>
        <v>0</v>
      </c>
      <c r="BV7" s="10">
        <f t="array" aca="1" ref="BV7" ca="1">(BN7-OFFSET(C$6,$BL7,0))/SQRT(SUM(($BN7:$BQ7-OFFSET($C$6:$F$6,$BL7,0))*($BN7:$BQ7-OFFSET($C$6:$F$6,$BL7,0))))</f>
        <v>-2.2042509372023861E-3</v>
      </c>
      <c r="BW7" s="10">
        <f t="array" aca="1" ref="BW7" ca="1">(BO7-OFFSET(D$6,$BL7,0))/SQRT(SUM(($BN7:$BQ7-OFFSET($C$6:$F$6,$BL7,0))*($BN7:$BQ7-OFFSET($C$6:$F$6,$BL7,0))))</f>
        <v>0.99994689127397729</v>
      </c>
      <c r="BX7" s="10">
        <f t="array" aca="1" ref="BX7" ca="1">(BP7-OFFSET(E$6,$BL7,0))/SQRT(SUM(($BN7:$BQ7-OFFSET($C$6:$F$6,$BL7,0))*($BN7:$BQ7-OFFSET($C$6:$F$6,$BL7,0))))</f>
        <v>-1.0067567199397364E-2</v>
      </c>
      <c r="BY7" s="10">
        <f t="array" aca="1" ref="BY7" ca="1">(BQ7-OFFSET(F$6,$BL7,0))/SQRT(SUM(($BN7:$BQ7-OFFSET($C$6:$F$6,$BL7,0))*($BN7:$BQ7-OFFSET($C$6:$F$6,$BL7,0))))</f>
        <v>0</v>
      </c>
      <c r="BZ7" s="14">
        <f t="array" aca="1" ref="BZ7" ca="1">-(BN7-O$6)/SQRT(SUM(($O$6:$R$6-$BN7:$BQ7)*($O$6:$R$6-$BN7:$BQ7)))</f>
        <v>-0.57647056033119959</v>
      </c>
      <c r="CA7" s="14">
        <f t="array" aca="1" ref="CA7" ca="1">-(BO7-P$6)/SQRT(SUM(($O$6:$R$6-$BN7:$BQ7)*($O$6:$R$6-$BN7:$BQ7)))</f>
        <v>0.81710686236760366</v>
      </c>
      <c r="CB7" s="14">
        <f t="array" aca="1" ref="CB7" ca="1">-(BP7-Q$6)/SQRT(SUM(($O$6:$R$6-$BN7:$BQ7)*($O$6:$R$6-$BN7:$BQ7)))</f>
        <v>4.2507109055932779E-3</v>
      </c>
      <c r="CC7" s="14">
        <f t="array" aca="1" ref="CC7" ca="1">-(BQ7-R$6)/SQRT(SUM(($O$6:$R$6-$BN7:$BQ7)*($O$6:$R$6-$BN7:$BQ7)))</f>
        <v>0</v>
      </c>
      <c r="CD7" s="14">
        <f t="array" aca="1" ref="CD7:CG7" ca="1">-BR7:BU7-BV7:BY7*2*SUM(-BR7:BU7*BV7:BY7)</f>
        <v>-0.39242553778609857</v>
      </c>
      <c r="CE7" s="14">
        <f ca="1"/>
        <v>0.29178117837464035</v>
      </c>
      <c r="CF7" s="14">
        <f ca="1"/>
        <v>0.87227629868041101</v>
      </c>
      <c r="CG7" s="14">
        <f ca="1"/>
        <v>0</v>
      </c>
      <c r="CH7" s="14">
        <f t="array" aca="1" ref="CH7:CK7" ca="1">-BZ7:CC7-BV7:BY7*2*SUM(-BZ7:CC7*BV7:BY7)</f>
        <v>0.57286312134424411</v>
      </c>
      <c r="CI7" s="14">
        <f ca="1"/>
        <v>0.81938893744590735</v>
      </c>
      <c r="CJ7" s="14">
        <f ca="1"/>
        <v>-2.072711738270477E-2</v>
      </c>
      <c r="CK7" s="14">
        <f ca="1"/>
        <v>0</v>
      </c>
      <c r="CL7">
        <f t="array" aca="1" ref="CL7" ca="1">SUM(BZ7:CC7*BV7:BY7)</f>
        <v>0.81829135831831123</v>
      </c>
      <c r="CM7">
        <f t="array" aca="1" ref="CM7" ca="1">SUM(CH7:CK7*BR7:BU7)</f>
        <v>0.46834596719094035</v>
      </c>
      <c r="CN7" s="11">
        <f t="shared" ref="CN7:CN24" ca="1" si="17">$S$6*OFFSET($H$6,BL7,0)</f>
        <v>0</v>
      </c>
      <c r="CO7" s="11">
        <f t="shared" ref="CO7:CO24" ca="1" si="18">IF(CL7&lt;0,0,$S$6*OFFSET($I$6,BL7,0)*CL7)</f>
        <v>0.73646222248648008</v>
      </c>
      <c r="CP7" s="11">
        <f t="shared" ref="CP7:CP24" ca="1" si="19">IF(CL7&lt;0,0,IF(CM7&lt;0,0,$S$6*OFFSET($J$6,BL7,0)*CM7^OFFSET($K$6,BL7,0)))</f>
        <v>1.168421408614152E-66</v>
      </c>
      <c r="CQ7" s="11">
        <f t="shared" ref="CQ7:CQ24" ca="1" si="20">IFERROR(SUM(CN7:CP7),0)</f>
        <v>0.73646222248648008</v>
      </c>
      <c r="CS7" s="10">
        <f t="array" aca="1" ref="CS7:CV7" ca="1">BN7:BQ7+BV7:BY7*0.001</f>
        <v>-2.2020488905161208</v>
      </c>
      <c r="CT7" s="10">
        <f ca="1"/>
        <v>-1.0520556704053763</v>
      </c>
      <c r="CU7" s="10">
        <f ca="1"/>
        <v>-10.057509699765166</v>
      </c>
      <c r="CV7" s="10">
        <f ca="1"/>
        <v>1</v>
      </c>
      <c r="CW7" s="10">
        <f t="shared" ref="CW7:CW24" ca="1" si="21">BZ7</f>
        <v>-0.57647056033119959</v>
      </c>
      <c r="CX7" s="10">
        <f t="shared" ref="CX7:CX24" ca="1" si="22">CA7</f>
        <v>0.81710686236760366</v>
      </c>
      <c r="CY7" s="10">
        <f t="shared" ref="CY7:CY24" ca="1" si="23">CB7</f>
        <v>4.2507109055932779E-3</v>
      </c>
      <c r="CZ7" s="10">
        <f t="shared" ref="CZ7:CZ24" ca="1" si="24">CC7</f>
        <v>0</v>
      </c>
      <c r="DB7" s="10">
        <f t="array" aca="1" ref="DB7" ca="1">-SUM(($CW7:$CZ7)*($CS7:$CV7-OFFSET($C$6:$F$6,DB$5,0)))+SQRT(SUM(($CW7:$CZ7)*($CS7:$CV7-OFFSET($C$6:$F$6,DB$5,0)))^2-SUM(($CS7:$CV7-OFFSET($C$6:$F$6,DB$5,0))*($CS7:$CV7-OFFSET($C$6:$F$6,DB$5,0)))+OFFSET($G$6,DB$5,0)^2)</f>
        <v>-1.2220589119351644E-3</v>
      </c>
      <c r="DC7" s="10" t="e">
        <f t="array" aca="1" ref="DC7" ca="1">-SUM(($CW7:$CZ7)*($CS7:$CV7-OFFSET($C$6:$F$6,DC$5,0)))+SQRT(SUM(($CW7:$CZ7)*($CS7:$CV7-OFFSET($C$6:$F$6,DC$5,0)))^2-SUM(($CS7:$CV7-OFFSET($C$6:$F$6,DC$5,0))*($CS7:$CV7-OFFSET($C$6:$F$6,DC$5,0)))+OFFSET($G$6,DC$5,0)^2)</f>
        <v>#NUM!</v>
      </c>
      <c r="DD7" s="10" t="e">
        <f t="array" aca="1" ref="DD7" ca="1">-SUM(($CW7:$CZ7)*($CS7:$CV7-OFFSET($C$6:$F$6,DD$5,0)))+SQRT(SUM(($CW7:$CZ7)*($CS7:$CV7-OFFSET($C$6:$F$6,DD$5,0)))^2-SUM(($CS7:$CV7-OFFSET($C$6:$F$6,DD$5,0))*($CS7:$CV7-OFFSET($C$6:$F$6,DD$5,0)))+OFFSET($G$6,DD$5,0)^2)</f>
        <v>#NUM!</v>
      </c>
      <c r="DE7" s="10" t="e">
        <f t="array" aca="1" ref="DE7" ca="1">-SUM(($CW7:$CZ7)*($CS7:$CV7-OFFSET($C$6:$F$6,DE$5,0)))+SQRT(SUM(($CW7:$CZ7)*($CS7:$CV7-OFFSET($C$6:$F$6,DE$5,0)))^2-SUM(($CS7:$CV7-OFFSET($C$6:$F$6,DE$5,0))*($CS7:$CV7-OFFSET($C$6:$F$6,DE$5,0)))+OFFSET($G$6,DE$5,0)^2)</f>
        <v>#NUM!</v>
      </c>
      <c r="DF7" s="10" t="e">
        <f t="array" aca="1" ref="DF7" ca="1">-SUM(($CW7:$CZ7)*($CS7:$CV7-OFFSET($C$6:$F$6,DF$5,0)))+SQRT(SUM(($CW7:$CZ7)*($CS7:$CV7-OFFSET($C$6:$F$6,DF$5,0)))^2-SUM(($CS7:$CV7-OFFSET($C$6:$F$6,DF$5,0))*($CS7:$CV7-OFFSET($C$6:$F$6,DF$5,0)))+OFFSET($G$6,DF$5,0)^2)</f>
        <v>#NUM!</v>
      </c>
      <c r="DG7" s="10" t="e">
        <f t="array" aca="1" ref="DG7" ca="1">-SUM(($CW7:$CZ7)*($CS7:$CV7-OFFSET($C$6:$F$6,DG$5,0)))+SQRT(SUM(($CW7:$CZ7)*($CS7:$CV7-OFFSET($C$6:$F$6,DG$5,0)))^2-SUM(($CS7:$CV7-OFFSET($C$6:$F$6,DG$5,0))*($CS7:$CV7-OFFSET($C$6:$F$6,DG$5,0)))+OFFSET($G$6,DG$5,0)^2)</f>
        <v>#NUM!</v>
      </c>
      <c r="DH7" s="10" t="e">
        <f t="array" aca="1" ref="DH7" ca="1">-SUM(($CW7:$CZ7)*($CS7:$CV7-OFFSET($C$6:$F$6,DH$5,0)))+SQRT(SUM(($CW7:$CZ7)*($CS7:$CV7-OFFSET($C$6:$F$6,DH$5,0)))^2-SUM(($CS7:$CV7-OFFSET($C$6:$F$6,DH$5,0))*($CS7:$CV7-OFFSET($C$6:$F$6,DH$5,0)))+OFFSET($G$6,DH$5,0)^2)</f>
        <v>#NUM!</v>
      </c>
      <c r="DI7" s="10" t="e">
        <f t="array" aca="1" ref="DI7" ca="1">-SUM(($CW7:$CZ7)*($CS7:$CV7-OFFSET($C$6:$F$6,DI$5,0)))+SQRT(SUM(($CW7:$CZ7)*($CS7:$CV7-OFFSET($C$6:$F$6,DI$5,0)))^2-SUM(($CS7:$CV7-OFFSET($C$6:$F$6,DI$5,0))*($CS7:$CV7-OFFSET($C$6:$F$6,DI$5,0)))+OFFSET($G$6,DI$5,0)^2)</f>
        <v>#NUM!</v>
      </c>
      <c r="DJ7" s="10" t="e">
        <f t="array" aca="1" ref="DJ7" ca="1">-SUM(($CW7:$CZ7)*($CS7:$CV7-OFFSET($C$6:$F$6,DJ$5,0)))+SQRT(SUM(($CW7:$CZ7)*($CS7:$CV7-OFFSET($C$6:$F$6,DJ$5,0)))^2-SUM(($CS7:$CV7-OFFSET($C$6:$F$6,DJ$5,0))*($CS7:$CV7-OFFSET($C$6:$F$6,DJ$5,0)))+OFFSET($G$6,DJ$5,0)^2)</f>
        <v>#NUM!</v>
      </c>
      <c r="DK7" s="10" t="e">
        <f t="array" aca="1" ref="DK7" ca="1">-SUM(($CW7:$CZ7)*($CS7:$CV7-OFFSET($C$6:$F$6,DK$5,0)))+SQRT(SUM(($CW7:$CZ7)*($CS7:$CV7-OFFSET($C$6:$F$6,DK$5,0)))^2-SUM(($CS7:$CV7-OFFSET($C$6:$F$6,DK$5,0))*($CS7:$CV7-OFFSET($C$6:$F$6,DK$5,0)))+OFFSET($G$6,DK$5,0)^2)</f>
        <v>#NUM!</v>
      </c>
      <c r="DL7" s="10">
        <f t="array" aca="1" ref="DL7" ca="1">-SUM(($CW7:$CZ7)*($CS7:$CV7-OFFSET($C$6:$F$6,DB$5,0)))-SQRT(SUM(($CW7:$CZ7)*($CS7:$CV7-OFFSET($C$6:$F$6,DB$5,0)))^2-SUM(($CS7:$CV7-OFFSET($C$6:$F$6,DB$5,0))*($CS7:$CV7-OFFSET($C$6:$F$6,DB$5,0)))+OFFSET($G$6,DB$5,0)^2)</f>
        <v>-1634.9465484437908</v>
      </c>
      <c r="DM7" s="10" t="e">
        <f t="array" aca="1" ref="DM7" ca="1">-SUM(($CW7:$CZ7)*($CS7:$CV7-OFFSET($C$6:$F$6,DC$5,0)))-SQRT(SUM(($CW7:$CZ7)*($CS7:$CV7-OFFSET($C$6:$F$6,DC$5,0)))^2-SUM(($CS7:$CV7-OFFSET($C$6:$F$6,DC$5,0))*($CS7:$CV7-OFFSET($C$6:$F$6,DC$5,0)))+OFFSET($G$6,DC$5,0)^2)</f>
        <v>#NUM!</v>
      </c>
      <c r="DN7" s="10" t="e">
        <f t="array" aca="1" ref="DN7" ca="1">-SUM(($CW7:$CZ7)*($CS7:$CV7-OFFSET($C$6:$F$6,DD$5,0)))-SQRT(SUM(($CW7:$CZ7)*($CS7:$CV7-OFFSET($C$6:$F$6,DD$5,0)))^2-SUM(($CS7:$CV7-OFFSET($C$6:$F$6,DD$5,0))*($CS7:$CV7-OFFSET($C$6:$F$6,DD$5,0)))+OFFSET($G$6,DD$5,0)^2)</f>
        <v>#NUM!</v>
      </c>
      <c r="DO7" s="10" t="e">
        <f t="array" aca="1" ref="DO7" ca="1">-SUM(($CW7:$CZ7)*($CS7:$CV7-OFFSET($C$6:$F$6,DE$5,0)))-SQRT(SUM(($CW7:$CZ7)*($CS7:$CV7-OFFSET($C$6:$F$6,DE$5,0)))^2-SUM(($CS7:$CV7-OFFSET($C$6:$F$6,DE$5,0))*($CS7:$CV7-OFFSET($C$6:$F$6,DE$5,0)))+OFFSET($G$6,DE$5,0)^2)</f>
        <v>#NUM!</v>
      </c>
      <c r="DP7" s="10" t="e">
        <f t="array" aca="1" ref="DP7" ca="1">-SUM(($CW7:$CZ7)*($CS7:$CV7-OFFSET($C$6:$F$6,DF$5,0)))-SQRT(SUM(($CW7:$CZ7)*($CS7:$CV7-OFFSET($C$6:$F$6,DF$5,0)))^2-SUM(($CS7:$CV7-OFFSET($C$6:$F$6,DF$5,0))*($CS7:$CV7-OFFSET($C$6:$F$6,DF$5,0)))+OFFSET($G$6,DF$5,0)^2)</f>
        <v>#NUM!</v>
      </c>
      <c r="DQ7" s="10" t="e">
        <f t="array" aca="1" ref="DQ7" ca="1">-SUM(($CW7:$CZ7)*($CS7:$CV7-OFFSET($C$6:$F$6,DG$5,0)))-SQRT(SUM(($CW7:$CZ7)*($CS7:$CV7-OFFSET($C$6:$F$6,DG$5,0)))^2-SUM(($CS7:$CV7-OFFSET($C$6:$F$6,DG$5,0))*($CS7:$CV7-OFFSET($C$6:$F$6,DG$5,0)))+OFFSET($G$6,DG$5,0)^2)</f>
        <v>#NUM!</v>
      </c>
      <c r="DR7" s="10" t="e">
        <f t="array" aca="1" ref="DR7" ca="1">-SUM(($CW7:$CZ7)*($CS7:$CV7-OFFSET($C$6:$F$6,DH$5,0)))-SQRT(SUM(($CW7:$CZ7)*($CS7:$CV7-OFFSET($C$6:$F$6,DH$5,0)))^2-SUM(($CS7:$CV7-OFFSET($C$6:$F$6,DH$5,0))*($CS7:$CV7-OFFSET($C$6:$F$6,DH$5,0)))+OFFSET($G$6,DH$5,0)^2)</f>
        <v>#NUM!</v>
      </c>
      <c r="DS7" s="10" t="e">
        <f t="array" aca="1" ref="DS7" ca="1">-SUM(($CW7:$CZ7)*($CS7:$CV7-OFFSET($C$6:$F$6,DI$5,0)))-SQRT(SUM(($CW7:$CZ7)*($CS7:$CV7-OFFSET($C$6:$F$6,DI$5,0)))^2-SUM(($CS7:$CV7-OFFSET($C$6:$F$6,DI$5,0))*($CS7:$CV7-OFFSET($C$6:$F$6,DI$5,0)))+OFFSET($G$6,DI$5,0)^2)</f>
        <v>#NUM!</v>
      </c>
      <c r="DT7" s="10" t="e">
        <f t="array" aca="1" ref="DT7" ca="1">-SUM(($CW7:$CZ7)*($CS7:$CV7-OFFSET($C$6:$F$6,DJ$5,0)))-SQRT(SUM(($CW7:$CZ7)*($CS7:$CV7-OFFSET($C$6:$F$6,DJ$5,0)))^2-SUM(($CS7:$CV7-OFFSET($C$6:$F$6,DJ$5,0))*($CS7:$CV7-OFFSET($C$6:$F$6,DJ$5,0)))+OFFSET($G$6,DJ$5,0)^2)</f>
        <v>#NUM!</v>
      </c>
      <c r="DU7" s="10" t="e">
        <f t="array" aca="1" ref="DU7" ca="1">-SUM(($CW7:$CZ7)*($CS7:$CV7-OFFSET($C$6:$F$6,DK$5,0)))-SQRT(SUM(($CW7:$CZ7)*($CS7:$CV7-OFFSET($C$6:$F$6,DK$5,0)))^2-SUM(($CS7:$CV7-OFFSET($C$6:$F$6,DK$5,0))*($CS7:$CV7-OFFSET($C$6:$F$6,DK$5,0)))+OFFSET($G$6,DK$5,0)^2)</f>
        <v>#NUM!</v>
      </c>
      <c r="DW7" s="10">
        <f t="array" aca="1" ref="DW7" ca="1">MIN(IF(IF(ISERROR(DB7:DU7),-1,DB7:DU7)&lt;0,9999999999,DB7:DU7))</f>
        <v>9999999999</v>
      </c>
      <c r="DY7" s="11">
        <f t="shared" ref="DY7:DY24" ca="1" si="25">IF(DW7=9999999999,CQ7,IF(DW7&lt;BJ7,CN7,CQ7))</f>
        <v>0.73646222248648008</v>
      </c>
      <c r="EB7" s="10">
        <f t="array" aca="1" ref="EB7:EE7" ca="1">BN7:BQ7+BV7:BY7*0.01</f>
        <v>-2.2020687287745555</v>
      </c>
      <c r="EC7" s="10">
        <f ca="1"/>
        <v>-1.0430561483839105</v>
      </c>
      <c r="ED7" s="10">
        <f ca="1"/>
        <v>-10.057600307869961</v>
      </c>
      <c r="EE7" s="10">
        <f ca="1"/>
        <v>1</v>
      </c>
      <c r="EF7" s="10">
        <f t="shared" ref="EF7:EF24" ca="1" si="26">CD7</f>
        <v>-0.39242553778609857</v>
      </c>
      <c r="EG7" s="10">
        <f t="shared" ref="EG7:EG24" ca="1" si="27">CE7</f>
        <v>0.29178117837464035</v>
      </c>
      <c r="EH7" s="10">
        <f t="shared" ref="EH7:EH24" ca="1" si="28">CF7</f>
        <v>0.87227629868041101</v>
      </c>
      <c r="EI7" s="10">
        <f t="shared" ref="EI7:EI24" ca="1" si="29">CG7</f>
        <v>0</v>
      </c>
      <c r="EK7" s="10">
        <f t="array" aca="1" ref="EK7" ca="1">-SUM(($EF7:$EI7)*($EB7:$EE7-OFFSET($C$6:$F$6,EK$5,0)))+SQRT(SUM(($EF7:$EI7)*($EB7:$EE7-OFFSET($C$6:$F$6,EK$5,0)))^2-SUM(($EB7:$EE7-OFFSET($C$6:$F$6,EK$5,0))*($EB7:$EE7-OFFSET($C$6:$F$6,EK$5,0)))+OFFSET($G$6,EK$5,0)^2)</f>
        <v>-3.523201312538049E-2</v>
      </c>
      <c r="EL7" s="10" t="e">
        <f t="array" aca="1" ref="EL7" ca="1">-SUM(($EF7:$EI7)*($EB7:$EE7-OFFSET($C$6:$F$6,EL$5,0)))+SQRT(SUM(($EF7:$EI7)*($EB7:$EE7-OFFSET($C$6:$F$6,EL$5,0)))^2-SUM(($EB7:$EE7-OFFSET($C$6:$F$6,EL$5,0))*($EB7:$EE7-OFFSET($C$6:$F$6,EL$5,0)))+OFFSET($G$6,EL$5,0)^2)</f>
        <v>#NUM!</v>
      </c>
      <c r="EM7" s="10" t="e">
        <f t="array" aca="1" ref="EM7" ca="1">-SUM(($EF7:$EI7)*($EB7:$EE7-OFFSET($C$6:$F$6,EM$5,0)))+SQRT(SUM(($EF7:$EI7)*($EB7:$EE7-OFFSET($C$6:$F$6,EM$5,0)))^2-SUM(($EB7:$EE7-OFFSET($C$6:$F$6,EM$5,0))*($EB7:$EE7-OFFSET($C$6:$F$6,EM$5,0)))+OFFSET($G$6,EM$5,0)^2)</f>
        <v>#NUM!</v>
      </c>
      <c r="EN7" s="10" t="e">
        <f t="array" aca="1" ref="EN7" ca="1">-SUM(($EF7:$EI7)*($EB7:$EE7-OFFSET($C$6:$F$6,EN$5,0)))+SQRT(SUM(($EF7:$EI7)*($EB7:$EE7-OFFSET($C$6:$F$6,EN$5,0)))^2-SUM(($EB7:$EE7-OFFSET($C$6:$F$6,EN$5,0))*($EB7:$EE7-OFFSET($C$6:$F$6,EN$5,0)))+OFFSET($G$6,EN$5,0)^2)</f>
        <v>#NUM!</v>
      </c>
      <c r="EO7" s="10" t="e">
        <f t="array" aca="1" ref="EO7" ca="1">-SUM(($EF7:$EI7)*($EB7:$EE7-OFFSET($C$6:$F$6,EO$5,0)))+SQRT(SUM(($EF7:$EI7)*($EB7:$EE7-OFFSET($C$6:$F$6,EO$5,0)))^2-SUM(($EB7:$EE7-OFFSET($C$6:$F$6,EO$5,0))*($EB7:$EE7-OFFSET($C$6:$F$6,EO$5,0)))+OFFSET($G$6,EO$5,0)^2)</f>
        <v>#NUM!</v>
      </c>
      <c r="EP7" s="10" t="e">
        <f t="array" aca="1" ref="EP7" ca="1">-SUM(($EF7:$EI7)*($EB7:$EE7-OFFSET($C$6:$F$6,EP$5,0)))+SQRT(SUM(($EF7:$EI7)*($EB7:$EE7-OFFSET($C$6:$F$6,EP$5,0)))^2-SUM(($EB7:$EE7-OFFSET($C$6:$F$6,EP$5,0))*($EB7:$EE7-OFFSET($C$6:$F$6,EP$5,0)))+OFFSET($G$6,EP$5,0)^2)</f>
        <v>#NUM!</v>
      </c>
      <c r="EQ7" s="10" t="e">
        <f t="array" aca="1" ref="EQ7" ca="1">-SUM(($EF7:$EI7)*($EB7:$EE7-OFFSET($C$6:$F$6,EQ$5,0)))+SQRT(SUM(($EF7:$EI7)*($EB7:$EE7-OFFSET($C$6:$F$6,EQ$5,0)))^2-SUM(($EB7:$EE7-OFFSET($C$6:$F$6,EQ$5,0))*($EB7:$EE7-OFFSET($C$6:$F$6,EQ$5,0)))+OFFSET($G$6,EQ$5,0)^2)</f>
        <v>#NUM!</v>
      </c>
      <c r="ER7" s="10" t="e">
        <f t="array" aca="1" ref="ER7" ca="1">-SUM(($EF7:$EI7)*($EB7:$EE7-OFFSET($C$6:$F$6,ER$5,0)))+SQRT(SUM(($EF7:$EI7)*($EB7:$EE7-OFFSET($C$6:$F$6,ER$5,0)))^2-SUM(($EB7:$EE7-OFFSET($C$6:$F$6,ER$5,0))*($EB7:$EE7-OFFSET($C$6:$F$6,ER$5,0)))+OFFSET($G$6,ER$5,0)^2)</f>
        <v>#NUM!</v>
      </c>
      <c r="ES7" s="10" t="e">
        <f t="array" aca="1" ref="ES7" ca="1">-SUM(($EF7:$EI7)*($EB7:$EE7-OFFSET($C$6:$F$6,ES$5,0)))+SQRT(SUM(($EF7:$EI7)*($EB7:$EE7-OFFSET($C$6:$F$6,ES$5,0)))^2-SUM(($EB7:$EE7-OFFSET($C$6:$F$6,ES$5,0))*($EB7:$EE7-OFFSET($C$6:$F$6,ES$5,0)))+OFFSET($G$6,ES$5,0)^2)</f>
        <v>#NUM!</v>
      </c>
      <c r="ET7" s="10" t="e">
        <f t="array" aca="1" ref="ET7" ca="1">-SUM(($EF7:$EI7)*($EB7:$EE7-OFFSET($C$6:$F$6,ET$5,0)))+SQRT(SUM(($EF7:$EI7)*($EB7:$EE7-OFFSET($C$6:$F$6,ET$5,0)))^2-SUM(($EB7:$EE7-OFFSET($C$6:$F$6,ET$5,0))*($EB7:$EE7-OFFSET($C$6:$F$6,ET$5,0)))+OFFSET($G$6,ET$5,0)^2)</f>
        <v>#NUM!</v>
      </c>
      <c r="EU7" s="10">
        <f t="array" aca="1" ref="EU7" ca="1">-SUM(($EF7:$EI7)*($EB7:$EE7-OFFSET($C$6:$F$6,EK$5,0)))-SQRT(SUM(($EF7:$EI7)*($EB7:$EE7-OFFSET($C$6:$F$6,EK$5,0)))^2-SUM(($EB7:$EE7-OFFSET($C$6:$F$6,EK$5,0))*($EB7:$EE7-OFFSET($C$6:$F$6,EK$5,0)))+OFFSET($G$6,EK$5,0)^2)</f>
        <v>-567.10071970193371</v>
      </c>
      <c r="EV7" s="10" t="e">
        <f t="array" aca="1" ref="EV7" ca="1">-SUM(($EF7:$EI7)*($EB7:$EE7-OFFSET($C$6:$F$6,EL$5,0)))-SQRT(SUM(($EF7:$EI7)*($EB7:$EE7-OFFSET($C$6:$F$6,EL$5,0)))^2-SUM(($EB7:$EE7-OFFSET($C$6:$F$6,EL$5,0))*($EB7:$EE7-OFFSET($C$6:$F$6,EL$5,0)))+OFFSET($G$6,EL$5,0)^2)</f>
        <v>#NUM!</v>
      </c>
      <c r="EW7" s="10" t="e">
        <f t="array" aca="1" ref="EW7" ca="1">-SUM(($EF7:$EI7)*($EB7:$EE7-OFFSET($C$6:$F$6,EM$5,0)))-SQRT(SUM(($EF7:$EI7)*($EB7:$EE7-OFFSET($C$6:$F$6,EM$5,0)))^2-SUM(($EB7:$EE7-OFFSET($C$6:$F$6,EM$5,0))*($EB7:$EE7-OFFSET($C$6:$F$6,EM$5,0)))+OFFSET($G$6,EM$5,0)^2)</f>
        <v>#NUM!</v>
      </c>
      <c r="EX7" s="10" t="e">
        <f t="array" aca="1" ref="EX7" ca="1">-SUM(($EF7:$EI7)*($EB7:$EE7-OFFSET($C$6:$F$6,EN$5,0)))-SQRT(SUM(($EF7:$EI7)*($EB7:$EE7-OFFSET($C$6:$F$6,EN$5,0)))^2-SUM(($EB7:$EE7-OFFSET($C$6:$F$6,EN$5,0))*($EB7:$EE7-OFFSET($C$6:$F$6,EN$5,0)))+OFFSET($G$6,EN$5,0)^2)</f>
        <v>#NUM!</v>
      </c>
      <c r="EY7" s="10" t="e">
        <f t="array" aca="1" ref="EY7" ca="1">-SUM(($EF7:$EI7)*($EB7:$EE7-OFFSET($C$6:$F$6,EO$5,0)))-SQRT(SUM(($EF7:$EI7)*($EB7:$EE7-OFFSET($C$6:$F$6,EO$5,0)))^2-SUM(($EB7:$EE7-OFFSET($C$6:$F$6,EO$5,0))*($EB7:$EE7-OFFSET($C$6:$F$6,EO$5,0)))+OFFSET($G$6,EO$5,0)^2)</f>
        <v>#NUM!</v>
      </c>
      <c r="EZ7" s="10" t="e">
        <f t="array" aca="1" ref="EZ7" ca="1">-SUM(($EF7:$EI7)*($EB7:$EE7-OFFSET($C$6:$F$6,EP$5,0)))-SQRT(SUM(($EF7:$EI7)*($EB7:$EE7-OFFSET($C$6:$F$6,EP$5,0)))^2-SUM(($EB7:$EE7-OFFSET($C$6:$F$6,EP$5,0))*($EB7:$EE7-OFFSET($C$6:$F$6,EP$5,0)))+OFFSET($G$6,EP$5,0)^2)</f>
        <v>#NUM!</v>
      </c>
      <c r="FA7" s="10" t="e">
        <f t="array" aca="1" ref="FA7" ca="1">-SUM(($EF7:$EI7)*($EB7:$EE7-OFFSET($C$6:$F$6,EQ$5,0)))-SQRT(SUM(($EF7:$EI7)*($EB7:$EE7-OFFSET($C$6:$F$6,EQ$5,0)))^2-SUM(($EB7:$EE7-OFFSET($C$6:$F$6,EQ$5,0))*($EB7:$EE7-OFFSET($C$6:$F$6,EQ$5,0)))+OFFSET($G$6,EQ$5,0)^2)</f>
        <v>#NUM!</v>
      </c>
      <c r="FB7" s="10" t="e">
        <f t="array" aca="1" ref="FB7" ca="1">-SUM(($EF7:$EI7)*($EB7:$EE7-OFFSET($C$6:$F$6,ER$5,0)))-SQRT(SUM(($EF7:$EI7)*($EB7:$EE7-OFFSET($C$6:$F$6,ER$5,0)))^2-SUM(($EB7:$EE7-OFFSET($C$6:$F$6,ER$5,0))*($EB7:$EE7-OFFSET($C$6:$F$6,ER$5,0)))+OFFSET($G$6,ER$5,0)^2)</f>
        <v>#NUM!</v>
      </c>
      <c r="FC7" s="10" t="e">
        <f t="array" aca="1" ref="FC7" ca="1">-SUM(($EF7:$EI7)*($EB7:$EE7-OFFSET($C$6:$F$6,ES$5,0)))-SQRT(SUM(($EF7:$EI7)*($EB7:$EE7-OFFSET($C$6:$F$6,ES$5,0)))^2-SUM(($EB7:$EE7-OFFSET($C$6:$F$6,ES$5,0))*($EB7:$EE7-OFFSET($C$6:$F$6,ES$5,0)))+OFFSET($G$6,ES$5,0)^2)</f>
        <v>#NUM!</v>
      </c>
      <c r="FD7" s="10" t="e">
        <f t="array" aca="1" ref="FD7" ca="1">-SUM(($EF7:$EI7)*($EB7:$EE7-OFFSET($C$6:$F$6,ET$5,0)))-SQRT(SUM(($EF7:$EI7)*($EB7:$EE7-OFFSET($C$6:$F$6,ET$5,0)))^2-SUM(($EB7:$EE7-OFFSET($C$6:$F$6,ET$5,0))*($EB7:$EE7-OFFSET($C$6:$F$6,ET$5,0)))+OFFSET($G$6,ET$5,0)^2)</f>
        <v>#NUM!</v>
      </c>
      <c r="FF7" s="10">
        <f t="array" aca="1" ref="FF7" ca="1">MIN(IF(IF(ISERROR(EK7:FD7),-1,EK7:FD7)&lt;0,9999999999,EK7:FD7))</f>
        <v>9999999999</v>
      </c>
      <c r="FH7">
        <f t="shared" ref="FH7:FH24" ca="1" si="30">IF(FF7=9999999999,-1,INDEX($AO$5:$BH$5,0,MATCH(FF7,EK7:FD7,0)))</f>
        <v>-1</v>
      </c>
      <c r="FJ7" s="10">
        <f t="shared" ref="FJ7:FJ24" ca="1" si="31">EB7+$FF7*EF7</f>
        <v>-3924255379.670629</v>
      </c>
      <c r="FK7" s="10">
        <f t="shared" ref="FK7:FK24" ca="1" si="32">EC7+$FF7*EG7</f>
        <v>2917811782.4115663</v>
      </c>
      <c r="FL7" s="10">
        <f t="shared" ref="FL7:FL24" ca="1" si="33">ED7+$FF7*EH7</f>
        <v>8722762975.8742332</v>
      </c>
      <c r="FM7" s="10">
        <f t="shared" ref="FM7:FM24" ca="1" si="34">EE7+$FF7*EI7</f>
        <v>1</v>
      </c>
      <c r="FN7" s="14">
        <f t="shared" ref="FN7:FN24" ca="1" si="35">-EF7</f>
        <v>0.39242553778609857</v>
      </c>
      <c r="FO7" s="14">
        <f t="shared" ca="1" si="0"/>
        <v>-0.29178117837464035</v>
      </c>
      <c r="FP7" s="14">
        <f t="shared" ca="1" si="1"/>
        <v>-0.87227629868041101</v>
      </c>
      <c r="FQ7" s="14">
        <f t="shared" ca="1" si="2"/>
        <v>0</v>
      </c>
      <c r="FR7" s="10" t="e">
        <f t="array" aca="1" ref="FR7" ca="1">(FJ7-OFFSET(C$6,$FH7,0))/SQRT(SUM(($FJ7:$FM7-OFFSET($C$6:$F$6,$FH7,0))*($FJ7:$FM7-OFFSET($C$6:$F$6,$FH7,0))))</f>
        <v>#VALUE!</v>
      </c>
      <c r="FS7" s="10" t="e">
        <f t="array" aca="1" ref="FS7" ca="1">(FK7-OFFSET(D$6,$FH7,0))/SQRT(SUM(($FJ7:$FM7-OFFSET($C$6:$F$6,$FH7,0))*($FJ7:$FM7-OFFSET($C$6:$F$6,$FH7,0))))</f>
        <v>#VALUE!</v>
      </c>
      <c r="FT7" s="10" t="e">
        <f t="array" aca="1" ref="FT7" ca="1">(FL7-OFFSET(E$6,$FH7,0))/SQRT(SUM(($FJ7:$FM7-OFFSET($C$6:$F$6,$FH7,0))*($FJ7:$FM7-OFFSET($C$6:$F$6,$FH7,0))))</f>
        <v>#VALUE!</v>
      </c>
      <c r="FU7" s="10" t="e">
        <f t="array" aca="1" ref="FU7" ca="1">(FM7-OFFSET(F$6,$FH7,0))/SQRT(SUM(($FJ7:$FM7-OFFSET($C$6:$F$6,$FH7,0))*($FJ7:$FM7-OFFSET($C$6:$F$6,$FH7,0))))</f>
        <v>#VALUE!</v>
      </c>
      <c r="FV7" s="14">
        <f t="array" aca="1" ref="FV7" ca="1">-(FJ7-O$6)/SQRT(SUM(($O$6:$R$6-$FJ7:$FM7)*($O$6:$R$6-$FJ7:$FM7)))</f>
        <v>0.39242553725480916</v>
      </c>
      <c r="FW7" s="14">
        <f t="array" aca="1" ref="FW7" ca="1">-(FK7-P$6)/SQRT(SUM(($O$6:$R$6-$FJ7:$FM7)*($O$6:$R$6-$FJ7:$FM7)))</f>
        <v>-0.29178117745510534</v>
      </c>
      <c r="FX7" s="14">
        <f t="array" aca="1" ref="FX7" ca="1">-(FL7-Q$6)/SQRT(SUM(($O$6:$R$6-$FJ7:$FM7)*($O$6:$R$6-$FJ7:$FM7)))</f>
        <v>-0.87227629922702044</v>
      </c>
      <c r="FY7" s="14">
        <f t="array" aca="1" ref="FY7" ca="1">-(FM7-R$6)/SQRT(SUM(($O$6:$R$6-$FJ7:$FM7)*($O$6:$R$6-$FJ7:$FM7)))</f>
        <v>0</v>
      </c>
      <c r="FZ7" s="14" t="e">
        <f t="array" aca="1" ref="FZ7:GC7" ca="1">-FN7:FQ7-FR7:FU7*2*SUM(-FN7:FQ7*FR7:FU7)</f>
        <v>#VALUE!</v>
      </c>
      <c r="GA7" s="14" t="e">
        <f ca="1"/>
        <v>#VALUE!</v>
      </c>
      <c r="GB7" s="14" t="e">
        <f ca="1"/>
        <v>#VALUE!</v>
      </c>
      <c r="GC7" s="14" t="e">
        <f ca="1"/>
        <v>#VALUE!</v>
      </c>
      <c r="GD7" s="14" t="e">
        <f t="array" aca="1" ref="GD7:GG7" ca="1">-FV7:FY7-FR7:FU7*2*SUM(-FV7:FY7*FR7:FU7)</f>
        <v>#VALUE!</v>
      </c>
      <c r="GE7" s="14" t="e">
        <f ca="1"/>
        <v>#VALUE!</v>
      </c>
      <c r="GF7" s="14" t="e">
        <f ca="1"/>
        <v>#VALUE!</v>
      </c>
      <c r="GG7" s="14" t="e">
        <f ca="1"/>
        <v>#VALUE!</v>
      </c>
      <c r="GH7" t="e">
        <f t="array" aca="1" ref="GH7" ca="1">SUM(FV7:FY7*FR7:FU7)</f>
        <v>#VALUE!</v>
      </c>
      <c r="GI7" t="e">
        <f t="array" aca="1" ref="GI7" ca="1">SUM(GD7:GG7*FN7:FQ7)</f>
        <v>#VALUE!</v>
      </c>
      <c r="GJ7" s="11" t="e">
        <f t="shared" ref="GJ7:GJ24" ca="1" si="36">$S$6*OFFSET($H$6,FH7,0)</f>
        <v>#VALUE!</v>
      </c>
      <c r="GK7" s="11" t="e">
        <f t="shared" ref="GK7:GK24" ca="1" si="37">IF(GH7&lt;0,0,$S$6*OFFSET($I$6,FH7,0)*GH7)</f>
        <v>#VALUE!</v>
      </c>
      <c r="GL7" s="11" t="e">
        <f t="shared" ref="GL7:GL24" ca="1" si="38">IF(GH7&lt;0,0,IF(GI7&lt;0,0,$S$6*OFFSET($J$6,FH7,0)*GI7^OFFSET($K$6,FH7,0)))</f>
        <v>#VALUE!</v>
      </c>
      <c r="GM7" s="11">
        <f t="shared" ref="GM7:GM24" ca="1" si="39">IFERROR(SUM(GJ7:GL7),0)</f>
        <v>0</v>
      </c>
      <c r="GO7" s="10" t="e">
        <f t="array" aca="1" ref="GO7:GR7" ca="1">FJ7:FM7+FR7:FU7*0.001</f>
        <v>#VALUE!</v>
      </c>
      <c r="GP7" s="10" t="e">
        <f ca="1"/>
        <v>#VALUE!</v>
      </c>
      <c r="GQ7" s="10" t="e">
        <f ca="1"/>
        <v>#VALUE!</v>
      </c>
      <c r="GR7" s="10" t="e">
        <f ca="1"/>
        <v>#VALUE!</v>
      </c>
      <c r="GS7" s="10">
        <f t="shared" ref="GS7:GS24" ca="1" si="40">FV7</f>
        <v>0.39242553725480916</v>
      </c>
      <c r="GT7" s="10">
        <f t="shared" ca="1" si="3"/>
        <v>-0.29178117745510534</v>
      </c>
      <c r="GU7" s="10">
        <f t="shared" ca="1" si="4"/>
        <v>-0.87227629922702044</v>
      </c>
      <c r="GV7" s="10">
        <f t="shared" ca="1" si="5"/>
        <v>0</v>
      </c>
      <c r="GX7" s="10" t="e">
        <f t="array" aca="1" ref="GX7" ca="1">-SUM(($GS7:$GV7)*($GO7:$GR7-OFFSET($C$6:$F$6,GX$5,0)))+SQRT(SUM(($GS7:$GV7)*($GO7:$GR7-OFFSET($C$6:$F$6,GX$5,0)))^2-SUM(($GO7:$GR7-OFFSET($C$6:$F$6,GX$5,0))*($GO7:$GR7-OFFSET($C$6:$F$6,GX$5,0)))+OFFSET($G$6,GX$5,0)^2)</f>
        <v>#VALUE!</v>
      </c>
      <c r="GY7" s="10" t="e">
        <f t="array" aca="1" ref="GY7" ca="1">-SUM(($GS7:$GV7)*($GO7:$GR7-OFFSET($C$6:$F$6,GY$5,0)))+SQRT(SUM(($GS7:$GV7)*($GO7:$GR7-OFFSET($C$6:$F$6,GY$5,0)))^2-SUM(($GO7:$GR7-OFFSET($C$6:$F$6,GY$5,0))*($GO7:$GR7-OFFSET($C$6:$F$6,GY$5,0)))+OFFSET($G$6,GY$5,0)^2)</f>
        <v>#VALUE!</v>
      </c>
      <c r="GZ7" s="10" t="e">
        <f t="array" aca="1" ref="GZ7" ca="1">-SUM(($GS7:$GV7)*($GO7:$GR7-OFFSET($C$6:$F$6,GZ$5,0)))+SQRT(SUM(($GS7:$GV7)*($GO7:$GR7-OFFSET($C$6:$F$6,GZ$5,0)))^2-SUM(($GO7:$GR7-OFFSET($C$6:$F$6,GZ$5,0))*($GO7:$GR7-OFFSET($C$6:$F$6,GZ$5,0)))+OFFSET($G$6,GZ$5,0)^2)</f>
        <v>#VALUE!</v>
      </c>
      <c r="HA7" s="10" t="e">
        <f t="array" aca="1" ref="HA7" ca="1">-SUM(($GS7:$GV7)*($GO7:$GR7-OFFSET($C$6:$F$6,HA$5,0)))+SQRT(SUM(($GS7:$GV7)*($GO7:$GR7-OFFSET($C$6:$F$6,HA$5,0)))^2-SUM(($GO7:$GR7-OFFSET($C$6:$F$6,HA$5,0))*($GO7:$GR7-OFFSET($C$6:$F$6,HA$5,0)))+OFFSET($G$6,HA$5,0)^2)</f>
        <v>#VALUE!</v>
      </c>
      <c r="HB7" s="10" t="e">
        <f t="array" aca="1" ref="HB7" ca="1">-SUM(($GS7:$GV7)*($GO7:$GR7-OFFSET($C$6:$F$6,HB$5,0)))+SQRT(SUM(($GS7:$GV7)*($GO7:$GR7-OFFSET($C$6:$F$6,HB$5,0)))^2-SUM(($GO7:$GR7-OFFSET($C$6:$F$6,HB$5,0))*($GO7:$GR7-OFFSET($C$6:$F$6,HB$5,0)))+OFFSET($G$6,HB$5,0)^2)</f>
        <v>#VALUE!</v>
      </c>
      <c r="HC7" s="10" t="e">
        <f t="array" aca="1" ref="HC7" ca="1">-SUM(($GS7:$GV7)*($GO7:$GR7-OFFSET($C$6:$F$6,HC$5,0)))+SQRT(SUM(($GS7:$GV7)*($GO7:$GR7-OFFSET($C$6:$F$6,HC$5,0)))^2-SUM(($GO7:$GR7-OFFSET($C$6:$F$6,HC$5,0))*($GO7:$GR7-OFFSET($C$6:$F$6,HC$5,0)))+OFFSET($G$6,HC$5,0)^2)</f>
        <v>#VALUE!</v>
      </c>
      <c r="HD7" s="10" t="e">
        <f t="array" aca="1" ref="HD7" ca="1">-SUM(($GS7:$GV7)*($GO7:$GR7-OFFSET($C$6:$F$6,HD$5,0)))+SQRT(SUM(($GS7:$GV7)*($GO7:$GR7-OFFSET($C$6:$F$6,HD$5,0)))^2-SUM(($GO7:$GR7-OFFSET($C$6:$F$6,HD$5,0))*($GO7:$GR7-OFFSET($C$6:$F$6,HD$5,0)))+OFFSET($G$6,HD$5,0)^2)</f>
        <v>#VALUE!</v>
      </c>
      <c r="HE7" s="10" t="e">
        <f t="array" aca="1" ref="HE7" ca="1">-SUM(($GS7:$GV7)*($GO7:$GR7-OFFSET($C$6:$F$6,HE$5,0)))+SQRT(SUM(($GS7:$GV7)*($GO7:$GR7-OFFSET($C$6:$F$6,HE$5,0)))^2-SUM(($GO7:$GR7-OFFSET($C$6:$F$6,HE$5,0))*($GO7:$GR7-OFFSET($C$6:$F$6,HE$5,0)))+OFFSET($G$6,HE$5,0)^2)</f>
        <v>#VALUE!</v>
      </c>
      <c r="HF7" s="10" t="e">
        <f t="array" aca="1" ref="HF7" ca="1">-SUM(($GS7:$GV7)*($GO7:$GR7-OFFSET($C$6:$F$6,HF$5,0)))+SQRT(SUM(($GS7:$GV7)*($GO7:$GR7-OFFSET($C$6:$F$6,HF$5,0)))^2-SUM(($GO7:$GR7-OFFSET($C$6:$F$6,HF$5,0))*($GO7:$GR7-OFFSET($C$6:$F$6,HF$5,0)))+OFFSET($G$6,HF$5,0)^2)</f>
        <v>#VALUE!</v>
      </c>
      <c r="HG7" s="10" t="e">
        <f t="array" aca="1" ref="HG7" ca="1">-SUM(($GS7:$GV7)*($GO7:$GR7-OFFSET($C$6:$F$6,HG$5,0)))+SQRT(SUM(($GS7:$GV7)*($GO7:$GR7-OFFSET($C$6:$F$6,HG$5,0)))^2-SUM(($GO7:$GR7-OFFSET($C$6:$F$6,HG$5,0))*($GO7:$GR7-OFFSET($C$6:$F$6,HG$5,0)))+OFFSET($G$6,HG$5,0)^2)</f>
        <v>#VALUE!</v>
      </c>
      <c r="HH7" s="10" t="e">
        <f t="array" aca="1" ref="HH7" ca="1">-SUM(($GS7:$GV7)*($GO7:$GR7-OFFSET($C$6:$F$6,GX$5,0)))-SQRT(SUM(($GS7:$GV7)*($GO7:$GR7-OFFSET($C$6:$F$6,GX$5,0)))^2-SUM(($GO7:$GR7-OFFSET($C$6:$F$6,GX$5,0))*($GO7:$GR7-OFFSET($C$6:$F$6,GX$5,0)))+OFFSET($G$6,GX$5,0)^2)</f>
        <v>#VALUE!</v>
      </c>
      <c r="HI7" s="10" t="e">
        <f t="array" aca="1" ref="HI7" ca="1">-SUM(($GS7:$GV7)*($GO7:$GR7-OFFSET($C$6:$F$6,GY$5,0)))-SQRT(SUM(($GS7:$GV7)*($GO7:$GR7-OFFSET($C$6:$F$6,GY$5,0)))^2-SUM(($GO7:$GR7-OFFSET($C$6:$F$6,GY$5,0))*($GO7:$GR7-OFFSET($C$6:$F$6,GY$5,0)))+OFFSET($G$6,GY$5,0)^2)</f>
        <v>#VALUE!</v>
      </c>
      <c r="HJ7" s="10" t="e">
        <f t="array" aca="1" ref="HJ7" ca="1">-SUM(($GS7:$GV7)*($GO7:$GR7-OFFSET($C$6:$F$6,GZ$5,0)))-SQRT(SUM(($GS7:$GV7)*($GO7:$GR7-OFFSET($C$6:$F$6,GZ$5,0)))^2-SUM(($GO7:$GR7-OFFSET($C$6:$F$6,GZ$5,0))*($GO7:$GR7-OFFSET($C$6:$F$6,GZ$5,0)))+OFFSET($G$6,GZ$5,0)^2)</f>
        <v>#VALUE!</v>
      </c>
      <c r="HK7" s="10" t="e">
        <f t="array" aca="1" ref="HK7" ca="1">-SUM(($GS7:$GV7)*($GO7:$GR7-OFFSET($C$6:$F$6,HA$5,0)))-SQRT(SUM(($GS7:$GV7)*($GO7:$GR7-OFFSET($C$6:$F$6,HA$5,0)))^2-SUM(($GO7:$GR7-OFFSET($C$6:$F$6,HA$5,0))*($GO7:$GR7-OFFSET($C$6:$F$6,HA$5,0)))+OFFSET($G$6,HA$5,0)^2)</f>
        <v>#VALUE!</v>
      </c>
      <c r="HL7" s="10" t="e">
        <f t="array" aca="1" ref="HL7" ca="1">-SUM(($GS7:$GV7)*($GO7:$GR7-OFFSET($C$6:$F$6,HB$5,0)))-SQRT(SUM(($GS7:$GV7)*($GO7:$GR7-OFFSET($C$6:$F$6,HB$5,0)))^2-SUM(($GO7:$GR7-OFFSET($C$6:$F$6,HB$5,0))*($GO7:$GR7-OFFSET($C$6:$F$6,HB$5,0)))+OFFSET($G$6,HB$5,0)^2)</f>
        <v>#VALUE!</v>
      </c>
      <c r="HM7" s="10" t="e">
        <f t="array" aca="1" ref="HM7" ca="1">-SUM(($GS7:$GV7)*($GO7:$GR7-OFFSET($C$6:$F$6,HC$5,0)))-SQRT(SUM(($GS7:$GV7)*($GO7:$GR7-OFFSET($C$6:$F$6,HC$5,0)))^2-SUM(($GO7:$GR7-OFFSET($C$6:$F$6,HC$5,0))*($GO7:$GR7-OFFSET($C$6:$F$6,HC$5,0)))+OFFSET($G$6,HC$5,0)^2)</f>
        <v>#VALUE!</v>
      </c>
      <c r="HN7" s="10" t="e">
        <f t="array" aca="1" ref="HN7" ca="1">-SUM(($GS7:$GV7)*($GO7:$GR7-OFFSET($C$6:$F$6,HD$5,0)))-SQRT(SUM(($GS7:$GV7)*($GO7:$GR7-OFFSET($C$6:$F$6,HD$5,0)))^2-SUM(($GO7:$GR7-OFFSET($C$6:$F$6,HD$5,0))*($GO7:$GR7-OFFSET($C$6:$F$6,HD$5,0)))+OFFSET($G$6,HD$5,0)^2)</f>
        <v>#VALUE!</v>
      </c>
      <c r="HO7" s="10" t="e">
        <f t="array" aca="1" ref="HO7" ca="1">-SUM(($GS7:$GV7)*($GO7:$GR7-OFFSET($C$6:$F$6,HE$5,0)))-SQRT(SUM(($GS7:$GV7)*($GO7:$GR7-OFFSET($C$6:$F$6,HE$5,0)))^2-SUM(($GO7:$GR7-OFFSET($C$6:$F$6,HE$5,0))*($GO7:$GR7-OFFSET($C$6:$F$6,HE$5,0)))+OFFSET($G$6,HE$5,0)^2)</f>
        <v>#VALUE!</v>
      </c>
      <c r="HP7" s="10" t="e">
        <f t="array" aca="1" ref="HP7" ca="1">-SUM(($GS7:$GV7)*($GO7:$GR7-OFFSET($C$6:$F$6,HF$5,0)))-SQRT(SUM(($GS7:$GV7)*($GO7:$GR7-OFFSET($C$6:$F$6,HF$5,0)))^2-SUM(($GO7:$GR7-OFFSET($C$6:$F$6,HF$5,0))*($GO7:$GR7-OFFSET($C$6:$F$6,HF$5,0)))+OFFSET($G$6,HF$5,0)^2)</f>
        <v>#VALUE!</v>
      </c>
      <c r="HQ7" s="10" t="e">
        <f t="array" aca="1" ref="HQ7" ca="1">-SUM(($GS7:$GV7)*($GO7:$GR7-OFFSET($C$6:$F$6,HG$5,0)))-SQRT(SUM(($GS7:$GV7)*($GO7:$GR7-OFFSET($C$6:$F$6,HG$5,0)))^2-SUM(($GO7:$GR7-OFFSET($C$6:$F$6,HG$5,0))*($GO7:$GR7-OFFSET($C$6:$F$6,HG$5,0)))+OFFSET($G$6,HG$5,0)^2)</f>
        <v>#VALUE!</v>
      </c>
      <c r="HS7" s="10">
        <f t="array" aca="1" ref="HS7" ca="1">MIN(IF(IF(ISERROR(GX7:HQ7),-1,GX7:HQ7)&lt;0,9999999999,GX7:HQ7))</f>
        <v>9999999999</v>
      </c>
      <c r="HU7" s="11">
        <f t="shared" ref="HU7:HU24" ca="1" si="41">IF(HS7=9999999999,GM7,IF(HS7&lt;FF7,GJ7,GM7))</f>
        <v>0</v>
      </c>
      <c r="HW7" s="11">
        <f t="shared" ref="HW7:HW24" ca="1" si="42">IFERROR(OFFSET($L$6,BL7,0)*HU7+DY7,0)</f>
        <v>0.73646222248648008</v>
      </c>
    </row>
    <row r="8" spans="2:231" x14ac:dyDescent="0.25">
      <c r="B8">
        <v>2</v>
      </c>
      <c r="C8" s="10">
        <v>-4</v>
      </c>
      <c r="D8" s="10">
        <v>0</v>
      </c>
      <c r="E8" s="10">
        <v>0</v>
      </c>
      <c r="F8" s="10">
        <v>1</v>
      </c>
      <c r="G8" s="10">
        <v>1</v>
      </c>
      <c r="H8" s="10">
        <v>0</v>
      </c>
      <c r="I8" s="10">
        <v>0.9</v>
      </c>
      <c r="J8" s="10">
        <v>0.9</v>
      </c>
      <c r="K8" s="10">
        <v>200</v>
      </c>
      <c r="L8" s="10">
        <v>0</v>
      </c>
      <c r="X8" s="11">
        <f t="shared" si="6"/>
        <v>-1.7330538085255067</v>
      </c>
      <c r="Y8" s="11">
        <f t="shared" si="7"/>
        <v>-1</v>
      </c>
      <c r="Z8" s="11">
        <v>4</v>
      </c>
      <c r="AB8" s="10">
        <f t="array" aca="1" ref="AB8:AE8" ca="1">TRANSPOSE(Screen!$GL$98:$GL$101)</f>
        <v>0</v>
      </c>
      <c r="AC8" s="10">
        <f ca="1"/>
        <v>0.50000000000000033</v>
      </c>
      <c r="AD8" s="10">
        <f ca="1"/>
        <v>-15</v>
      </c>
      <c r="AE8" s="10">
        <f ca="1"/>
        <v>1</v>
      </c>
      <c r="AF8" s="10">
        <f t="array" aca="1" ref="AF8:AH8" ca="1">TRANSPOSE(MMULT(Screen!$GI$98:$GK$100,TRANSPOSE(X8:Z8)))</f>
        <v>-1.7330538085255067</v>
      </c>
      <c r="AG8" s="10">
        <f ca="1"/>
        <v>-1.2380565658529825</v>
      </c>
      <c r="AH8" s="10">
        <f ca="1"/>
        <v>3.9400359935205556</v>
      </c>
      <c r="AI8" s="10">
        <v>1</v>
      </c>
      <c r="AJ8" s="10">
        <f t="array" aca="1" ref="AJ8" ca="1">AF8/SQRT(SUM(($AF8:$AH8)*($AF8:$AH8)))</f>
        <v>-0.38694125211830399</v>
      </c>
      <c r="AK8" s="10">
        <f t="array" aca="1" ref="AK8" ca="1">AG8/SQRT(SUM(($AF8:$AH8)*($AF8:$AH8)))</f>
        <v>-0.27642255273771549</v>
      </c>
      <c r="AL8" s="10">
        <f t="array" aca="1" ref="AL8" ca="1">AH8/SQRT(SUM(($AF8:$AH8)*($AF8:$AH8)))</f>
        <v>0.87969712955487345</v>
      </c>
      <c r="AM8" s="10">
        <v>0</v>
      </c>
      <c r="AO8" s="10">
        <f t="array" aca="1" ref="AO8" ca="1">-SUM(($AJ8:$AM8)*($AB8:$AE8-OFFSET($C$6:$F$6,AO$5,0)))+SQRT(SUM(($AJ8:$AM8)*($AB8:$AE8-OFFSET($C$6:$F$6,AO$5,0)))^2-SUM(($AB8:$AE8-OFFSET($C$6:$F$6,AO$5,0))*($AB8:$AE8-OFFSET($C$6:$F$6,AO$5,0)))+OFFSET($G$6,AO$5,0)^2)</f>
        <v>573.89424654271693</v>
      </c>
      <c r="AP8" s="10" t="e">
        <f t="array" aca="1" ref="AP8" ca="1">-SUM(($AJ8:$AM8)*($AB8:$AE8-OFFSET($C$6:$F$6,AP$5,0)))+SQRT(SUM(($AJ8:$AM8)*($AB8:$AE8-OFFSET($C$6:$F$6,AP$5,0)))^2-SUM(($AB8:$AE8-OFFSET($C$6:$F$6,AP$5,0))*($AB8:$AE8-OFFSET($C$6:$F$6,AP$5,0)))+OFFSET($G$6,AP$5,0)^2)</f>
        <v>#NUM!</v>
      </c>
      <c r="AQ8" s="10" t="e">
        <f t="array" aca="1" ref="AQ8" ca="1">-SUM(($AJ8:$AM8)*($AB8:$AE8-OFFSET($C$6:$F$6,AQ$5,0)))+SQRT(SUM(($AJ8:$AM8)*($AB8:$AE8-OFFSET($C$6:$F$6,AQ$5,0)))^2-SUM(($AB8:$AE8-OFFSET($C$6:$F$6,AQ$5,0))*($AB8:$AE8-OFFSET($C$6:$F$6,AQ$5,0)))+OFFSET($G$6,AQ$5,0)^2)</f>
        <v>#NUM!</v>
      </c>
      <c r="AR8" s="10" t="e">
        <f t="array" aca="1" ref="AR8" ca="1">-SUM(($AJ8:$AM8)*($AB8:$AE8-OFFSET($C$6:$F$6,AR$5,0)))+SQRT(SUM(($AJ8:$AM8)*($AB8:$AE8-OFFSET($C$6:$F$6,AR$5,0)))^2-SUM(($AB8:$AE8-OFFSET($C$6:$F$6,AR$5,0))*($AB8:$AE8-OFFSET($C$6:$F$6,AR$5,0)))+OFFSET($G$6,AR$5,0)^2)</f>
        <v>#NUM!</v>
      </c>
      <c r="AS8" s="10" t="e">
        <f t="array" aca="1" ref="AS8" ca="1">-SUM(($AJ8:$AM8)*($AB8:$AE8-OFFSET($C$6:$F$6,AS$5,0)))+SQRT(SUM(($AJ8:$AM8)*($AB8:$AE8-OFFSET($C$6:$F$6,AS$5,0)))^2-SUM(($AB8:$AE8-OFFSET($C$6:$F$6,AS$5,0))*($AB8:$AE8-OFFSET($C$6:$F$6,AS$5,0)))+OFFSET($G$6,AS$5,0)^2)</f>
        <v>#NUM!</v>
      </c>
      <c r="AT8" s="10" t="e">
        <f t="array" aca="1" ref="AT8" ca="1">-SUM(($AJ8:$AM8)*($AB8:$AE8-OFFSET($C$6:$F$6,AT$5,0)))+SQRT(SUM(($AJ8:$AM8)*($AB8:$AE8-OFFSET($C$6:$F$6,AT$5,0)))^2-SUM(($AB8:$AE8-OFFSET($C$6:$F$6,AT$5,0))*($AB8:$AE8-OFFSET($C$6:$F$6,AT$5,0)))+OFFSET($G$6,AT$5,0)^2)</f>
        <v>#NUM!</v>
      </c>
      <c r="AU8" s="10" t="e">
        <f t="array" aca="1" ref="AU8" ca="1">-SUM(($AJ8:$AM8)*($AB8:$AE8-OFFSET($C$6:$F$6,AU$5,0)))+SQRT(SUM(($AJ8:$AM8)*($AB8:$AE8-OFFSET($C$6:$F$6,AU$5,0)))^2-SUM(($AB8:$AE8-OFFSET($C$6:$F$6,AU$5,0))*($AB8:$AE8-OFFSET($C$6:$F$6,AU$5,0)))+OFFSET($G$6,AU$5,0)^2)</f>
        <v>#NUM!</v>
      </c>
      <c r="AV8" s="10" t="e">
        <f t="array" aca="1" ref="AV8" ca="1">-SUM(($AJ8:$AM8)*($AB8:$AE8-OFFSET($C$6:$F$6,AV$5,0)))+SQRT(SUM(($AJ8:$AM8)*($AB8:$AE8-OFFSET($C$6:$F$6,AV$5,0)))^2-SUM(($AB8:$AE8-OFFSET($C$6:$F$6,AV$5,0))*($AB8:$AE8-OFFSET($C$6:$F$6,AV$5,0)))+OFFSET($G$6,AV$5,0)^2)</f>
        <v>#NUM!</v>
      </c>
      <c r="AW8" s="10" t="e">
        <f t="array" aca="1" ref="AW8" ca="1">-SUM(($AJ8:$AM8)*($AB8:$AE8-OFFSET($C$6:$F$6,AW$5,0)))+SQRT(SUM(($AJ8:$AM8)*($AB8:$AE8-OFFSET($C$6:$F$6,AW$5,0)))^2-SUM(($AB8:$AE8-OFFSET($C$6:$F$6,AW$5,0))*($AB8:$AE8-OFFSET($C$6:$F$6,AW$5,0)))+OFFSET($G$6,AW$5,0)^2)</f>
        <v>#NUM!</v>
      </c>
      <c r="AX8" s="10" t="e">
        <f t="array" aca="1" ref="AX8" ca="1">-SUM(($AJ8:$AM8)*($AB8:$AE8-OFFSET($C$6:$F$6,AX$5,0)))+SQRT(SUM(($AJ8:$AM8)*($AB8:$AE8-OFFSET($C$6:$F$6,AX$5,0)))^2-SUM(($AB8:$AE8-OFFSET($C$6:$F$6,AX$5,0))*($AB8:$AE8-OFFSET($C$6:$F$6,AX$5,0)))+OFFSET($G$6,AX$5,0)^2)</f>
        <v>#NUM!</v>
      </c>
      <c r="AY8" s="10">
        <f t="array" aca="1" ref="AY8" ca="1">-SUM(($AJ8:$AM8)*($AB8:$AE8-OFFSET($C$6:$F$6,AO$5,0)))-SQRT(SUM(($AJ8:$AM8)*($AB8:$AE8-OFFSET($C$6:$F$6,AO$5,0)))^2-SUM(($AB8:$AE8-OFFSET($C$6:$F$6,AO$5,0))*($AB8:$AE8-OFFSET($C$6:$F$6,AO$5,0)))+OFFSET($G$6,AO$5,0)^2)</f>
        <v>5.6181953720980005</v>
      </c>
      <c r="AZ8" s="10" t="e">
        <f t="array" aca="1" ref="AZ8" ca="1">-SUM(($AJ8:$AM8)*($AB8:$AE8-OFFSET($C$6:$F$6,AP$5,0)))-SQRT(SUM(($AJ8:$AM8)*($AB8:$AE8-OFFSET($C$6:$F$6,AP$5,0)))^2-SUM(($AB8:$AE8-OFFSET($C$6:$F$6,AP$5,0))*($AB8:$AE8-OFFSET($C$6:$F$6,AP$5,0)))+OFFSET($G$6,AP$5,0)^2)</f>
        <v>#NUM!</v>
      </c>
      <c r="BA8" s="10" t="e">
        <f t="array" aca="1" ref="BA8" ca="1">-SUM(($AJ8:$AM8)*($AB8:$AE8-OFFSET($C$6:$F$6,AQ$5,0)))-SQRT(SUM(($AJ8:$AM8)*($AB8:$AE8-OFFSET($C$6:$F$6,AQ$5,0)))^2-SUM(($AB8:$AE8-OFFSET($C$6:$F$6,AQ$5,0))*($AB8:$AE8-OFFSET($C$6:$F$6,AQ$5,0)))+OFFSET($G$6,AQ$5,0)^2)</f>
        <v>#NUM!</v>
      </c>
      <c r="BB8" s="10" t="e">
        <f t="array" aca="1" ref="BB8" ca="1">-SUM(($AJ8:$AM8)*($AB8:$AE8-OFFSET($C$6:$F$6,AR$5,0)))-SQRT(SUM(($AJ8:$AM8)*($AB8:$AE8-OFFSET($C$6:$F$6,AR$5,0)))^2-SUM(($AB8:$AE8-OFFSET($C$6:$F$6,AR$5,0))*($AB8:$AE8-OFFSET($C$6:$F$6,AR$5,0)))+OFFSET($G$6,AR$5,0)^2)</f>
        <v>#NUM!</v>
      </c>
      <c r="BC8" s="10" t="e">
        <f t="array" aca="1" ref="BC8" ca="1">-SUM(($AJ8:$AM8)*($AB8:$AE8-OFFSET($C$6:$F$6,AS$5,0)))-SQRT(SUM(($AJ8:$AM8)*($AB8:$AE8-OFFSET($C$6:$F$6,AS$5,0)))^2-SUM(($AB8:$AE8-OFFSET($C$6:$F$6,AS$5,0))*($AB8:$AE8-OFFSET($C$6:$F$6,AS$5,0)))+OFFSET($G$6,AS$5,0)^2)</f>
        <v>#NUM!</v>
      </c>
      <c r="BD8" s="10" t="e">
        <f t="array" aca="1" ref="BD8" ca="1">-SUM(($AJ8:$AM8)*($AB8:$AE8-OFFSET($C$6:$F$6,AT$5,0)))-SQRT(SUM(($AJ8:$AM8)*($AB8:$AE8-OFFSET($C$6:$F$6,AT$5,0)))^2-SUM(($AB8:$AE8-OFFSET($C$6:$F$6,AT$5,0))*($AB8:$AE8-OFFSET($C$6:$F$6,AT$5,0)))+OFFSET($G$6,AT$5,0)^2)</f>
        <v>#NUM!</v>
      </c>
      <c r="BE8" s="10" t="e">
        <f t="array" aca="1" ref="BE8" ca="1">-SUM(($AJ8:$AM8)*($AB8:$AE8-OFFSET($C$6:$F$6,AU$5,0)))-SQRT(SUM(($AJ8:$AM8)*($AB8:$AE8-OFFSET($C$6:$F$6,AU$5,0)))^2-SUM(($AB8:$AE8-OFFSET($C$6:$F$6,AU$5,0))*($AB8:$AE8-OFFSET($C$6:$F$6,AU$5,0)))+OFFSET($G$6,AU$5,0)^2)</f>
        <v>#NUM!</v>
      </c>
      <c r="BF8" s="10" t="e">
        <f t="array" aca="1" ref="BF8" ca="1">-SUM(($AJ8:$AM8)*($AB8:$AE8-OFFSET($C$6:$F$6,AV$5,0)))-SQRT(SUM(($AJ8:$AM8)*($AB8:$AE8-OFFSET($C$6:$F$6,AV$5,0)))^2-SUM(($AB8:$AE8-OFFSET($C$6:$F$6,AV$5,0))*($AB8:$AE8-OFFSET($C$6:$F$6,AV$5,0)))+OFFSET($G$6,AV$5,0)^2)</f>
        <v>#NUM!</v>
      </c>
      <c r="BG8" s="10" t="e">
        <f t="array" aca="1" ref="BG8" ca="1">-SUM(($AJ8:$AM8)*($AB8:$AE8-OFFSET($C$6:$F$6,AW$5,0)))-SQRT(SUM(($AJ8:$AM8)*($AB8:$AE8-OFFSET($C$6:$F$6,AW$5,0)))^2-SUM(($AB8:$AE8-OFFSET($C$6:$F$6,AW$5,0))*($AB8:$AE8-OFFSET($C$6:$F$6,AW$5,0)))+OFFSET($G$6,AW$5,0)^2)</f>
        <v>#NUM!</v>
      </c>
      <c r="BH8" s="10" t="e">
        <f t="array" aca="1" ref="BH8" ca="1">-SUM(($AJ8:$AM8)*($AB8:$AE8-OFFSET($C$6:$F$6,AX$5,0)))-SQRT(SUM(($AJ8:$AM8)*($AB8:$AE8-OFFSET($C$6:$F$6,AX$5,0)))^2-SUM(($AB8:$AE8-OFFSET($C$6:$F$6,AX$5,0))*($AB8:$AE8-OFFSET($C$6:$F$6,AX$5,0)))+OFFSET($G$6,AX$5,0)^2)</f>
        <v>#NUM!</v>
      </c>
      <c r="BJ8" s="10">
        <f t="array" aca="1" ref="BJ8" ca="1">MIN(IF(IF(ISERROR(AO8:BH8),-1,AO8:BH8)&lt;0,9999999999,AO8:BH8))</f>
        <v>5.6181953720980005</v>
      </c>
      <c r="BL8">
        <f t="shared" ca="1" si="8"/>
        <v>0</v>
      </c>
      <c r="BN8" s="10">
        <f t="shared" ca="1" si="9"/>
        <v>-2.1739115519248613</v>
      </c>
      <c r="BO8" s="10">
        <f t="shared" ca="1" si="10"/>
        <v>-1.0529959065345484</v>
      </c>
      <c r="BP8" s="10">
        <f t="shared" ca="1" si="11"/>
        <v>-10.057689657886915</v>
      </c>
      <c r="BQ8" s="10">
        <f t="shared" ca="1" si="12"/>
        <v>1</v>
      </c>
      <c r="BR8" s="14">
        <f t="shared" ca="1" si="13"/>
        <v>0.38694125211830399</v>
      </c>
      <c r="BS8" s="14">
        <f t="shared" ca="1" si="14"/>
        <v>0.27642255273771549</v>
      </c>
      <c r="BT8" s="14">
        <f t="shared" ca="1" si="15"/>
        <v>-0.87969712955487345</v>
      </c>
      <c r="BU8" s="14">
        <f t="shared" si="16"/>
        <v>0</v>
      </c>
      <c r="BV8" s="10">
        <f t="array" aca="1" ref="BV8" ca="1">(BN8-OFFSET(C$6,$BL8,0))/SQRT(SUM(($BN8:$BQ8-OFFSET($C$6:$F$6,$BL8,0))*($BN8:$BQ8-OFFSET($C$6:$F$6,$BL8,0))))</f>
        <v>-2.1760876395644255E-3</v>
      </c>
      <c r="BW8" s="10">
        <f t="array" aca="1" ref="BW8" ca="1">(BO8-OFFSET(D$6,$BL8,0))/SQRT(SUM(($BN8:$BQ8-OFFSET($C$6:$F$6,$BL8,0))*($BN8:$BQ8-OFFSET($C$6:$F$6,$BL8,0))))</f>
        <v>0.99994695104450981</v>
      </c>
      <c r="BX8" s="10">
        <f t="array" aca="1" ref="BX8" ca="1">(BP8-OFFSET(E$6,$BL8,0))/SQRT(SUM(($BN8:$BQ8-OFFSET($C$6:$F$6,$BL8,0))*($BN8:$BQ8-OFFSET($C$6:$F$6,$BL8,0))))</f>
        <v>-1.0067757415302216E-2</v>
      </c>
      <c r="BY8" s="10">
        <f t="array" aca="1" ref="BY8" ca="1">(BQ8-OFFSET(F$6,$BL8,0))/SQRT(SUM(($BN8:$BQ8-OFFSET($C$6:$F$6,$BL8,0))*($BN8:$BQ8-OFFSET($C$6:$F$6,$BL8,0))))</f>
        <v>0</v>
      </c>
      <c r="BZ8" s="14">
        <f t="array" aca="1" ref="BZ8" ca="1">-(BN8-O$6)/SQRT(SUM(($O$6:$R$6-$BN8:$BQ8)*($O$6:$R$6-$BN8:$BQ8)))</f>
        <v>-0.57785883033656316</v>
      </c>
      <c r="CA8" s="14">
        <f t="array" aca="1" ref="CA8" ca="1">-(BO8-P$6)/SQRT(SUM(($O$6:$R$6-$BN8:$BQ8)*($O$6:$R$6-$BN8:$BQ8)))</f>
        <v>0.81612561992393584</v>
      </c>
      <c r="CB8" s="14">
        <f t="array" aca="1" ref="CB8" ca="1">-(BP8-Q$6)/SQRT(SUM(($O$6:$R$6-$BN8:$BQ8)*($O$6:$R$6-$BN8:$BQ8)))</f>
        <v>4.2596602952076545E-3</v>
      </c>
      <c r="CC8" s="14">
        <f t="array" aca="1" ref="CC8" ca="1">-(BQ8-R$6)/SQRT(SUM(($O$6:$R$6-$BN8:$BQ8)*($O$6:$R$6-$BN8:$BQ8)))</f>
        <v>0</v>
      </c>
      <c r="CD8" s="14">
        <f t="array" aca="1" ref="CD8:CG8" ca="1">-BR8:BU8-BV8:BY8*2*SUM(-BR8:BU8*BV8:BY8)</f>
        <v>-0.388179108465464</v>
      </c>
      <c r="CE8" s="14">
        <f ca="1"/>
        <v>0.29239216670139784</v>
      </c>
      <c r="CF8" s="14">
        <f ca="1"/>
        <v>0.87397013713434124</v>
      </c>
      <c r="CG8" s="14">
        <f ca="1"/>
        <v>0</v>
      </c>
      <c r="CH8" s="14">
        <f t="array" aca="1" ref="CH8:CK8" ca="1">-BZ8:CC8-BV8:BY8*2*SUM(-BZ8:CC8*BV8:BY8)</f>
        <v>0.57430181092243371</v>
      </c>
      <c r="CI8" s="14">
        <f ca="1"/>
        <v>0.81838148966876834</v>
      </c>
      <c r="CJ8" s="14">
        <f ca="1"/>
        <v>-2.0716354378605743E-2</v>
      </c>
      <c r="CK8" s="14">
        <f ca="1"/>
        <v>0</v>
      </c>
      <c r="CL8">
        <f t="array" aca="1" ref="CL8" ca="1">SUM(BZ8:CC8*BV8:BY8)</f>
        <v>0.81729691154383488</v>
      </c>
      <c r="CM8">
        <f t="array" aca="1" ref="CM8" ca="1">SUM(CH8:CK8*BR8:BU8)</f>
        <v>0.4666642797813722</v>
      </c>
      <c r="CN8" s="11">
        <f t="shared" ca="1" si="17"/>
        <v>0</v>
      </c>
      <c r="CO8" s="11">
        <f t="shared" ca="1" si="18"/>
        <v>0.73556722038945144</v>
      </c>
      <c r="CP8" s="11">
        <f t="shared" ca="1" si="19"/>
        <v>5.6905525484109526E-67</v>
      </c>
      <c r="CQ8" s="11">
        <f t="shared" ca="1" si="20"/>
        <v>0.73556722038945144</v>
      </c>
      <c r="CS8" s="10">
        <f t="array" aca="1" ref="CS8:CV8" ca="1">BN8:BQ8+BV8:BY8*0.001</f>
        <v>-2.1739137280125007</v>
      </c>
      <c r="CT8" s="10">
        <f ca="1"/>
        <v>-1.051995959583504</v>
      </c>
      <c r="CU8" s="10">
        <f ca="1"/>
        <v>-10.05769972564433</v>
      </c>
      <c r="CV8" s="10">
        <f ca="1"/>
        <v>1</v>
      </c>
      <c r="CW8" s="10">
        <f t="shared" ca="1" si="21"/>
        <v>-0.57785883033656316</v>
      </c>
      <c r="CX8" s="10">
        <f t="shared" ca="1" si="22"/>
        <v>0.81612561992393584</v>
      </c>
      <c r="CY8" s="10">
        <f t="shared" ca="1" si="23"/>
        <v>4.2596602952076545E-3</v>
      </c>
      <c r="CZ8" s="10">
        <f t="shared" ca="1" si="24"/>
        <v>0</v>
      </c>
      <c r="DB8" s="10">
        <f t="array" aca="1" ref="DB8" ca="1">-SUM(($CW8:$CZ8)*($CS8:$CV8-OFFSET($C$6:$F$6,DB$5,0)))+SQRT(SUM(($CW8:$CZ8)*($CS8:$CV8-OFFSET($C$6:$F$6,DB$5,0)))^2-SUM(($CS8:$CV8-OFFSET($C$6:$F$6,DB$5,0))*($CS8:$CV8-OFFSET($C$6:$F$6,DB$5,0)))+OFFSET($G$6,DB$5,0)^2)</f>
        <v>-1.2235458555096557E-3</v>
      </c>
      <c r="DC8" s="10" t="e">
        <f t="array" aca="1" ref="DC8" ca="1">-SUM(($CW8:$CZ8)*($CS8:$CV8-OFFSET($C$6:$F$6,DC$5,0)))+SQRT(SUM(($CW8:$CZ8)*($CS8:$CV8-OFFSET($C$6:$F$6,DC$5,0)))^2-SUM(($CS8:$CV8-OFFSET($C$6:$F$6,DC$5,0))*($CS8:$CV8-OFFSET($C$6:$F$6,DC$5,0)))+OFFSET($G$6,DC$5,0)^2)</f>
        <v>#NUM!</v>
      </c>
      <c r="DD8" s="10" t="e">
        <f t="array" aca="1" ref="DD8" ca="1">-SUM(($CW8:$CZ8)*($CS8:$CV8-OFFSET($C$6:$F$6,DD$5,0)))+SQRT(SUM(($CW8:$CZ8)*($CS8:$CV8-OFFSET($C$6:$F$6,DD$5,0)))^2-SUM(($CS8:$CV8-OFFSET($C$6:$F$6,DD$5,0))*($CS8:$CV8-OFFSET($C$6:$F$6,DD$5,0)))+OFFSET($G$6,DD$5,0)^2)</f>
        <v>#NUM!</v>
      </c>
      <c r="DE8" s="10" t="e">
        <f t="array" aca="1" ref="DE8" ca="1">-SUM(($CW8:$CZ8)*($CS8:$CV8-OFFSET($C$6:$F$6,DE$5,0)))+SQRT(SUM(($CW8:$CZ8)*($CS8:$CV8-OFFSET($C$6:$F$6,DE$5,0)))^2-SUM(($CS8:$CV8-OFFSET($C$6:$F$6,DE$5,0))*($CS8:$CV8-OFFSET($C$6:$F$6,DE$5,0)))+OFFSET($G$6,DE$5,0)^2)</f>
        <v>#NUM!</v>
      </c>
      <c r="DF8" s="10" t="e">
        <f t="array" aca="1" ref="DF8" ca="1">-SUM(($CW8:$CZ8)*($CS8:$CV8-OFFSET($C$6:$F$6,DF$5,0)))+SQRT(SUM(($CW8:$CZ8)*($CS8:$CV8-OFFSET($C$6:$F$6,DF$5,0)))^2-SUM(($CS8:$CV8-OFFSET($C$6:$F$6,DF$5,0))*($CS8:$CV8-OFFSET($C$6:$F$6,DF$5,0)))+OFFSET($G$6,DF$5,0)^2)</f>
        <v>#NUM!</v>
      </c>
      <c r="DG8" s="10" t="e">
        <f t="array" aca="1" ref="DG8" ca="1">-SUM(($CW8:$CZ8)*($CS8:$CV8-OFFSET($C$6:$F$6,DG$5,0)))+SQRT(SUM(($CW8:$CZ8)*($CS8:$CV8-OFFSET($C$6:$F$6,DG$5,0)))^2-SUM(($CS8:$CV8-OFFSET($C$6:$F$6,DG$5,0))*($CS8:$CV8-OFFSET($C$6:$F$6,DG$5,0)))+OFFSET($G$6,DG$5,0)^2)</f>
        <v>#NUM!</v>
      </c>
      <c r="DH8" s="10" t="e">
        <f t="array" aca="1" ref="DH8" ca="1">-SUM(($CW8:$CZ8)*($CS8:$CV8-OFFSET($C$6:$F$6,DH$5,0)))+SQRT(SUM(($CW8:$CZ8)*($CS8:$CV8-OFFSET($C$6:$F$6,DH$5,0)))^2-SUM(($CS8:$CV8-OFFSET($C$6:$F$6,DH$5,0))*($CS8:$CV8-OFFSET($C$6:$F$6,DH$5,0)))+OFFSET($G$6,DH$5,0)^2)</f>
        <v>#NUM!</v>
      </c>
      <c r="DI8" s="10" t="e">
        <f t="array" aca="1" ref="DI8" ca="1">-SUM(($CW8:$CZ8)*($CS8:$CV8-OFFSET($C$6:$F$6,DI$5,0)))+SQRT(SUM(($CW8:$CZ8)*($CS8:$CV8-OFFSET($C$6:$F$6,DI$5,0)))^2-SUM(($CS8:$CV8-OFFSET($C$6:$F$6,DI$5,0))*($CS8:$CV8-OFFSET($C$6:$F$6,DI$5,0)))+OFFSET($G$6,DI$5,0)^2)</f>
        <v>#NUM!</v>
      </c>
      <c r="DJ8" s="10" t="e">
        <f t="array" aca="1" ref="DJ8" ca="1">-SUM(($CW8:$CZ8)*($CS8:$CV8-OFFSET($C$6:$F$6,DJ$5,0)))+SQRT(SUM(($CW8:$CZ8)*($CS8:$CV8-OFFSET($C$6:$F$6,DJ$5,0)))^2-SUM(($CS8:$CV8-OFFSET($C$6:$F$6,DJ$5,0))*($CS8:$CV8-OFFSET($C$6:$F$6,DJ$5,0)))+OFFSET($G$6,DJ$5,0)^2)</f>
        <v>#NUM!</v>
      </c>
      <c r="DK8" s="10" t="e">
        <f t="array" aca="1" ref="DK8" ca="1">-SUM(($CW8:$CZ8)*($CS8:$CV8-OFFSET($C$6:$F$6,DK$5,0)))+SQRT(SUM(($CW8:$CZ8)*($CS8:$CV8-OFFSET($C$6:$F$6,DK$5,0)))^2-SUM(($CS8:$CV8-OFFSET($C$6:$F$6,DK$5,0))*($CS8:$CV8-OFFSET($C$6:$F$6,DK$5,0)))+OFFSET($G$6,DK$5,0)^2)</f>
        <v>#NUM!</v>
      </c>
      <c r="DL8" s="10">
        <f t="array" aca="1" ref="DL8" ca="1">-SUM(($CW8:$CZ8)*($CS8:$CV8-OFFSET($C$6:$F$6,DB$5,0)))-SQRT(SUM(($CW8:$CZ8)*($CS8:$CV8-OFFSET($C$6:$F$6,DB$5,0)))^2-SUM(($CS8:$CV8-OFFSET($C$6:$F$6,DB$5,0))*($CS8:$CV8-OFFSET($C$6:$F$6,DB$5,0)))+OFFSET($G$6,DB$5,0)^2)</f>
        <v>-1632.9596403125499</v>
      </c>
      <c r="DM8" s="10" t="e">
        <f t="array" aca="1" ref="DM8" ca="1">-SUM(($CW8:$CZ8)*($CS8:$CV8-OFFSET($C$6:$F$6,DC$5,0)))-SQRT(SUM(($CW8:$CZ8)*($CS8:$CV8-OFFSET($C$6:$F$6,DC$5,0)))^2-SUM(($CS8:$CV8-OFFSET($C$6:$F$6,DC$5,0))*($CS8:$CV8-OFFSET($C$6:$F$6,DC$5,0)))+OFFSET($G$6,DC$5,0)^2)</f>
        <v>#NUM!</v>
      </c>
      <c r="DN8" s="10" t="e">
        <f t="array" aca="1" ref="DN8" ca="1">-SUM(($CW8:$CZ8)*($CS8:$CV8-OFFSET($C$6:$F$6,DD$5,0)))-SQRT(SUM(($CW8:$CZ8)*($CS8:$CV8-OFFSET($C$6:$F$6,DD$5,0)))^2-SUM(($CS8:$CV8-OFFSET($C$6:$F$6,DD$5,0))*($CS8:$CV8-OFFSET($C$6:$F$6,DD$5,0)))+OFFSET($G$6,DD$5,0)^2)</f>
        <v>#NUM!</v>
      </c>
      <c r="DO8" s="10" t="e">
        <f t="array" aca="1" ref="DO8" ca="1">-SUM(($CW8:$CZ8)*($CS8:$CV8-OFFSET($C$6:$F$6,DE$5,0)))-SQRT(SUM(($CW8:$CZ8)*($CS8:$CV8-OFFSET($C$6:$F$6,DE$5,0)))^2-SUM(($CS8:$CV8-OFFSET($C$6:$F$6,DE$5,0))*($CS8:$CV8-OFFSET($C$6:$F$6,DE$5,0)))+OFFSET($G$6,DE$5,0)^2)</f>
        <v>#NUM!</v>
      </c>
      <c r="DP8" s="10" t="e">
        <f t="array" aca="1" ref="DP8" ca="1">-SUM(($CW8:$CZ8)*($CS8:$CV8-OFFSET($C$6:$F$6,DF$5,0)))-SQRT(SUM(($CW8:$CZ8)*($CS8:$CV8-OFFSET($C$6:$F$6,DF$5,0)))^2-SUM(($CS8:$CV8-OFFSET($C$6:$F$6,DF$5,0))*($CS8:$CV8-OFFSET($C$6:$F$6,DF$5,0)))+OFFSET($G$6,DF$5,0)^2)</f>
        <v>#NUM!</v>
      </c>
      <c r="DQ8" s="10" t="e">
        <f t="array" aca="1" ref="DQ8" ca="1">-SUM(($CW8:$CZ8)*($CS8:$CV8-OFFSET($C$6:$F$6,DG$5,0)))-SQRT(SUM(($CW8:$CZ8)*($CS8:$CV8-OFFSET($C$6:$F$6,DG$5,0)))^2-SUM(($CS8:$CV8-OFFSET($C$6:$F$6,DG$5,0))*($CS8:$CV8-OFFSET($C$6:$F$6,DG$5,0)))+OFFSET($G$6,DG$5,0)^2)</f>
        <v>#NUM!</v>
      </c>
      <c r="DR8" s="10" t="e">
        <f t="array" aca="1" ref="DR8" ca="1">-SUM(($CW8:$CZ8)*($CS8:$CV8-OFFSET($C$6:$F$6,DH$5,0)))-SQRT(SUM(($CW8:$CZ8)*($CS8:$CV8-OFFSET($C$6:$F$6,DH$5,0)))^2-SUM(($CS8:$CV8-OFFSET($C$6:$F$6,DH$5,0))*($CS8:$CV8-OFFSET($C$6:$F$6,DH$5,0)))+OFFSET($G$6,DH$5,0)^2)</f>
        <v>#NUM!</v>
      </c>
      <c r="DS8" s="10" t="e">
        <f t="array" aca="1" ref="DS8" ca="1">-SUM(($CW8:$CZ8)*($CS8:$CV8-OFFSET($C$6:$F$6,DI$5,0)))-SQRT(SUM(($CW8:$CZ8)*($CS8:$CV8-OFFSET($C$6:$F$6,DI$5,0)))^2-SUM(($CS8:$CV8-OFFSET($C$6:$F$6,DI$5,0))*($CS8:$CV8-OFFSET($C$6:$F$6,DI$5,0)))+OFFSET($G$6,DI$5,0)^2)</f>
        <v>#NUM!</v>
      </c>
      <c r="DT8" s="10" t="e">
        <f t="array" aca="1" ref="DT8" ca="1">-SUM(($CW8:$CZ8)*($CS8:$CV8-OFFSET($C$6:$F$6,DJ$5,0)))-SQRT(SUM(($CW8:$CZ8)*($CS8:$CV8-OFFSET($C$6:$F$6,DJ$5,0)))^2-SUM(($CS8:$CV8-OFFSET($C$6:$F$6,DJ$5,0))*($CS8:$CV8-OFFSET($C$6:$F$6,DJ$5,0)))+OFFSET($G$6,DJ$5,0)^2)</f>
        <v>#NUM!</v>
      </c>
      <c r="DU8" s="10" t="e">
        <f t="array" aca="1" ref="DU8" ca="1">-SUM(($CW8:$CZ8)*($CS8:$CV8-OFFSET($C$6:$F$6,DK$5,0)))-SQRT(SUM(($CW8:$CZ8)*($CS8:$CV8-OFFSET($C$6:$F$6,DK$5,0)))^2-SUM(($CS8:$CV8-OFFSET($C$6:$F$6,DK$5,0))*($CS8:$CV8-OFFSET($C$6:$F$6,DK$5,0)))+OFFSET($G$6,DK$5,0)^2)</f>
        <v>#NUM!</v>
      </c>
      <c r="DW8" s="10">
        <f t="array" aca="1" ref="DW8" ca="1">MIN(IF(IF(ISERROR(DB8:DU8),-1,DB8:DU8)&lt;0,9999999999,DB8:DU8))</f>
        <v>9999999999</v>
      </c>
      <c r="DY8" s="11">
        <f t="shared" ca="1" si="25"/>
        <v>0.73556722038945144</v>
      </c>
      <c r="EB8" s="10">
        <f t="array" aca="1" ref="EB8:EE8" ca="1">BN8:BQ8+BV8:BY8*0.01</f>
        <v>-2.1739333128012568</v>
      </c>
      <c r="EC8" s="10">
        <f ca="1"/>
        <v>-1.0429964370241034</v>
      </c>
      <c r="ED8" s="10">
        <f ca="1"/>
        <v>-10.057790335461068</v>
      </c>
      <c r="EE8" s="10">
        <f ca="1"/>
        <v>1</v>
      </c>
      <c r="EF8" s="10">
        <f t="shared" ca="1" si="26"/>
        <v>-0.388179108465464</v>
      </c>
      <c r="EG8" s="10">
        <f t="shared" ca="1" si="27"/>
        <v>0.29239216670139784</v>
      </c>
      <c r="EH8" s="10">
        <f t="shared" ca="1" si="28"/>
        <v>0.87397013713434124</v>
      </c>
      <c r="EI8" s="10">
        <f t="shared" ca="1" si="29"/>
        <v>0</v>
      </c>
      <c r="EK8" s="10">
        <f t="array" aca="1" ref="EK8" ca="1">-SUM(($EF8:$EI8)*($EB8:$EE8-OFFSET($C$6:$F$6,EK$5,0)))+SQRT(SUM(($EF8:$EI8)*($EB8:$EE8-OFFSET($C$6:$F$6,EK$5,0)))^2-SUM(($EB8:$EE8-OFFSET($C$6:$F$6,EK$5,0))*($EB8:$EE8-OFFSET($C$6:$F$6,EK$5,0)))+OFFSET($G$6,EK$5,0)^2)</f>
        <v>-3.5160968407751625E-2</v>
      </c>
      <c r="EL8" s="10" t="e">
        <f t="array" aca="1" ref="EL8" ca="1">-SUM(($EF8:$EI8)*($EB8:$EE8-OFFSET($C$6:$F$6,EL$5,0)))+SQRT(SUM(($EF8:$EI8)*($EB8:$EE8-OFFSET($C$6:$F$6,EL$5,0)))^2-SUM(($EB8:$EE8-OFFSET($C$6:$F$6,EL$5,0))*($EB8:$EE8-OFFSET($C$6:$F$6,EL$5,0)))+OFFSET($G$6,EL$5,0)^2)</f>
        <v>#NUM!</v>
      </c>
      <c r="EM8" s="10" t="e">
        <f t="array" aca="1" ref="EM8" ca="1">-SUM(($EF8:$EI8)*($EB8:$EE8-OFFSET($C$6:$F$6,EM$5,0)))+SQRT(SUM(($EF8:$EI8)*($EB8:$EE8-OFFSET($C$6:$F$6,EM$5,0)))^2-SUM(($EB8:$EE8-OFFSET($C$6:$F$6,EM$5,0))*($EB8:$EE8-OFFSET($C$6:$F$6,EM$5,0)))+OFFSET($G$6,EM$5,0)^2)</f>
        <v>#NUM!</v>
      </c>
      <c r="EN8" s="10" t="e">
        <f t="array" aca="1" ref="EN8" ca="1">-SUM(($EF8:$EI8)*($EB8:$EE8-OFFSET($C$6:$F$6,EN$5,0)))+SQRT(SUM(($EF8:$EI8)*($EB8:$EE8-OFFSET($C$6:$F$6,EN$5,0)))^2-SUM(($EB8:$EE8-OFFSET($C$6:$F$6,EN$5,0))*($EB8:$EE8-OFFSET($C$6:$F$6,EN$5,0)))+OFFSET($G$6,EN$5,0)^2)</f>
        <v>#NUM!</v>
      </c>
      <c r="EO8" s="10" t="e">
        <f t="array" aca="1" ref="EO8" ca="1">-SUM(($EF8:$EI8)*($EB8:$EE8-OFFSET($C$6:$F$6,EO$5,0)))+SQRT(SUM(($EF8:$EI8)*($EB8:$EE8-OFFSET($C$6:$F$6,EO$5,0)))^2-SUM(($EB8:$EE8-OFFSET($C$6:$F$6,EO$5,0))*($EB8:$EE8-OFFSET($C$6:$F$6,EO$5,0)))+OFFSET($G$6,EO$5,0)^2)</f>
        <v>#NUM!</v>
      </c>
      <c r="EP8" s="10" t="e">
        <f t="array" aca="1" ref="EP8" ca="1">-SUM(($EF8:$EI8)*($EB8:$EE8-OFFSET($C$6:$F$6,EP$5,0)))+SQRT(SUM(($EF8:$EI8)*($EB8:$EE8-OFFSET($C$6:$F$6,EP$5,0)))^2-SUM(($EB8:$EE8-OFFSET($C$6:$F$6,EP$5,0))*($EB8:$EE8-OFFSET($C$6:$F$6,EP$5,0)))+OFFSET($G$6,EP$5,0)^2)</f>
        <v>#NUM!</v>
      </c>
      <c r="EQ8" s="10" t="e">
        <f t="array" aca="1" ref="EQ8" ca="1">-SUM(($EF8:$EI8)*($EB8:$EE8-OFFSET($C$6:$F$6,EQ$5,0)))+SQRT(SUM(($EF8:$EI8)*($EB8:$EE8-OFFSET($C$6:$F$6,EQ$5,0)))^2-SUM(($EB8:$EE8-OFFSET($C$6:$F$6,EQ$5,0))*($EB8:$EE8-OFFSET($C$6:$F$6,EQ$5,0)))+OFFSET($G$6,EQ$5,0)^2)</f>
        <v>#NUM!</v>
      </c>
      <c r="ER8" s="10" t="e">
        <f t="array" aca="1" ref="ER8" ca="1">-SUM(($EF8:$EI8)*($EB8:$EE8-OFFSET($C$6:$F$6,ER$5,0)))+SQRT(SUM(($EF8:$EI8)*($EB8:$EE8-OFFSET($C$6:$F$6,ER$5,0)))^2-SUM(($EB8:$EE8-OFFSET($C$6:$F$6,ER$5,0))*($EB8:$EE8-OFFSET($C$6:$F$6,ER$5,0)))+OFFSET($G$6,ER$5,0)^2)</f>
        <v>#NUM!</v>
      </c>
      <c r="ES8" s="10" t="e">
        <f t="array" aca="1" ref="ES8" ca="1">-SUM(($EF8:$EI8)*($EB8:$EE8-OFFSET($C$6:$F$6,ES$5,0)))+SQRT(SUM(($EF8:$EI8)*($EB8:$EE8-OFFSET($C$6:$F$6,ES$5,0)))^2-SUM(($EB8:$EE8-OFFSET($C$6:$F$6,ES$5,0))*($EB8:$EE8-OFFSET($C$6:$F$6,ES$5,0)))+OFFSET($G$6,ES$5,0)^2)</f>
        <v>#NUM!</v>
      </c>
      <c r="ET8" s="10" t="e">
        <f t="array" aca="1" ref="ET8" ca="1">-SUM(($EF8:$EI8)*($EB8:$EE8-OFFSET($C$6:$F$6,ET$5,0)))+SQRT(SUM(($EF8:$EI8)*($EB8:$EE8-OFFSET($C$6:$F$6,ET$5,0)))^2-SUM(($EB8:$EE8-OFFSET($C$6:$F$6,ET$5,0))*($EB8:$EE8-OFFSET($C$6:$F$6,ET$5,0)))+OFFSET($G$6,ET$5,0)^2)</f>
        <v>#NUM!</v>
      </c>
      <c r="EU8" s="10">
        <f t="array" aca="1" ref="EU8" ca="1">-SUM(($EF8:$EI8)*($EB8:$EE8-OFFSET($C$6:$F$6,EK$5,0)))-SQRT(SUM(($EF8:$EI8)*($EB8:$EE8-OFFSET($C$6:$F$6,EK$5,0)))^2-SUM(($EB8:$EE8-OFFSET($C$6:$F$6,EK$5,0))*($EB8:$EE8-OFFSET($C$6:$F$6,EK$5,0)))+OFFSET($G$6,EK$5,0)^2)</f>
        <v>-568.2465786511716</v>
      </c>
      <c r="EV8" s="10" t="e">
        <f t="array" aca="1" ref="EV8" ca="1">-SUM(($EF8:$EI8)*($EB8:$EE8-OFFSET($C$6:$F$6,EL$5,0)))-SQRT(SUM(($EF8:$EI8)*($EB8:$EE8-OFFSET($C$6:$F$6,EL$5,0)))^2-SUM(($EB8:$EE8-OFFSET($C$6:$F$6,EL$5,0))*($EB8:$EE8-OFFSET($C$6:$F$6,EL$5,0)))+OFFSET($G$6,EL$5,0)^2)</f>
        <v>#NUM!</v>
      </c>
      <c r="EW8" s="10" t="e">
        <f t="array" aca="1" ref="EW8" ca="1">-SUM(($EF8:$EI8)*($EB8:$EE8-OFFSET($C$6:$F$6,EM$5,0)))-SQRT(SUM(($EF8:$EI8)*($EB8:$EE8-OFFSET($C$6:$F$6,EM$5,0)))^2-SUM(($EB8:$EE8-OFFSET($C$6:$F$6,EM$5,0))*($EB8:$EE8-OFFSET($C$6:$F$6,EM$5,0)))+OFFSET($G$6,EM$5,0)^2)</f>
        <v>#NUM!</v>
      </c>
      <c r="EX8" s="10" t="e">
        <f t="array" aca="1" ref="EX8" ca="1">-SUM(($EF8:$EI8)*($EB8:$EE8-OFFSET($C$6:$F$6,EN$5,0)))-SQRT(SUM(($EF8:$EI8)*($EB8:$EE8-OFFSET($C$6:$F$6,EN$5,0)))^2-SUM(($EB8:$EE8-OFFSET($C$6:$F$6,EN$5,0))*($EB8:$EE8-OFFSET($C$6:$F$6,EN$5,0)))+OFFSET($G$6,EN$5,0)^2)</f>
        <v>#NUM!</v>
      </c>
      <c r="EY8" s="10" t="e">
        <f t="array" aca="1" ref="EY8" ca="1">-SUM(($EF8:$EI8)*($EB8:$EE8-OFFSET($C$6:$F$6,EO$5,0)))-SQRT(SUM(($EF8:$EI8)*($EB8:$EE8-OFFSET($C$6:$F$6,EO$5,0)))^2-SUM(($EB8:$EE8-OFFSET($C$6:$F$6,EO$5,0))*($EB8:$EE8-OFFSET($C$6:$F$6,EO$5,0)))+OFFSET($G$6,EO$5,0)^2)</f>
        <v>#NUM!</v>
      </c>
      <c r="EZ8" s="10" t="e">
        <f t="array" aca="1" ref="EZ8" ca="1">-SUM(($EF8:$EI8)*($EB8:$EE8-OFFSET($C$6:$F$6,EP$5,0)))-SQRT(SUM(($EF8:$EI8)*($EB8:$EE8-OFFSET($C$6:$F$6,EP$5,0)))^2-SUM(($EB8:$EE8-OFFSET($C$6:$F$6,EP$5,0))*($EB8:$EE8-OFFSET($C$6:$F$6,EP$5,0)))+OFFSET($G$6,EP$5,0)^2)</f>
        <v>#NUM!</v>
      </c>
      <c r="FA8" s="10" t="e">
        <f t="array" aca="1" ref="FA8" ca="1">-SUM(($EF8:$EI8)*($EB8:$EE8-OFFSET($C$6:$F$6,EQ$5,0)))-SQRT(SUM(($EF8:$EI8)*($EB8:$EE8-OFFSET($C$6:$F$6,EQ$5,0)))^2-SUM(($EB8:$EE8-OFFSET($C$6:$F$6,EQ$5,0))*($EB8:$EE8-OFFSET($C$6:$F$6,EQ$5,0)))+OFFSET($G$6,EQ$5,0)^2)</f>
        <v>#NUM!</v>
      </c>
      <c r="FB8" s="10" t="e">
        <f t="array" aca="1" ref="FB8" ca="1">-SUM(($EF8:$EI8)*($EB8:$EE8-OFFSET($C$6:$F$6,ER$5,0)))-SQRT(SUM(($EF8:$EI8)*($EB8:$EE8-OFFSET($C$6:$F$6,ER$5,0)))^2-SUM(($EB8:$EE8-OFFSET($C$6:$F$6,ER$5,0))*($EB8:$EE8-OFFSET($C$6:$F$6,ER$5,0)))+OFFSET($G$6,ER$5,0)^2)</f>
        <v>#NUM!</v>
      </c>
      <c r="FC8" s="10" t="e">
        <f t="array" aca="1" ref="FC8" ca="1">-SUM(($EF8:$EI8)*($EB8:$EE8-OFFSET($C$6:$F$6,ES$5,0)))-SQRT(SUM(($EF8:$EI8)*($EB8:$EE8-OFFSET($C$6:$F$6,ES$5,0)))^2-SUM(($EB8:$EE8-OFFSET($C$6:$F$6,ES$5,0))*($EB8:$EE8-OFFSET($C$6:$F$6,ES$5,0)))+OFFSET($G$6,ES$5,0)^2)</f>
        <v>#NUM!</v>
      </c>
      <c r="FD8" s="10" t="e">
        <f t="array" aca="1" ref="FD8" ca="1">-SUM(($EF8:$EI8)*($EB8:$EE8-OFFSET($C$6:$F$6,ET$5,0)))-SQRT(SUM(($EF8:$EI8)*($EB8:$EE8-OFFSET($C$6:$F$6,ET$5,0)))^2-SUM(($EB8:$EE8-OFFSET($C$6:$F$6,ET$5,0))*($EB8:$EE8-OFFSET($C$6:$F$6,ET$5,0)))+OFFSET($G$6,ET$5,0)^2)</f>
        <v>#NUM!</v>
      </c>
      <c r="FF8" s="10">
        <f t="array" aca="1" ref="FF8" ca="1">MIN(IF(IF(ISERROR(EK8:FD8),-1,EK8:FD8)&lt;0,9999999999,EK8:FD8))</f>
        <v>9999999999</v>
      </c>
      <c r="FH8">
        <f t="shared" ca="1" si="30"/>
        <v>-1</v>
      </c>
      <c r="FJ8" s="10">
        <f t="shared" ca="1" si="31"/>
        <v>-3881791086.4403944</v>
      </c>
      <c r="FK8" s="10">
        <f t="shared" ca="1" si="32"/>
        <v>2923921665.6785898</v>
      </c>
      <c r="FL8" s="10">
        <f t="shared" ca="1" si="33"/>
        <v>8739701360.4116516</v>
      </c>
      <c r="FM8" s="10">
        <f t="shared" ca="1" si="34"/>
        <v>1</v>
      </c>
      <c r="FN8" s="14">
        <f t="shared" ca="1" si="35"/>
        <v>0.388179108465464</v>
      </c>
      <c r="FO8" s="14">
        <f t="shared" ca="1" si="0"/>
        <v>-0.29239216670139784</v>
      </c>
      <c r="FP8" s="14">
        <f t="shared" ca="1" si="1"/>
        <v>-0.87397013713434124</v>
      </c>
      <c r="FQ8" s="14">
        <f t="shared" ca="1" si="2"/>
        <v>0</v>
      </c>
      <c r="FR8" s="10" t="e">
        <f t="array" aca="1" ref="FR8" ca="1">(FJ8-OFFSET(C$6,$FH8,0))/SQRT(SUM(($FJ8:$FM8-OFFSET($C$6:$F$6,$FH8,0))*($FJ8:$FM8-OFFSET($C$6:$F$6,$FH8,0))))</f>
        <v>#VALUE!</v>
      </c>
      <c r="FS8" s="10" t="e">
        <f t="array" aca="1" ref="FS8" ca="1">(FK8-OFFSET(D$6,$FH8,0))/SQRT(SUM(($FJ8:$FM8-OFFSET($C$6:$F$6,$FH8,0))*($FJ8:$FM8-OFFSET($C$6:$F$6,$FH8,0))))</f>
        <v>#VALUE!</v>
      </c>
      <c r="FT8" s="10" t="e">
        <f t="array" aca="1" ref="FT8" ca="1">(FL8-OFFSET(E$6,$FH8,0))/SQRT(SUM(($FJ8:$FM8-OFFSET($C$6:$F$6,$FH8,0))*($FJ8:$FM8-OFFSET($C$6:$F$6,$FH8,0))))</f>
        <v>#VALUE!</v>
      </c>
      <c r="FU8" s="10" t="e">
        <f t="array" aca="1" ref="FU8" ca="1">(FM8-OFFSET(F$6,$FH8,0))/SQRT(SUM(($FJ8:$FM8-OFFSET($C$6:$F$6,$FH8,0))*($FJ8:$FM8-OFFSET($C$6:$F$6,$FH8,0))))</f>
        <v>#VALUE!</v>
      </c>
      <c r="FV8" s="14">
        <f t="array" aca="1" ref="FV8" ca="1">-(FJ8-O$6)/SQRT(SUM(($O$6:$R$6-$FJ8:$FM8)*($O$6:$R$6-$FJ8:$FM8)))</f>
        <v>0.38817910792808213</v>
      </c>
      <c r="FW8" s="14">
        <f t="array" aca="1" ref="FW8" ca="1">-(FK8-P$6)/SQRT(SUM(($O$6:$R$6-$FJ8:$FM8)*($O$6:$R$6-$FJ8:$FM8)))</f>
        <v>-0.29239216578181143</v>
      </c>
      <c r="FX8" s="14">
        <f t="array" aca="1" ref="FX8" ca="1">-(FL8-Q$6)/SQRT(SUM(($O$6:$R$6-$FJ8:$FM8)*($O$6:$R$6-$FJ8:$FM8)))</f>
        <v>-0.87397013768067622</v>
      </c>
      <c r="FY8" s="14">
        <f t="array" aca="1" ref="FY8" ca="1">-(FM8-R$6)/SQRT(SUM(($O$6:$R$6-$FJ8:$FM8)*($O$6:$R$6-$FJ8:$FM8)))</f>
        <v>0</v>
      </c>
      <c r="FZ8" s="14" t="e">
        <f t="array" aca="1" ref="FZ8:GC8" ca="1">-FN8:FQ8-FR8:FU8*2*SUM(-FN8:FQ8*FR8:FU8)</f>
        <v>#VALUE!</v>
      </c>
      <c r="GA8" s="14" t="e">
        <f ca="1"/>
        <v>#VALUE!</v>
      </c>
      <c r="GB8" s="14" t="e">
        <f ca="1"/>
        <v>#VALUE!</v>
      </c>
      <c r="GC8" s="14" t="e">
        <f ca="1"/>
        <v>#VALUE!</v>
      </c>
      <c r="GD8" s="14" t="e">
        <f t="array" aca="1" ref="GD8:GG8" ca="1">-FV8:FY8-FR8:FU8*2*SUM(-FV8:FY8*FR8:FU8)</f>
        <v>#VALUE!</v>
      </c>
      <c r="GE8" s="14" t="e">
        <f ca="1"/>
        <v>#VALUE!</v>
      </c>
      <c r="GF8" s="14" t="e">
        <f ca="1"/>
        <v>#VALUE!</v>
      </c>
      <c r="GG8" s="14" t="e">
        <f ca="1"/>
        <v>#VALUE!</v>
      </c>
      <c r="GH8" t="e">
        <f t="array" aca="1" ref="GH8" ca="1">SUM(FV8:FY8*FR8:FU8)</f>
        <v>#VALUE!</v>
      </c>
      <c r="GI8" t="e">
        <f t="array" aca="1" ref="GI8" ca="1">SUM(GD8:GG8*FN8:FQ8)</f>
        <v>#VALUE!</v>
      </c>
      <c r="GJ8" s="11" t="e">
        <f t="shared" ca="1" si="36"/>
        <v>#VALUE!</v>
      </c>
      <c r="GK8" s="11" t="e">
        <f t="shared" ca="1" si="37"/>
        <v>#VALUE!</v>
      </c>
      <c r="GL8" s="11" t="e">
        <f t="shared" ca="1" si="38"/>
        <v>#VALUE!</v>
      </c>
      <c r="GM8" s="11">
        <f t="shared" ca="1" si="39"/>
        <v>0</v>
      </c>
      <c r="GO8" s="10" t="e">
        <f t="array" aca="1" ref="GO8:GR8" ca="1">FJ8:FM8+FR8:FU8*0.001</f>
        <v>#VALUE!</v>
      </c>
      <c r="GP8" s="10" t="e">
        <f ca="1"/>
        <v>#VALUE!</v>
      </c>
      <c r="GQ8" s="10" t="e">
        <f ca="1"/>
        <v>#VALUE!</v>
      </c>
      <c r="GR8" s="10" t="e">
        <f ca="1"/>
        <v>#VALUE!</v>
      </c>
      <c r="GS8" s="10">
        <f t="shared" ca="1" si="40"/>
        <v>0.38817910792808213</v>
      </c>
      <c r="GT8" s="10">
        <f t="shared" ca="1" si="3"/>
        <v>-0.29239216578181143</v>
      </c>
      <c r="GU8" s="10">
        <f t="shared" ca="1" si="4"/>
        <v>-0.87397013768067622</v>
      </c>
      <c r="GV8" s="10">
        <f t="shared" ca="1" si="5"/>
        <v>0</v>
      </c>
      <c r="GX8" s="10" t="e">
        <f t="array" aca="1" ref="GX8" ca="1">-SUM(($GS8:$GV8)*($GO8:$GR8-OFFSET($C$6:$F$6,GX$5,0)))+SQRT(SUM(($GS8:$GV8)*($GO8:$GR8-OFFSET($C$6:$F$6,GX$5,0)))^2-SUM(($GO8:$GR8-OFFSET($C$6:$F$6,GX$5,0))*($GO8:$GR8-OFFSET($C$6:$F$6,GX$5,0)))+OFFSET($G$6,GX$5,0)^2)</f>
        <v>#VALUE!</v>
      </c>
      <c r="GY8" s="10" t="e">
        <f t="array" aca="1" ref="GY8" ca="1">-SUM(($GS8:$GV8)*($GO8:$GR8-OFFSET($C$6:$F$6,GY$5,0)))+SQRT(SUM(($GS8:$GV8)*($GO8:$GR8-OFFSET($C$6:$F$6,GY$5,0)))^2-SUM(($GO8:$GR8-OFFSET($C$6:$F$6,GY$5,0))*($GO8:$GR8-OFFSET($C$6:$F$6,GY$5,0)))+OFFSET($G$6,GY$5,0)^2)</f>
        <v>#VALUE!</v>
      </c>
      <c r="GZ8" s="10" t="e">
        <f t="array" aca="1" ref="GZ8" ca="1">-SUM(($GS8:$GV8)*($GO8:$GR8-OFFSET($C$6:$F$6,GZ$5,0)))+SQRT(SUM(($GS8:$GV8)*($GO8:$GR8-OFFSET($C$6:$F$6,GZ$5,0)))^2-SUM(($GO8:$GR8-OFFSET($C$6:$F$6,GZ$5,0))*($GO8:$GR8-OFFSET($C$6:$F$6,GZ$5,0)))+OFFSET($G$6,GZ$5,0)^2)</f>
        <v>#VALUE!</v>
      </c>
      <c r="HA8" s="10" t="e">
        <f t="array" aca="1" ref="HA8" ca="1">-SUM(($GS8:$GV8)*($GO8:$GR8-OFFSET($C$6:$F$6,HA$5,0)))+SQRT(SUM(($GS8:$GV8)*($GO8:$GR8-OFFSET($C$6:$F$6,HA$5,0)))^2-SUM(($GO8:$GR8-OFFSET($C$6:$F$6,HA$5,0))*($GO8:$GR8-OFFSET($C$6:$F$6,HA$5,0)))+OFFSET($G$6,HA$5,0)^2)</f>
        <v>#VALUE!</v>
      </c>
      <c r="HB8" s="10" t="e">
        <f t="array" aca="1" ref="HB8" ca="1">-SUM(($GS8:$GV8)*($GO8:$GR8-OFFSET($C$6:$F$6,HB$5,0)))+SQRT(SUM(($GS8:$GV8)*($GO8:$GR8-OFFSET($C$6:$F$6,HB$5,0)))^2-SUM(($GO8:$GR8-OFFSET($C$6:$F$6,HB$5,0))*($GO8:$GR8-OFFSET($C$6:$F$6,HB$5,0)))+OFFSET($G$6,HB$5,0)^2)</f>
        <v>#VALUE!</v>
      </c>
      <c r="HC8" s="10" t="e">
        <f t="array" aca="1" ref="HC8" ca="1">-SUM(($GS8:$GV8)*($GO8:$GR8-OFFSET($C$6:$F$6,HC$5,0)))+SQRT(SUM(($GS8:$GV8)*($GO8:$GR8-OFFSET($C$6:$F$6,HC$5,0)))^2-SUM(($GO8:$GR8-OFFSET($C$6:$F$6,HC$5,0))*($GO8:$GR8-OFFSET($C$6:$F$6,HC$5,0)))+OFFSET($G$6,HC$5,0)^2)</f>
        <v>#VALUE!</v>
      </c>
      <c r="HD8" s="10" t="e">
        <f t="array" aca="1" ref="HD8" ca="1">-SUM(($GS8:$GV8)*($GO8:$GR8-OFFSET($C$6:$F$6,HD$5,0)))+SQRT(SUM(($GS8:$GV8)*($GO8:$GR8-OFFSET($C$6:$F$6,HD$5,0)))^2-SUM(($GO8:$GR8-OFFSET($C$6:$F$6,HD$5,0))*($GO8:$GR8-OFFSET($C$6:$F$6,HD$5,0)))+OFFSET($G$6,HD$5,0)^2)</f>
        <v>#VALUE!</v>
      </c>
      <c r="HE8" s="10" t="e">
        <f t="array" aca="1" ref="HE8" ca="1">-SUM(($GS8:$GV8)*($GO8:$GR8-OFFSET($C$6:$F$6,HE$5,0)))+SQRT(SUM(($GS8:$GV8)*($GO8:$GR8-OFFSET($C$6:$F$6,HE$5,0)))^2-SUM(($GO8:$GR8-OFFSET($C$6:$F$6,HE$5,0))*($GO8:$GR8-OFFSET($C$6:$F$6,HE$5,0)))+OFFSET($G$6,HE$5,0)^2)</f>
        <v>#VALUE!</v>
      </c>
      <c r="HF8" s="10" t="e">
        <f t="array" aca="1" ref="HF8" ca="1">-SUM(($GS8:$GV8)*($GO8:$GR8-OFFSET($C$6:$F$6,HF$5,0)))+SQRT(SUM(($GS8:$GV8)*($GO8:$GR8-OFFSET($C$6:$F$6,HF$5,0)))^2-SUM(($GO8:$GR8-OFFSET($C$6:$F$6,HF$5,0))*($GO8:$GR8-OFFSET($C$6:$F$6,HF$5,0)))+OFFSET($G$6,HF$5,0)^2)</f>
        <v>#VALUE!</v>
      </c>
      <c r="HG8" s="10" t="e">
        <f t="array" aca="1" ref="HG8" ca="1">-SUM(($GS8:$GV8)*($GO8:$GR8-OFFSET($C$6:$F$6,HG$5,0)))+SQRT(SUM(($GS8:$GV8)*($GO8:$GR8-OFFSET($C$6:$F$6,HG$5,0)))^2-SUM(($GO8:$GR8-OFFSET($C$6:$F$6,HG$5,0))*($GO8:$GR8-OFFSET($C$6:$F$6,HG$5,0)))+OFFSET($G$6,HG$5,0)^2)</f>
        <v>#VALUE!</v>
      </c>
      <c r="HH8" s="10" t="e">
        <f t="array" aca="1" ref="HH8" ca="1">-SUM(($GS8:$GV8)*($GO8:$GR8-OFFSET($C$6:$F$6,GX$5,0)))-SQRT(SUM(($GS8:$GV8)*($GO8:$GR8-OFFSET($C$6:$F$6,GX$5,0)))^2-SUM(($GO8:$GR8-OFFSET($C$6:$F$6,GX$5,0))*($GO8:$GR8-OFFSET($C$6:$F$6,GX$5,0)))+OFFSET($G$6,GX$5,0)^2)</f>
        <v>#VALUE!</v>
      </c>
      <c r="HI8" s="10" t="e">
        <f t="array" aca="1" ref="HI8" ca="1">-SUM(($GS8:$GV8)*($GO8:$GR8-OFFSET($C$6:$F$6,GY$5,0)))-SQRT(SUM(($GS8:$GV8)*($GO8:$GR8-OFFSET($C$6:$F$6,GY$5,0)))^2-SUM(($GO8:$GR8-OFFSET($C$6:$F$6,GY$5,0))*($GO8:$GR8-OFFSET($C$6:$F$6,GY$5,0)))+OFFSET($G$6,GY$5,0)^2)</f>
        <v>#VALUE!</v>
      </c>
      <c r="HJ8" s="10" t="e">
        <f t="array" aca="1" ref="HJ8" ca="1">-SUM(($GS8:$GV8)*($GO8:$GR8-OFFSET($C$6:$F$6,GZ$5,0)))-SQRT(SUM(($GS8:$GV8)*($GO8:$GR8-OFFSET($C$6:$F$6,GZ$5,0)))^2-SUM(($GO8:$GR8-OFFSET($C$6:$F$6,GZ$5,0))*($GO8:$GR8-OFFSET($C$6:$F$6,GZ$5,0)))+OFFSET($G$6,GZ$5,0)^2)</f>
        <v>#VALUE!</v>
      </c>
      <c r="HK8" s="10" t="e">
        <f t="array" aca="1" ref="HK8" ca="1">-SUM(($GS8:$GV8)*($GO8:$GR8-OFFSET($C$6:$F$6,HA$5,0)))-SQRT(SUM(($GS8:$GV8)*($GO8:$GR8-OFFSET($C$6:$F$6,HA$5,0)))^2-SUM(($GO8:$GR8-OFFSET($C$6:$F$6,HA$5,0))*($GO8:$GR8-OFFSET($C$6:$F$6,HA$5,0)))+OFFSET($G$6,HA$5,0)^2)</f>
        <v>#VALUE!</v>
      </c>
      <c r="HL8" s="10" t="e">
        <f t="array" aca="1" ref="HL8" ca="1">-SUM(($GS8:$GV8)*($GO8:$GR8-OFFSET($C$6:$F$6,HB$5,0)))-SQRT(SUM(($GS8:$GV8)*($GO8:$GR8-OFFSET($C$6:$F$6,HB$5,0)))^2-SUM(($GO8:$GR8-OFFSET($C$6:$F$6,HB$5,0))*($GO8:$GR8-OFFSET($C$6:$F$6,HB$5,0)))+OFFSET($G$6,HB$5,0)^2)</f>
        <v>#VALUE!</v>
      </c>
      <c r="HM8" s="10" t="e">
        <f t="array" aca="1" ref="HM8" ca="1">-SUM(($GS8:$GV8)*($GO8:$GR8-OFFSET($C$6:$F$6,HC$5,0)))-SQRT(SUM(($GS8:$GV8)*($GO8:$GR8-OFFSET($C$6:$F$6,HC$5,0)))^2-SUM(($GO8:$GR8-OFFSET($C$6:$F$6,HC$5,0))*($GO8:$GR8-OFFSET($C$6:$F$6,HC$5,0)))+OFFSET($G$6,HC$5,0)^2)</f>
        <v>#VALUE!</v>
      </c>
      <c r="HN8" s="10" t="e">
        <f t="array" aca="1" ref="HN8" ca="1">-SUM(($GS8:$GV8)*($GO8:$GR8-OFFSET($C$6:$F$6,HD$5,0)))-SQRT(SUM(($GS8:$GV8)*($GO8:$GR8-OFFSET($C$6:$F$6,HD$5,0)))^2-SUM(($GO8:$GR8-OFFSET($C$6:$F$6,HD$5,0))*($GO8:$GR8-OFFSET($C$6:$F$6,HD$5,0)))+OFFSET($G$6,HD$5,0)^2)</f>
        <v>#VALUE!</v>
      </c>
      <c r="HO8" s="10" t="e">
        <f t="array" aca="1" ref="HO8" ca="1">-SUM(($GS8:$GV8)*($GO8:$GR8-OFFSET($C$6:$F$6,HE$5,0)))-SQRT(SUM(($GS8:$GV8)*($GO8:$GR8-OFFSET($C$6:$F$6,HE$5,0)))^2-SUM(($GO8:$GR8-OFFSET($C$6:$F$6,HE$5,0))*($GO8:$GR8-OFFSET($C$6:$F$6,HE$5,0)))+OFFSET($G$6,HE$5,0)^2)</f>
        <v>#VALUE!</v>
      </c>
      <c r="HP8" s="10" t="e">
        <f t="array" aca="1" ref="HP8" ca="1">-SUM(($GS8:$GV8)*($GO8:$GR8-OFFSET($C$6:$F$6,HF$5,0)))-SQRT(SUM(($GS8:$GV8)*($GO8:$GR8-OFFSET($C$6:$F$6,HF$5,0)))^2-SUM(($GO8:$GR8-OFFSET($C$6:$F$6,HF$5,0))*($GO8:$GR8-OFFSET($C$6:$F$6,HF$5,0)))+OFFSET($G$6,HF$5,0)^2)</f>
        <v>#VALUE!</v>
      </c>
      <c r="HQ8" s="10" t="e">
        <f t="array" aca="1" ref="HQ8" ca="1">-SUM(($GS8:$GV8)*($GO8:$GR8-OFFSET($C$6:$F$6,HG$5,0)))-SQRT(SUM(($GS8:$GV8)*($GO8:$GR8-OFFSET($C$6:$F$6,HG$5,0)))^2-SUM(($GO8:$GR8-OFFSET($C$6:$F$6,HG$5,0))*($GO8:$GR8-OFFSET($C$6:$F$6,HG$5,0)))+OFFSET($G$6,HG$5,0)^2)</f>
        <v>#VALUE!</v>
      </c>
      <c r="HS8" s="10">
        <f t="array" aca="1" ref="HS8" ca="1">MIN(IF(IF(ISERROR(GX8:HQ8),-1,GX8:HQ8)&lt;0,9999999999,GX8:HQ8))</f>
        <v>9999999999</v>
      </c>
      <c r="HU8" s="11">
        <f t="shared" ca="1" si="41"/>
        <v>0</v>
      </c>
      <c r="HW8" s="11">
        <f t="shared" ca="1" si="42"/>
        <v>0.73556722038945144</v>
      </c>
    </row>
    <row r="9" spans="2:231" x14ac:dyDescent="0.25">
      <c r="B9">
        <v>3</v>
      </c>
      <c r="C9" s="10">
        <v>0</v>
      </c>
      <c r="D9" s="10">
        <v>1</v>
      </c>
      <c r="E9" s="10">
        <v>0</v>
      </c>
      <c r="F9" s="10">
        <v>1</v>
      </c>
      <c r="G9" s="10">
        <v>2</v>
      </c>
      <c r="H9" s="10">
        <v>0</v>
      </c>
      <c r="I9" s="10">
        <v>0.9</v>
      </c>
      <c r="J9" s="10">
        <v>0.9</v>
      </c>
      <c r="K9" s="10">
        <v>200</v>
      </c>
      <c r="L9" s="10">
        <v>0.2</v>
      </c>
      <c r="X9" s="11">
        <f t="shared" si="6"/>
        <v>-1.7106918238993709</v>
      </c>
      <c r="Y9" s="11">
        <f t="shared" si="7"/>
        <v>-1</v>
      </c>
      <c r="Z9" s="11">
        <v>4</v>
      </c>
      <c r="AB9" s="10">
        <f t="array" aca="1" ref="AB9:AE9" ca="1">TRANSPOSE(Screen!$GL$98:$GL$101)</f>
        <v>0</v>
      </c>
      <c r="AC9" s="10">
        <f ca="1"/>
        <v>0.50000000000000033</v>
      </c>
      <c r="AD9" s="10">
        <f ca="1"/>
        <v>-15</v>
      </c>
      <c r="AE9" s="10">
        <f ca="1"/>
        <v>1</v>
      </c>
      <c r="AF9" s="10">
        <f t="array" aca="1" ref="AF9:AH9" ca="1">TRANSPOSE(MMULT(Screen!$GI$98:$GK$100,TRANSPOSE(X9:Z9)))</f>
        <v>-1.7106918238993709</v>
      </c>
      <c r="AG9" s="10">
        <f ca="1"/>
        <v>-1.2380565658529825</v>
      </c>
      <c r="AH9" s="10">
        <f ca="1"/>
        <v>3.9400359935205556</v>
      </c>
      <c r="AI9" s="10">
        <v>1</v>
      </c>
      <c r="AJ9" s="10">
        <f t="array" aca="1" ref="AJ9" ca="1">AF9/SQRT(SUM(($AF9:$AH9)*($AF9:$AH9)))</f>
        <v>-0.38268371131911894</v>
      </c>
      <c r="AK9" s="10">
        <f t="array" aca="1" ref="AK9" ca="1">AG9/SQRT(SUM(($AF9:$AH9)*($AF9:$AH9)))</f>
        <v>-0.27695466525564699</v>
      </c>
      <c r="AL9" s="10">
        <f t="array" aca="1" ref="AL9" ca="1">AH9/SQRT(SUM(($AF9:$AH9)*($AF9:$AH9)))</f>
        <v>0.88139054367752201</v>
      </c>
      <c r="AM9" s="10">
        <v>0</v>
      </c>
      <c r="AO9" s="10">
        <f t="array" aca="1" ref="AO9" ca="1">-SUM(($AJ9:$AM9)*($AB9:$AE9-OFFSET($C$6:$F$6,AO$5,0)))+SQRT(SUM(($AJ9:$AM9)*($AB9:$AE9-OFFSET($C$6:$F$6,AO$5,0)))^2-SUM(($AB9:$AE9-OFFSET($C$6:$F$6,AO$5,0))*($AB9:$AE9-OFFSET($C$6:$F$6,AO$5,0)))+OFFSET($G$6,AO$5,0)^2)</f>
        <v>575.02081314465272</v>
      </c>
      <c r="AP9" s="10" t="e">
        <f t="array" aca="1" ref="AP9" ca="1">-SUM(($AJ9:$AM9)*($AB9:$AE9-OFFSET($C$6:$F$6,AP$5,0)))+SQRT(SUM(($AJ9:$AM9)*($AB9:$AE9-OFFSET($C$6:$F$6,AP$5,0)))^2-SUM(($AB9:$AE9-OFFSET($C$6:$F$6,AP$5,0))*($AB9:$AE9-OFFSET($C$6:$F$6,AP$5,0)))+OFFSET($G$6,AP$5,0)^2)</f>
        <v>#NUM!</v>
      </c>
      <c r="AQ9" s="10" t="e">
        <f t="array" aca="1" ref="AQ9" ca="1">-SUM(($AJ9:$AM9)*($AB9:$AE9-OFFSET($C$6:$F$6,AQ$5,0)))+SQRT(SUM(($AJ9:$AM9)*($AB9:$AE9-OFFSET($C$6:$F$6,AQ$5,0)))^2-SUM(($AB9:$AE9-OFFSET($C$6:$F$6,AQ$5,0))*($AB9:$AE9-OFFSET($C$6:$F$6,AQ$5,0)))+OFFSET($G$6,AQ$5,0)^2)</f>
        <v>#NUM!</v>
      </c>
      <c r="AR9" s="10" t="e">
        <f t="array" aca="1" ref="AR9" ca="1">-SUM(($AJ9:$AM9)*($AB9:$AE9-OFFSET($C$6:$F$6,AR$5,0)))+SQRT(SUM(($AJ9:$AM9)*($AB9:$AE9-OFFSET($C$6:$F$6,AR$5,0)))^2-SUM(($AB9:$AE9-OFFSET($C$6:$F$6,AR$5,0))*($AB9:$AE9-OFFSET($C$6:$F$6,AR$5,0)))+OFFSET($G$6,AR$5,0)^2)</f>
        <v>#NUM!</v>
      </c>
      <c r="AS9" s="10" t="e">
        <f t="array" aca="1" ref="AS9" ca="1">-SUM(($AJ9:$AM9)*($AB9:$AE9-OFFSET($C$6:$F$6,AS$5,0)))+SQRT(SUM(($AJ9:$AM9)*($AB9:$AE9-OFFSET($C$6:$F$6,AS$5,0)))^2-SUM(($AB9:$AE9-OFFSET($C$6:$F$6,AS$5,0))*($AB9:$AE9-OFFSET($C$6:$F$6,AS$5,0)))+OFFSET($G$6,AS$5,0)^2)</f>
        <v>#NUM!</v>
      </c>
      <c r="AT9" s="10" t="e">
        <f t="array" aca="1" ref="AT9" ca="1">-SUM(($AJ9:$AM9)*($AB9:$AE9-OFFSET($C$6:$F$6,AT$5,0)))+SQRT(SUM(($AJ9:$AM9)*($AB9:$AE9-OFFSET($C$6:$F$6,AT$5,0)))^2-SUM(($AB9:$AE9-OFFSET($C$6:$F$6,AT$5,0))*($AB9:$AE9-OFFSET($C$6:$F$6,AT$5,0)))+OFFSET($G$6,AT$5,0)^2)</f>
        <v>#NUM!</v>
      </c>
      <c r="AU9" s="10" t="e">
        <f t="array" aca="1" ref="AU9" ca="1">-SUM(($AJ9:$AM9)*($AB9:$AE9-OFFSET($C$6:$F$6,AU$5,0)))+SQRT(SUM(($AJ9:$AM9)*($AB9:$AE9-OFFSET($C$6:$F$6,AU$5,0)))^2-SUM(($AB9:$AE9-OFFSET($C$6:$F$6,AU$5,0))*($AB9:$AE9-OFFSET($C$6:$F$6,AU$5,0)))+OFFSET($G$6,AU$5,0)^2)</f>
        <v>#NUM!</v>
      </c>
      <c r="AV9" s="10" t="e">
        <f t="array" aca="1" ref="AV9" ca="1">-SUM(($AJ9:$AM9)*($AB9:$AE9-OFFSET($C$6:$F$6,AV$5,0)))+SQRT(SUM(($AJ9:$AM9)*($AB9:$AE9-OFFSET($C$6:$F$6,AV$5,0)))^2-SUM(($AB9:$AE9-OFFSET($C$6:$F$6,AV$5,0))*($AB9:$AE9-OFFSET($C$6:$F$6,AV$5,0)))+OFFSET($G$6,AV$5,0)^2)</f>
        <v>#NUM!</v>
      </c>
      <c r="AW9" s="10" t="e">
        <f t="array" aca="1" ref="AW9" ca="1">-SUM(($AJ9:$AM9)*($AB9:$AE9-OFFSET($C$6:$F$6,AW$5,0)))+SQRT(SUM(($AJ9:$AM9)*($AB9:$AE9-OFFSET($C$6:$F$6,AW$5,0)))^2-SUM(($AB9:$AE9-OFFSET($C$6:$F$6,AW$5,0))*($AB9:$AE9-OFFSET($C$6:$F$6,AW$5,0)))+OFFSET($G$6,AW$5,0)^2)</f>
        <v>#NUM!</v>
      </c>
      <c r="AX9" s="10" t="e">
        <f t="array" aca="1" ref="AX9" ca="1">-SUM(($AJ9:$AM9)*($AB9:$AE9-OFFSET($C$6:$F$6,AX$5,0)))+SQRT(SUM(($AJ9:$AM9)*($AB9:$AE9-OFFSET($C$6:$F$6,AX$5,0)))^2-SUM(($AB9:$AE9-OFFSET($C$6:$F$6,AX$5,0))*($AB9:$AE9-OFFSET($C$6:$F$6,AX$5,0)))+OFFSET($G$6,AX$5,0)^2)</f>
        <v>#NUM!</v>
      </c>
      <c r="AY9" s="10">
        <f t="array" aca="1" ref="AY9" ca="1">-SUM(($AJ9:$AM9)*($AB9:$AE9-OFFSET($C$6:$F$6,AO$5,0)))-SQRT(SUM(($AJ9:$AM9)*($AB9:$AE9-OFFSET($C$6:$F$6,AO$5,0)))^2-SUM(($AB9:$AE9-OFFSET($C$6:$F$6,AO$5,0))*($AB9:$AE9-OFFSET($C$6:$F$6,AO$5,0)))+OFFSET($G$6,AO$5,0)^2)</f>
        <v>5.607188342222571</v>
      </c>
      <c r="AZ9" s="10" t="e">
        <f t="array" aca="1" ref="AZ9" ca="1">-SUM(($AJ9:$AM9)*($AB9:$AE9-OFFSET($C$6:$F$6,AP$5,0)))-SQRT(SUM(($AJ9:$AM9)*($AB9:$AE9-OFFSET($C$6:$F$6,AP$5,0)))^2-SUM(($AB9:$AE9-OFFSET($C$6:$F$6,AP$5,0))*($AB9:$AE9-OFFSET($C$6:$F$6,AP$5,0)))+OFFSET($G$6,AP$5,0)^2)</f>
        <v>#NUM!</v>
      </c>
      <c r="BA9" s="10" t="e">
        <f t="array" aca="1" ref="BA9" ca="1">-SUM(($AJ9:$AM9)*($AB9:$AE9-OFFSET($C$6:$F$6,AQ$5,0)))-SQRT(SUM(($AJ9:$AM9)*($AB9:$AE9-OFFSET($C$6:$F$6,AQ$5,0)))^2-SUM(($AB9:$AE9-OFFSET($C$6:$F$6,AQ$5,0))*($AB9:$AE9-OFFSET($C$6:$F$6,AQ$5,0)))+OFFSET($G$6,AQ$5,0)^2)</f>
        <v>#NUM!</v>
      </c>
      <c r="BB9" s="10" t="e">
        <f t="array" aca="1" ref="BB9" ca="1">-SUM(($AJ9:$AM9)*($AB9:$AE9-OFFSET($C$6:$F$6,AR$5,0)))-SQRT(SUM(($AJ9:$AM9)*($AB9:$AE9-OFFSET($C$6:$F$6,AR$5,0)))^2-SUM(($AB9:$AE9-OFFSET($C$6:$F$6,AR$5,0))*($AB9:$AE9-OFFSET($C$6:$F$6,AR$5,0)))+OFFSET($G$6,AR$5,0)^2)</f>
        <v>#NUM!</v>
      </c>
      <c r="BC9" s="10" t="e">
        <f t="array" aca="1" ref="BC9" ca="1">-SUM(($AJ9:$AM9)*($AB9:$AE9-OFFSET($C$6:$F$6,AS$5,0)))-SQRT(SUM(($AJ9:$AM9)*($AB9:$AE9-OFFSET($C$6:$F$6,AS$5,0)))^2-SUM(($AB9:$AE9-OFFSET($C$6:$F$6,AS$5,0))*($AB9:$AE9-OFFSET($C$6:$F$6,AS$5,0)))+OFFSET($G$6,AS$5,0)^2)</f>
        <v>#NUM!</v>
      </c>
      <c r="BD9" s="10" t="e">
        <f t="array" aca="1" ref="BD9" ca="1">-SUM(($AJ9:$AM9)*($AB9:$AE9-OFFSET($C$6:$F$6,AT$5,0)))-SQRT(SUM(($AJ9:$AM9)*($AB9:$AE9-OFFSET($C$6:$F$6,AT$5,0)))^2-SUM(($AB9:$AE9-OFFSET($C$6:$F$6,AT$5,0))*($AB9:$AE9-OFFSET($C$6:$F$6,AT$5,0)))+OFFSET($G$6,AT$5,0)^2)</f>
        <v>#NUM!</v>
      </c>
      <c r="BE9" s="10" t="e">
        <f t="array" aca="1" ref="BE9" ca="1">-SUM(($AJ9:$AM9)*($AB9:$AE9-OFFSET($C$6:$F$6,AU$5,0)))-SQRT(SUM(($AJ9:$AM9)*($AB9:$AE9-OFFSET($C$6:$F$6,AU$5,0)))^2-SUM(($AB9:$AE9-OFFSET($C$6:$F$6,AU$5,0))*($AB9:$AE9-OFFSET($C$6:$F$6,AU$5,0)))+OFFSET($G$6,AU$5,0)^2)</f>
        <v>#NUM!</v>
      </c>
      <c r="BF9" s="10" t="e">
        <f t="array" aca="1" ref="BF9" ca="1">-SUM(($AJ9:$AM9)*($AB9:$AE9-OFFSET($C$6:$F$6,AV$5,0)))-SQRT(SUM(($AJ9:$AM9)*($AB9:$AE9-OFFSET($C$6:$F$6,AV$5,0)))^2-SUM(($AB9:$AE9-OFFSET($C$6:$F$6,AV$5,0))*($AB9:$AE9-OFFSET($C$6:$F$6,AV$5,0)))+OFFSET($G$6,AV$5,0)^2)</f>
        <v>#NUM!</v>
      </c>
      <c r="BG9" s="10" t="e">
        <f t="array" aca="1" ref="BG9" ca="1">-SUM(($AJ9:$AM9)*($AB9:$AE9-OFFSET($C$6:$F$6,AW$5,0)))-SQRT(SUM(($AJ9:$AM9)*($AB9:$AE9-OFFSET($C$6:$F$6,AW$5,0)))^2-SUM(($AB9:$AE9-OFFSET($C$6:$F$6,AW$5,0))*($AB9:$AE9-OFFSET($C$6:$F$6,AW$5,0)))+OFFSET($G$6,AW$5,0)^2)</f>
        <v>#NUM!</v>
      </c>
      <c r="BH9" s="10" t="e">
        <f t="array" aca="1" ref="BH9" ca="1">-SUM(($AJ9:$AM9)*($AB9:$AE9-OFFSET($C$6:$F$6,AX$5,0)))-SQRT(SUM(($AJ9:$AM9)*($AB9:$AE9-OFFSET($C$6:$F$6,AX$5,0)))^2-SUM(($AB9:$AE9-OFFSET($C$6:$F$6,AX$5,0))*($AB9:$AE9-OFFSET($C$6:$F$6,AX$5,0)))+OFFSET($G$6,AX$5,0)^2)</f>
        <v>#NUM!</v>
      </c>
      <c r="BJ9" s="10">
        <f t="array" aca="1" ref="BJ9" ca="1">MIN(IF(IF(ISERROR(AO9:BH9),-1,AO9:BH9)&lt;0,9999999999,AO9:BH9))</f>
        <v>5.607188342222571</v>
      </c>
      <c r="BL9">
        <f t="shared" ca="1" si="8"/>
        <v>0</v>
      </c>
      <c r="BN9" s="10">
        <f t="shared" ca="1" si="9"/>
        <v>-2.1457796448670314</v>
      </c>
      <c r="BO9" s="10">
        <f t="shared" ca="1" si="10"/>
        <v>-1.052936970345618</v>
      </c>
      <c r="BP9" s="10">
        <f t="shared" ca="1" si="11"/>
        <v>-10.057877218546185</v>
      </c>
      <c r="BQ9" s="10">
        <f t="shared" ca="1" si="12"/>
        <v>1</v>
      </c>
      <c r="BR9" s="14">
        <f t="shared" ca="1" si="13"/>
        <v>0.38268371131911894</v>
      </c>
      <c r="BS9" s="14">
        <f t="shared" ca="1" si="14"/>
        <v>0.27695466525564699</v>
      </c>
      <c r="BT9" s="14">
        <f t="shared" ca="1" si="15"/>
        <v>-0.88139054367752201</v>
      </c>
      <c r="BU9" s="14">
        <f t="shared" si="16"/>
        <v>0</v>
      </c>
      <c r="BV9" s="10">
        <f t="array" aca="1" ref="BV9" ca="1">(BN9-OFFSET(C$6,$BL9,0))/SQRT(SUM(($BN9:$BQ9-OFFSET($C$6:$F$6,$BL9,0))*($BN9:$BQ9-OFFSET($C$6:$F$6,$BL9,0))))</f>
        <v>-2.1479275724394708E-3</v>
      </c>
      <c r="BW9" s="10">
        <f t="array" aca="1" ref="BW9" ca="1">(BO9-OFFSET(D$6,$BL9,0))/SQRT(SUM(($BN9:$BQ9-OFFSET($C$6:$F$6,$BL9,0))*($BN9:$BQ9-OFFSET($C$6:$F$6,$BL9,0))))</f>
        <v>0.99994701003969411</v>
      </c>
      <c r="BX9" s="10">
        <f t="array" aca="1" ref="BX9" ca="1">(BP9-OFFSET(E$6,$BL9,0))/SQRT(SUM(($BN9:$BQ9-OFFSET($C$6:$F$6,$BL9,0))*($BN9:$BQ9-OFFSET($C$6:$F$6,$BL9,0))))</f>
        <v>-1.0067945163709895E-2</v>
      </c>
      <c r="BY9" s="10">
        <f t="array" aca="1" ref="BY9" ca="1">(BQ9-OFFSET(F$6,$BL9,0))/SQRT(SUM(($BN9:$BQ9-OFFSET($C$6:$F$6,$BL9,0))*($BN9:$BQ9-OFFSET($C$6:$F$6,$BL9,0))))</f>
        <v>0</v>
      </c>
      <c r="BZ9" s="14">
        <f t="array" aca="1" ref="BZ9" ca="1">-(BN9-O$6)/SQRT(SUM(($O$6:$R$6-$BN9:$BQ9)*($O$6:$R$6-$BN9:$BQ9)))</f>
        <v>-0.5792419322002671</v>
      </c>
      <c r="CA9" s="14">
        <f t="array" aca="1" ref="CA9" ca="1">-(BO9-P$6)/SQRT(SUM(($O$6:$R$6-$BN9:$BQ9)*($O$6:$R$6-$BN9:$BQ9)))</f>
        <v>0.81514450546407835</v>
      </c>
      <c r="CB9" s="14">
        <f t="array" aca="1" ref="CB9" ca="1">-(BP9-Q$6)/SQRT(SUM(($O$6:$R$6-$BN9:$BQ9)*($O$6:$R$6-$BN9:$BQ9)))</f>
        <v>4.2683946190992536E-3</v>
      </c>
      <c r="CC9" s="14">
        <f t="array" aca="1" ref="CC9" ca="1">-(BQ9-R$6)/SQRT(SUM(($O$6:$R$6-$BN9:$BQ9)*($O$6:$R$6-$BN9:$BQ9)))</f>
        <v>0</v>
      </c>
      <c r="CD9" s="14">
        <f t="array" aca="1" ref="CD9:CG9" ca="1">-BR9:BU9-BV9:BY9*2*SUM(-BR9:BU9*BV9:BY9)</f>
        <v>-0.38390799482746313</v>
      </c>
      <c r="CE9" s="14">
        <f ca="1"/>
        <v>0.29299873974640928</v>
      </c>
      <c r="CF9" s="14">
        <f ca="1"/>
        <v>0.87565197996382815</v>
      </c>
      <c r="CG9" s="14">
        <f ca="1"/>
        <v>0</v>
      </c>
      <c r="CH9" s="14">
        <f t="array" aca="1" ref="CH9:CK9" ca="1">-BZ9:CC9-BV9:BY9*2*SUM(-BZ9:CC9*BV9:BY9)</f>
        <v>0.57573521487689583</v>
      </c>
      <c r="CI9" s="14">
        <f ca="1"/>
        <v>0.81737399634788999</v>
      </c>
      <c r="CJ9" s="14">
        <f ca="1"/>
        <v>-2.070537236888249E-2</v>
      </c>
      <c r="CK9" s="14">
        <f ca="1"/>
        <v>0</v>
      </c>
      <c r="CL9">
        <f t="array" aca="1" ref="CL9" ca="1">SUM(BZ9:CC9*BV9:BY9)</f>
        <v>0.81630250674341409</v>
      </c>
      <c r="CM9">
        <f t="array" aca="1" ref="CM9" ca="1">SUM(CH9:CK9*BR9:BU9)</f>
        <v>0.46494954972265612</v>
      </c>
      <c r="CN9" s="11">
        <f t="shared" ca="1" si="17"/>
        <v>0</v>
      </c>
      <c r="CO9" s="11">
        <f t="shared" ca="1" si="18"/>
        <v>0.73467225606907272</v>
      </c>
      <c r="CP9" s="11">
        <f t="shared" ca="1" si="19"/>
        <v>2.7252653915345093E-67</v>
      </c>
      <c r="CQ9" s="11">
        <f t="shared" ca="1" si="20"/>
        <v>0.73467225606907272</v>
      </c>
      <c r="CS9" s="10">
        <f t="array" aca="1" ref="CS9:CV9" ca="1">BN9:BQ9+BV9:BY9*0.001</f>
        <v>-2.1457817927946037</v>
      </c>
      <c r="CT9" s="10">
        <f ca="1"/>
        <v>-1.0519370233355783</v>
      </c>
      <c r="CU9" s="10">
        <f ca="1"/>
        <v>-10.057887286491349</v>
      </c>
      <c r="CV9" s="10">
        <f ca="1"/>
        <v>1</v>
      </c>
      <c r="CW9" s="10">
        <f t="shared" ca="1" si="21"/>
        <v>-0.5792419322002671</v>
      </c>
      <c r="CX9" s="10">
        <f t="shared" ca="1" si="22"/>
        <v>0.81514450546407835</v>
      </c>
      <c r="CY9" s="10">
        <f t="shared" ca="1" si="23"/>
        <v>4.2683946190992536E-3</v>
      </c>
      <c r="CZ9" s="10">
        <f t="shared" ca="1" si="24"/>
        <v>0</v>
      </c>
      <c r="DB9" s="10">
        <f t="array" aca="1" ref="DB9" ca="1">-SUM(($CW9:$CZ9)*($CS9:$CV9-OFFSET($C$6:$F$6,DB$5,0)))+SQRT(SUM(($CW9:$CZ9)*($CS9:$CV9-OFFSET($C$6:$F$6,DB$5,0)))^2-SUM(($CS9:$CV9-OFFSET($C$6:$F$6,DB$5,0))*($CS9:$CV9-OFFSET($C$6:$F$6,DB$5,0)))+OFFSET($G$6,DB$5,0)^2)</f>
        <v>-1.2250363588464097E-3</v>
      </c>
      <c r="DC9" s="10" t="e">
        <f t="array" aca="1" ref="DC9" ca="1">-SUM(($CW9:$CZ9)*($CS9:$CV9-OFFSET($C$6:$F$6,DC$5,0)))+SQRT(SUM(($CW9:$CZ9)*($CS9:$CV9-OFFSET($C$6:$F$6,DC$5,0)))^2-SUM(($CS9:$CV9-OFFSET($C$6:$F$6,DC$5,0))*($CS9:$CV9-OFFSET($C$6:$F$6,DC$5,0)))+OFFSET($G$6,DC$5,0)^2)</f>
        <v>#NUM!</v>
      </c>
      <c r="DD9" s="10" t="e">
        <f t="array" aca="1" ref="DD9" ca="1">-SUM(($CW9:$CZ9)*($CS9:$CV9-OFFSET($C$6:$F$6,DD$5,0)))+SQRT(SUM(($CW9:$CZ9)*($CS9:$CV9-OFFSET($C$6:$F$6,DD$5,0)))^2-SUM(($CS9:$CV9-OFFSET($C$6:$F$6,DD$5,0))*($CS9:$CV9-OFFSET($C$6:$F$6,DD$5,0)))+OFFSET($G$6,DD$5,0)^2)</f>
        <v>#NUM!</v>
      </c>
      <c r="DE9" s="10" t="e">
        <f t="array" aca="1" ref="DE9" ca="1">-SUM(($CW9:$CZ9)*($CS9:$CV9-OFFSET($C$6:$F$6,DE$5,0)))+SQRT(SUM(($CW9:$CZ9)*($CS9:$CV9-OFFSET($C$6:$F$6,DE$5,0)))^2-SUM(($CS9:$CV9-OFFSET($C$6:$F$6,DE$5,0))*($CS9:$CV9-OFFSET($C$6:$F$6,DE$5,0)))+OFFSET($G$6,DE$5,0)^2)</f>
        <v>#NUM!</v>
      </c>
      <c r="DF9" s="10" t="e">
        <f t="array" aca="1" ref="DF9" ca="1">-SUM(($CW9:$CZ9)*($CS9:$CV9-OFFSET($C$6:$F$6,DF$5,0)))+SQRT(SUM(($CW9:$CZ9)*($CS9:$CV9-OFFSET($C$6:$F$6,DF$5,0)))^2-SUM(($CS9:$CV9-OFFSET($C$6:$F$6,DF$5,0))*($CS9:$CV9-OFFSET($C$6:$F$6,DF$5,0)))+OFFSET($G$6,DF$5,0)^2)</f>
        <v>#NUM!</v>
      </c>
      <c r="DG9" s="10" t="e">
        <f t="array" aca="1" ref="DG9" ca="1">-SUM(($CW9:$CZ9)*($CS9:$CV9-OFFSET($C$6:$F$6,DG$5,0)))+SQRT(SUM(($CW9:$CZ9)*($CS9:$CV9-OFFSET($C$6:$F$6,DG$5,0)))^2-SUM(($CS9:$CV9-OFFSET($C$6:$F$6,DG$5,0))*($CS9:$CV9-OFFSET($C$6:$F$6,DG$5,0)))+OFFSET($G$6,DG$5,0)^2)</f>
        <v>#NUM!</v>
      </c>
      <c r="DH9" s="10" t="e">
        <f t="array" aca="1" ref="DH9" ca="1">-SUM(($CW9:$CZ9)*($CS9:$CV9-OFFSET($C$6:$F$6,DH$5,0)))+SQRT(SUM(($CW9:$CZ9)*($CS9:$CV9-OFFSET($C$6:$F$6,DH$5,0)))^2-SUM(($CS9:$CV9-OFFSET($C$6:$F$6,DH$5,0))*($CS9:$CV9-OFFSET($C$6:$F$6,DH$5,0)))+OFFSET($G$6,DH$5,0)^2)</f>
        <v>#NUM!</v>
      </c>
      <c r="DI9" s="10" t="e">
        <f t="array" aca="1" ref="DI9" ca="1">-SUM(($CW9:$CZ9)*($CS9:$CV9-OFFSET($C$6:$F$6,DI$5,0)))+SQRT(SUM(($CW9:$CZ9)*($CS9:$CV9-OFFSET($C$6:$F$6,DI$5,0)))^2-SUM(($CS9:$CV9-OFFSET($C$6:$F$6,DI$5,0))*($CS9:$CV9-OFFSET($C$6:$F$6,DI$5,0)))+OFFSET($G$6,DI$5,0)^2)</f>
        <v>#NUM!</v>
      </c>
      <c r="DJ9" s="10" t="e">
        <f t="array" aca="1" ref="DJ9" ca="1">-SUM(($CW9:$CZ9)*($CS9:$CV9-OFFSET($C$6:$F$6,DJ$5,0)))+SQRT(SUM(($CW9:$CZ9)*($CS9:$CV9-OFFSET($C$6:$F$6,DJ$5,0)))^2-SUM(($CS9:$CV9-OFFSET($C$6:$F$6,DJ$5,0))*($CS9:$CV9-OFFSET($C$6:$F$6,DJ$5,0)))+OFFSET($G$6,DJ$5,0)^2)</f>
        <v>#NUM!</v>
      </c>
      <c r="DK9" s="10" t="e">
        <f t="array" aca="1" ref="DK9" ca="1">-SUM(($CW9:$CZ9)*($CS9:$CV9-OFFSET($C$6:$F$6,DK$5,0)))+SQRT(SUM(($CW9:$CZ9)*($CS9:$CV9-OFFSET($C$6:$F$6,DK$5,0)))^2-SUM(($CS9:$CV9-OFFSET($C$6:$F$6,DK$5,0))*($CS9:$CV9-OFFSET($C$6:$F$6,DK$5,0)))+OFFSET($G$6,DK$5,0)^2)</f>
        <v>#NUM!</v>
      </c>
      <c r="DL9" s="10">
        <f t="array" aca="1" ref="DL9" ca="1">-SUM(($CW9:$CZ9)*($CS9:$CV9-OFFSET($C$6:$F$6,DB$5,0)))-SQRT(SUM(($CW9:$CZ9)*($CS9:$CV9-OFFSET($C$6:$F$6,DB$5,0)))^2-SUM(($CS9:$CV9-OFFSET($C$6:$F$6,DB$5,0))*($CS9:$CV9-OFFSET($C$6:$F$6,DB$5,0)))+OFFSET($G$6,DB$5,0)^2)</f>
        <v>-1630.9728160419961</v>
      </c>
      <c r="DM9" s="10" t="e">
        <f t="array" aca="1" ref="DM9" ca="1">-SUM(($CW9:$CZ9)*($CS9:$CV9-OFFSET($C$6:$F$6,DC$5,0)))-SQRT(SUM(($CW9:$CZ9)*($CS9:$CV9-OFFSET($C$6:$F$6,DC$5,0)))^2-SUM(($CS9:$CV9-OFFSET($C$6:$F$6,DC$5,0))*($CS9:$CV9-OFFSET($C$6:$F$6,DC$5,0)))+OFFSET($G$6,DC$5,0)^2)</f>
        <v>#NUM!</v>
      </c>
      <c r="DN9" s="10" t="e">
        <f t="array" aca="1" ref="DN9" ca="1">-SUM(($CW9:$CZ9)*($CS9:$CV9-OFFSET($C$6:$F$6,DD$5,0)))-SQRT(SUM(($CW9:$CZ9)*($CS9:$CV9-OFFSET($C$6:$F$6,DD$5,0)))^2-SUM(($CS9:$CV9-OFFSET($C$6:$F$6,DD$5,0))*($CS9:$CV9-OFFSET($C$6:$F$6,DD$5,0)))+OFFSET($G$6,DD$5,0)^2)</f>
        <v>#NUM!</v>
      </c>
      <c r="DO9" s="10" t="e">
        <f t="array" aca="1" ref="DO9" ca="1">-SUM(($CW9:$CZ9)*($CS9:$CV9-OFFSET($C$6:$F$6,DE$5,0)))-SQRT(SUM(($CW9:$CZ9)*($CS9:$CV9-OFFSET($C$6:$F$6,DE$5,0)))^2-SUM(($CS9:$CV9-OFFSET($C$6:$F$6,DE$5,0))*($CS9:$CV9-OFFSET($C$6:$F$6,DE$5,0)))+OFFSET($G$6,DE$5,0)^2)</f>
        <v>#NUM!</v>
      </c>
      <c r="DP9" s="10" t="e">
        <f t="array" aca="1" ref="DP9" ca="1">-SUM(($CW9:$CZ9)*($CS9:$CV9-OFFSET($C$6:$F$6,DF$5,0)))-SQRT(SUM(($CW9:$CZ9)*($CS9:$CV9-OFFSET($C$6:$F$6,DF$5,0)))^2-SUM(($CS9:$CV9-OFFSET($C$6:$F$6,DF$5,0))*($CS9:$CV9-OFFSET($C$6:$F$6,DF$5,0)))+OFFSET($G$6,DF$5,0)^2)</f>
        <v>#NUM!</v>
      </c>
      <c r="DQ9" s="10" t="e">
        <f t="array" aca="1" ref="DQ9" ca="1">-SUM(($CW9:$CZ9)*($CS9:$CV9-OFFSET($C$6:$F$6,DG$5,0)))-SQRT(SUM(($CW9:$CZ9)*($CS9:$CV9-OFFSET($C$6:$F$6,DG$5,0)))^2-SUM(($CS9:$CV9-OFFSET($C$6:$F$6,DG$5,0))*($CS9:$CV9-OFFSET($C$6:$F$6,DG$5,0)))+OFFSET($G$6,DG$5,0)^2)</f>
        <v>#NUM!</v>
      </c>
      <c r="DR9" s="10" t="e">
        <f t="array" aca="1" ref="DR9" ca="1">-SUM(($CW9:$CZ9)*($CS9:$CV9-OFFSET($C$6:$F$6,DH$5,0)))-SQRT(SUM(($CW9:$CZ9)*($CS9:$CV9-OFFSET($C$6:$F$6,DH$5,0)))^2-SUM(($CS9:$CV9-OFFSET($C$6:$F$6,DH$5,0))*($CS9:$CV9-OFFSET($C$6:$F$6,DH$5,0)))+OFFSET($G$6,DH$5,0)^2)</f>
        <v>#NUM!</v>
      </c>
      <c r="DS9" s="10" t="e">
        <f t="array" aca="1" ref="DS9" ca="1">-SUM(($CW9:$CZ9)*($CS9:$CV9-OFFSET($C$6:$F$6,DI$5,0)))-SQRT(SUM(($CW9:$CZ9)*($CS9:$CV9-OFFSET($C$6:$F$6,DI$5,0)))^2-SUM(($CS9:$CV9-OFFSET($C$6:$F$6,DI$5,0))*($CS9:$CV9-OFFSET($C$6:$F$6,DI$5,0)))+OFFSET($G$6,DI$5,0)^2)</f>
        <v>#NUM!</v>
      </c>
      <c r="DT9" s="10" t="e">
        <f t="array" aca="1" ref="DT9" ca="1">-SUM(($CW9:$CZ9)*($CS9:$CV9-OFFSET($C$6:$F$6,DJ$5,0)))-SQRT(SUM(($CW9:$CZ9)*($CS9:$CV9-OFFSET($C$6:$F$6,DJ$5,0)))^2-SUM(($CS9:$CV9-OFFSET($C$6:$F$6,DJ$5,0))*($CS9:$CV9-OFFSET($C$6:$F$6,DJ$5,0)))+OFFSET($G$6,DJ$5,0)^2)</f>
        <v>#NUM!</v>
      </c>
      <c r="DU9" s="10" t="e">
        <f t="array" aca="1" ref="DU9" ca="1">-SUM(($CW9:$CZ9)*($CS9:$CV9-OFFSET($C$6:$F$6,DK$5,0)))-SQRT(SUM(($CW9:$CZ9)*($CS9:$CV9-OFFSET($C$6:$F$6,DK$5,0)))^2-SUM(($CS9:$CV9-OFFSET($C$6:$F$6,DK$5,0))*($CS9:$CV9-OFFSET($C$6:$F$6,DK$5,0)))+OFFSET($G$6,DK$5,0)^2)</f>
        <v>#NUM!</v>
      </c>
      <c r="DW9" s="10">
        <f t="array" aca="1" ref="DW9" ca="1">MIN(IF(IF(ISERROR(DB9:DU9),-1,DB9:DU9)&lt;0,9999999999,DB9:DU9))</f>
        <v>9999999999</v>
      </c>
      <c r="DY9" s="11">
        <f t="shared" ca="1" si="25"/>
        <v>0.73467225606907272</v>
      </c>
      <c r="EB9" s="10">
        <f t="array" aca="1" ref="EB9:EE9" ca="1">BN9:BQ9+BV9:BY9*0.01</f>
        <v>-2.1458011241427557</v>
      </c>
      <c r="EC9" s="10">
        <f ca="1"/>
        <v>-1.042937500245221</v>
      </c>
      <c r="ED9" s="10">
        <f ca="1"/>
        <v>-10.057977897997823</v>
      </c>
      <c r="EE9" s="10">
        <f ca="1"/>
        <v>1</v>
      </c>
      <c r="EF9" s="10">
        <f t="shared" ca="1" si="26"/>
        <v>-0.38390799482746313</v>
      </c>
      <c r="EG9" s="10">
        <f t="shared" ca="1" si="27"/>
        <v>0.29299873974640928</v>
      </c>
      <c r="EH9" s="10">
        <f t="shared" ca="1" si="28"/>
        <v>0.87565197996382815</v>
      </c>
      <c r="EI9" s="10">
        <f t="shared" ca="1" si="29"/>
        <v>0</v>
      </c>
      <c r="EK9" s="10">
        <f t="array" aca="1" ref="EK9" ca="1">-SUM(($EF9:$EI9)*($EB9:$EE9-OFFSET($C$6:$F$6,EK$5,0)))+SQRT(SUM(($EF9:$EI9)*($EB9:$EE9-OFFSET($C$6:$F$6,EK$5,0)))^2-SUM(($EB9:$EE9-OFFSET($C$6:$F$6,EK$5,0))*($EB9:$EE9-OFFSET($C$6:$F$6,EK$5,0)))+OFFSET($G$6,EK$5,0)^2)</f>
        <v>-3.5090715214096235E-2</v>
      </c>
      <c r="EL9" s="10" t="e">
        <f t="array" aca="1" ref="EL9" ca="1">-SUM(($EF9:$EI9)*($EB9:$EE9-OFFSET($C$6:$F$6,EL$5,0)))+SQRT(SUM(($EF9:$EI9)*($EB9:$EE9-OFFSET($C$6:$F$6,EL$5,0)))^2-SUM(($EB9:$EE9-OFFSET($C$6:$F$6,EL$5,0))*($EB9:$EE9-OFFSET($C$6:$F$6,EL$5,0)))+OFFSET($G$6,EL$5,0)^2)</f>
        <v>#NUM!</v>
      </c>
      <c r="EM9" s="10" t="e">
        <f t="array" aca="1" ref="EM9" ca="1">-SUM(($EF9:$EI9)*($EB9:$EE9-OFFSET($C$6:$F$6,EM$5,0)))+SQRT(SUM(($EF9:$EI9)*($EB9:$EE9-OFFSET($C$6:$F$6,EM$5,0)))^2-SUM(($EB9:$EE9-OFFSET($C$6:$F$6,EM$5,0))*($EB9:$EE9-OFFSET($C$6:$F$6,EM$5,0)))+OFFSET($G$6,EM$5,0)^2)</f>
        <v>#NUM!</v>
      </c>
      <c r="EN9" s="10" t="e">
        <f t="array" aca="1" ref="EN9" ca="1">-SUM(($EF9:$EI9)*($EB9:$EE9-OFFSET($C$6:$F$6,EN$5,0)))+SQRT(SUM(($EF9:$EI9)*($EB9:$EE9-OFFSET($C$6:$F$6,EN$5,0)))^2-SUM(($EB9:$EE9-OFFSET($C$6:$F$6,EN$5,0))*($EB9:$EE9-OFFSET($C$6:$F$6,EN$5,0)))+OFFSET($G$6,EN$5,0)^2)</f>
        <v>#NUM!</v>
      </c>
      <c r="EO9" s="10" t="e">
        <f t="array" aca="1" ref="EO9" ca="1">-SUM(($EF9:$EI9)*($EB9:$EE9-OFFSET($C$6:$F$6,EO$5,0)))+SQRT(SUM(($EF9:$EI9)*($EB9:$EE9-OFFSET($C$6:$F$6,EO$5,0)))^2-SUM(($EB9:$EE9-OFFSET($C$6:$F$6,EO$5,0))*($EB9:$EE9-OFFSET($C$6:$F$6,EO$5,0)))+OFFSET($G$6,EO$5,0)^2)</f>
        <v>#NUM!</v>
      </c>
      <c r="EP9" s="10" t="e">
        <f t="array" aca="1" ref="EP9" ca="1">-SUM(($EF9:$EI9)*($EB9:$EE9-OFFSET($C$6:$F$6,EP$5,0)))+SQRT(SUM(($EF9:$EI9)*($EB9:$EE9-OFFSET($C$6:$F$6,EP$5,0)))^2-SUM(($EB9:$EE9-OFFSET($C$6:$F$6,EP$5,0))*($EB9:$EE9-OFFSET($C$6:$F$6,EP$5,0)))+OFFSET($G$6,EP$5,0)^2)</f>
        <v>#NUM!</v>
      </c>
      <c r="EQ9" s="10" t="e">
        <f t="array" aca="1" ref="EQ9" ca="1">-SUM(($EF9:$EI9)*($EB9:$EE9-OFFSET($C$6:$F$6,EQ$5,0)))+SQRT(SUM(($EF9:$EI9)*($EB9:$EE9-OFFSET($C$6:$F$6,EQ$5,0)))^2-SUM(($EB9:$EE9-OFFSET($C$6:$F$6,EQ$5,0))*($EB9:$EE9-OFFSET($C$6:$F$6,EQ$5,0)))+OFFSET($G$6,EQ$5,0)^2)</f>
        <v>#NUM!</v>
      </c>
      <c r="ER9" s="10" t="e">
        <f t="array" aca="1" ref="ER9" ca="1">-SUM(($EF9:$EI9)*($EB9:$EE9-OFFSET($C$6:$F$6,ER$5,0)))+SQRT(SUM(($EF9:$EI9)*($EB9:$EE9-OFFSET($C$6:$F$6,ER$5,0)))^2-SUM(($EB9:$EE9-OFFSET($C$6:$F$6,ER$5,0))*($EB9:$EE9-OFFSET($C$6:$F$6,ER$5,0)))+OFFSET($G$6,ER$5,0)^2)</f>
        <v>#NUM!</v>
      </c>
      <c r="ES9" s="10" t="e">
        <f t="array" aca="1" ref="ES9" ca="1">-SUM(($EF9:$EI9)*($EB9:$EE9-OFFSET($C$6:$F$6,ES$5,0)))+SQRT(SUM(($EF9:$EI9)*($EB9:$EE9-OFFSET($C$6:$F$6,ES$5,0)))^2-SUM(($EB9:$EE9-OFFSET($C$6:$F$6,ES$5,0))*($EB9:$EE9-OFFSET($C$6:$F$6,ES$5,0)))+OFFSET($G$6,ES$5,0)^2)</f>
        <v>#NUM!</v>
      </c>
      <c r="ET9" s="10" t="e">
        <f t="array" aca="1" ref="ET9" ca="1">-SUM(($EF9:$EI9)*($EB9:$EE9-OFFSET($C$6:$F$6,ET$5,0)))+SQRT(SUM(($EF9:$EI9)*($EB9:$EE9-OFFSET($C$6:$F$6,ET$5,0)))^2-SUM(($EB9:$EE9-OFFSET($C$6:$F$6,ET$5,0))*($EB9:$EE9-OFFSET($C$6:$F$6,ET$5,0)))+OFFSET($G$6,ET$5,0)^2)</f>
        <v>#NUM!</v>
      </c>
      <c r="EU9" s="10">
        <f t="array" aca="1" ref="EU9" ca="1">-SUM(($EF9:$EI9)*($EB9:$EE9-OFFSET($C$6:$F$6,EK$5,0)))-SQRT(SUM(($EF9:$EI9)*($EB9:$EE9-OFFSET($C$6:$F$6,EK$5,0)))^2-SUM(($EB9:$EE9-OFFSET($C$6:$F$6,EK$5,0))*($EB9:$EE9-OFFSET($C$6:$F$6,EK$5,0)))+OFFSET($G$6,EK$5,0)^2)</f>
        <v>-569.38423392330014</v>
      </c>
      <c r="EV9" s="10" t="e">
        <f t="array" aca="1" ref="EV9" ca="1">-SUM(($EF9:$EI9)*($EB9:$EE9-OFFSET($C$6:$F$6,EL$5,0)))-SQRT(SUM(($EF9:$EI9)*($EB9:$EE9-OFFSET($C$6:$F$6,EL$5,0)))^2-SUM(($EB9:$EE9-OFFSET($C$6:$F$6,EL$5,0))*($EB9:$EE9-OFFSET($C$6:$F$6,EL$5,0)))+OFFSET($G$6,EL$5,0)^2)</f>
        <v>#NUM!</v>
      </c>
      <c r="EW9" s="10" t="e">
        <f t="array" aca="1" ref="EW9" ca="1">-SUM(($EF9:$EI9)*($EB9:$EE9-OFFSET($C$6:$F$6,EM$5,0)))-SQRT(SUM(($EF9:$EI9)*($EB9:$EE9-OFFSET($C$6:$F$6,EM$5,0)))^2-SUM(($EB9:$EE9-OFFSET($C$6:$F$6,EM$5,0))*($EB9:$EE9-OFFSET($C$6:$F$6,EM$5,0)))+OFFSET($G$6,EM$5,0)^2)</f>
        <v>#NUM!</v>
      </c>
      <c r="EX9" s="10" t="e">
        <f t="array" aca="1" ref="EX9" ca="1">-SUM(($EF9:$EI9)*($EB9:$EE9-OFFSET($C$6:$F$6,EN$5,0)))-SQRT(SUM(($EF9:$EI9)*($EB9:$EE9-OFFSET($C$6:$F$6,EN$5,0)))^2-SUM(($EB9:$EE9-OFFSET($C$6:$F$6,EN$5,0))*($EB9:$EE9-OFFSET($C$6:$F$6,EN$5,0)))+OFFSET($G$6,EN$5,0)^2)</f>
        <v>#NUM!</v>
      </c>
      <c r="EY9" s="10" t="e">
        <f t="array" aca="1" ref="EY9" ca="1">-SUM(($EF9:$EI9)*($EB9:$EE9-OFFSET($C$6:$F$6,EO$5,0)))-SQRT(SUM(($EF9:$EI9)*($EB9:$EE9-OFFSET($C$6:$F$6,EO$5,0)))^2-SUM(($EB9:$EE9-OFFSET($C$6:$F$6,EO$5,0))*($EB9:$EE9-OFFSET($C$6:$F$6,EO$5,0)))+OFFSET($G$6,EO$5,0)^2)</f>
        <v>#NUM!</v>
      </c>
      <c r="EZ9" s="10" t="e">
        <f t="array" aca="1" ref="EZ9" ca="1">-SUM(($EF9:$EI9)*($EB9:$EE9-OFFSET($C$6:$F$6,EP$5,0)))-SQRT(SUM(($EF9:$EI9)*($EB9:$EE9-OFFSET($C$6:$F$6,EP$5,0)))^2-SUM(($EB9:$EE9-OFFSET($C$6:$F$6,EP$5,0))*($EB9:$EE9-OFFSET($C$6:$F$6,EP$5,0)))+OFFSET($G$6,EP$5,0)^2)</f>
        <v>#NUM!</v>
      </c>
      <c r="FA9" s="10" t="e">
        <f t="array" aca="1" ref="FA9" ca="1">-SUM(($EF9:$EI9)*($EB9:$EE9-OFFSET($C$6:$F$6,EQ$5,0)))-SQRT(SUM(($EF9:$EI9)*($EB9:$EE9-OFFSET($C$6:$F$6,EQ$5,0)))^2-SUM(($EB9:$EE9-OFFSET($C$6:$F$6,EQ$5,0))*($EB9:$EE9-OFFSET($C$6:$F$6,EQ$5,0)))+OFFSET($G$6,EQ$5,0)^2)</f>
        <v>#NUM!</v>
      </c>
      <c r="FB9" s="10" t="e">
        <f t="array" aca="1" ref="FB9" ca="1">-SUM(($EF9:$EI9)*($EB9:$EE9-OFFSET($C$6:$F$6,ER$5,0)))-SQRT(SUM(($EF9:$EI9)*($EB9:$EE9-OFFSET($C$6:$F$6,ER$5,0)))^2-SUM(($EB9:$EE9-OFFSET($C$6:$F$6,ER$5,0))*($EB9:$EE9-OFFSET($C$6:$F$6,ER$5,0)))+OFFSET($G$6,ER$5,0)^2)</f>
        <v>#NUM!</v>
      </c>
      <c r="FC9" s="10" t="e">
        <f t="array" aca="1" ref="FC9" ca="1">-SUM(($EF9:$EI9)*($EB9:$EE9-OFFSET($C$6:$F$6,ES$5,0)))-SQRT(SUM(($EF9:$EI9)*($EB9:$EE9-OFFSET($C$6:$F$6,ES$5,0)))^2-SUM(($EB9:$EE9-OFFSET($C$6:$F$6,ES$5,0))*($EB9:$EE9-OFFSET($C$6:$F$6,ES$5,0)))+OFFSET($G$6,ES$5,0)^2)</f>
        <v>#NUM!</v>
      </c>
      <c r="FD9" s="10" t="e">
        <f t="array" aca="1" ref="FD9" ca="1">-SUM(($EF9:$EI9)*($EB9:$EE9-OFFSET($C$6:$F$6,ET$5,0)))-SQRT(SUM(($EF9:$EI9)*($EB9:$EE9-OFFSET($C$6:$F$6,ET$5,0)))^2-SUM(($EB9:$EE9-OFFSET($C$6:$F$6,ET$5,0))*($EB9:$EE9-OFFSET($C$6:$F$6,ET$5,0)))+OFFSET($G$6,ET$5,0)^2)</f>
        <v>#NUM!</v>
      </c>
      <c r="FF9" s="10">
        <f t="array" aca="1" ref="FF9" ca="1">MIN(IF(IF(ISERROR(EK9:FD9),-1,EK9:FD9)&lt;0,9999999999,EK9:FD9))</f>
        <v>9999999999</v>
      </c>
      <c r="FH9">
        <f t="shared" ca="1" si="30"/>
        <v>-1</v>
      </c>
      <c r="FJ9" s="10">
        <f t="shared" ca="1" si="31"/>
        <v>-3839079950.0365243</v>
      </c>
      <c r="FK9" s="10">
        <f t="shared" ca="1" si="32"/>
        <v>2929987396.1281567</v>
      </c>
      <c r="FL9" s="10">
        <f t="shared" ca="1" si="33"/>
        <v>8756519788.7046528</v>
      </c>
      <c r="FM9" s="10">
        <f t="shared" ca="1" si="34"/>
        <v>1</v>
      </c>
      <c r="FN9" s="14">
        <f t="shared" ca="1" si="35"/>
        <v>0.38390799482746313</v>
      </c>
      <c r="FO9" s="14">
        <f t="shared" ca="1" si="0"/>
        <v>-0.29299873974640928</v>
      </c>
      <c r="FP9" s="14">
        <f t="shared" ca="1" si="1"/>
        <v>-0.87565197996382815</v>
      </c>
      <c r="FQ9" s="14">
        <f t="shared" ca="1" si="2"/>
        <v>0</v>
      </c>
      <c r="FR9" s="10" t="e">
        <f t="array" aca="1" ref="FR9" ca="1">(FJ9-OFFSET(C$6,$FH9,0))/SQRT(SUM(($FJ9:$FM9-OFFSET($C$6:$F$6,$FH9,0))*($FJ9:$FM9-OFFSET($C$6:$F$6,$FH9,0))))</f>
        <v>#VALUE!</v>
      </c>
      <c r="FS9" s="10" t="e">
        <f t="array" aca="1" ref="FS9" ca="1">(FK9-OFFSET(D$6,$FH9,0))/SQRT(SUM(($FJ9:$FM9-OFFSET($C$6:$F$6,$FH9,0))*($FJ9:$FM9-OFFSET($C$6:$F$6,$FH9,0))))</f>
        <v>#VALUE!</v>
      </c>
      <c r="FT9" s="10" t="e">
        <f t="array" aca="1" ref="FT9" ca="1">(FL9-OFFSET(E$6,$FH9,0))/SQRT(SUM(($FJ9:$FM9-OFFSET($C$6:$F$6,$FH9,0))*($FJ9:$FM9-OFFSET($C$6:$F$6,$FH9,0))))</f>
        <v>#VALUE!</v>
      </c>
      <c r="FU9" s="10" t="e">
        <f t="array" aca="1" ref="FU9" ca="1">(FM9-OFFSET(F$6,$FH9,0))/SQRT(SUM(($FJ9:$FM9-OFFSET($C$6:$F$6,$FH9,0))*($FJ9:$FM9-OFFSET($C$6:$F$6,$FH9,0))))</f>
        <v>#VALUE!</v>
      </c>
      <c r="FV9" s="14">
        <f t="array" aca="1" ref="FV9" ca="1">-(FJ9-O$6)/SQRT(SUM(($O$6:$R$6-$FJ9:$FM9)*($O$6:$R$6-$FJ9:$FM9)))</f>
        <v>0.3839079942839676</v>
      </c>
      <c r="FW9" s="14">
        <f t="array" aca="1" ref="FW9" ca="1">-(FK9-P$6)/SQRT(SUM(($O$6:$R$6-$FJ9:$FM9)*($O$6:$R$6-$FJ9:$FM9)))</f>
        <v>-0.29299873882675231</v>
      </c>
      <c r="FX9" s="14">
        <f t="array" aca="1" ref="FX9" ca="1">-(FL9-Q$6)/SQRT(SUM(($O$6:$R$6-$FJ9:$FM9)*($O$6:$R$6-$FJ9:$FM9)))</f>
        <v>-0.87565198050983351</v>
      </c>
      <c r="FY9" s="14">
        <f t="array" aca="1" ref="FY9" ca="1">-(FM9-R$6)/SQRT(SUM(($O$6:$R$6-$FJ9:$FM9)*($O$6:$R$6-$FJ9:$FM9)))</f>
        <v>0</v>
      </c>
      <c r="FZ9" s="14" t="e">
        <f t="array" aca="1" ref="FZ9:GC9" ca="1">-FN9:FQ9-FR9:FU9*2*SUM(-FN9:FQ9*FR9:FU9)</f>
        <v>#VALUE!</v>
      </c>
      <c r="GA9" s="14" t="e">
        <f ca="1"/>
        <v>#VALUE!</v>
      </c>
      <c r="GB9" s="14" t="e">
        <f ca="1"/>
        <v>#VALUE!</v>
      </c>
      <c r="GC9" s="14" t="e">
        <f ca="1"/>
        <v>#VALUE!</v>
      </c>
      <c r="GD9" s="14" t="e">
        <f t="array" aca="1" ref="GD9:GG9" ca="1">-FV9:FY9-FR9:FU9*2*SUM(-FV9:FY9*FR9:FU9)</f>
        <v>#VALUE!</v>
      </c>
      <c r="GE9" s="14" t="e">
        <f ca="1"/>
        <v>#VALUE!</v>
      </c>
      <c r="GF9" s="14" t="e">
        <f ca="1"/>
        <v>#VALUE!</v>
      </c>
      <c r="GG9" s="14" t="e">
        <f ca="1"/>
        <v>#VALUE!</v>
      </c>
      <c r="GH9" t="e">
        <f t="array" aca="1" ref="GH9" ca="1">SUM(FV9:FY9*FR9:FU9)</f>
        <v>#VALUE!</v>
      </c>
      <c r="GI9" t="e">
        <f t="array" aca="1" ref="GI9" ca="1">SUM(GD9:GG9*FN9:FQ9)</f>
        <v>#VALUE!</v>
      </c>
      <c r="GJ9" s="11" t="e">
        <f t="shared" ca="1" si="36"/>
        <v>#VALUE!</v>
      </c>
      <c r="GK9" s="11" t="e">
        <f t="shared" ca="1" si="37"/>
        <v>#VALUE!</v>
      </c>
      <c r="GL9" s="11" t="e">
        <f t="shared" ca="1" si="38"/>
        <v>#VALUE!</v>
      </c>
      <c r="GM9" s="11">
        <f t="shared" ca="1" si="39"/>
        <v>0</v>
      </c>
      <c r="GO9" s="10" t="e">
        <f t="array" aca="1" ref="GO9:GR9" ca="1">FJ9:FM9+FR9:FU9*0.001</f>
        <v>#VALUE!</v>
      </c>
      <c r="GP9" s="10" t="e">
        <f ca="1"/>
        <v>#VALUE!</v>
      </c>
      <c r="GQ9" s="10" t="e">
        <f ca="1"/>
        <v>#VALUE!</v>
      </c>
      <c r="GR9" s="10" t="e">
        <f ca="1"/>
        <v>#VALUE!</v>
      </c>
      <c r="GS9" s="10">
        <f t="shared" ca="1" si="40"/>
        <v>0.3839079942839676</v>
      </c>
      <c r="GT9" s="10">
        <f t="shared" ca="1" si="3"/>
        <v>-0.29299873882675231</v>
      </c>
      <c r="GU9" s="10">
        <f t="shared" ca="1" si="4"/>
        <v>-0.87565198050983351</v>
      </c>
      <c r="GV9" s="10">
        <f t="shared" ca="1" si="5"/>
        <v>0</v>
      </c>
      <c r="GX9" s="10" t="e">
        <f t="array" aca="1" ref="GX9" ca="1">-SUM(($GS9:$GV9)*($GO9:$GR9-OFFSET($C$6:$F$6,GX$5,0)))+SQRT(SUM(($GS9:$GV9)*($GO9:$GR9-OFFSET($C$6:$F$6,GX$5,0)))^2-SUM(($GO9:$GR9-OFFSET($C$6:$F$6,GX$5,0))*($GO9:$GR9-OFFSET($C$6:$F$6,GX$5,0)))+OFFSET($G$6,GX$5,0)^2)</f>
        <v>#VALUE!</v>
      </c>
      <c r="GY9" s="10" t="e">
        <f t="array" aca="1" ref="GY9" ca="1">-SUM(($GS9:$GV9)*($GO9:$GR9-OFFSET($C$6:$F$6,GY$5,0)))+SQRT(SUM(($GS9:$GV9)*($GO9:$GR9-OFFSET($C$6:$F$6,GY$5,0)))^2-SUM(($GO9:$GR9-OFFSET($C$6:$F$6,GY$5,0))*($GO9:$GR9-OFFSET($C$6:$F$6,GY$5,0)))+OFFSET($G$6,GY$5,0)^2)</f>
        <v>#VALUE!</v>
      </c>
      <c r="GZ9" s="10" t="e">
        <f t="array" aca="1" ref="GZ9" ca="1">-SUM(($GS9:$GV9)*($GO9:$GR9-OFFSET($C$6:$F$6,GZ$5,0)))+SQRT(SUM(($GS9:$GV9)*($GO9:$GR9-OFFSET($C$6:$F$6,GZ$5,0)))^2-SUM(($GO9:$GR9-OFFSET($C$6:$F$6,GZ$5,0))*($GO9:$GR9-OFFSET($C$6:$F$6,GZ$5,0)))+OFFSET($G$6,GZ$5,0)^2)</f>
        <v>#VALUE!</v>
      </c>
      <c r="HA9" s="10" t="e">
        <f t="array" aca="1" ref="HA9" ca="1">-SUM(($GS9:$GV9)*($GO9:$GR9-OFFSET($C$6:$F$6,HA$5,0)))+SQRT(SUM(($GS9:$GV9)*($GO9:$GR9-OFFSET($C$6:$F$6,HA$5,0)))^2-SUM(($GO9:$GR9-OFFSET($C$6:$F$6,HA$5,0))*($GO9:$GR9-OFFSET($C$6:$F$6,HA$5,0)))+OFFSET($G$6,HA$5,0)^2)</f>
        <v>#VALUE!</v>
      </c>
      <c r="HB9" s="10" t="e">
        <f t="array" aca="1" ref="HB9" ca="1">-SUM(($GS9:$GV9)*($GO9:$GR9-OFFSET($C$6:$F$6,HB$5,0)))+SQRT(SUM(($GS9:$GV9)*($GO9:$GR9-OFFSET($C$6:$F$6,HB$5,0)))^2-SUM(($GO9:$GR9-OFFSET($C$6:$F$6,HB$5,0))*($GO9:$GR9-OFFSET($C$6:$F$6,HB$5,0)))+OFFSET($G$6,HB$5,0)^2)</f>
        <v>#VALUE!</v>
      </c>
      <c r="HC9" s="10" t="e">
        <f t="array" aca="1" ref="HC9" ca="1">-SUM(($GS9:$GV9)*($GO9:$GR9-OFFSET($C$6:$F$6,HC$5,0)))+SQRT(SUM(($GS9:$GV9)*($GO9:$GR9-OFFSET($C$6:$F$6,HC$5,0)))^2-SUM(($GO9:$GR9-OFFSET($C$6:$F$6,HC$5,0))*($GO9:$GR9-OFFSET($C$6:$F$6,HC$5,0)))+OFFSET($G$6,HC$5,0)^2)</f>
        <v>#VALUE!</v>
      </c>
      <c r="HD9" s="10" t="e">
        <f t="array" aca="1" ref="HD9" ca="1">-SUM(($GS9:$GV9)*($GO9:$GR9-OFFSET($C$6:$F$6,HD$5,0)))+SQRT(SUM(($GS9:$GV9)*($GO9:$GR9-OFFSET($C$6:$F$6,HD$5,0)))^2-SUM(($GO9:$GR9-OFFSET($C$6:$F$6,HD$5,0))*($GO9:$GR9-OFFSET($C$6:$F$6,HD$5,0)))+OFFSET($G$6,HD$5,0)^2)</f>
        <v>#VALUE!</v>
      </c>
      <c r="HE9" s="10" t="e">
        <f t="array" aca="1" ref="HE9" ca="1">-SUM(($GS9:$GV9)*($GO9:$GR9-OFFSET($C$6:$F$6,HE$5,0)))+SQRT(SUM(($GS9:$GV9)*($GO9:$GR9-OFFSET($C$6:$F$6,HE$5,0)))^2-SUM(($GO9:$GR9-OFFSET($C$6:$F$6,HE$5,0))*($GO9:$GR9-OFFSET($C$6:$F$6,HE$5,0)))+OFFSET($G$6,HE$5,0)^2)</f>
        <v>#VALUE!</v>
      </c>
      <c r="HF9" s="10" t="e">
        <f t="array" aca="1" ref="HF9" ca="1">-SUM(($GS9:$GV9)*($GO9:$GR9-OFFSET($C$6:$F$6,HF$5,0)))+SQRT(SUM(($GS9:$GV9)*($GO9:$GR9-OFFSET($C$6:$F$6,HF$5,0)))^2-SUM(($GO9:$GR9-OFFSET($C$6:$F$6,HF$5,0))*($GO9:$GR9-OFFSET($C$6:$F$6,HF$5,0)))+OFFSET($G$6,HF$5,0)^2)</f>
        <v>#VALUE!</v>
      </c>
      <c r="HG9" s="10" t="e">
        <f t="array" aca="1" ref="HG9" ca="1">-SUM(($GS9:$GV9)*($GO9:$GR9-OFFSET($C$6:$F$6,HG$5,0)))+SQRT(SUM(($GS9:$GV9)*($GO9:$GR9-OFFSET($C$6:$F$6,HG$5,0)))^2-SUM(($GO9:$GR9-OFFSET($C$6:$F$6,HG$5,0))*($GO9:$GR9-OFFSET($C$6:$F$6,HG$5,0)))+OFFSET($G$6,HG$5,0)^2)</f>
        <v>#VALUE!</v>
      </c>
      <c r="HH9" s="10" t="e">
        <f t="array" aca="1" ref="HH9" ca="1">-SUM(($GS9:$GV9)*($GO9:$GR9-OFFSET($C$6:$F$6,GX$5,0)))-SQRT(SUM(($GS9:$GV9)*($GO9:$GR9-OFFSET($C$6:$F$6,GX$5,0)))^2-SUM(($GO9:$GR9-OFFSET($C$6:$F$6,GX$5,0))*($GO9:$GR9-OFFSET($C$6:$F$6,GX$5,0)))+OFFSET($G$6,GX$5,0)^2)</f>
        <v>#VALUE!</v>
      </c>
      <c r="HI9" s="10" t="e">
        <f t="array" aca="1" ref="HI9" ca="1">-SUM(($GS9:$GV9)*($GO9:$GR9-OFFSET($C$6:$F$6,GY$5,0)))-SQRT(SUM(($GS9:$GV9)*($GO9:$GR9-OFFSET($C$6:$F$6,GY$5,0)))^2-SUM(($GO9:$GR9-OFFSET($C$6:$F$6,GY$5,0))*($GO9:$GR9-OFFSET($C$6:$F$6,GY$5,0)))+OFFSET($G$6,GY$5,0)^2)</f>
        <v>#VALUE!</v>
      </c>
      <c r="HJ9" s="10" t="e">
        <f t="array" aca="1" ref="HJ9" ca="1">-SUM(($GS9:$GV9)*($GO9:$GR9-OFFSET($C$6:$F$6,GZ$5,0)))-SQRT(SUM(($GS9:$GV9)*($GO9:$GR9-OFFSET($C$6:$F$6,GZ$5,0)))^2-SUM(($GO9:$GR9-OFFSET($C$6:$F$6,GZ$5,0))*($GO9:$GR9-OFFSET($C$6:$F$6,GZ$5,0)))+OFFSET($G$6,GZ$5,0)^2)</f>
        <v>#VALUE!</v>
      </c>
      <c r="HK9" s="10" t="e">
        <f t="array" aca="1" ref="HK9" ca="1">-SUM(($GS9:$GV9)*($GO9:$GR9-OFFSET($C$6:$F$6,HA$5,0)))-SQRT(SUM(($GS9:$GV9)*($GO9:$GR9-OFFSET($C$6:$F$6,HA$5,0)))^2-SUM(($GO9:$GR9-OFFSET($C$6:$F$6,HA$5,0))*($GO9:$GR9-OFFSET($C$6:$F$6,HA$5,0)))+OFFSET($G$6,HA$5,0)^2)</f>
        <v>#VALUE!</v>
      </c>
      <c r="HL9" s="10" t="e">
        <f t="array" aca="1" ref="HL9" ca="1">-SUM(($GS9:$GV9)*($GO9:$GR9-OFFSET($C$6:$F$6,HB$5,0)))-SQRT(SUM(($GS9:$GV9)*($GO9:$GR9-OFFSET($C$6:$F$6,HB$5,0)))^2-SUM(($GO9:$GR9-OFFSET($C$6:$F$6,HB$5,0))*($GO9:$GR9-OFFSET($C$6:$F$6,HB$5,0)))+OFFSET($G$6,HB$5,0)^2)</f>
        <v>#VALUE!</v>
      </c>
      <c r="HM9" s="10" t="e">
        <f t="array" aca="1" ref="HM9" ca="1">-SUM(($GS9:$GV9)*($GO9:$GR9-OFFSET($C$6:$F$6,HC$5,0)))-SQRT(SUM(($GS9:$GV9)*($GO9:$GR9-OFFSET($C$6:$F$6,HC$5,0)))^2-SUM(($GO9:$GR9-OFFSET($C$6:$F$6,HC$5,0))*($GO9:$GR9-OFFSET($C$6:$F$6,HC$5,0)))+OFFSET($G$6,HC$5,0)^2)</f>
        <v>#VALUE!</v>
      </c>
      <c r="HN9" s="10" t="e">
        <f t="array" aca="1" ref="HN9" ca="1">-SUM(($GS9:$GV9)*($GO9:$GR9-OFFSET($C$6:$F$6,HD$5,0)))-SQRT(SUM(($GS9:$GV9)*($GO9:$GR9-OFFSET($C$6:$F$6,HD$5,0)))^2-SUM(($GO9:$GR9-OFFSET($C$6:$F$6,HD$5,0))*($GO9:$GR9-OFFSET($C$6:$F$6,HD$5,0)))+OFFSET($G$6,HD$5,0)^2)</f>
        <v>#VALUE!</v>
      </c>
      <c r="HO9" s="10" t="e">
        <f t="array" aca="1" ref="HO9" ca="1">-SUM(($GS9:$GV9)*($GO9:$GR9-OFFSET($C$6:$F$6,HE$5,0)))-SQRT(SUM(($GS9:$GV9)*($GO9:$GR9-OFFSET($C$6:$F$6,HE$5,0)))^2-SUM(($GO9:$GR9-OFFSET($C$6:$F$6,HE$5,0))*($GO9:$GR9-OFFSET($C$6:$F$6,HE$5,0)))+OFFSET($G$6,HE$5,0)^2)</f>
        <v>#VALUE!</v>
      </c>
      <c r="HP9" s="10" t="e">
        <f t="array" aca="1" ref="HP9" ca="1">-SUM(($GS9:$GV9)*($GO9:$GR9-OFFSET($C$6:$F$6,HF$5,0)))-SQRT(SUM(($GS9:$GV9)*($GO9:$GR9-OFFSET($C$6:$F$6,HF$5,0)))^2-SUM(($GO9:$GR9-OFFSET($C$6:$F$6,HF$5,0))*($GO9:$GR9-OFFSET($C$6:$F$6,HF$5,0)))+OFFSET($G$6,HF$5,0)^2)</f>
        <v>#VALUE!</v>
      </c>
      <c r="HQ9" s="10" t="e">
        <f t="array" aca="1" ref="HQ9" ca="1">-SUM(($GS9:$GV9)*($GO9:$GR9-OFFSET($C$6:$F$6,HG$5,0)))-SQRT(SUM(($GS9:$GV9)*($GO9:$GR9-OFFSET($C$6:$F$6,HG$5,0)))^2-SUM(($GO9:$GR9-OFFSET($C$6:$F$6,HG$5,0))*($GO9:$GR9-OFFSET($C$6:$F$6,HG$5,0)))+OFFSET($G$6,HG$5,0)^2)</f>
        <v>#VALUE!</v>
      </c>
      <c r="HS9" s="10">
        <f t="array" aca="1" ref="HS9" ca="1">MIN(IF(IF(ISERROR(GX9:HQ9),-1,GX9:HQ9)&lt;0,9999999999,GX9:HQ9))</f>
        <v>9999999999</v>
      </c>
      <c r="HU9" s="11">
        <f t="shared" ca="1" si="41"/>
        <v>0</v>
      </c>
      <c r="HW9" s="11">
        <f t="shared" ca="1" si="42"/>
        <v>0.73467225606907272</v>
      </c>
    </row>
    <row r="10" spans="2:231" x14ac:dyDescent="0.25">
      <c r="B10">
        <v>4</v>
      </c>
      <c r="C10" s="10">
        <v>0</v>
      </c>
      <c r="D10" s="10">
        <v>0</v>
      </c>
      <c r="E10" s="10">
        <v>4</v>
      </c>
      <c r="F10" s="10">
        <v>1</v>
      </c>
      <c r="G10" s="10">
        <v>1</v>
      </c>
      <c r="H10" s="10">
        <v>0</v>
      </c>
      <c r="I10" s="10">
        <v>0.9</v>
      </c>
      <c r="J10" s="10">
        <v>0.9</v>
      </c>
      <c r="K10" s="10">
        <v>200</v>
      </c>
      <c r="L10" s="10">
        <v>0</v>
      </c>
      <c r="X10" s="11">
        <f t="shared" si="6"/>
        <v>-1.6883298392732355</v>
      </c>
      <c r="Y10" s="11">
        <f t="shared" si="7"/>
        <v>-1</v>
      </c>
      <c r="Z10" s="11">
        <v>4</v>
      </c>
      <c r="AB10" s="10">
        <f t="array" aca="1" ref="AB10:AE10" ca="1">TRANSPOSE(Screen!$GL$98:$GL$101)</f>
        <v>0</v>
      </c>
      <c r="AC10" s="10">
        <f ca="1"/>
        <v>0.50000000000000033</v>
      </c>
      <c r="AD10" s="10">
        <f ca="1"/>
        <v>-15</v>
      </c>
      <c r="AE10" s="10">
        <f ca="1"/>
        <v>1</v>
      </c>
      <c r="AF10" s="10">
        <f t="array" aca="1" ref="AF10:AH10" ca="1">TRANSPOSE(MMULT(Screen!$GI$98:$GK$100,TRANSPOSE(X10:Z10)))</f>
        <v>-1.6883298392732355</v>
      </c>
      <c r="AG10" s="10">
        <f ca="1"/>
        <v>-1.2380565658529825</v>
      </c>
      <c r="AH10" s="10">
        <f ca="1"/>
        <v>3.9400359935205556</v>
      </c>
      <c r="AI10" s="10">
        <v>1</v>
      </c>
      <c r="AJ10" s="10">
        <f t="array" aca="1" ref="AJ10" ca="1">AF10/SQRT(SUM(($AF10:$AH10)*($AF10:$AH10)))</f>
        <v>-0.37840164941948451</v>
      </c>
      <c r="AK10" s="10">
        <f t="array" aca="1" ref="AK10" ca="1">AG10/SQRT(SUM(($AF10:$AH10)*($AF10:$AH10)))</f>
        <v>-0.27748289208408228</v>
      </c>
      <c r="AL10" s="10">
        <f t="array" aca="1" ref="AL10" ca="1">AH10/SQRT(SUM(($AF10:$AH10)*($AF10:$AH10)))</f>
        <v>0.88307159184137896</v>
      </c>
      <c r="AM10" s="10">
        <v>0</v>
      </c>
      <c r="AO10" s="10">
        <f t="array" aca="1" ref="AO10" ca="1">-SUM(($AJ10:$AM10)*($AB10:$AE10-OFFSET($C$6:$F$6,AO$5,0)))+SQRT(SUM(($AJ10:$AM10)*($AB10:$AE10-OFFSET($C$6:$F$6,AO$5,0)))^2-SUM(($AB10:$AE10-OFFSET($C$6:$F$6,AO$5,0))*($AB10:$AE10-OFFSET($C$6:$F$6,AO$5,0)))+OFFSET($G$6,AO$5,0)^2)</f>
        <v>576.13911013265454</v>
      </c>
      <c r="AP10" s="10" t="e">
        <f t="array" aca="1" ref="AP10" ca="1">-SUM(($AJ10:$AM10)*($AB10:$AE10-OFFSET($C$6:$F$6,AP$5,0)))+SQRT(SUM(($AJ10:$AM10)*($AB10:$AE10-OFFSET($C$6:$F$6,AP$5,0)))^2-SUM(($AB10:$AE10-OFFSET($C$6:$F$6,AP$5,0))*($AB10:$AE10-OFFSET($C$6:$F$6,AP$5,0)))+OFFSET($G$6,AP$5,0)^2)</f>
        <v>#NUM!</v>
      </c>
      <c r="AQ10" s="10" t="e">
        <f t="array" aca="1" ref="AQ10" ca="1">-SUM(($AJ10:$AM10)*($AB10:$AE10-OFFSET($C$6:$F$6,AQ$5,0)))+SQRT(SUM(($AJ10:$AM10)*($AB10:$AE10-OFFSET($C$6:$F$6,AQ$5,0)))^2-SUM(($AB10:$AE10-OFFSET($C$6:$F$6,AQ$5,0))*($AB10:$AE10-OFFSET($C$6:$F$6,AQ$5,0)))+OFFSET($G$6,AQ$5,0)^2)</f>
        <v>#NUM!</v>
      </c>
      <c r="AR10" s="10" t="e">
        <f t="array" aca="1" ref="AR10" ca="1">-SUM(($AJ10:$AM10)*($AB10:$AE10-OFFSET($C$6:$F$6,AR$5,0)))+SQRT(SUM(($AJ10:$AM10)*($AB10:$AE10-OFFSET($C$6:$F$6,AR$5,0)))^2-SUM(($AB10:$AE10-OFFSET($C$6:$F$6,AR$5,0))*($AB10:$AE10-OFFSET($C$6:$F$6,AR$5,0)))+OFFSET($G$6,AR$5,0)^2)</f>
        <v>#NUM!</v>
      </c>
      <c r="AS10" s="10" t="e">
        <f t="array" aca="1" ref="AS10" ca="1">-SUM(($AJ10:$AM10)*($AB10:$AE10-OFFSET($C$6:$F$6,AS$5,0)))+SQRT(SUM(($AJ10:$AM10)*($AB10:$AE10-OFFSET($C$6:$F$6,AS$5,0)))^2-SUM(($AB10:$AE10-OFFSET($C$6:$F$6,AS$5,0))*($AB10:$AE10-OFFSET($C$6:$F$6,AS$5,0)))+OFFSET($G$6,AS$5,0)^2)</f>
        <v>#NUM!</v>
      </c>
      <c r="AT10" s="10" t="e">
        <f t="array" aca="1" ref="AT10" ca="1">-SUM(($AJ10:$AM10)*($AB10:$AE10-OFFSET($C$6:$F$6,AT$5,0)))+SQRT(SUM(($AJ10:$AM10)*($AB10:$AE10-OFFSET($C$6:$F$6,AT$5,0)))^2-SUM(($AB10:$AE10-OFFSET($C$6:$F$6,AT$5,0))*($AB10:$AE10-OFFSET($C$6:$F$6,AT$5,0)))+OFFSET($G$6,AT$5,0)^2)</f>
        <v>#NUM!</v>
      </c>
      <c r="AU10" s="10" t="e">
        <f t="array" aca="1" ref="AU10" ca="1">-SUM(($AJ10:$AM10)*($AB10:$AE10-OFFSET($C$6:$F$6,AU$5,0)))+SQRT(SUM(($AJ10:$AM10)*($AB10:$AE10-OFFSET($C$6:$F$6,AU$5,0)))^2-SUM(($AB10:$AE10-OFFSET($C$6:$F$6,AU$5,0))*($AB10:$AE10-OFFSET($C$6:$F$6,AU$5,0)))+OFFSET($G$6,AU$5,0)^2)</f>
        <v>#NUM!</v>
      </c>
      <c r="AV10" s="10" t="e">
        <f t="array" aca="1" ref="AV10" ca="1">-SUM(($AJ10:$AM10)*($AB10:$AE10-OFFSET($C$6:$F$6,AV$5,0)))+SQRT(SUM(($AJ10:$AM10)*($AB10:$AE10-OFFSET($C$6:$F$6,AV$5,0)))^2-SUM(($AB10:$AE10-OFFSET($C$6:$F$6,AV$5,0))*($AB10:$AE10-OFFSET($C$6:$F$6,AV$5,0)))+OFFSET($G$6,AV$5,0)^2)</f>
        <v>#NUM!</v>
      </c>
      <c r="AW10" s="10" t="e">
        <f t="array" aca="1" ref="AW10" ca="1">-SUM(($AJ10:$AM10)*($AB10:$AE10-OFFSET($C$6:$F$6,AW$5,0)))+SQRT(SUM(($AJ10:$AM10)*($AB10:$AE10-OFFSET($C$6:$F$6,AW$5,0)))^2-SUM(($AB10:$AE10-OFFSET($C$6:$F$6,AW$5,0))*($AB10:$AE10-OFFSET($C$6:$F$6,AW$5,0)))+OFFSET($G$6,AW$5,0)^2)</f>
        <v>#NUM!</v>
      </c>
      <c r="AX10" s="10" t="e">
        <f t="array" aca="1" ref="AX10" ca="1">-SUM(($AJ10:$AM10)*($AB10:$AE10-OFFSET($C$6:$F$6,AX$5,0)))+SQRT(SUM(($AJ10:$AM10)*($AB10:$AE10-OFFSET($C$6:$F$6,AX$5,0)))^2-SUM(($AB10:$AE10-OFFSET($C$6:$F$6,AX$5,0))*($AB10:$AE10-OFFSET($C$6:$F$6,AX$5,0)))+OFFSET($G$6,AX$5,0)^2)</f>
        <v>#NUM!</v>
      </c>
      <c r="AY10" s="10">
        <f t="array" aca="1" ref="AY10" ca="1">-SUM(($AJ10:$AM10)*($AB10:$AE10-OFFSET($C$6:$F$6,AO$5,0)))-SQRT(SUM(($AJ10:$AM10)*($AB10:$AE10-OFFSET($C$6:$F$6,AO$5,0)))^2-SUM(($AB10:$AE10-OFFSET($C$6:$F$6,AO$5,0))*($AB10:$AE10-OFFSET($C$6:$F$6,AO$5,0)))+OFFSET($G$6,AO$5,0)^2)</f>
        <v>5.5963046828354663</v>
      </c>
      <c r="AZ10" s="10" t="e">
        <f t="array" aca="1" ref="AZ10" ca="1">-SUM(($AJ10:$AM10)*($AB10:$AE10-OFFSET($C$6:$F$6,AP$5,0)))-SQRT(SUM(($AJ10:$AM10)*($AB10:$AE10-OFFSET($C$6:$F$6,AP$5,0)))^2-SUM(($AB10:$AE10-OFFSET($C$6:$F$6,AP$5,0))*($AB10:$AE10-OFFSET($C$6:$F$6,AP$5,0)))+OFFSET($G$6,AP$5,0)^2)</f>
        <v>#NUM!</v>
      </c>
      <c r="BA10" s="10" t="e">
        <f t="array" aca="1" ref="BA10" ca="1">-SUM(($AJ10:$AM10)*($AB10:$AE10-OFFSET($C$6:$F$6,AQ$5,0)))-SQRT(SUM(($AJ10:$AM10)*($AB10:$AE10-OFFSET($C$6:$F$6,AQ$5,0)))^2-SUM(($AB10:$AE10-OFFSET($C$6:$F$6,AQ$5,0))*($AB10:$AE10-OFFSET($C$6:$F$6,AQ$5,0)))+OFFSET($G$6,AQ$5,0)^2)</f>
        <v>#NUM!</v>
      </c>
      <c r="BB10" s="10" t="e">
        <f t="array" aca="1" ref="BB10" ca="1">-SUM(($AJ10:$AM10)*($AB10:$AE10-OFFSET($C$6:$F$6,AR$5,0)))-SQRT(SUM(($AJ10:$AM10)*($AB10:$AE10-OFFSET($C$6:$F$6,AR$5,0)))^2-SUM(($AB10:$AE10-OFFSET($C$6:$F$6,AR$5,0))*($AB10:$AE10-OFFSET($C$6:$F$6,AR$5,0)))+OFFSET($G$6,AR$5,0)^2)</f>
        <v>#NUM!</v>
      </c>
      <c r="BC10" s="10" t="e">
        <f t="array" aca="1" ref="BC10" ca="1">-SUM(($AJ10:$AM10)*($AB10:$AE10-OFFSET($C$6:$F$6,AS$5,0)))-SQRT(SUM(($AJ10:$AM10)*($AB10:$AE10-OFFSET($C$6:$F$6,AS$5,0)))^2-SUM(($AB10:$AE10-OFFSET($C$6:$F$6,AS$5,0))*($AB10:$AE10-OFFSET($C$6:$F$6,AS$5,0)))+OFFSET($G$6,AS$5,0)^2)</f>
        <v>#NUM!</v>
      </c>
      <c r="BD10" s="10" t="e">
        <f t="array" aca="1" ref="BD10" ca="1">-SUM(($AJ10:$AM10)*($AB10:$AE10-OFFSET($C$6:$F$6,AT$5,0)))-SQRT(SUM(($AJ10:$AM10)*($AB10:$AE10-OFFSET($C$6:$F$6,AT$5,0)))^2-SUM(($AB10:$AE10-OFFSET($C$6:$F$6,AT$5,0))*($AB10:$AE10-OFFSET($C$6:$F$6,AT$5,0)))+OFFSET($G$6,AT$5,0)^2)</f>
        <v>#NUM!</v>
      </c>
      <c r="BE10" s="10" t="e">
        <f t="array" aca="1" ref="BE10" ca="1">-SUM(($AJ10:$AM10)*($AB10:$AE10-OFFSET($C$6:$F$6,AU$5,0)))-SQRT(SUM(($AJ10:$AM10)*($AB10:$AE10-OFFSET($C$6:$F$6,AU$5,0)))^2-SUM(($AB10:$AE10-OFFSET($C$6:$F$6,AU$5,0))*($AB10:$AE10-OFFSET($C$6:$F$6,AU$5,0)))+OFFSET($G$6,AU$5,0)^2)</f>
        <v>#NUM!</v>
      </c>
      <c r="BF10" s="10" t="e">
        <f t="array" aca="1" ref="BF10" ca="1">-SUM(($AJ10:$AM10)*($AB10:$AE10-OFFSET($C$6:$F$6,AV$5,0)))-SQRT(SUM(($AJ10:$AM10)*($AB10:$AE10-OFFSET($C$6:$F$6,AV$5,0)))^2-SUM(($AB10:$AE10-OFFSET($C$6:$F$6,AV$5,0))*($AB10:$AE10-OFFSET($C$6:$F$6,AV$5,0)))+OFFSET($G$6,AV$5,0)^2)</f>
        <v>#NUM!</v>
      </c>
      <c r="BG10" s="10" t="e">
        <f t="array" aca="1" ref="BG10" ca="1">-SUM(($AJ10:$AM10)*($AB10:$AE10-OFFSET($C$6:$F$6,AW$5,0)))-SQRT(SUM(($AJ10:$AM10)*($AB10:$AE10-OFFSET($C$6:$F$6,AW$5,0)))^2-SUM(($AB10:$AE10-OFFSET($C$6:$F$6,AW$5,0))*($AB10:$AE10-OFFSET($C$6:$F$6,AW$5,0)))+OFFSET($G$6,AW$5,0)^2)</f>
        <v>#NUM!</v>
      </c>
      <c r="BH10" s="10" t="e">
        <f t="array" aca="1" ref="BH10" ca="1">-SUM(($AJ10:$AM10)*($AB10:$AE10-OFFSET($C$6:$F$6,AX$5,0)))-SQRT(SUM(($AJ10:$AM10)*($AB10:$AE10-OFFSET($C$6:$F$6,AX$5,0)))^2-SUM(($AB10:$AE10-OFFSET($C$6:$F$6,AX$5,0))*($AB10:$AE10-OFFSET($C$6:$F$6,AX$5,0)))+OFFSET($G$6,AX$5,0)^2)</f>
        <v>#NUM!</v>
      </c>
      <c r="BJ10" s="10">
        <f t="array" aca="1" ref="BJ10" ca="1">MIN(IF(IF(ISERROR(AO10:BH10),-1,AO10:BH10)&lt;0,9999999999,AO10:BH10))</f>
        <v>5.5963046828354663</v>
      </c>
      <c r="BL10">
        <f t="shared" ca="1" si="8"/>
        <v>0</v>
      </c>
      <c r="BN10" s="10">
        <f t="shared" ca="1" si="9"/>
        <v>-2.1176509226389255</v>
      </c>
      <c r="BO10" s="10">
        <f t="shared" ca="1" si="10"/>
        <v>-1.0528788083768776</v>
      </c>
      <c r="BP10" s="10">
        <f t="shared" ca="1" si="11"/>
        <v>-10.058062315299122</v>
      </c>
      <c r="BQ10" s="10">
        <f t="shared" ca="1" si="12"/>
        <v>1</v>
      </c>
      <c r="BR10" s="14">
        <f t="shared" ca="1" si="13"/>
        <v>0.37840164941948451</v>
      </c>
      <c r="BS10" s="14">
        <f t="shared" ca="1" si="14"/>
        <v>0.27748289208408228</v>
      </c>
      <c r="BT10" s="14">
        <f t="shared" ca="1" si="15"/>
        <v>-0.88307159184137896</v>
      </c>
      <c r="BU10" s="14">
        <f t="shared" si="16"/>
        <v>0</v>
      </c>
      <c r="BV10" s="10">
        <f t="array" aca="1" ref="BV10" ca="1">(BN10-OFFSET(C$6,$BL10,0))/SQRT(SUM(($BN10:$BQ10-OFFSET($C$6:$F$6,$BL10,0))*($BN10:$BQ10-OFFSET($C$6:$F$6,$BL10,0))))</f>
        <v>-2.1197706933322579E-3</v>
      </c>
      <c r="BW10" s="10">
        <f t="array" aca="1" ref="BW10" ca="1">(BO10-OFFSET(D$6,$BL10,0))/SQRT(SUM(($BN10:$BQ10-OFFSET($C$6:$F$6,$BL10,0))*($BN10:$BQ10-OFFSET($C$6:$F$6,$BL10,0))))</f>
        <v>0.99994706825988311</v>
      </c>
      <c r="BX10" s="10">
        <f t="array" aca="1" ref="BX10" ca="1">(BP10-OFFSET(E$6,$BL10,0))/SQRT(SUM(($BN10:$BQ10-OFFSET($C$6:$F$6,$BL10,0))*($BN10:$BQ10-OFFSET($C$6:$F$6,$BL10,0))))</f>
        <v>-1.0068130445744868E-2</v>
      </c>
      <c r="BY10" s="10">
        <f t="array" aca="1" ref="BY10" ca="1">(BQ10-OFFSET(F$6,$BL10,0))/SQRT(SUM(($BN10:$BQ10-OFFSET($C$6:$F$6,$BL10,0))*($BN10:$BQ10-OFFSET($C$6:$F$6,$BL10,0))))</f>
        <v>0</v>
      </c>
      <c r="BZ10" s="14">
        <f t="array" aca="1" ref="BZ10" ca="1">-(BN10-O$6)/SQRT(SUM(($O$6:$R$6-$BN10:$BQ10)*($O$6:$R$6-$BN10:$BQ10)))</f>
        <v>-0.58061988164850675</v>
      </c>
      <c r="CA10" s="14">
        <f t="array" aca="1" ref="CA10" ca="1">-(BO10-P$6)/SQRT(SUM(($O$6:$R$6-$BN10:$BQ10)*($O$6:$R$6-$BN10:$BQ10)))</f>
        <v>0.81416353457712987</v>
      </c>
      <c r="CB10" s="14">
        <f t="array" aca="1" ref="CB10" ca="1">-(BP10-Q$6)/SQRT(SUM(($O$6:$R$6-$BN10:$BQ10)*($O$6:$R$6-$BN10:$BQ10)))</f>
        <v>4.2769146997103926E-3</v>
      </c>
      <c r="CC10" s="14">
        <f t="array" aca="1" ref="CC10" ca="1">-(BQ10-R$6)/SQRT(SUM(($O$6:$R$6-$BN10:$BQ10)*($O$6:$R$6-$BN10:$BQ10)))</f>
        <v>0</v>
      </c>
      <c r="CD10" s="14">
        <f t="array" aca="1" ref="CD10:CG10" ca="1">-BR10:BU10-BV10:BY10*2*SUM(-BR10:BU10*BV10:BY10)</f>
        <v>-0.37961227996831742</v>
      </c>
      <c r="CE10" s="14">
        <f ca="1"/>
        <v>0.29360079723154886</v>
      </c>
      <c r="CF10" s="14">
        <f ca="1"/>
        <v>0.87732154240178939</v>
      </c>
      <c r="CG10" s="14">
        <f ca="1"/>
        <v>0</v>
      </c>
      <c r="CH10" s="14">
        <f t="array" aca="1" ref="CH10:CK10" ca="1">-BZ10:CC10-BV10:BY10*2*SUM(-BZ10:CC10*BV10:BY10)</f>
        <v>0.57716334896147747</v>
      </c>
      <c r="CI10" s="14">
        <f ca="1"/>
        <v>0.81636647398056894</v>
      </c>
      <c r="CJ10" s="14">
        <f ca="1"/>
        <v>-2.0694172515594942E-2</v>
      </c>
      <c r="CK10" s="14">
        <f ca="1"/>
        <v>0</v>
      </c>
      <c r="CL10">
        <f t="array" aca="1" ref="CL10" ca="1">SUM(BZ10:CC10*BV10:BY10)</f>
        <v>0.81530815995848749</v>
      </c>
      <c r="CM10">
        <f t="array" aca="1" ref="CM10" ca="1">SUM(CH10:CK10*BR10:BU10)</f>
        <v>0.46320172929729608</v>
      </c>
      <c r="CN10" s="11">
        <f t="shared" ca="1" si="17"/>
        <v>0</v>
      </c>
      <c r="CO10" s="11">
        <f t="shared" ca="1" si="18"/>
        <v>0.73377734396263872</v>
      </c>
      <c r="CP10" s="11">
        <f t="shared" ca="1" si="19"/>
        <v>1.2831485253153085E-67</v>
      </c>
      <c r="CQ10" s="11">
        <f t="shared" ca="1" si="20"/>
        <v>0.73377734396263872</v>
      </c>
      <c r="CS10" s="10">
        <f t="array" aca="1" ref="CS10:CV10" ca="1">BN10:BQ10+BV10:BY10*0.001</f>
        <v>-2.1176530424096187</v>
      </c>
      <c r="CT10" s="10">
        <f ca="1"/>
        <v>-1.0518788613086179</v>
      </c>
      <c r="CU10" s="10">
        <f ca="1"/>
        <v>-10.058072383429566</v>
      </c>
      <c r="CV10" s="10">
        <f ca="1"/>
        <v>1</v>
      </c>
      <c r="CW10" s="10">
        <f t="shared" ca="1" si="21"/>
        <v>-0.58061988164850675</v>
      </c>
      <c r="CX10" s="10">
        <f t="shared" ca="1" si="22"/>
        <v>0.81416353457712987</v>
      </c>
      <c r="CY10" s="10">
        <f t="shared" ca="1" si="23"/>
        <v>4.2769146997103926E-3</v>
      </c>
      <c r="CZ10" s="10">
        <f t="shared" ca="1" si="24"/>
        <v>0</v>
      </c>
      <c r="DB10" s="10">
        <f t="array" aca="1" ref="DB10" ca="1">-SUM(($CW10:$CZ10)*($CS10:$CV10-OFFSET($C$6:$F$6,DB$5,0)))+SQRT(SUM(($CW10:$CZ10)*($CS10:$CV10-OFFSET($C$6:$F$6,DB$5,0)))^2-SUM(($CS10:$CV10-OFFSET($C$6:$F$6,DB$5,0))*($CS10:$CV10-OFFSET($C$6:$F$6,DB$5,0)))+OFFSET($G$6,DB$5,0)^2)</f>
        <v>-1.2265304108041164E-3</v>
      </c>
      <c r="DC10" s="10" t="e">
        <f t="array" aca="1" ref="DC10" ca="1">-SUM(($CW10:$CZ10)*($CS10:$CV10-OFFSET($C$6:$F$6,DC$5,0)))+SQRT(SUM(($CW10:$CZ10)*($CS10:$CV10-OFFSET($C$6:$F$6,DC$5,0)))^2-SUM(($CS10:$CV10-OFFSET($C$6:$F$6,DC$5,0))*($CS10:$CV10-OFFSET($C$6:$F$6,DC$5,0)))+OFFSET($G$6,DC$5,0)^2)</f>
        <v>#NUM!</v>
      </c>
      <c r="DD10" s="10" t="e">
        <f t="array" aca="1" ref="DD10" ca="1">-SUM(($CW10:$CZ10)*($CS10:$CV10-OFFSET($C$6:$F$6,DD$5,0)))+SQRT(SUM(($CW10:$CZ10)*($CS10:$CV10-OFFSET($C$6:$F$6,DD$5,0)))^2-SUM(($CS10:$CV10-OFFSET($C$6:$F$6,DD$5,0))*($CS10:$CV10-OFFSET($C$6:$F$6,DD$5,0)))+OFFSET($G$6,DD$5,0)^2)</f>
        <v>#NUM!</v>
      </c>
      <c r="DE10" s="10" t="e">
        <f t="array" aca="1" ref="DE10" ca="1">-SUM(($CW10:$CZ10)*($CS10:$CV10-OFFSET($C$6:$F$6,DE$5,0)))+SQRT(SUM(($CW10:$CZ10)*($CS10:$CV10-OFFSET($C$6:$F$6,DE$5,0)))^2-SUM(($CS10:$CV10-OFFSET($C$6:$F$6,DE$5,0))*($CS10:$CV10-OFFSET($C$6:$F$6,DE$5,0)))+OFFSET($G$6,DE$5,0)^2)</f>
        <v>#NUM!</v>
      </c>
      <c r="DF10" s="10" t="e">
        <f t="array" aca="1" ref="DF10" ca="1">-SUM(($CW10:$CZ10)*($CS10:$CV10-OFFSET($C$6:$F$6,DF$5,0)))+SQRT(SUM(($CW10:$CZ10)*($CS10:$CV10-OFFSET($C$6:$F$6,DF$5,0)))^2-SUM(($CS10:$CV10-OFFSET($C$6:$F$6,DF$5,0))*($CS10:$CV10-OFFSET($C$6:$F$6,DF$5,0)))+OFFSET($G$6,DF$5,0)^2)</f>
        <v>#NUM!</v>
      </c>
      <c r="DG10" s="10" t="e">
        <f t="array" aca="1" ref="DG10" ca="1">-SUM(($CW10:$CZ10)*($CS10:$CV10-OFFSET($C$6:$F$6,DG$5,0)))+SQRT(SUM(($CW10:$CZ10)*($CS10:$CV10-OFFSET($C$6:$F$6,DG$5,0)))^2-SUM(($CS10:$CV10-OFFSET($C$6:$F$6,DG$5,0))*($CS10:$CV10-OFFSET($C$6:$F$6,DG$5,0)))+OFFSET($G$6,DG$5,0)^2)</f>
        <v>#NUM!</v>
      </c>
      <c r="DH10" s="10" t="e">
        <f t="array" aca="1" ref="DH10" ca="1">-SUM(($CW10:$CZ10)*($CS10:$CV10-OFFSET($C$6:$F$6,DH$5,0)))+SQRT(SUM(($CW10:$CZ10)*($CS10:$CV10-OFFSET($C$6:$F$6,DH$5,0)))^2-SUM(($CS10:$CV10-OFFSET($C$6:$F$6,DH$5,0))*($CS10:$CV10-OFFSET($C$6:$F$6,DH$5,0)))+OFFSET($G$6,DH$5,0)^2)</f>
        <v>#NUM!</v>
      </c>
      <c r="DI10" s="10" t="e">
        <f t="array" aca="1" ref="DI10" ca="1">-SUM(($CW10:$CZ10)*($CS10:$CV10-OFFSET($C$6:$F$6,DI$5,0)))+SQRT(SUM(($CW10:$CZ10)*($CS10:$CV10-OFFSET($C$6:$F$6,DI$5,0)))^2-SUM(($CS10:$CV10-OFFSET($C$6:$F$6,DI$5,0))*($CS10:$CV10-OFFSET($C$6:$F$6,DI$5,0)))+OFFSET($G$6,DI$5,0)^2)</f>
        <v>#NUM!</v>
      </c>
      <c r="DJ10" s="10" t="e">
        <f t="array" aca="1" ref="DJ10" ca="1">-SUM(($CW10:$CZ10)*($CS10:$CV10-OFFSET($C$6:$F$6,DJ$5,0)))+SQRT(SUM(($CW10:$CZ10)*($CS10:$CV10-OFFSET($C$6:$F$6,DJ$5,0)))^2-SUM(($CS10:$CV10-OFFSET($C$6:$F$6,DJ$5,0))*($CS10:$CV10-OFFSET($C$6:$F$6,DJ$5,0)))+OFFSET($G$6,DJ$5,0)^2)</f>
        <v>#NUM!</v>
      </c>
      <c r="DK10" s="10" t="e">
        <f t="array" aca="1" ref="DK10" ca="1">-SUM(($CW10:$CZ10)*($CS10:$CV10-OFFSET($C$6:$F$6,DK$5,0)))+SQRT(SUM(($CW10:$CZ10)*($CS10:$CV10-OFFSET($C$6:$F$6,DK$5,0)))^2-SUM(($CS10:$CV10-OFFSET($C$6:$F$6,DK$5,0))*($CS10:$CV10-OFFSET($C$6:$F$6,DK$5,0)))+OFFSET($G$6,DK$5,0)^2)</f>
        <v>#NUM!</v>
      </c>
      <c r="DL10" s="10">
        <f t="array" aca="1" ref="DL10" ca="1">-SUM(($CW10:$CZ10)*($CS10:$CV10-OFFSET($C$6:$F$6,DB$5,0)))-SQRT(SUM(($CW10:$CZ10)*($CS10:$CV10-OFFSET($C$6:$F$6,DB$5,0)))^2-SUM(($CS10:$CV10-OFFSET($C$6:$F$6,DB$5,0))*($CS10:$CV10-OFFSET($C$6:$F$6,DB$5,0)))+OFFSET($G$6,DB$5,0)^2)</f>
        <v>-1628.986107682967</v>
      </c>
      <c r="DM10" s="10" t="e">
        <f t="array" aca="1" ref="DM10" ca="1">-SUM(($CW10:$CZ10)*($CS10:$CV10-OFFSET($C$6:$F$6,DC$5,0)))-SQRT(SUM(($CW10:$CZ10)*($CS10:$CV10-OFFSET($C$6:$F$6,DC$5,0)))^2-SUM(($CS10:$CV10-OFFSET($C$6:$F$6,DC$5,0))*($CS10:$CV10-OFFSET($C$6:$F$6,DC$5,0)))+OFFSET($G$6,DC$5,0)^2)</f>
        <v>#NUM!</v>
      </c>
      <c r="DN10" s="10" t="e">
        <f t="array" aca="1" ref="DN10" ca="1">-SUM(($CW10:$CZ10)*($CS10:$CV10-OFFSET($C$6:$F$6,DD$5,0)))-SQRT(SUM(($CW10:$CZ10)*($CS10:$CV10-OFFSET($C$6:$F$6,DD$5,0)))^2-SUM(($CS10:$CV10-OFFSET($C$6:$F$6,DD$5,0))*($CS10:$CV10-OFFSET($C$6:$F$6,DD$5,0)))+OFFSET($G$6,DD$5,0)^2)</f>
        <v>#NUM!</v>
      </c>
      <c r="DO10" s="10" t="e">
        <f t="array" aca="1" ref="DO10" ca="1">-SUM(($CW10:$CZ10)*($CS10:$CV10-OFFSET($C$6:$F$6,DE$5,0)))-SQRT(SUM(($CW10:$CZ10)*($CS10:$CV10-OFFSET($C$6:$F$6,DE$5,0)))^2-SUM(($CS10:$CV10-OFFSET($C$6:$F$6,DE$5,0))*($CS10:$CV10-OFFSET($C$6:$F$6,DE$5,0)))+OFFSET($G$6,DE$5,0)^2)</f>
        <v>#NUM!</v>
      </c>
      <c r="DP10" s="10" t="e">
        <f t="array" aca="1" ref="DP10" ca="1">-SUM(($CW10:$CZ10)*($CS10:$CV10-OFFSET($C$6:$F$6,DF$5,0)))-SQRT(SUM(($CW10:$CZ10)*($CS10:$CV10-OFFSET($C$6:$F$6,DF$5,0)))^2-SUM(($CS10:$CV10-OFFSET($C$6:$F$6,DF$5,0))*($CS10:$CV10-OFFSET($C$6:$F$6,DF$5,0)))+OFFSET($G$6,DF$5,0)^2)</f>
        <v>#NUM!</v>
      </c>
      <c r="DQ10" s="10" t="e">
        <f t="array" aca="1" ref="DQ10" ca="1">-SUM(($CW10:$CZ10)*($CS10:$CV10-OFFSET($C$6:$F$6,DG$5,0)))-SQRT(SUM(($CW10:$CZ10)*($CS10:$CV10-OFFSET($C$6:$F$6,DG$5,0)))^2-SUM(($CS10:$CV10-OFFSET($C$6:$F$6,DG$5,0))*($CS10:$CV10-OFFSET($C$6:$F$6,DG$5,0)))+OFFSET($G$6,DG$5,0)^2)</f>
        <v>#NUM!</v>
      </c>
      <c r="DR10" s="10" t="e">
        <f t="array" aca="1" ref="DR10" ca="1">-SUM(($CW10:$CZ10)*($CS10:$CV10-OFFSET($C$6:$F$6,DH$5,0)))-SQRT(SUM(($CW10:$CZ10)*($CS10:$CV10-OFFSET($C$6:$F$6,DH$5,0)))^2-SUM(($CS10:$CV10-OFFSET($C$6:$F$6,DH$5,0))*($CS10:$CV10-OFFSET($C$6:$F$6,DH$5,0)))+OFFSET($G$6,DH$5,0)^2)</f>
        <v>#NUM!</v>
      </c>
      <c r="DS10" s="10" t="e">
        <f t="array" aca="1" ref="DS10" ca="1">-SUM(($CW10:$CZ10)*($CS10:$CV10-OFFSET($C$6:$F$6,DI$5,0)))-SQRT(SUM(($CW10:$CZ10)*($CS10:$CV10-OFFSET($C$6:$F$6,DI$5,0)))^2-SUM(($CS10:$CV10-OFFSET($C$6:$F$6,DI$5,0))*($CS10:$CV10-OFFSET($C$6:$F$6,DI$5,0)))+OFFSET($G$6,DI$5,0)^2)</f>
        <v>#NUM!</v>
      </c>
      <c r="DT10" s="10" t="e">
        <f t="array" aca="1" ref="DT10" ca="1">-SUM(($CW10:$CZ10)*($CS10:$CV10-OFFSET($C$6:$F$6,DJ$5,0)))-SQRT(SUM(($CW10:$CZ10)*($CS10:$CV10-OFFSET($C$6:$F$6,DJ$5,0)))^2-SUM(($CS10:$CV10-OFFSET($C$6:$F$6,DJ$5,0))*($CS10:$CV10-OFFSET($C$6:$F$6,DJ$5,0)))+OFFSET($G$6,DJ$5,0)^2)</f>
        <v>#NUM!</v>
      </c>
      <c r="DU10" s="10" t="e">
        <f t="array" aca="1" ref="DU10" ca="1">-SUM(($CW10:$CZ10)*($CS10:$CV10-OFFSET($C$6:$F$6,DK$5,0)))-SQRT(SUM(($CW10:$CZ10)*($CS10:$CV10-OFFSET($C$6:$F$6,DK$5,0)))^2-SUM(($CS10:$CV10-OFFSET($C$6:$F$6,DK$5,0))*($CS10:$CV10-OFFSET($C$6:$F$6,DK$5,0)))+OFFSET($G$6,DK$5,0)^2)</f>
        <v>#NUM!</v>
      </c>
      <c r="DW10" s="10">
        <f t="array" aca="1" ref="DW10" ca="1">MIN(IF(IF(ISERROR(DB10:DU10),-1,DB10:DU10)&lt;0,9999999999,DB10:DU10))</f>
        <v>9999999999</v>
      </c>
      <c r="DY10" s="11">
        <f t="shared" ca="1" si="25"/>
        <v>0.73377734396263872</v>
      </c>
      <c r="EB10" s="10">
        <f t="array" aca="1" ref="EB10:EE10" ca="1">BN10:BQ10+BV10:BY10*0.01</f>
        <v>-2.1176721203458588</v>
      </c>
      <c r="EC10" s="10">
        <f ca="1"/>
        <v>-1.0428793376942789</v>
      </c>
      <c r="ED10" s="10">
        <f ca="1"/>
        <v>-10.058162996603579</v>
      </c>
      <c r="EE10" s="10">
        <f ca="1"/>
        <v>1</v>
      </c>
      <c r="EF10" s="10">
        <f t="shared" ca="1" si="26"/>
        <v>-0.37961227996831742</v>
      </c>
      <c r="EG10" s="10">
        <f t="shared" ca="1" si="27"/>
        <v>0.29360079723154886</v>
      </c>
      <c r="EH10" s="10">
        <f t="shared" ca="1" si="28"/>
        <v>0.87732154240178939</v>
      </c>
      <c r="EI10" s="10">
        <f t="shared" ca="1" si="29"/>
        <v>0</v>
      </c>
      <c r="EK10" s="10">
        <f t="array" aca="1" ref="EK10" ca="1">-SUM(($EF10:$EI10)*($EB10:$EE10-OFFSET($C$6:$F$6,EK$5,0)))+SQRT(SUM(($EF10:$EI10)*($EB10:$EE10-OFFSET($C$6:$F$6,EK$5,0)))^2-SUM(($EB10:$EE10-OFFSET($C$6:$F$6,EK$5,0))*($EB10:$EE10-OFFSET($C$6:$F$6,EK$5,0)))+OFFSET($G$6,EK$5,0)^2)</f>
        <v>-3.5021257451887777E-2</v>
      </c>
      <c r="EL10" s="10" t="e">
        <f t="array" aca="1" ref="EL10" ca="1">-SUM(($EF10:$EI10)*($EB10:$EE10-OFFSET($C$6:$F$6,EL$5,0)))+SQRT(SUM(($EF10:$EI10)*($EB10:$EE10-OFFSET($C$6:$F$6,EL$5,0)))^2-SUM(($EB10:$EE10-OFFSET($C$6:$F$6,EL$5,0))*($EB10:$EE10-OFFSET($C$6:$F$6,EL$5,0)))+OFFSET($G$6,EL$5,0)^2)</f>
        <v>#NUM!</v>
      </c>
      <c r="EM10" s="10" t="e">
        <f t="array" aca="1" ref="EM10" ca="1">-SUM(($EF10:$EI10)*($EB10:$EE10-OFFSET($C$6:$F$6,EM$5,0)))+SQRT(SUM(($EF10:$EI10)*($EB10:$EE10-OFFSET($C$6:$F$6,EM$5,0)))^2-SUM(($EB10:$EE10-OFFSET($C$6:$F$6,EM$5,0))*($EB10:$EE10-OFFSET($C$6:$F$6,EM$5,0)))+OFFSET($G$6,EM$5,0)^2)</f>
        <v>#NUM!</v>
      </c>
      <c r="EN10" s="10" t="e">
        <f t="array" aca="1" ref="EN10" ca="1">-SUM(($EF10:$EI10)*($EB10:$EE10-OFFSET($C$6:$F$6,EN$5,0)))+SQRT(SUM(($EF10:$EI10)*($EB10:$EE10-OFFSET($C$6:$F$6,EN$5,0)))^2-SUM(($EB10:$EE10-OFFSET($C$6:$F$6,EN$5,0))*($EB10:$EE10-OFFSET($C$6:$F$6,EN$5,0)))+OFFSET($G$6,EN$5,0)^2)</f>
        <v>#NUM!</v>
      </c>
      <c r="EO10" s="10" t="e">
        <f t="array" aca="1" ref="EO10" ca="1">-SUM(($EF10:$EI10)*($EB10:$EE10-OFFSET($C$6:$F$6,EO$5,0)))+SQRT(SUM(($EF10:$EI10)*($EB10:$EE10-OFFSET($C$6:$F$6,EO$5,0)))^2-SUM(($EB10:$EE10-OFFSET($C$6:$F$6,EO$5,0))*($EB10:$EE10-OFFSET($C$6:$F$6,EO$5,0)))+OFFSET($G$6,EO$5,0)^2)</f>
        <v>#NUM!</v>
      </c>
      <c r="EP10" s="10" t="e">
        <f t="array" aca="1" ref="EP10" ca="1">-SUM(($EF10:$EI10)*($EB10:$EE10-OFFSET($C$6:$F$6,EP$5,0)))+SQRT(SUM(($EF10:$EI10)*($EB10:$EE10-OFFSET($C$6:$F$6,EP$5,0)))^2-SUM(($EB10:$EE10-OFFSET($C$6:$F$6,EP$5,0))*($EB10:$EE10-OFFSET($C$6:$F$6,EP$5,0)))+OFFSET($G$6,EP$5,0)^2)</f>
        <v>#NUM!</v>
      </c>
      <c r="EQ10" s="10" t="e">
        <f t="array" aca="1" ref="EQ10" ca="1">-SUM(($EF10:$EI10)*($EB10:$EE10-OFFSET($C$6:$F$6,EQ$5,0)))+SQRT(SUM(($EF10:$EI10)*($EB10:$EE10-OFFSET($C$6:$F$6,EQ$5,0)))^2-SUM(($EB10:$EE10-OFFSET($C$6:$F$6,EQ$5,0))*($EB10:$EE10-OFFSET($C$6:$F$6,EQ$5,0)))+OFFSET($G$6,EQ$5,0)^2)</f>
        <v>#NUM!</v>
      </c>
      <c r="ER10" s="10" t="e">
        <f t="array" aca="1" ref="ER10" ca="1">-SUM(($EF10:$EI10)*($EB10:$EE10-OFFSET($C$6:$F$6,ER$5,0)))+SQRT(SUM(($EF10:$EI10)*($EB10:$EE10-OFFSET($C$6:$F$6,ER$5,0)))^2-SUM(($EB10:$EE10-OFFSET($C$6:$F$6,ER$5,0))*($EB10:$EE10-OFFSET($C$6:$F$6,ER$5,0)))+OFFSET($G$6,ER$5,0)^2)</f>
        <v>#NUM!</v>
      </c>
      <c r="ES10" s="10" t="e">
        <f t="array" aca="1" ref="ES10" ca="1">-SUM(($EF10:$EI10)*($EB10:$EE10-OFFSET($C$6:$F$6,ES$5,0)))+SQRT(SUM(($EF10:$EI10)*($EB10:$EE10-OFFSET($C$6:$F$6,ES$5,0)))^2-SUM(($EB10:$EE10-OFFSET($C$6:$F$6,ES$5,0))*($EB10:$EE10-OFFSET($C$6:$F$6,ES$5,0)))+OFFSET($G$6,ES$5,0)^2)</f>
        <v>#NUM!</v>
      </c>
      <c r="ET10" s="10" t="e">
        <f t="array" aca="1" ref="ET10" ca="1">-SUM(($EF10:$EI10)*($EB10:$EE10-OFFSET($C$6:$F$6,ET$5,0)))+SQRT(SUM(($EF10:$EI10)*($EB10:$EE10-OFFSET($C$6:$F$6,ET$5,0)))^2-SUM(($EB10:$EE10-OFFSET($C$6:$F$6,ET$5,0))*($EB10:$EE10-OFFSET($C$6:$F$6,ET$5,0)))+OFFSET($G$6,ET$5,0)^2)</f>
        <v>#NUM!</v>
      </c>
      <c r="EU10" s="10">
        <f t="array" aca="1" ref="EU10" ca="1">-SUM(($EF10:$EI10)*($EB10:$EE10-OFFSET($C$6:$F$6,EK$5,0)))-SQRT(SUM(($EF10:$EI10)*($EB10:$EE10-OFFSET($C$6:$F$6,EK$5,0)))^2-SUM(($EB10:$EE10-OFFSET($C$6:$F$6,EK$5,0))*($EB10:$EE10-OFFSET($C$6:$F$6,EK$5,0)))+OFFSET($G$6,EK$5,0)^2)</f>
        <v>-570.51349533156099</v>
      </c>
      <c r="EV10" s="10" t="e">
        <f t="array" aca="1" ref="EV10" ca="1">-SUM(($EF10:$EI10)*($EB10:$EE10-OFFSET($C$6:$F$6,EL$5,0)))-SQRT(SUM(($EF10:$EI10)*($EB10:$EE10-OFFSET($C$6:$F$6,EL$5,0)))^2-SUM(($EB10:$EE10-OFFSET($C$6:$F$6,EL$5,0))*($EB10:$EE10-OFFSET($C$6:$F$6,EL$5,0)))+OFFSET($G$6,EL$5,0)^2)</f>
        <v>#NUM!</v>
      </c>
      <c r="EW10" s="10" t="e">
        <f t="array" aca="1" ref="EW10" ca="1">-SUM(($EF10:$EI10)*($EB10:$EE10-OFFSET($C$6:$F$6,EM$5,0)))-SQRT(SUM(($EF10:$EI10)*($EB10:$EE10-OFFSET($C$6:$F$6,EM$5,0)))^2-SUM(($EB10:$EE10-OFFSET($C$6:$F$6,EM$5,0))*($EB10:$EE10-OFFSET($C$6:$F$6,EM$5,0)))+OFFSET($G$6,EM$5,0)^2)</f>
        <v>#NUM!</v>
      </c>
      <c r="EX10" s="10" t="e">
        <f t="array" aca="1" ref="EX10" ca="1">-SUM(($EF10:$EI10)*($EB10:$EE10-OFFSET($C$6:$F$6,EN$5,0)))-SQRT(SUM(($EF10:$EI10)*($EB10:$EE10-OFFSET($C$6:$F$6,EN$5,0)))^2-SUM(($EB10:$EE10-OFFSET($C$6:$F$6,EN$5,0))*($EB10:$EE10-OFFSET($C$6:$F$6,EN$5,0)))+OFFSET($G$6,EN$5,0)^2)</f>
        <v>#NUM!</v>
      </c>
      <c r="EY10" s="10" t="e">
        <f t="array" aca="1" ref="EY10" ca="1">-SUM(($EF10:$EI10)*($EB10:$EE10-OFFSET($C$6:$F$6,EO$5,0)))-SQRT(SUM(($EF10:$EI10)*($EB10:$EE10-OFFSET($C$6:$F$6,EO$5,0)))^2-SUM(($EB10:$EE10-OFFSET($C$6:$F$6,EO$5,0))*($EB10:$EE10-OFFSET($C$6:$F$6,EO$5,0)))+OFFSET($G$6,EO$5,0)^2)</f>
        <v>#NUM!</v>
      </c>
      <c r="EZ10" s="10" t="e">
        <f t="array" aca="1" ref="EZ10" ca="1">-SUM(($EF10:$EI10)*($EB10:$EE10-OFFSET($C$6:$F$6,EP$5,0)))-SQRT(SUM(($EF10:$EI10)*($EB10:$EE10-OFFSET($C$6:$F$6,EP$5,0)))^2-SUM(($EB10:$EE10-OFFSET($C$6:$F$6,EP$5,0))*($EB10:$EE10-OFFSET($C$6:$F$6,EP$5,0)))+OFFSET($G$6,EP$5,0)^2)</f>
        <v>#NUM!</v>
      </c>
      <c r="FA10" s="10" t="e">
        <f t="array" aca="1" ref="FA10" ca="1">-SUM(($EF10:$EI10)*($EB10:$EE10-OFFSET($C$6:$F$6,EQ$5,0)))-SQRT(SUM(($EF10:$EI10)*($EB10:$EE10-OFFSET($C$6:$F$6,EQ$5,0)))^2-SUM(($EB10:$EE10-OFFSET($C$6:$F$6,EQ$5,0))*($EB10:$EE10-OFFSET($C$6:$F$6,EQ$5,0)))+OFFSET($G$6,EQ$5,0)^2)</f>
        <v>#NUM!</v>
      </c>
      <c r="FB10" s="10" t="e">
        <f t="array" aca="1" ref="FB10" ca="1">-SUM(($EF10:$EI10)*($EB10:$EE10-OFFSET($C$6:$F$6,ER$5,0)))-SQRT(SUM(($EF10:$EI10)*($EB10:$EE10-OFFSET($C$6:$F$6,ER$5,0)))^2-SUM(($EB10:$EE10-OFFSET($C$6:$F$6,ER$5,0))*($EB10:$EE10-OFFSET($C$6:$F$6,ER$5,0)))+OFFSET($G$6,ER$5,0)^2)</f>
        <v>#NUM!</v>
      </c>
      <c r="FC10" s="10" t="e">
        <f t="array" aca="1" ref="FC10" ca="1">-SUM(($EF10:$EI10)*($EB10:$EE10-OFFSET($C$6:$F$6,ES$5,0)))-SQRT(SUM(($EF10:$EI10)*($EB10:$EE10-OFFSET($C$6:$F$6,ES$5,0)))^2-SUM(($EB10:$EE10-OFFSET($C$6:$F$6,ES$5,0))*($EB10:$EE10-OFFSET($C$6:$F$6,ES$5,0)))+OFFSET($G$6,ES$5,0)^2)</f>
        <v>#NUM!</v>
      </c>
      <c r="FD10" s="10" t="e">
        <f t="array" aca="1" ref="FD10" ca="1">-SUM(($EF10:$EI10)*($EB10:$EE10-OFFSET($C$6:$F$6,ET$5,0)))-SQRT(SUM(($EF10:$EI10)*($EB10:$EE10-OFFSET($C$6:$F$6,ET$5,0)))^2-SUM(($EB10:$EE10-OFFSET($C$6:$F$6,ET$5,0))*($EB10:$EE10-OFFSET($C$6:$F$6,ET$5,0)))+OFFSET($G$6,ET$5,0)^2)</f>
        <v>#NUM!</v>
      </c>
      <c r="FF10" s="10">
        <f t="array" aca="1" ref="FF10" ca="1">MIN(IF(IF(ISERROR(EK10:FD10),-1,EK10:FD10)&lt;0,9999999999,EK10:FD10))</f>
        <v>9999999999</v>
      </c>
      <c r="FH10">
        <f t="shared" ca="1" si="30"/>
        <v>-1</v>
      </c>
      <c r="FJ10" s="10">
        <f t="shared" ca="1" si="31"/>
        <v>-3796122801.4212341</v>
      </c>
      <c r="FK10" s="10">
        <f t="shared" ca="1" si="32"/>
        <v>2936007970.9790087</v>
      </c>
      <c r="FL10" s="10">
        <f t="shared" ca="1" si="33"/>
        <v>8773215413.0824089</v>
      </c>
      <c r="FM10" s="10">
        <f t="shared" ca="1" si="34"/>
        <v>1</v>
      </c>
      <c r="FN10" s="14">
        <f t="shared" ca="1" si="35"/>
        <v>0.37961227996831742</v>
      </c>
      <c r="FO10" s="14">
        <f t="shared" ca="1" si="0"/>
        <v>-0.29360079723154886</v>
      </c>
      <c r="FP10" s="14">
        <f t="shared" ca="1" si="1"/>
        <v>-0.87732154240178939</v>
      </c>
      <c r="FQ10" s="14">
        <f t="shared" ca="1" si="2"/>
        <v>0</v>
      </c>
      <c r="FR10" s="10" t="e">
        <f t="array" aca="1" ref="FR10" ca="1">(FJ10-OFFSET(C$6,$FH10,0))/SQRT(SUM(($FJ10:$FM10-OFFSET($C$6:$F$6,$FH10,0))*($FJ10:$FM10-OFFSET($C$6:$F$6,$FH10,0))))</f>
        <v>#VALUE!</v>
      </c>
      <c r="FS10" s="10" t="e">
        <f t="array" aca="1" ref="FS10" ca="1">(FK10-OFFSET(D$6,$FH10,0))/SQRT(SUM(($FJ10:$FM10-OFFSET($C$6:$F$6,$FH10,0))*($FJ10:$FM10-OFFSET($C$6:$F$6,$FH10,0))))</f>
        <v>#VALUE!</v>
      </c>
      <c r="FT10" s="10" t="e">
        <f t="array" aca="1" ref="FT10" ca="1">(FL10-OFFSET(E$6,$FH10,0))/SQRT(SUM(($FJ10:$FM10-OFFSET($C$6:$F$6,$FH10,0))*($FJ10:$FM10-OFFSET($C$6:$F$6,$FH10,0))))</f>
        <v>#VALUE!</v>
      </c>
      <c r="FU10" s="10" t="e">
        <f t="array" aca="1" ref="FU10" ca="1">(FM10-OFFSET(F$6,$FH10,0))/SQRT(SUM(($FJ10:$FM10-OFFSET($C$6:$F$6,$FH10,0))*($FJ10:$FM10-OFFSET($C$6:$F$6,$FH10,0))))</f>
        <v>#VALUE!</v>
      </c>
      <c r="FV10" s="14">
        <f t="array" aca="1" ref="FV10" ca="1">-(FJ10-O$6)/SQRT(SUM(($O$6:$R$6-$FJ10:$FM10)*($O$6:$R$6-$FJ10:$FM10)))</f>
        <v>0.37961227941868819</v>
      </c>
      <c r="FW10" s="14">
        <f t="array" aca="1" ref="FW10" ca="1">-(FK10-P$6)/SQRT(SUM(($O$6:$R$6-$FJ10:$FM10)*($O$6:$R$6-$FJ10:$FM10)))</f>
        <v>-0.29360079631180236</v>
      </c>
      <c r="FX10" s="14">
        <f t="array" aca="1" ref="FX10" ca="1">-(FL10-Q$6)/SQRT(SUM(($O$6:$R$6-$FJ10:$FM10)*($O$6:$R$6-$FJ10:$FM10)))</f>
        <v>-0.87732154294740949</v>
      </c>
      <c r="FY10" s="14">
        <f t="array" aca="1" ref="FY10" ca="1">-(FM10-R$6)/SQRT(SUM(($O$6:$R$6-$FJ10:$FM10)*($O$6:$R$6-$FJ10:$FM10)))</f>
        <v>0</v>
      </c>
      <c r="FZ10" s="14" t="e">
        <f t="array" aca="1" ref="FZ10:GC10" ca="1">-FN10:FQ10-FR10:FU10*2*SUM(-FN10:FQ10*FR10:FU10)</f>
        <v>#VALUE!</v>
      </c>
      <c r="GA10" s="14" t="e">
        <f ca="1"/>
        <v>#VALUE!</v>
      </c>
      <c r="GB10" s="14" t="e">
        <f ca="1"/>
        <v>#VALUE!</v>
      </c>
      <c r="GC10" s="14" t="e">
        <f ca="1"/>
        <v>#VALUE!</v>
      </c>
      <c r="GD10" s="14" t="e">
        <f t="array" aca="1" ref="GD10:GG10" ca="1">-FV10:FY10-FR10:FU10*2*SUM(-FV10:FY10*FR10:FU10)</f>
        <v>#VALUE!</v>
      </c>
      <c r="GE10" s="14" t="e">
        <f ca="1"/>
        <v>#VALUE!</v>
      </c>
      <c r="GF10" s="14" t="e">
        <f ca="1"/>
        <v>#VALUE!</v>
      </c>
      <c r="GG10" s="14" t="e">
        <f ca="1"/>
        <v>#VALUE!</v>
      </c>
      <c r="GH10" t="e">
        <f t="array" aca="1" ref="GH10" ca="1">SUM(FV10:FY10*FR10:FU10)</f>
        <v>#VALUE!</v>
      </c>
      <c r="GI10" t="e">
        <f t="array" aca="1" ref="GI10" ca="1">SUM(GD10:GG10*FN10:FQ10)</f>
        <v>#VALUE!</v>
      </c>
      <c r="GJ10" s="11" t="e">
        <f t="shared" ca="1" si="36"/>
        <v>#VALUE!</v>
      </c>
      <c r="GK10" s="11" t="e">
        <f t="shared" ca="1" si="37"/>
        <v>#VALUE!</v>
      </c>
      <c r="GL10" s="11" t="e">
        <f t="shared" ca="1" si="38"/>
        <v>#VALUE!</v>
      </c>
      <c r="GM10" s="11">
        <f t="shared" ca="1" si="39"/>
        <v>0</v>
      </c>
      <c r="GO10" s="10" t="e">
        <f t="array" aca="1" ref="GO10:GR10" ca="1">FJ10:FM10+FR10:FU10*0.001</f>
        <v>#VALUE!</v>
      </c>
      <c r="GP10" s="10" t="e">
        <f ca="1"/>
        <v>#VALUE!</v>
      </c>
      <c r="GQ10" s="10" t="e">
        <f ca="1"/>
        <v>#VALUE!</v>
      </c>
      <c r="GR10" s="10" t="e">
        <f ca="1"/>
        <v>#VALUE!</v>
      </c>
      <c r="GS10" s="10">
        <f t="shared" ca="1" si="40"/>
        <v>0.37961227941868819</v>
      </c>
      <c r="GT10" s="10">
        <f t="shared" ca="1" si="3"/>
        <v>-0.29360079631180236</v>
      </c>
      <c r="GU10" s="10">
        <f t="shared" ca="1" si="4"/>
        <v>-0.87732154294740949</v>
      </c>
      <c r="GV10" s="10">
        <f t="shared" ca="1" si="5"/>
        <v>0</v>
      </c>
      <c r="GX10" s="10" t="e">
        <f t="array" aca="1" ref="GX10" ca="1">-SUM(($GS10:$GV10)*($GO10:$GR10-OFFSET($C$6:$F$6,GX$5,0)))+SQRT(SUM(($GS10:$GV10)*($GO10:$GR10-OFFSET($C$6:$F$6,GX$5,0)))^2-SUM(($GO10:$GR10-OFFSET($C$6:$F$6,GX$5,0))*($GO10:$GR10-OFFSET($C$6:$F$6,GX$5,0)))+OFFSET($G$6,GX$5,0)^2)</f>
        <v>#VALUE!</v>
      </c>
      <c r="GY10" s="10" t="e">
        <f t="array" aca="1" ref="GY10" ca="1">-SUM(($GS10:$GV10)*($GO10:$GR10-OFFSET($C$6:$F$6,GY$5,0)))+SQRT(SUM(($GS10:$GV10)*($GO10:$GR10-OFFSET($C$6:$F$6,GY$5,0)))^2-SUM(($GO10:$GR10-OFFSET($C$6:$F$6,GY$5,0))*($GO10:$GR10-OFFSET($C$6:$F$6,GY$5,0)))+OFFSET($G$6,GY$5,0)^2)</f>
        <v>#VALUE!</v>
      </c>
      <c r="GZ10" s="10" t="e">
        <f t="array" aca="1" ref="GZ10" ca="1">-SUM(($GS10:$GV10)*($GO10:$GR10-OFFSET($C$6:$F$6,GZ$5,0)))+SQRT(SUM(($GS10:$GV10)*($GO10:$GR10-OFFSET($C$6:$F$6,GZ$5,0)))^2-SUM(($GO10:$GR10-OFFSET($C$6:$F$6,GZ$5,0))*($GO10:$GR10-OFFSET($C$6:$F$6,GZ$5,0)))+OFFSET($G$6,GZ$5,0)^2)</f>
        <v>#VALUE!</v>
      </c>
      <c r="HA10" s="10" t="e">
        <f t="array" aca="1" ref="HA10" ca="1">-SUM(($GS10:$GV10)*($GO10:$GR10-OFFSET($C$6:$F$6,HA$5,0)))+SQRT(SUM(($GS10:$GV10)*($GO10:$GR10-OFFSET($C$6:$F$6,HA$5,0)))^2-SUM(($GO10:$GR10-OFFSET($C$6:$F$6,HA$5,0))*($GO10:$GR10-OFFSET($C$6:$F$6,HA$5,0)))+OFFSET($G$6,HA$5,0)^2)</f>
        <v>#VALUE!</v>
      </c>
      <c r="HB10" s="10" t="e">
        <f t="array" aca="1" ref="HB10" ca="1">-SUM(($GS10:$GV10)*($GO10:$GR10-OFFSET($C$6:$F$6,HB$5,0)))+SQRT(SUM(($GS10:$GV10)*($GO10:$GR10-OFFSET($C$6:$F$6,HB$5,0)))^2-SUM(($GO10:$GR10-OFFSET($C$6:$F$6,HB$5,0))*($GO10:$GR10-OFFSET($C$6:$F$6,HB$5,0)))+OFFSET($G$6,HB$5,0)^2)</f>
        <v>#VALUE!</v>
      </c>
      <c r="HC10" s="10" t="e">
        <f t="array" aca="1" ref="HC10" ca="1">-SUM(($GS10:$GV10)*($GO10:$GR10-OFFSET($C$6:$F$6,HC$5,0)))+SQRT(SUM(($GS10:$GV10)*($GO10:$GR10-OFFSET($C$6:$F$6,HC$5,0)))^2-SUM(($GO10:$GR10-OFFSET($C$6:$F$6,HC$5,0))*($GO10:$GR10-OFFSET($C$6:$F$6,HC$5,0)))+OFFSET($G$6,HC$5,0)^2)</f>
        <v>#VALUE!</v>
      </c>
      <c r="HD10" s="10" t="e">
        <f t="array" aca="1" ref="HD10" ca="1">-SUM(($GS10:$GV10)*($GO10:$GR10-OFFSET($C$6:$F$6,HD$5,0)))+SQRT(SUM(($GS10:$GV10)*($GO10:$GR10-OFFSET($C$6:$F$6,HD$5,0)))^2-SUM(($GO10:$GR10-OFFSET($C$6:$F$6,HD$5,0))*($GO10:$GR10-OFFSET($C$6:$F$6,HD$5,0)))+OFFSET($G$6,HD$5,0)^2)</f>
        <v>#VALUE!</v>
      </c>
      <c r="HE10" s="10" t="e">
        <f t="array" aca="1" ref="HE10" ca="1">-SUM(($GS10:$GV10)*($GO10:$GR10-OFFSET($C$6:$F$6,HE$5,0)))+SQRT(SUM(($GS10:$GV10)*($GO10:$GR10-OFFSET($C$6:$F$6,HE$5,0)))^2-SUM(($GO10:$GR10-OFFSET($C$6:$F$6,HE$5,0))*($GO10:$GR10-OFFSET($C$6:$F$6,HE$5,0)))+OFFSET($G$6,HE$5,0)^2)</f>
        <v>#VALUE!</v>
      </c>
      <c r="HF10" s="10" t="e">
        <f t="array" aca="1" ref="HF10" ca="1">-SUM(($GS10:$GV10)*($GO10:$GR10-OFFSET($C$6:$F$6,HF$5,0)))+SQRT(SUM(($GS10:$GV10)*($GO10:$GR10-OFFSET($C$6:$F$6,HF$5,0)))^2-SUM(($GO10:$GR10-OFFSET($C$6:$F$6,HF$5,0))*($GO10:$GR10-OFFSET($C$6:$F$6,HF$5,0)))+OFFSET($G$6,HF$5,0)^2)</f>
        <v>#VALUE!</v>
      </c>
      <c r="HG10" s="10" t="e">
        <f t="array" aca="1" ref="HG10" ca="1">-SUM(($GS10:$GV10)*($GO10:$GR10-OFFSET($C$6:$F$6,HG$5,0)))+SQRT(SUM(($GS10:$GV10)*($GO10:$GR10-OFFSET($C$6:$F$6,HG$5,0)))^2-SUM(($GO10:$GR10-OFFSET($C$6:$F$6,HG$5,0))*($GO10:$GR10-OFFSET($C$6:$F$6,HG$5,0)))+OFFSET($G$6,HG$5,0)^2)</f>
        <v>#VALUE!</v>
      </c>
      <c r="HH10" s="10" t="e">
        <f t="array" aca="1" ref="HH10" ca="1">-SUM(($GS10:$GV10)*($GO10:$GR10-OFFSET($C$6:$F$6,GX$5,0)))-SQRT(SUM(($GS10:$GV10)*($GO10:$GR10-OFFSET($C$6:$F$6,GX$5,0)))^2-SUM(($GO10:$GR10-OFFSET($C$6:$F$6,GX$5,0))*($GO10:$GR10-OFFSET($C$6:$F$6,GX$5,0)))+OFFSET($G$6,GX$5,0)^2)</f>
        <v>#VALUE!</v>
      </c>
      <c r="HI10" s="10" t="e">
        <f t="array" aca="1" ref="HI10" ca="1">-SUM(($GS10:$GV10)*($GO10:$GR10-OFFSET($C$6:$F$6,GY$5,0)))-SQRT(SUM(($GS10:$GV10)*($GO10:$GR10-OFFSET($C$6:$F$6,GY$5,0)))^2-SUM(($GO10:$GR10-OFFSET($C$6:$F$6,GY$5,0))*($GO10:$GR10-OFFSET($C$6:$F$6,GY$5,0)))+OFFSET($G$6,GY$5,0)^2)</f>
        <v>#VALUE!</v>
      </c>
      <c r="HJ10" s="10" t="e">
        <f t="array" aca="1" ref="HJ10" ca="1">-SUM(($GS10:$GV10)*($GO10:$GR10-OFFSET($C$6:$F$6,GZ$5,0)))-SQRT(SUM(($GS10:$GV10)*($GO10:$GR10-OFFSET($C$6:$F$6,GZ$5,0)))^2-SUM(($GO10:$GR10-OFFSET($C$6:$F$6,GZ$5,0))*($GO10:$GR10-OFFSET($C$6:$F$6,GZ$5,0)))+OFFSET($G$6,GZ$5,0)^2)</f>
        <v>#VALUE!</v>
      </c>
      <c r="HK10" s="10" t="e">
        <f t="array" aca="1" ref="HK10" ca="1">-SUM(($GS10:$GV10)*($GO10:$GR10-OFFSET($C$6:$F$6,HA$5,0)))-SQRT(SUM(($GS10:$GV10)*($GO10:$GR10-OFFSET($C$6:$F$6,HA$5,0)))^2-SUM(($GO10:$GR10-OFFSET($C$6:$F$6,HA$5,0))*($GO10:$GR10-OFFSET($C$6:$F$6,HA$5,0)))+OFFSET($G$6,HA$5,0)^2)</f>
        <v>#VALUE!</v>
      </c>
      <c r="HL10" s="10" t="e">
        <f t="array" aca="1" ref="HL10" ca="1">-SUM(($GS10:$GV10)*($GO10:$GR10-OFFSET($C$6:$F$6,HB$5,0)))-SQRT(SUM(($GS10:$GV10)*($GO10:$GR10-OFFSET($C$6:$F$6,HB$5,0)))^2-SUM(($GO10:$GR10-OFFSET($C$6:$F$6,HB$5,0))*($GO10:$GR10-OFFSET($C$6:$F$6,HB$5,0)))+OFFSET($G$6,HB$5,0)^2)</f>
        <v>#VALUE!</v>
      </c>
      <c r="HM10" s="10" t="e">
        <f t="array" aca="1" ref="HM10" ca="1">-SUM(($GS10:$GV10)*($GO10:$GR10-OFFSET($C$6:$F$6,HC$5,0)))-SQRT(SUM(($GS10:$GV10)*($GO10:$GR10-OFFSET($C$6:$F$6,HC$5,0)))^2-SUM(($GO10:$GR10-OFFSET($C$6:$F$6,HC$5,0))*($GO10:$GR10-OFFSET($C$6:$F$6,HC$5,0)))+OFFSET($G$6,HC$5,0)^2)</f>
        <v>#VALUE!</v>
      </c>
      <c r="HN10" s="10" t="e">
        <f t="array" aca="1" ref="HN10" ca="1">-SUM(($GS10:$GV10)*($GO10:$GR10-OFFSET($C$6:$F$6,HD$5,0)))-SQRT(SUM(($GS10:$GV10)*($GO10:$GR10-OFFSET($C$6:$F$6,HD$5,0)))^2-SUM(($GO10:$GR10-OFFSET($C$6:$F$6,HD$5,0))*($GO10:$GR10-OFFSET($C$6:$F$6,HD$5,0)))+OFFSET($G$6,HD$5,0)^2)</f>
        <v>#VALUE!</v>
      </c>
      <c r="HO10" s="10" t="e">
        <f t="array" aca="1" ref="HO10" ca="1">-SUM(($GS10:$GV10)*($GO10:$GR10-OFFSET($C$6:$F$6,HE$5,0)))-SQRT(SUM(($GS10:$GV10)*($GO10:$GR10-OFFSET($C$6:$F$6,HE$5,0)))^2-SUM(($GO10:$GR10-OFFSET($C$6:$F$6,HE$5,0))*($GO10:$GR10-OFFSET($C$6:$F$6,HE$5,0)))+OFFSET($G$6,HE$5,0)^2)</f>
        <v>#VALUE!</v>
      </c>
      <c r="HP10" s="10" t="e">
        <f t="array" aca="1" ref="HP10" ca="1">-SUM(($GS10:$GV10)*($GO10:$GR10-OFFSET($C$6:$F$6,HF$5,0)))-SQRT(SUM(($GS10:$GV10)*($GO10:$GR10-OFFSET($C$6:$F$6,HF$5,0)))^2-SUM(($GO10:$GR10-OFFSET($C$6:$F$6,HF$5,0))*($GO10:$GR10-OFFSET($C$6:$F$6,HF$5,0)))+OFFSET($G$6,HF$5,0)^2)</f>
        <v>#VALUE!</v>
      </c>
      <c r="HQ10" s="10" t="e">
        <f t="array" aca="1" ref="HQ10" ca="1">-SUM(($GS10:$GV10)*($GO10:$GR10-OFFSET($C$6:$F$6,HG$5,0)))-SQRT(SUM(($GS10:$GV10)*($GO10:$GR10-OFFSET($C$6:$F$6,HG$5,0)))^2-SUM(($GO10:$GR10-OFFSET($C$6:$F$6,HG$5,0))*($GO10:$GR10-OFFSET($C$6:$F$6,HG$5,0)))+OFFSET($G$6,HG$5,0)^2)</f>
        <v>#VALUE!</v>
      </c>
      <c r="HS10" s="10">
        <f t="array" aca="1" ref="HS10" ca="1">MIN(IF(IF(ISERROR(GX10:HQ10),-1,GX10:HQ10)&lt;0,9999999999,GX10:HQ10))</f>
        <v>9999999999</v>
      </c>
      <c r="HU10" s="11">
        <f t="shared" ca="1" si="41"/>
        <v>0</v>
      </c>
      <c r="HW10" s="11">
        <f t="shared" ca="1" si="42"/>
        <v>0.73377734396263872</v>
      </c>
    </row>
    <row r="11" spans="2:231" x14ac:dyDescent="0.25">
      <c r="B11">
        <v>5</v>
      </c>
      <c r="C11" s="10">
        <v>0</v>
      </c>
      <c r="D11" s="10">
        <v>0</v>
      </c>
      <c r="E11" s="10">
        <v>-4</v>
      </c>
      <c r="F11" s="10">
        <v>1</v>
      </c>
      <c r="G11" s="10">
        <v>1</v>
      </c>
      <c r="H11" s="10">
        <v>0</v>
      </c>
      <c r="I11" s="10">
        <v>0.9</v>
      </c>
      <c r="J11" s="10">
        <v>0.9</v>
      </c>
      <c r="K11" s="10">
        <v>200</v>
      </c>
      <c r="L11" s="10">
        <v>0</v>
      </c>
      <c r="X11" s="11">
        <f t="shared" si="6"/>
        <v>-1.6659678546471002</v>
      </c>
      <c r="Y11" s="11">
        <f t="shared" si="7"/>
        <v>-1</v>
      </c>
      <c r="Z11" s="11">
        <v>4</v>
      </c>
      <c r="AB11" s="10">
        <f t="array" aca="1" ref="AB11:AE11" ca="1">TRANSPOSE(Screen!$GL$98:$GL$101)</f>
        <v>0</v>
      </c>
      <c r="AC11" s="10">
        <f ca="1"/>
        <v>0.50000000000000033</v>
      </c>
      <c r="AD11" s="10">
        <f ca="1"/>
        <v>-15</v>
      </c>
      <c r="AE11" s="10">
        <f ca="1"/>
        <v>1</v>
      </c>
      <c r="AF11" s="10">
        <f t="array" aca="1" ref="AF11:AH11" ca="1">TRANSPOSE(MMULT(Screen!$GI$98:$GK$100,TRANSPOSE(X11:Z11)))</f>
        <v>-1.6659678546471002</v>
      </c>
      <c r="AG11" s="10">
        <f ca="1"/>
        <v>-1.2380565658529825</v>
      </c>
      <c r="AH11" s="10">
        <f ca="1"/>
        <v>3.9400359935205556</v>
      </c>
      <c r="AI11" s="10">
        <v>1</v>
      </c>
      <c r="AJ11" s="10">
        <f t="array" aca="1" ref="AJ11" ca="1">AF11/SQRT(SUM(($AF11:$AH11)*($AF11:$AH11)))</f>
        <v>-0.37409515529757414</v>
      </c>
      <c r="AK11" s="10">
        <f t="array" aca="1" ref="AK11" ca="1">AG11/SQRT(SUM(($AF11:$AH11)*($AF11:$AH11)))</f>
        <v>-0.27800714280172079</v>
      </c>
      <c r="AL11" s="10">
        <f t="array" aca="1" ref="AL11" ca="1">AH11/SQRT(SUM(($AF11:$AH11)*($AF11:$AH11)))</f>
        <v>0.88473998628642725</v>
      </c>
      <c r="AM11" s="10">
        <v>0</v>
      </c>
      <c r="AO11" s="10">
        <f t="array" aca="1" ref="AO11" ca="1">-SUM(($AJ11:$AM11)*($AB11:$AE11-OFFSET($C$6:$F$6,AO$5,0)))+SQRT(SUM(($AJ11:$AM11)*($AB11:$AE11-OFFSET($C$6:$F$6,AO$5,0)))^2-SUM(($AB11:$AE11-OFFSET($C$6:$F$6,AO$5,0))*($AB11:$AE11-OFFSET($C$6:$F$6,AO$5,0)))+OFFSET($G$6,AO$5,0)^2)</f>
        <v>577.24894728505399</v>
      </c>
      <c r="AP11" s="10" t="e">
        <f t="array" aca="1" ref="AP11" ca="1">-SUM(($AJ11:$AM11)*($AB11:$AE11-OFFSET($C$6:$F$6,AP$5,0)))+SQRT(SUM(($AJ11:$AM11)*($AB11:$AE11-OFFSET($C$6:$F$6,AP$5,0)))^2-SUM(($AB11:$AE11-OFFSET($C$6:$F$6,AP$5,0))*($AB11:$AE11-OFFSET($C$6:$F$6,AP$5,0)))+OFFSET($G$6,AP$5,0)^2)</f>
        <v>#NUM!</v>
      </c>
      <c r="AQ11" s="10" t="e">
        <f t="array" aca="1" ref="AQ11" ca="1">-SUM(($AJ11:$AM11)*($AB11:$AE11-OFFSET($C$6:$F$6,AQ$5,0)))+SQRT(SUM(($AJ11:$AM11)*($AB11:$AE11-OFFSET($C$6:$F$6,AQ$5,0)))^2-SUM(($AB11:$AE11-OFFSET($C$6:$F$6,AQ$5,0))*($AB11:$AE11-OFFSET($C$6:$F$6,AQ$5,0)))+OFFSET($G$6,AQ$5,0)^2)</f>
        <v>#NUM!</v>
      </c>
      <c r="AR11" s="10" t="e">
        <f t="array" aca="1" ref="AR11" ca="1">-SUM(($AJ11:$AM11)*($AB11:$AE11-OFFSET($C$6:$F$6,AR$5,0)))+SQRT(SUM(($AJ11:$AM11)*($AB11:$AE11-OFFSET($C$6:$F$6,AR$5,0)))^2-SUM(($AB11:$AE11-OFFSET($C$6:$F$6,AR$5,0))*($AB11:$AE11-OFFSET($C$6:$F$6,AR$5,0)))+OFFSET($G$6,AR$5,0)^2)</f>
        <v>#NUM!</v>
      </c>
      <c r="AS11" s="10" t="e">
        <f t="array" aca="1" ref="AS11" ca="1">-SUM(($AJ11:$AM11)*($AB11:$AE11-OFFSET($C$6:$F$6,AS$5,0)))+SQRT(SUM(($AJ11:$AM11)*($AB11:$AE11-OFFSET($C$6:$F$6,AS$5,0)))^2-SUM(($AB11:$AE11-OFFSET($C$6:$F$6,AS$5,0))*($AB11:$AE11-OFFSET($C$6:$F$6,AS$5,0)))+OFFSET($G$6,AS$5,0)^2)</f>
        <v>#NUM!</v>
      </c>
      <c r="AT11" s="10" t="e">
        <f t="array" aca="1" ref="AT11" ca="1">-SUM(($AJ11:$AM11)*($AB11:$AE11-OFFSET($C$6:$F$6,AT$5,0)))+SQRT(SUM(($AJ11:$AM11)*($AB11:$AE11-OFFSET($C$6:$F$6,AT$5,0)))^2-SUM(($AB11:$AE11-OFFSET($C$6:$F$6,AT$5,0))*($AB11:$AE11-OFFSET($C$6:$F$6,AT$5,0)))+OFFSET($G$6,AT$5,0)^2)</f>
        <v>#NUM!</v>
      </c>
      <c r="AU11" s="10" t="e">
        <f t="array" aca="1" ref="AU11" ca="1">-SUM(($AJ11:$AM11)*($AB11:$AE11-OFFSET($C$6:$F$6,AU$5,0)))+SQRT(SUM(($AJ11:$AM11)*($AB11:$AE11-OFFSET($C$6:$F$6,AU$5,0)))^2-SUM(($AB11:$AE11-OFFSET($C$6:$F$6,AU$5,0))*($AB11:$AE11-OFFSET($C$6:$F$6,AU$5,0)))+OFFSET($G$6,AU$5,0)^2)</f>
        <v>#NUM!</v>
      </c>
      <c r="AV11" s="10" t="e">
        <f t="array" aca="1" ref="AV11" ca="1">-SUM(($AJ11:$AM11)*($AB11:$AE11-OFFSET($C$6:$F$6,AV$5,0)))+SQRT(SUM(($AJ11:$AM11)*($AB11:$AE11-OFFSET($C$6:$F$6,AV$5,0)))^2-SUM(($AB11:$AE11-OFFSET($C$6:$F$6,AV$5,0))*($AB11:$AE11-OFFSET($C$6:$F$6,AV$5,0)))+OFFSET($G$6,AV$5,0)^2)</f>
        <v>#NUM!</v>
      </c>
      <c r="AW11" s="10" t="e">
        <f t="array" aca="1" ref="AW11" ca="1">-SUM(($AJ11:$AM11)*($AB11:$AE11-OFFSET($C$6:$F$6,AW$5,0)))+SQRT(SUM(($AJ11:$AM11)*($AB11:$AE11-OFFSET($C$6:$F$6,AW$5,0)))^2-SUM(($AB11:$AE11-OFFSET($C$6:$F$6,AW$5,0))*($AB11:$AE11-OFFSET($C$6:$F$6,AW$5,0)))+OFFSET($G$6,AW$5,0)^2)</f>
        <v>#NUM!</v>
      </c>
      <c r="AX11" s="10" t="e">
        <f t="array" aca="1" ref="AX11" ca="1">-SUM(($AJ11:$AM11)*($AB11:$AE11-OFFSET($C$6:$F$6,AX$5,0)))+SQRT(SUM(($AJ11:$AM11)*($AB11:$AE11-OFFSET($C$6:$F$6,AX$5,0)))^2-SUM(($AB11:$AE11-OFFSET($C$6:$F$6,AX$5,0))*($AB11:$AE11-OFFSET($C$6:$F$6,AX$5,0)))+OFFSET($G$6,AX$5,0)^2)</f>
        <v>#NUM!</v>
      </c>
      <c r="AY11" s="10">
        <f t="array" aca="1" ref="AY11" ca="1">-SUM(($AJ11:$AM11)*($AB11:$AE11-OFFSET($C$6:$F$6,AO$5,0)))-SQRT(SUM(($AJ11:$AM11)*($AB11:$AE11-OFFSET($C$6:$F$6,AO$5,0)))^2-SUM(($AB11:$AE11-OFFSET($C$6:$F$6,AO$5,0))*($AB11:$AE11-OFFSET($C$6:$F$6,AO$5,0)))+OFFSET($G$6,AO$5,0)^2)</f>
        <v>5.5855450497821266</v>
      </c>
      <c r="AZ11" s="10" t="e">
        <f t="array" aca="1" ref="AZ11" ca="1">-SUM(($AJ11:$AM11)*($AB11:$AE11-OFFSET($C$6:$F$6,AP$5,0)))-SQRT(SUM(($AJ11:$AM11)*($AB11:$AE11-OFFSET($C$6:$F$6,AP$5,0)))^2-SUM(($AB11:$AE11-OFFSET($C$6:$F$6,AP$5,0))*($AB11:$AE11-OFFSET($C$6:$F$6,AP$5,0)))+OFFSET($G$6,AP$5,0)^2)</f>
        <v>#NUM!</v>
      </c>
      <c r="BA11" s="10" t="e">
        <f t="array" aca="1" ref="BA11" ca="1">-SUM(($AJ11:$AM11)*($AB11:$AE11-OFFSET($C$6:$F$6,AQ$5,0)))-SQRT(SUM(($AJ11:$AM11)*($AB11:$AE11-OFFSET($C$6:$F$6,AQ$5,0)))^2-SUM(($AB11:$AE11-OFFSET($C$6:$F$6,AQ$5,0))*($AB11:$AE11-OFFSET($C$6:$F$6,AQ$5,0)))+OFFSET($G$6,AQ$5,0)^2)</f>
        <v>#NUM!</v>
      </c>
      <c r="BB11" s="10" t="e">
        <f t="array" aca="1" ref="BB11" ca="1">-SUM(($AJ11:$AM11)*($AB11:$AE11-OFFSET($C$6:$F$6,AR$5,0)))-SQRT(SUM(($AJ11:$AM11)*($AB11:$AE11-OFFSET($C$6:$F$6,AR$5,0)))^2-SUM(($AB11:$AE11-OFFSET($C$6:$F$6,AR$5,0))*($AB11:$AE11-OFFSET($C$6:$F$6,AR$5,0)))+OFFSET($G$6,AR$5,0)^2)</f>
        <v>#NUM!</v>
      </c>
      <c r="BC11" s="10" t="e">
        <f t="array" aca="1" ref="BC11" ca="1">-SUM(($AJ11:$AM11)*($AB11:$AE11-OFFSET($C$6:$F$6,AS$5,0)))-SQRT(SUM(($AJ11:$AM11)*($AB11:$AE11-OFFSET($C$6:$F$6,AS$5,0)))^2-SUM(($AB11:$AE11-OFFSET($C$6:$F$6,AS$5,0))*($AB11:$AE11-OFFSET($C$6:$F$6,AS$5,0)))+OFFSET($G$6,AS$5,0)^2)</f>
        <v>#NUM!</v>
      </c>
      <c r="BD11" s="10" t="e">
        <f t="array" aca="1" ref="BD11" ca="1">-SUM(($AJ11:$AM11)*($AB11:$AE11-OFFSET($C$6:$F$6,AT$5,0)))-SQRT(SUM(($AJ11:$AM11)*($AB11:$AE11-OFFSET($C$6:$F$6,AT$5,0)))^2-SUM(($AB11:$AE11-OFFSET($C$6:$F$6,AT$5,0))*($AB11:$AE11-OFFSET($C$6:$F$6,AT$5,0)))+OFFSET($G$6,AT$5,0)^2)</f>
        <v>#NUM!</v>
      </c>
      <c r="BE11" s="10" t="e">
        <f t="array" aca="1" ref="BE11" ca="1">-SUM(($AJ11:$AM11)*($AB11:$AE11-OFFSET($C$6:$F$6,AU$5,0)))-SQRT(SUM(($AJ11:$AM11)*($AB11:$AE11-OFFSET($C$6:$F$6,AU$5,0)))^2-SUM(($AB11:$AE11-OFFSET($C$6:$F$6,AU$5,0))*($AB11:$AE11-OFFSET($C$6:$F$6,AU$5,0)))+OFFSET($G$6,AU$5,0)^2)</f>
        <v>#NUM!</v>
      </c>
      <c r="BF11" s="10" t="e">
        <f t="array" aca="1" ref="BF11" ca="1">-SUM(($AJ11:$AM11)*($AB11:$AE11-OFFSET($C$6:$F$6,AV$5,0)))-SQRT(SUM(($AJ11:$AM11)*($AB11:$AE11-OFFSET($C$6:$F$6,AV$5,0)))^2-SUM(($AB11:$AE11-OFFSET($C$6:$F$6,AV$5,0))*($AB11:$AE11-OFFSET($C$6:$F$6,AV$5,0)))+OFFSET($G$6,AV$5,0)^2)</f>
        <v>#NUM!</v>
      </c>
      <c r="BG11" s="10" t="e">
        <f t="array" aca="1" ref="BG11" ca="1">-SUM(($AJ11:$AM11)*($AB11:$AE11-OFFSET($C$6:$F$6,AW$5,0)))-SQRT(SUM(($AJ11:$AM11)*($AB11:$AE11-OFFSET($C$6:$F$6,AW$5,0)))^2-SUM(($AB11:$AE11-OFFSET($C$6:$F$6,AW$5,0))*($AB11:$AE11-OFFSET($C$6:$F$6,AW$5,0)))+OFFSET($G$6,AW$5,0)^2)</f>
        <v>#NUM!</v>
      </c>
      <c r="BH11" s="10" t="e">
        <f t="array" aca="1" ref="BH11" ca="1">-SUM(($AJ11:$AM11)*($AB11:$AE11-OFFSET($C$6:$F$6,AX$5,0)))-SQRT(SUM(($AJ11:$AM11)*($AB11:$AE11-OFFSET($C$6:$F$6,AX$5,0)))^2-SUM(($AB11:$AE11-OFFSET($C$6:$F$6,AX$5,0))*($AB11:$AE11-OFFSET($C$6:$F$6,AX$5,0)))+OFFSET($G$6,AX$5,0)^2)</f>
        <v>#NUM!</v>
      </c>
      <c r="BJ11" s="10">
        <f t="array" aca="1" ref="BJ11" ca="1">MIN(IF(IF(ISERROR(AO11:BH11),-1,AO11:BH11)&lt;0,9999999999,AO11:BH11))</f>
        <v>5.5855450497821266</v>
      </c>
      <c r="BL11">
        <f t="shared" ca="1" si="8"/>
        <v>0</v>
      </c>
      <c r="BN11" s="10">
        <f t="shared" ca="1" si="9"/>
        <v>-2.089525342819841</v>
      </c>
      <c r="BO11" s="10">
        <f t="shared" ca="1" si="10"/>
        <v>-1.0528214202802242</v>
      </c>
      <c r="BP11" s="10">
        <f t="shared" ca="1" si="11"/>
        <v>-10.05824494925354</v>
      </c>
      <c r="BQ11" s="10">
        <f t="shared" ca="1" si="12"/>
        <v>1</v>
      </c>
      <c r="BR11" s="14">
        <f t="shared" ca="1" si="13"/>
        <v>0.37409515529757414</v>
      </c>
      <c r="BS11" s="14">
        <f t="shared" ca="1" si="14"/>
        <v>0.27800714280172079</v>
      </c>
      <c r="BT11" s="14">
        <f t="shared" ca="1" si="15"/>
        <v>-0.88473998628642725</v>
      </c>
      <c r="BU11" s="14">
        <f t="shared" si="16"/>
        <v>0</v>
      </c>
      <c r="BV11" s="10">
        <f t="array" aca="1" ref="BV11" ca="1">(BN11-OFFSET(C$6,$BL11,0))/SQRT(SUM(($BN11:$BQ11-OFFSET($C$6:$F$6,$BL11,0))*($BN11:$BQ11-OFFSET($C$6:$F$6,$BL11,0))))</f>
        <v>-2.0916169597796205E-3</v>
      </c>
      <c r="BW11" s="10">
        <f t="array" aca="1" ref="BW11" ca="1">(BO11-OFFSET(D$6,$BL11,0))/SQRT(SUM(($BN11:$BQ11-OFFSET($C$6:$F$6,$BL11,0))*($BN11:$BQ11-OFFSET($C$6:$F$6,$BL11,0))))</f>
        <v>0.9999471257054251</v>
      </c>
      <c r="BX11" s="10">
        <f t="array" aca="1" ref="BX11" ca="1">(BP11-OFFSET(E$6,$BL11,0))/SQRT(SUM(($BN11:$BQ11-OFFSET($C$6:$F$6,$BL11,0))*($BN11:$BQ11-OFFSET($C$6:$F$6,$BL11,0))))</f>
        <v>-1.0068313262516055E-2</v>
      </c>
      <c r="BY11" s="10">
        <f t="array" aca="1" ref="BY11" ca="1">(BQ11-OFFSET(F$6,$BL11,0))/SQRT(SUM(($BN11:$BQ11-OFFSET($C$6:$F$6,$BL11,0))*($BN11:$BQ11-OFFSET($C$6:$F$6,$BL11,0))))</f>
        <v>0</v>
      </c>
      <c r="BZ11" s="14">
        <f t="array" aca="1" ref="BZ11" ca="1">-(BN11-O$6)/SQRT(SUM(($O$6:$R$6-$BN11:$BQ11)*($O$6:$R$6-$BN11:$BQ11)))</f>
        <v>-0.58199269444091217</v>
      </c>
      <c r="CA11" s="14">
        <f t="array" aca="1" ref="CA11" ca="1">-(BO11-P$6)/SQRT(SUM(($O$6:$R$6-$BN11:$BQ11)*($O$6:$R$6-$BN11:$BQ11)))</f>
        <v>0.8131827226984838</v>
      </c>
      <c r="CB11" s="14">
        <f t="array" aca="1" ref="CB11" ca="1">-(BP11-Q$6)/SQRT(SUM(($O$6:$R$6-$BN11:$BQ11)*($O$6:$R$6-$BN11:$BQ11)))</f>
        <v>4.2852213580980682E-3</v>
      </c>
      <c r="CC11" s="14">
        <f t="array" aca="1" ref="CC11" ca="1">-(BQ11-R$6)/SQRT(SUM(($O$6:$R$6-$BN11:$BQ11)*($O$6:$R$6-$BN11:$BQ11)))</f>
        <v>0</v>
      </c>
      <c r="CD11" s="14">
        <f t="array" aca="1" ref="CD11:CG11" ca="1">-BR11:BU11-BV11:BY11*2*SUM(-BR11:BU11*BV11:BY11)</f>
        <v>-0.37529205306273994</v>
      </c>
      <c r="CE11" s="14">
        <f ca="1"/>
        <v>0.29419823851574112</v>
      </c>
      <c r="CF11" s="14">
        <f ca="1"/>
        <v>0.87897853862434472</v>
      </c>
      <c r="CG11" s="14">
        <f ca="1"/>
        <v>0</v>
      </c>
      <c r="CH11" s="14">
        <f t="array" aca="1" ref="CH11:CK11" ca="1">-BZ11:CC11-BV11:BY11*2*SUM(-BZ11:CC11*BV11:BY11)</f>
        <v>0.57858622896733281</v>
      </c>
      <c r="CI11" s="14">
        <f ca="1"/>
        <v>0.8153589389064102</v>
      </c>
      <c r="CJ11" s="14">
        <f ca="1"/>
        <v>-2.0682755976270256E-2</v>
      </c>
      <c r="CK11" s="14">
        <f ca="1"/>
        <v>0</v>
      </c>
      <c r="CL11">
        <f t="array" aca="1" ref="CL11" ca="1">SUM(BZ11:CC11*BV11:BY11)</f>
        <v>0.81431388707478858</v>
      </c>
      <c r="CM11">
        <f t="array" aca="1" ref="CM11" ca="1">SUM(CH11:CK11*BR11:BU11)</f>
        <v>0.46142077538059695</v>
      </c>
      <c r="CN11" s="11">
        <f t="shared" ca="1" si="17"/>
        <v>0</v>
      </c>
      <c r="CO11" s="11">
        <f t="shared" ca="1" si="18"/>
        <v>0.73288249836730979</v>
      </c>
      <c r="CP11" s="11">
        <f t="shared" ca="1" si="19"/>
        <v>5.9384272360539939E-68</v>
      </c>
      <c r="CQ11" s="11">
        <f t="shared" ca="1" si="20"/>
        <v>0.73288249836730979</v>
      </c>
      <c r="CS11" s="10">
        <f t="array" aca="1" ref="CS11:CV11" ca="1">BN11:BQ11+BV11:BY11*0.001</f>
        <v>-2.0895274344368007</v>
      </c>
      <c r="CT11" s="10">
        <f ca="1"/>
        <v>-1.0518214731545188</v>
      </c>
      <c r="CU11" s="10">
        <f ca="1"/>
        <v>-10.058255017566802</v>
      </c>
      <c r="CV11" s="10">
        <f ca="1"/>
        <v>1</v>
      </c>
      <c r="CW11" s="10">
        <f t="shared" ca="1" si="21"/>
        <v>-0.58199269444091217</v>
      </c>
      <c r="CX11" s="10">
        <f t="shared" ca="1" si="22"/>
        <v>0.8131827226984838</v>
      </c>
      <c r="CY11" s="10">
        <f t="shared" ca="1" si="23"/>
        <v>4.2852213580980682E-3</v>
      </c>
      <c r="CZ11" s="10">
        <f t="shared" ca="1" si="24"/>
        <v>0</v>
      </c>
      <c r="DB11" s="10">
        <f t="array" aca="1" ref="DB11" ca="1">-SUM(($CW11:$CZ11)*($CS11:$CV11-OFFSET($C$6:$F$6,DB$5,0)))+SQRT(SUM(($CW11:$CZ11)*($CS11:$CV11-OFFSET($C$6:$F$6,DB$5,0)))^2-SUM(($CS11:$CV11-OFFSET($C$6:$F$6,DB$5,0))*($CS11:$CV11-OFFSET($C$6:$F$6,DB$5,0)))+OFFSET($G$6,DB$5,0)^2)</f>
        <v>-1.2280280001277788E-3</v>
      </c>
      <c r="DC11" s="10" t="e">
        <f t="array" aca="1" ref="DC11" ca="1">-SUM(($CW11:$CZ11)*($CS11:$CV11-OFFSET($C$6:$F$6,DC$5,0)))+SQRT(SUM(($CW11:$CZ11)*($CS11:$CV11-OFFSET($C$6:$F$6,DC$5,0)))^2-SUM(($CS11:$CV11-OFFSET($C$6:$F$6,DC$5,0))*($CS11:$CV11-OFFSET($C$6:$F$6,DC$5,0)))+OFFSET($G$6,DC$5,0)^2)</f>
        <v>#NUM!</v>
      </c>
      <c r="DD11" s="10" t="e">
        <f t="array" aca="1" ref="DD11" ca="1">-SUM(($CW11:$CZ11)*($CS11:$CV11-OFFSET($C$6:$F$6,DD$5,0)))+SQRT(SUM(($CW11:$CZ11)*($CS11:$CV11-OFFSET($C$6:$F$6,DD$5,0)))^2-SUM(($CS11:$CV11-OFFSET($C$6:$F$6,DD$5,0))*($CS11:$CV11-OFFSET($C$6:$F$6,DD$5,0)))+OFFSET($G$6,DD$5,0)^2)</f>
        <v>#NUM!</v>
      </c>
      <c r="DE11" s="10" t="e">
        <f t="array" aca="1" ref="DE11" ca="1">-SUM(($CW11:$CZ11)*($CS11:$CV11-OFFSET($C$6:$F$6,DE$5,0)))+SQRT(SUM(($CW11:$CZ11)*($CS11:$CV11-OFFSET($C$6:$F$6,DE$5,0)))^2-SUM(($CS11:$CV11-OFFSET($C$6:$F$6,DE$5,0))*($CS11:$CV11-OFFSET($C$6:$F$6,DE$5,0)))+OFFSET($G$6,DE$5,0)^2)</f>
        <v>#NUM!</v>
      </c>
      <c r="DF11" s="10" t="e">
        <f t="array" aca="1" ref="DF11" ca="1">-SUM(($CW11:$CZ11)*($CS11:$CV11-OFFSET($C$6:$F$6,DF$5,0)))+SQRT(SUM(($CW11:$CZ11)*($CS11:$CV11-OFFSET($C$6:$F$6,DF$5,0)))^2-SUM(($CS11:$CV11-OFFSET($C$6:$F$6,DF$5,0))*($CS11:$CV11-OFFSET($C$6:$F$6,DF$5,0)))+OFFSET($G$6,DF$5,0)^2)</f>
        <v>#NUM!</v>
      </c>
      <c r="DG11" s="10" t="e">
        <f t="array" aca="1" ref="DG11" ca="1">-SUM(($CW11:$CZ11)*($CS11:$CV11-OFFSET($C$6:$F$6,DG$5,0)))+SQRT(SUM(($CW11:$CZ11)*($CS11:$CV11-OFFSET($C$6:$F$6,DG$5,0)))^2-SUM(($CS11:$CV11-OFFSET($C$6:$F$6,DG$5,0))*($CS11:$CV11-OFFSET($C$6:$F$6,DG$5,0)))+OFFSET($G$6,DG$5,0)^2)</f>
        <v>#NUM!</v>
      </c>
      <c r="DH11" s="10" t="e">
        <f t="array" aca="1" ref="DH11" ca="1">-SUM(($CW11:$CZ11)*($CS11:$CV11-OFFSET($C$6:$F$6,DH$5,0)))+SQRT(SUM(($CW11:$CZ11)*($CS11:$CV11-OFFSET($C$6:$F$6,DH$5,0)))^2-SUM(($CS11:$CV11-OFFSET($C$6:$F$6,DH$5,0))*($CS11:$CV11-OFFSET($C$6:$F$6,DH$5,0)))+OFFSET($G$6,DH$5,0)^2)</f>
        <v>#NUM!</v>
      </c>
      <c r="DI11" s="10" t="e">
        <f t="array" aca="1" ref="DI11" ca="1">-SUM(($CW11:$CZ11)*($CS11:$CV11-OFFSET($C$6:$F$6,DI$5,0)))+SQRT(SUM(($CW11:$CZ11)*($CS11:$CV11-OFFSET($C$6:$F$6,DI$5,0)))^2-SUM(($CS11:$CV11-OFFSET($C$6:$F$6,DI$5,0))*($CS11:$CV11-OFFSET($C$6:$F$6,DI$5,0)))+OFFSET($G$6,DI$5,0)^2)</f>
        <v>#NUM!</v>
      </c>
      <c r="DJ11" s="10" t="e">
        <f t="array" aca="1" ref="DJ11" ca="1">-SUM(($CW11:$CZ11)*($CS11:$CV11-OFFSET($C$6:$F$6,DJ$5,0)))+SQRT(SUM(($CW11:$CZ11)*($CS11:$CV11-OFFSET($C$6:$F$6,DJ$5,0)))^2-SUM(($CS11:$CV11-OFFSET($C$6:$F$6,DJ$5,0))*($CS11:$CV11-OFFSET($C$6:$F$6,DJ$5,0)))+OFFSET($G$6,DJ$5,0)^2)</f>
        <v>#NUM!</v>
      </c>
      <c r="DK11" s="10" t="e">
        <f t="array" aca="1" ref="DK11" ca="1">-SUM(($CW11:$CZ11)*($CS11:$CV11-OFFSET($C$6:$F$6,DK$5,0)))+SQRT(SUM(($CW11:$CZ11)*($CS11:$CV11-OFFSET($C$6:$F$6,DK$5,0)))^2-SUM(($CS11:$CV11-OFFSET($C$6:$F$6,DK$5,0))*($CS11:$CV11-OFFSET($C$6:$F$6,DK$5,0)))+OFFSET($G$6,DK$5,0)^2)</f>
        <v>#NUM!</v>
      </c>
      <c r="DL11" s="10">
        <f t="array" aca="1" ref="DL11" ca="1">-SUM(($CW11:$CZ11)*($CS11:$CV11-OFFSET($C$6:$F$6,DB$5,0)))-SQRT(SUM(($CW11:$CZ11)*($CS11:$CV11-OFFSET($C$6:$F$6,DB$5,0)))^2-SUM(($CS11:$CV11-OFFSET($C$6:$F$6,DB$5,0))*($CS11:$CV11-OFFSET($C$6:$F$6,DB$5,0)))+OFFSET($G$6,DB$5,0)^2)</f>
        <v>-1626.9995469752016</v>
      </c>
      <c r="DM11" s="10" t="e">
        <f t="array" aca="1" ref="DM11" ca="1">-SUM(($CW11:$CZ11)*($CS11:$CV11-OFFSET($C$6:$F$6,DC$5,0)))-SQRT(SUM(($CW11:$CZ11)*($CS11:$CV11-OFFSET($C$6:$F$6,DC$5,0)))^2-SUM(($CS11:$CV11-OFFSET($C$6:$F$6,DC$5,0))*($CS11:$CV11-OFFSET($C$6:$F$6,DC$5,0)))+OFFSET($G$6,DC$5,0)^2)</f>
        <v>#NUM!</v>
      </c>
      <c r="DN11" s="10" t="e">
        <f t="array" aca="1" ref="DN11" ca="1">-SUM(($CW11:$CZ11)*($CS11:$CV11-OFFSET($C$6:$F$6,DD$5,0)))-SQRT(SUM(($CW11:$CZ11)*($CS11:$CV11-OFFSET($C$6:$F$6,DD$5,0)))^2-SUM(($CS11:$CV11-OFFSET($C$6:$F$6,DD$5,0))*($CS11:$CV11-OFFSET($C$6:$F$6,DD$5,0)))+OFFSET($G$6,DD$5,0)^2)</f>
        <v>#NUM!</v>
      </c>
      <c r="DO11" s="10" t="e">
        <f t="array" aca="1" ref="DO11" ca="1">-SUM(($CW11:$CZ11)*($CS11:$CV11-OFFSET($C$6:$F$6,DE$5,0)))-SQRT(SUM(($CW11:$CZ11)*($CS11:$CV11-OFFSET($C$6:$F$6,DE$5,0)))^2-SUM(($CS11:$CV11-OFFSET($C$6:$F$6,DE$5,0))*($CS11:$CV11-OFFSET($C$6:$F$6,DE$5,0)))+OFFSET($G$6,DE$5,0)^2)</f>
        <v>#NUM!</v>
      </c>
      <c r="DP11" s="10" t="e">
        <f t="array" aca="1" ref="DP11" ca="1">-SUM(($CW11:$CZ11)*($CS11:$CV11-OFFSET($C$6:$F$6,DF$5,0)))-SQRT(SUM(($CW11:$CZ11)*($CS11:$CV11-OFFSET($C$6:$F$6,DF$5,0)))^2-SUM(($CS11:$CV11-OFFSET($C$6:$F$6,DF$5,0))*($CS11:$CV11-OFFSET($C$6:$F$6,DF$5,0)))+OFFSET($G$6,DF$5,0)^2)</f>
        <v>#NUM!</v>
      </c>
      <c r="DQ11" s="10" t="e">
        <f t="array" aca="1" ref="DQ11" ca="1">-SUM(($CW11:$CZ11)*($CS11:$CV11-OFFSET($C$6:$F$6,DG$5,0)))-SQRT(SUM(($CW11:$CZ11)*($CS11:$CV11-OFFSET($C$6:$F$6,DG$5,0)))^2-SUM(($CS11:$CV11-OFFSET($C$6:$F$6,DG$5,0))*($CS11:$CV11-OFFSET($C$6:$F$6,DG$5,0)))+OFFSET($G$6,DG$5,0)^2)</f>
        <v>#NUM!</v>
      </c>
      <c r="DR11" s="10" t="e">
        <f t="array" aca="1" ref="DR11" ca="1">-SUM(($CW11:$CZ11)*($CS11:$CV11-OFFSET($C$6:$F$6,DH$5,0)))-SQRT(SUM(($CW11:$CZ11)*($CS11:$CV11-OFFSET($C$6:$F$6,DH$5,0)))^2-SUM(($CS11:$CV11-OFFSET($C$6:$F$6,DH$5,0))*($CS11:$CV11-OFFSET($C$6:$F$6,DH$5,0)))+OFFSET($G$6,DH$5,0)^2)</f>
        <v>#NUM!</v>
      </c>
      <c r="DS11" s="10" t="e">
        <f t="array" aca="1" ref="DS11" ca="1">-SUM(($CW11:$CZ11)*($CS11:$CV11-OFFSET($C$6:$F$6,DI$5,0)))-SQRT(SUM(($CW11:$CZ11)*($CS11:$CV11-OFFSET($C$6:$F$6,DI$5,0)))^2-SUM(($CS11:$CV11-OFFSET($C$6:$F$6,DI$5,0))*($CS11:$CV11-OFFSET($C$6:$F$6,DI$5,0)))+OFFSET($G$6,DI$5,0)^2)</f>
        <v>#NUM!</v>
      </c>
      <c r="DT11" s="10" t="e">
        <f t="array" aca="1" ref="DT11" ca="1">-SUM(($CW11:$CZ11)*($CS11:$CV11-OFFSET($C$6:$F$6,DJ$5,0)))-SQRT(SUM(($CW11:$CZ11)*($CS11:$CV11-OFFSET($C$6:$F$6,DJ$5,0)))^2-SUM(($CS11:$CV11-OFFSET($C$6:$F$6,DJ$5,0))*($CS11:$CV11-OFFSET($C$6:$F$6,DJ$5,0)))+OFFSET($G$6,DJ$5,0)^2)</f>
        <v>#NUM!</v>
      </c>
      <c r="DU11" s="10" t="e">
        <f t="array" aca="1" ref="DU11" ca="1">-SUM(($CW11:$CZ11)*($CS11:$CV11-OFFSET($C$6:$F$6,DK$5,0)))-SQRT(SUM(($CW11:$CZ11)*($CS11:$CV11-OFFSET($C$6:$F$6,DK$5,0)))^2-SUM(($CS11:$CV11-OFFSET($C$6:$F$6,DK$5,0))*($CS11:$CV11-OFFSET($C$6:$F$6,DK$5,0)))+OFFSET($G$6,DK$5,0)^2)</f>
        <v>#NUM!</v>
      </c>
      <c r="DW11" s="10">
        <f t="array" aca="1" ref="DW11" ca="1">MIN(IF(IF(ISERROR(DB11:DU11),-1,DB11:DU11)&lt;0,9999999999,DB11:DU11))</f>
        <v>9999999999</v>
      </c>
      <c r="DY11" s="11">
        <f t="shared" ca="1" si="25"/>
        <v>0.73288249836730979</v>
      </c>
      <c r="EB11" s="10">
        <f t="array" aca="1" ref="EB11:EE11" ca="1">BN11:BQ11+BV11:BY11*0.01</f>
        <v>-2.0895462589894387</v>
      </c>
      <c r="EC11" s="10">
        <f ca="1"/>
        <v>-1.0428219490231698</v>
      </c>
      <c r="ED11" s="10">
        <f ca="1"/>
        <v>-10.058345632386166</v>
      </c>
      <c r="EE11" s="10">
        <f ca="1"/>
        <v>1</v>
      </c>
      <c r="EF11" s="10">
        <f t="shared" ca="1" si="26"/>
        <v>-0.37529205306273994</v>
      </c>
      <c r="EG11" s="10">
        <f t="shared" ca="1" si="27"/>
        <v>0.29419823851574112</v>
      </c>
      <c r="EH11" s="10">
        <f t="shared" ca="1" si="28"/>
        <v>0.87897853862434472</v>
      </c>
      <c r="EI11" s="10">
        <f t="shared" ca="1" si="29"/>
        <v>0</v>
      </c>
      <c r="EK11" s="10">
        <f t="array" aca="1" ref="EK11" ca="1">-SUM(($EF11:$EI11)*($EB11:$EE11-OFFSET($C$6:$F$6,EK$5,0)))+SQRT(SUM(($EF11:$EI11)*($EB11:$EE11-OFFSET($C$6:$F$6,EK$5,0)))^2-SUM(($EB11:$EE11-OFFSET($C$6:$F$6,EK$5,0))*($EB11:$EE11-OFFSET($C$6:$F$6,EK$5,0)))+OFFSET($G$6,EK$5,0)^2)</f>
        <v>-3.4952599020527941E-2</v>
      </c>
      <c r="EL11" s="10" t="e">
        <f t="array" aca="1" ref="EL11" ca="1">-SUM(($EF11:$EI11)*($EB11:$EE11-OFFSET($C$6:$F$6,EL$5,0)))+SQRT(SUM(($EF11:$EI11)*($EB11:$EE11-OFFSET($C$6:$F$6,EL$5,0)))^2-SUM(($EB11:$EE11-OFFSET($C$6:$F$6,EL$5,0))*($EB11:$EE11-OFFSET($C$6:$F$6,EL$5,0)))+OFFSET($G$6,EL$5,0)^2)</f>
        <v>#NUM!</v>
      </c>
      <c r="EM11" s="10" t="e">
        <f t="array" aca="1" ref="EM11" ca="1">-SUM(($EF11:$EI11)*($EB11:$EE11-OFFSET($C$6:$F$6,EM$5,0)))+SQRT(SUM(($EF11:$EI11)*($EB11:$EE11-OFFSET($C$6:$F$6,EM$5,0)))^2-SUM(($EB11:$EE11-OFFSET($C$6:$F$6,EM$5,0))*($EB11:$EE11-OFFSET($C$6:$F$6,EM$5,0)))+OFFSET($G$6,EM$5,0)^2)</f>
        <v>#NUM!</v>
      </c>
      <c r="EN11" s="10" t="e">
        <f t="array" aca="1" ref="EN11" ca="1">-SUM(($EF11:$EI11)*($EB11:$EE11-OFFSET($C$6:$F$6,EN$5,0)))+SQRT(SUM(($EF11:$EI11)*($EB11:$EE11-OFFSET($C$6:$F$6,EN$5,0)))^2-SUM(($EB11:$EE11-OFFSET($C$6:$F$6,EN$5,0))*($EB11:$EE11-OFFSET($C$6:$F$6,EN$5,0)))+OFFSET($G$6,EN$5,0)^2)</f>
        <v>#NUM!</v>
      </c>
      <c r="EO11" s="10" t="e">
        <f t="array" aca="1" ref="EO11" ca="1">-SUM(($EF11:$EI11)*($EB11:$EE11-OFFSET($C$6:$F$6,EO$5,0)))+SQRT(SUM(($EF11:$EI11)*($EB11:$EE11-OFFSET($C$6:$F$6,EO$5,0)))^2-SUM(($EB11:$EE11-OFFSET($C$6:$F$6,EO$5,0))*($EB11:$EE11-OFFSET($C$6:$F$6,EO$5,0)))+OFFSET($G$6,EO$5,0)^2)</f>
        <v>#NUM!</v>
      </c>
      <c r="EP11" s="10" t="e">
        <f t="array" aca="1" ref="EP11" ca="1">-SUM(($EF11:$EI11)*($EB11:$EE11-OFFSET($C$6:$F$6,EP$5,0)))+SQRT(SUM(($EF11:$EI11)*($EB11:$EE11-OFFSET($C$6:$F$6,EP$5,0)))^2-SUM(($EB11:$EE11-OFFSET($C$6:$F$6,EP$5,0))*($EB11:$EE11-OFFSET($C$6:$F$6,EP$5,0)))+OFFSET($G$6,EP$5,0)^2)</f>
        <v>#NUM!</v>
      </c>
      <c r="EQ11" s="10" t="e">
        <f t="array" aca="1" ref="EQ11" ca="1">-SUM(($EF11:$EI11)*($EB11:$EE11-OFFSET($C$6:$F$6,EQ$5,0)))+SQRT(SUM(($EF11:$EI11)*($EB11:$EE11-OFFSET($C$6:$F$6,EQ$5,0)))^2-SUM(($EB11:$EE11-OFFSET($C$6:$F$6,EQ$5,0))*($EB11:$EE11-OFFSET($C$6:$F$6,EQ$5,0)))+OFFSET($G$6,EQ$5,0)^2)</f>
        <v>#NUM!</v>
      </c>
      <c r="ER11" s="10" t="e">
        <f t="array" aca="1" ref="ER11" ca="1">-SUM(($EF11:$EI11)*($EB11:$EE11-OFFSET($C$6:$F$6,ER$5,0)))+SQRT(SUM(($EF11:$EI11)*($EB11:$EE11-OFFSET($C$6:$F$6,ER$5,0)))^2-SUM(($EB11:$EE11-OFFSET($C$6:$F$6,ER$5,0))*($EB11:$EE11-OFFSET($C$6:$F$6,ER$5,0)))+OFFSET($G$6,ER$5,0)^2)</f>
        <v>#NUM!</v>
      </c>
      <c r="ES11" s="10" t="e">
        <f t="array" aca="1" ref="ES11" ca="1">-SUM(($EF11:$EI11)*($EB11:$EE11-OFFSET($C$6:$F$6,ES$5,0)))+SQRT(SUM(($EF11:$EI11)*($EB11:$EE11-OFFSET($C$6:$F$6,ES$5,0)))^2-SUM(($EB11:$EE11-OFFSET($C$6:$F$6,ES$5,0))*($EB11:$EE11-OFFSET($C$6:$F$6,ES$5,0)))+OFFSET($G$6,ES$5,0)^2)</f>
        <v>#NUM!</v>
      </c>
      <c r="ET11" s="10" t="e">
        <f t="array" aca="1" ref="ET11" ca="1">-SUM(($EF11:$EI11)*($EB11:$EE11-OFFSET($C$6:$F$6,ET$5,0)))+SQRT(SUM(($EF11:$EI11)*($EB11:$EE11-OFFSET($C$6:$F$6,ET$5,0)))^2-SUM(($EB11:$EE11-OFFSET($C$6:$F$6,ET$5,0))*($EB11:$EE11-OFFSET($C$6:$F$6,ET$5,0)))+OFFSET($G$6,ET$5,0)^2)</f>
        <v>#NUM!</v>
      </c>
      <c r="EU11" s="10">
        <f t="array" aca="1" ref="EU11" ca="1">-SUM(($EF11:$EI11)*($EB11:$EE11-OFFSET($C$6:$F$6,EK$5,0)))-SQRT(SUM(($EF11:$EI11)*($EB11:$EE11-OFFSET($C$6:$F$6,EK$5,0)))^2-SUM(($EB11:$EE11-OFFSET($C$6:$F$6,EK$5,0))*($EB11:$EE11-OFFSET($C$6:$F$6,EK$5,0)))+OFFSET($G$6,EK$5,0)^2)</f>
        <v>-571.63417199263017</v>
      </c>
      <c r="EV11" s="10" t="e">
        <f t="array" aca="1" ref="EV11" ca="1">-SUM(($EF11:$EI11)*($EB11:$EE11-OFFSET($C$6:$F$6,EL$5,0)))-SQRT(SUM(($EF11:$EI11)*($EB11:$EE11-OFFSET($C$6:$F$6,EL$5,0)))^2-SUM(($EB11:$EE11-OFFSET($C$6:$F$6,EL$5,0))*($EB11:$EE11-OFFSET($C$6:$F$6,EL$5,0)))+OFFSET($G$6,EL$5,0)^2)</f>
        <v>#NUM!</v>
      </c>
      <c r="EW11" s="10" t="e">
        <f t="array" aca="1" ref="EW11" ca="1">-SUM(($EF11:$EI11)*($EB11:$EE11-OFFSET($C$6:$F$6,EM$5,0)))-SQRT(SUM(($EF11:$EI11)*($EB11:$EE11-OFFSET($C$6:$F$6,EM$5,0)))^2-SUM(($EB11:$EE11-OFFSET($C$6:$F$6,EM$5,0))*($EB11:$EE11-OFFSET($C$6:$F$6,EM$5,0)))+OFFSET($G$6,EM$5,0)^2)</f>
        <v>#NUM!</v>
      </c>
      <c r="EX11" s="10" t="e">
        <f t="array" aca="1" ref="EX11" ca="1">-SUM(($EF11:$EI11)*($EB11:$EE11-OFFSET($C$6:$F$6,EN$5,0)))-SQRT(SUM(($EF11:$EI11)*($EB11:$EE11-OFFSET($C$6:$F$6,EN$5,0)))^2-SUM(($EB11:$EE11-OFFSET($C$6:$F$6,EN$5,0))*($EB11:$EE11-OFFSET($C$6:$F$6,EN$5,0)))+OFFSET($G$6,EN$5,0)^2)</f>
        <v>#NUM!</v>
      </c>
      <c r="EY11" s="10" t="e">
        <f t="array" aca="1" ref="EY11" ca="1">-SUM(($EF11:$EI11)*($EB11:$EE11-OFFSET($C$6:$F$6,EO$5,0)))-SQRT(SUM(($EF11:$EI11)*($EB11:$EE11-OFFSET($C$6:$F$6,EO$5,0)))^2-SUM(($EB11:$EE11-OFFSET($C$6:$F$6,EO$5,0))*($EB11:$EE11-OFFSET($C$6:$F$6,EO$5,0)))+OFFSET($G$6,EO$5,0)^2)</f>
        <v>#NUM!</v>
      </c>
      <c r="EZ11" s="10" t="e">
        <f t="array" aca="1" ref="EZ11" ca="1">-SUM(($EF11:$EI11)*($EB11:$EE11-OFFSET($C$6:$F$6,EP$5,0)))-SQRT(SUM(($EF11:$EI11)*($EB11:$EE11-OFFSET($C$6:$F$6,EP$5,0)))^2-SUM(($EB11:$EE11-OFFSET($C$6:$F$6,EP$5,0))*($EB11:$EE11-OFFSET($C$6:$F$6,EP$5,0)))+OFFSET($G$6,EP$5,0)^2)</f>
        <v>#NUM!</v>
      </c>
      <c r="FA11" s="10" t="e">
        <f t="array" aca="1" ref="FA11" ca="1">-SUM(($EF11:$EI11)*($EB11:$EE11-OFFSET($C$6:$F$6,EQ$5,0)))-SQRT(SUM(($EF11:$EI11)*($EB11:$EE11-OFFSET($C$6:$F$6,EQ$5,0)))^2-SUM(($EB11:$EE11-OFFSET($C$6:$F$6,EQ$5,0))*($EB11:$EE11-OFFSET($C$6:$F$6,EQ$5,0)))+OFFSET($G$6,EQ$5,0)^2)</f>
        <v>#NUM!</v>
      </c>
      <c r="FB11" s="10" t="e">
        <f t="array" aca="1" ref="FB11" ca="1">-SUM(($EF11:$EI11)*($EB11:$EE11-OFFSET($C$6:$F$6,ER$5,0)))-SQRT(SUM(($EF11:$EI11)*($EB11:$EE11-OFFSET($C$6:$F$6,ER$5,0)))^2-SUM(($EB11:$EE11-OFFSET($C$6:$F$6,ER$5,0))*($EB11:$EE11-OFFSET($C$6:$F$6,ER$5,0)))+OFFSET($G$6,ER$5,0)^2)</f>
        <v>#NUM!</v>
      </c>
      <c r="FC11" s="10" t="e">
        <f t="array" aca="1" ref="FC11" ca="1">-SUM(($EF11:$EI11)*($EB11:$EE11-OFFSET($C$6:$F$6,ES$5,0)))-SQRT(SUM(($EF11:$EI11)*($EB11:$EE11-OFFSET($C$6:$F$6,ES$5,0)))^2-SUM(($EB11:$EE11-OFFSET($C$6:$F$6,ES$5,0))*($EB11:$EE11-OFFSET($C$6:$F$6,ES$5,0)))+OFFSET($G$6,ES$5,0)^2)</f>
        <v>#NUM!</v>
      </c>
      <c r="FD11" s="10" t="e">
        <f t="array" aca="1" ref="FD11" ca="1">-SUM(($EF11:$EI11)*($EB11:$EE11-OFFSET($C$6:$F$6,ET$5,0)))-SQRT(SUM(($EF11:$EI11)*($EB11:$EE11-OFFSET($C$6:$F$6,ET$5,0)))^2-SUM(($EB11:$EE11-OFFSET($C$6:$F$6,ET$5,0))*($EB11:$EE11-OFFSET($C$6:$F$6,ET$5,0)))+OFFSET($G$6,ET$5,0)^2)</f>
        <v>#NUM!</v>
      </c>
      <c r="FF11" s="10">
        <f t="array" aca="1" ref="FF11" ca="1">MIN(IF(IF(ISERROR(EK11:FD11),-1,EK11:FD11)&lt;0,9999999999,EK11:FD11))</f>
        <v>9999999999</v>
      </c>
      <c r="FH11">
        <f t="shared" ca="1" si="30"/>
        <v>-1</v>
      </c>
      <c r="FJ11" s="10">
        <f t="shared" ca="1" si="31"/>
        <v>-3752920532.3416533</v>
      </c>
      <c r="FK11" s="10">
        <f t="shared" ca="1" si="32"/>
        <v>2941982383.8203912</v>
      </c>
      <c r="FL11" s="10">
        <f t="shared" ca="1" si="33"/>
        <v>8789785375.3061237</v>
      </c>
      <c r="FM11" s="10">
        <f t="shared" ca="1" si="34"/>
        <v>1</v>
      </c>
      <c r="FN11" s="14">
        <f t="shared" ca="1" si="35"/>
        <v>0.37529205306273994</v>
      </c>
      <c r="FO11" s="14">
        <f t="shared" ca="1" si="0"/>
        <v>-0.29419823851574112</v>
      </c>
      <c r="FP11" s="14">
        <f t="shared" ca="1" si="1"/>
        <v>-0.87897853862434472</v>
      </c>
      <c r="FQ11" s="14">
        <f t="shared" ca="1" si="2"/>
        <v>0</v>
      </c>
      <c r="FR11" s="10" t="e">
        <f t="array" aca="1" ref="FR11" ca="1">(FJ11-OFFSET(C$6,$FH11,0))/SQRT(SUM(($FJ11:$FM11-OFFSET($C$6:$F$6,$FH11,0))*($FJ11:$FM11-OFFSET($C$6:$F$6,$FH11,0))))</f>
        <v>#VALUE!</v>
      </c>
      <c r="FS11" s="10" t="e">
        <f t="array" aca="1" ref="FS11" ca="1">(FK11-OFFSET(D$6,$FH11,0))/SQRT(SUM(($FJ11:$FM11-OFFSET($C$6:$F$6,$FH11,0))*($FJ11:$FM11-OFFSET($C$6:$F$6,$FH11,0))))</f>
        <v>#VALUE!</v>
      </c>
      <c r="FT11" s="10" t="e">
        <f t="array" aca="1" ref="FT11" ca="1">(FL11-OFFSET(E$6,$FH11,0))/SQRT(SUM(($FJ11:$FM11-OFFSET($C$6:$F$6,$FH11,0))*($FJ11:$FM11-OFFSET($C$6:$F$6,$FH11,0))))</f>
        <v>#VALUE!</v>
      </c>
      <c r="FU11" s="10" t="e">
        <f t="array" aca="1" ref="FU11" ca="1">(FM11-OFFSET(F$6,$FH11,0))/SQRT(SUM(($FJ11:$FM11-OFFSET($C$6:$F$6,$FH11,0))*($FJ11:$FM11-OFFSET($C$6:$F$6,$FH11,0))))</f>
        <v>#VALUE!</v>
      </c>
      <c r="FV11" s="14">
        <f t="array" aca="1" ref="FV11" ca="1">-(FJ11-O$6)/SQRT(SUM(($O$6:$R$6-$FJ11:$FM11)*($O$6:$R$6-$FJ11:$FM11)))</f>
        <v>0.37529205250695735</v>
      </c>
      <c r="FW11" s="14">
        <f t="array" aca="1" ref="FW11" ca="1">-(FK11-P$6)/SQRT(SUM(($O$6:$R$6-$FJ11:$FM11)*($O$6:$R$6-$FJ11:$FM11)))</f>
        <v>-0.2941982375958857</v>
      </c>
      <c r="FX11" s="14">
        <f t="array" aca="1" ref="FX11" ca="1">-(FL11-Q$6)/SQRT(SUM(($O$6:$R$6-$FJ11:$FM11)*($O$6:$R$6-$FJ11:$FM11)))</f>
        <v>-0.87897853916952373</v>
      </c>
      <c r="FY11" s="14">
        <f t="array" aca="1" ref="FY11" ca="1">-(FM11-R$6)/SQRT(SUM(($O$6:$R$6-$FJ11:$FM11)*($O$6:$R$6-$FJ11:$FM11)))</f>
        <v>0</v>
      </c>
      <c r="FZ11" s="14" t="e">
        <f t="array" aca="1" ref="FZ11:GC11" ca="1">-FN11:FQ11-FR11:FU11*2*SUM(-FN11:FQ11*FR11:FU11)</f>
        <v>#VALUE!</v>
      </c>
      <c r="GA11" s="14" t="e">
        <f ca="1"/>
        <v>#VALUE!</v>
      </c>
      <c r="GB11" s="14" t="e">
        <f ca="1"/>
        <v>#VALUE!</v>
      </c>
      <c r="GC11" s="14" t="e">
        <f ca="1"/>
        <v>#VALUE!</v>
      </c>
      <c r="GD11" s="14" t="e">
        <f t="array" aca="1" ref="GD11:GG11" ca="1">-FV11:FY11-FR11:FU11*2*SUM(-FV11:FY11*FR11:FU11)</f>
        <v>#VALUE!</v>
      </c>
      <c r="GE11" s="14" t="e">
        <f ca="1"/>
        <v>#VALUE!</v>
      </c>
      <c r="GF11" s="14" t="e">
        <f ca="1"/>
        <v>#VALUE!</v>
      </c>
      <c r="GG11" s="14" t="e">
        <f ca="1"/>
        <v>#VALUE!</v>
      </c>
      <c r="GH11" t="e">
        <f t="array" aca="1" ref="GH11" ca="1">SUM(FV11:FY11*FR11:FU11)</f>
        <v>#VALUE!</v>
      </c>
      <c r="GI11" t="e">
        <f t="array" aca="1" ref="GI11" ca="1">SUM(GD11:GG11*FN11:FQ11)</f>
        <v>#VALUE!</v>
      </c>
      <c r="GJ11" s="11" t="e">
        <f t="shared" ca="1" si="36"/>
        <v>#VALUE!</v>
      </c>
      <c r="GK11" s="11" t="e">
        <f t="shared" ca="1" si="37"/>
        <v>#VALUE!</v>
      </c>
      <c r="GL11" s="11" t="e">
        <f t="shared" ca="1" si="38"/>
        <v>#VALUE!</v>
      </c>
      <c r="GM11" s="11">
        <f t="shared" ca="1" si="39"/>
        <v>0</v>
      </c>
      <c r="GO11" s="10" t="e">
        <f t="array" aca="1" ref="GO11:GR11" ca="1">FJ11:FM11+FR11:FU11*0.001</f>
        <v>#VALUE!</v>
      </c>
      <c r="GP11" s="10" t="e">
        <f ca="1"/>
        <v>#VALUE!</v>
      </c>
      <c r="GQ11" s="10" t="e">
        <f ca="1"/>
        <v>#VALUE!</v>
      </c>
      <c r="GR11" s="10" t="e">
        <f ca="1"/>
        <v>#VALUE!</v>
      </c>
      <c r="GS11" s="10">
        <f t="shared" ca="1" si="40"/>
        <v>0.37529205250695735</v>
      </c>
      <c r="GT11" s="10">
        <f t="shared" ca="1" si="3"/>
        <v>-0.2941982375958857</v>
      </c>
      <c r="GU11" s="10">
        <f t="shared" ca="1" si="4"/>
        <v>-0.87897853916952373</v>
      </c>
      <c r="GV11" s="10">
        <f t="shared" ca="1" si="5"/>
        <v>0</v>
      </c>
      <c r="GX11" s="10" t="e">
        <f t="array" aca="1" ref="GX11" ca="1">-SUM(($GS11:$GV11)*($GO11:$GR11-OFFSET($C$6:$F$6,GX$5,0)))+SQRT(SUM(($GS11:$GV11)*($GO11:$GR11-OFFSET($C$6:$F$6,GX$5,0)))^2-SUM(($GO11:$GR11-OFFSET($C$6:$F$6,GX$5,0))*($GO11:$GR11-OFFSET($C$6:$F$6,GX$5,0)))+OFFSET($G$6,GX$5,0)^2)</f>
        <v>#VALUE!</v>
      </c>
      <c r="GY11" s="10" t="e">
        <f t="array" aca="1" ref="GY11" ca="1">-SUM(($GS11:$GV11)*($GO11:$GR11-OFFSET($C$6:$F$6,GY$5,0)))+SQRT(SUM(($GS11:$GV11)*($GO11:$GR11-OFFSET($C$6:$F$6,GY$5,0)))^2-SUM(($GO11:$GR11-OFFSET($C$6:$F$6,GY$5,0))*($GO11:$GR11-OFFSET($C$6:$F$6,GY$5,0)))+OFFSET($G$6,GY$5,0)^2)</f>
        <v>#VALUE!</v>
      </c>
      <c r="GZ11" s="10" t="e">
        <f t="array" aca="1" ref="GZ11" ca="1">-SUM(($GS11:$GV11)*($GO11:$GR11-OFFSET($C$6:$F$6,GZ$5,0)))+SQRT(SUM(($GS11:$GV11)*($GO11:$GR11-OFFSET($C$6:$F$6,GZ$5,0)))^2-SUM(($GO11:$GR11-OFFSET($C$6:$F$6,GZ$5,0))*($GO11:$GR11-OFFSET($C$6:$F$6,GZ$5,0)))+OFFSET($G$6,GZ$5,0)^2)</f>
        <v>#VALUE!</v>
      </c>
      <c r="HA11" s="10" t="e">
        <f t="array" aca="1" ref="HA11" ca="1">-SUM(($GS11:$GV11)*($GO11:$GR11-OFFSET($C$6:$F$6,HA$5,0)))+SQRT(SUM(($GS11:$GV11)*($GO11:$GR11-OFFSET($C$6:$F$6,HA$5,0)))^2-SUM(($GO11:$GR11-OFFSET($C$6:$F$6,HA$5,0))*($GO11:$GR11-OFFSET($C$6:$F$6,HA$5,0)))+OFFSET($G$6,HA$5,0)^2)</f>
        <v>#VALUE!</v>
      </c>
      <c r="HB11" s="10" t="e">
        <f t="array" aca="1" ref="HB11" ca="1">-SUM(($GS11:$GV11)*($GO11:$GR11-OFFSET($C$6:$F$6,HB$5,0)))+SQRT(SUM(($GS11:$GV11)*($GO11:$GR11-OFFSET($C$6:$F$6,HB$5,0)))^2-SUM(($GO11:$GR11-OFFSET($C$6:$F$6,HB$5,0))*($GO11:$GR11-OFFSET($C$6:$F$6,HB$5,0)))+OFFSET($G$6,HB$5,0)^2)</f>
        <v>#VALUE!</v>
      </c>
      <c r="HC11" s="10" t="e">
        <f t="array" aca="1" ref="HC11" ca="1">-SUM(($GS11:$GV11)*($GO11:$GR11-OFFSET($C$6:$F$6,HC$5,0)))+SQRT(SUM(($GS11:$GV11)*($GO11:$GR11-OFFSET($C$6:$F$6,HC$5,0)))^2-SUM(($GO11:$GR11-OFFSET($C$6:$F$6,HC$5,0))*($GO11:$GR11-OFFSET($C$6:$F$6,HC$5,0)))+OFFSET($G$6,HC$5,0)^2)</f>
        <v>#VALUE!</v>
      </c>
      <c r="HD11" s="10" t="e">
        <f t="array" aca="1" ref="HD11" ca="1">-SUM(($GS11:$GV11)*($GO11:$GR11-OFFSET($C$6:$F$6,HD$5,0)))+SQRT(SUM(($GS11:$GV11)*($GO11:$GR11-OFFSET($C$6:$F$6,HD$5,0)))^2-SUM(($GO11:$GR11-OFFSET($C$6:$F$6,HD$5,0))*($GO11:$GR11-OFFSET($C$6:$F$6,HD$5,0)))+OFFSET($G$6,HD$5,0)^2)</f>
        <v>#VALUE!</v>
      </c>
      <c r="HE11" s="10" t="e">
        <f t="array" aca="1" ref="HE11" ca="1">-SUM(($GS11:$GV11)*($GO11:$GR11-OFFSET($C$6:$F$6,HE$5,0)))+SQRT(SUM(($GS11:$GV11)*($GO11:$GR11-OFFSET($C$6:$F$6,HE$5,0)))^2-SUM(($GO11:$GR11-OFFSET($C$6:$F$6,HE$5,0))*($GO11:$GR11-OFFSET($C$6:$F$6,HE$5,0)))+OFFSET($G$6,HE$5,0)^2)</f>
        <v>#VALUE!</v>
      </c>
      <c r="HF11" s="10" t="e">
        <f t="array" aca="1" ref="HF11" ca="1">-SUM(($GS11:$GV11)*($GO11:$GR11-OFFSET($C$6:$F$6,HF$5,0)))+SQRT(SUM(($GS11:$GV11)*($GO11:$GR11-OFFSET($C$6:$F$6,HF$5,0)))^2-SUM(($GO11:$GR11-OFFSET($C$6:$F$6,HF$5,0))*($GO11:$GR11-OFFSET($C$6:$F$6,HF$5,0)))+OFFSET($G$6,HF$5,0)^2)</f>
        <v>#VALUE!</v>
      </c>
      <c r="HG11" s="10" t="e">
        <f t="array" aca="1" ref="HG11" ca="1">-SUM(($GS11:$GV11)*($GO11:$GR11-OFFSET($C$6:$F$6,HG$5,0)))+SQRT(SUM(($GS11:$GV11)*($GO11:$GR11-OFFSET($C$6:$F$6,HG$5,0)))^2-SUM(($GO11:$GR11-OFFSET($C$6:$F$6,HG$5,0))*($GO11:$GR11-OFFSET($C$6:$F$6,HG$5,0)))+OFFSET($G$6,HG$5,0)^2)</f>
        <v>#VALUE!</v>
      </c>
      <c r="HH11" s="10" t="e">
        <f t="array" aca="1" ref="HH11" ca="1">-SUM(($GS11:$GV11)*($GO11:$GR11-OFFSET($C$6:$F$6,GX$5,0)))-SQRT(SUM(($GS11:$GV11)*($GO11:$GR11-OFFSET($C$6:$F$6,GX$5,0)))^2-SUM(($GO11:$GR11-OFFSET($C$6:$F$6,GX$5,0))*($GO11:$GR11-OFFSET($C$6:$F$6,GX$5,0)))+OFFSET($G$6,GX$5,0)^2)</f>
        <v>#VALUE!</v>
      </c>
      <c r="HI11" s="10" t="e">
        <f t="array" aca="1" ref="HI11" ca="1">-SUM(($GS11:$GV11)*($GO11:$GR11-OFFSET($C$6:$F$6,GY$5,0)))-SQRT(SUM(($GS11:$GV11)*($GO11:$GR11-OFFSET($C$6:$F$6,GY$5,0)))^2-SUM(($GO11:$GR11-OFFSET($C$6:$F$6,GY$5,0))*($GO11:$GR11-OFFSET($C$6:$F$6,GY$5,0)))+OFFSET($G$6,GY$5,0)^2)</f>
        <v>#VALUE!</v>
      </c>
      <c r="HJ11" s="10" t="e">
        <f t="array" aca="1" ref="HJ11" ca="1">-SUM(($GS11:$GV11)*($GO11:$GR11-OFFSET($C$6:$F$6,GZ$5,0)))-SQRT(SUM(($GS11:$GV11)*($GO11:$GR11-OFFSET($C$6:$F$6,GZ$5,0)))^2-SUM(($GO11:$GR11-OFFSET($C$6:$F$6,GZ$5,0))*($GO11:$GR11-OFFSET($C$6:$F$6,GZ$5,0)))+OFFSET($G$6,GZ$5,0)^2)</f>
        <v>#VALUE!</v>
      </c>
      <c r="HK11" s="10" t="e">
        <f t="array" aca="1" ref="HK11" ca="1">-SUM(($GS11:$GV11)*($GO11:$GR11-OFFSET($C$6:$F$6,HA$5,0)))-SQRT(SUM(($GS11:$GV11)*($GO11:$GR11-OFFSET($C$6:$F$6,HA$5,0)))^2-SUM(($GO11:$GR11-OFFSET($C$6:$F$6,HA$5,0))*($GO11:$GR11-OFFSET($C$6:$F$6,HA$5,0)))+OFFSET($G$6,HA$5,0)^2)</f>
        <v>#VALUE!</v>
      </c>
      <c r="HL11" s="10" t="e">
        <f t="array" aca="1" ref="HL11" ca="1">-SUM(($GS11:$GV11)*($GO11:$GR11-OFFSET($C$6:$F$6,HB$5,0)))-SQRT(SUM(($GS11:$GV11)*($GO11:$GR11-OFFSET($C$6:$F$6,HB$5,0)))^2-SUM(($GO11:$GR11-OFFSET($C$6:$F$6,HB$5,0))*($GO11:$GR11-OFFSET($C$6:$F$6,HB$5,0)))+OFFSET($G$6,HB$5,0)^2)</f>
        <v>#VALUE!</v>
      </c>
      <c r="HM11" s="10" t="e">
        <f t="array" aca="1" ref="HM11" ca="1">-SUM(($GS11:$GV11)*($GO11:$GR11-OFFSET($C$6:$F$6,HC$5,0)))-SQRT(SUM(($GS11:$GV11)*($GO11:$GR11-OFFSET($C$6:$F$6,HC$5,0)))^2-SUM(($GO11:$GR11-OFFSET($C$6:$F$6,HC$5,0))*($GO11:$GR11-OFFSET($C$6:$F$6,HC$5,0)))+OFFSET($G$6,HC$5,0)^2)</f>
        <v>#VALUE!</v>
      </c>
      <c r="HN11" s="10" t="e">
        <f t="array" aca="1" ref="HN11" ca="1">-SUM(($GS11:$GV11)*($GO11:$GR11-OFFSET($C$6:$F$6,HD$5,0)))-SQRT(SUM(($GS11:$GV11)*($GO11:$GR11-OFFSET($C$6:$F$6,HD$5,0)))^2-SUM(($GO11:$GR11-OFFSET($C$6:$F$6,HD$5,0))*($GO11:$GR11-OFFSET($C$6:$F$6,HD$5,0)))+OFFSET($G$6,HD$5,0)^2)</f>
        <v>#VALUE!</v>
      </c>
      <c r="HO11" s="10" t="e">
        <f t="array" aca="1" ref="HO11" ca="1">-SUM(($GS11:$GV11)*($GO11:$GR11-OFFSET($C$6:$F$6,HE$5,0)))-SQRT(SUM(($GS11:$GV11)*($GO11:$GR11-OFFSET($C$6:$F$6,HE$5,0)))^2-SUM(($GO11:$GR11-OFFSET($C$6:$F$6,HE$5,0))*($GO11:$GR11-OFFSET($C$6:$F$6,HE$5,0)))+OFFSET($G$6,HE$5,0)^2)</f>
        <v>#VALUE!</v>
      </c>
      <c r="HP11" s="10" t="e">
        <f t="array" aca="1" ref="HP11" ca="1">-SUM(($GS11:$GV11)*($GO11:$GR11-OFFSET($C$6:$F$6,HF$5,0)))-SQRT(SUM(($GS11:$GV11)*($GO11:$GR11-OFFSET($C$6:$F$6,HF$5,0)))^2-SUM(($GO11:$GR11-OFFSET($C$6:$F$6,HF$5,0))*($GO11:$GR11-OFFSET($C$6:$F$6,HF$5,0)))+OFFSET($G$6,HF$5,0)^2)</f>
        <v>#VALUE!</v>
      </c>
      <c r="HQ11" s="10" t="e">
        <f t="array" aca="1" ref="HQ11" ca="1">-SUM(($GS11:$GV11)*($GO11:$GR11-OFFSET($C$6:$F$6,HG$5,0)))-SQRT(SUM(($GS11:$GV11)*($GO11:$GR11-OFFSET($C$6:$F$6,HG$5,0)))^2-SUM(($GO11:$GR11-OFFSET($C$6:$F$6,HG$5,0))*($GO11:$GR11-OFFSET($C$6:$F$6,HG$5,0)))+OFFSET($G$6,HG$5,0)^2)</f>
        <v>#VALUE!</v>
      </c>
      <c r="HS11" s="10">
        <f t="array" aca="1" ref="HS11" ca="1">MIN(IF(IF(ISERROR(GX11:HQ11),-1,GX11:HQ11)&lt;0,9999999999,GX11:HQ11))</f>
        <v>9999999999</v>
      </c>
      <c r="HU11" s="11">
        <f t="shared" ca="1" si="41"/>
        <v>0</v>
      </c>
      <c r="HW11" s="11">
        <f t="shared" ca="1" si="42"/>
        <v>0.73288249836730979</v>
      </c>
    </row>
    <row r="12" spans="2:231" x14ac:dyDescent="0.25">
      <c r="B12">
        <v>6</v>
      </c>
      <c r="C12" s="10">
        <v>3</v>
      </c>
      <c r="D12" s="10">
        <v>-0.8</v>
      </c>
      <c r="E12" s="10">
        <v>3</v>
      </c>
      <c r="F12" s="10">
        <v>1</v>
      </c>
      <c r="G12" s="10">
        <v>0.2</v>
      </c>
      <c r="H12" s="10">
        <v>0</v>
      </c>
      <c r="I12" s="10">
        <v>0.9</v>
      </c>
      <c r="J12" s="10">
        <v>0.9</v>
      </c>
      <c r="K12" s="10">
        <v>200</v>
      </c>
      <c r="L12" s="10">
        <v>0</v>
      </c>
      <c r="X12" s="11">
        <f t="shared" si="6"/>
        <v>-1.6436058700209644</v>
      </c>
      <c r="Y12" s="11">
        <f t="shared" si="7"/>
        <v>-1</v>
      </c>
      <c r="Z12" s="11">
        <v>4</v>
      </c>
      <c r="AB12" s="10">
        <f t="array" aca="1" ref="AB12:AE12" ca="1">TRANSPOSE(Screen!$GL$98:$GL$101)</f>
        <v>0</v>
      </c>
      <c r="AC12" s="10">
        <f ca="1"/>
        <v>0.50000000000000033</v>
      </c>
      <c r="AD12" s="10">
        <f ca="1"/>
        <v>-15</v>
      </c>
      <c r="AE12" s="10">
        <f ca="1"/>
        <v>1</v>
      </c>
      <c r="AF12" s="10">
        <f t="array" aca="1" ref="AF12:AH12" ca="1">TRANSPOSE(MMULT(Screen!$GI$98:$GK$100,TRANSPOSE(X12:Z12)))</f>
        <v>-1.6436058700209644</v>
      </c>
      <c r="AG12" s="10">
        <f ca="1"/>
        <v>-1.2380565658529825</v>
      </c>
      <c r="AH12" s="10">
        <f ca="1"/>
        <v>3.9400359935205556</v>
      </c>
      <c r="AI12" s="10">
        <v>1</v>
      </c>
      <c r="AJ12" s="10">
        <f t="array" aca="1" ref="AJ12" ca="1">AF12/SQRT(SUM(($AF12:$AH12)*($AF12:$AH12)))</f>
        <v>-0.36976432396148218</v>
      </c>
      <c r="AK12" s="10">
        <f t="array" aca="1" ref="AK12" ca="1">AG12/SQRT(SUM(($AF12:$AH12)*($AF12:$AH12)))</f>
        <v>-0.27852732668377678</v>
      </c>
      <c r="AL12" s="10">
        <f t="array" aca="1" ref="AL12" ca="1">AH12/SQRT(SUM(($AF12:$AH12)*($AF12:$AH12)))</f>
        <v>0.88639543828682743</v>
      </c>
      <c r="AM12" s="10">
        <v>0</v>
      </c>
      <c r="AO12" s="10">
        <f t="array" aca="1" ref="AO12" ca="1">-SUM(($AJ12:$AM12)*($AB12:$AE12-OFFSET($C$6:$F$6,AO$5,0)))+SQRT(SUM(($AJ12:$AM12)*($AB12:$AE12-OFFSET($C$6:$F$6,AO$5,0)))^2-SUM(($AB12:$AE12-OFFSET($C$6:$F$6,AO$5,0))*($AB12:$AE12-OFFSET($C$6:$F$6,AO$5,0)))+OFFSET($G$6,AO$5,0)^2)</f>
        <v>578.35013374622804</v>
      </c>
      <c r="AP12" s="10" t="e">
        <f t="array" aca="1" ref="AP12" ca="1">-SUM(($AJ12:$AM12)*($AB12:$AE12-OFFSET($C$6:$F$6,AP$5,0)))+SQRT(SUM(($AJ12:$AM12)*($AB12:$AE12-OFFSET($C$6:$F$6,AP$5,0)))^2-SUM(($AB12:$AE12-OFFSET($C$6:$F$6,AP$5,0))*($AB12:$AE12-OFFSET($C$6:$F$6,AP$5,0)))+OFFSET($G$6,AP$5,0)^2)</f>
        <v>#NUM!</v>
      </c>
      <c r="AQ12" s="10" t="e">
        <f t="array" aca="1" ref="AQ12" ca="1">-SUM(($AJ12:$AM12)*($AB12:$AE12-OFFSET($C$6:$F$6,AQ$5,0)))+SQRT(SUM(($AJ12:$AM12)*($AB12:$AE12-OFFSET($C$6:$F$6,AQ$5,0)))^2-SUM(($AB12:$AE12-OFFSET($C$6:$F$6,AQ$5,0))*($AB12:$AE12-OFFSET($C$6:$F$6,AQ$5,0)))+OFFSET($G$6,AQ$5,0)^2)</f>
        <v>#NUM!</v>
      </c>
      <c r="AR12" s="10" t="e">
        <f t="array" aca="1" ref="AR12" ca="1">-SUM(($AJ12:$AM12)*($AB12:$AE12-OFFSET($C$6:$F$6,AR$5,0)))+SQRT(SUM(($AJ12:$AM12)*($AB12:$AE12-OFFSET($C$6:$F$6,AR$5,0)))^2-SUM(($AB12:$AE12-OFFSET($C$6:$F$6,AR$5,0))*($AB12:$AE12-OFFSET($C$6:$F$6,AR$5,0)))+OFFSET($G$6,AR$5,0)^2)</f>
        <v>#NUM!</v>
      </c>
      <c r="AS12" s="10" t="e">
        <f t="array" aca="1" ref="AS12" ca="1">-SUM(($AJ12:$AM12)*($AB12:$AE12-OFFSET($C$6:$F$6,AS$5,0)))+SQRT(SUM(($AJ12:$AM12)*($AB12:$AE12-OFFSET($C$6:$F$6,AS$5,0)))^2-SUM(($AB12:$AE12-OFFSET($C$6:$F$6,AS$5,0))*($AB12:$AE12-OFFSET($C$6:$F$6,AS$5,0)))+OFFSET($G$6,AS$5,0)^2)</f>
        <v>#NUM!</v>
      </c>
      <c r="AT12" s="10" t="e">
        <f t="array" aca="1" ref="AT12" ca="1">-SUM(($AJ12:$AM12)*($AB12:$AE12-OFFSET($C$6:$F$6,AT$5,0)))+SQRT(SUM(($AJ12:$AM12)*($AB12:$AE12-OFFSET($C$6:$F$6,AT$5,0)))^2-SUM(($AB12:$AE12-OFFSET($C$6:$F$6,AT$5,0))*($AB12:$AE12-OFFSET($C$6:$F$6,AT$5,0)))+OFFSET($G$6,AT$5,0)^2)</f>
        <v>#NUM!</v>
      </c>
      <c r="AU12" s="10" t="e">
        <f t="array" aca="1" ref="AU12" ca="1">-SUM(($AJ12:$AM12)*($AB12:$AE12-OFFSET($C$6:$F$6,AU$5,0)))+SQRT(SUM(($AJ12:$AM12)*($AB12:$AE12-OFFSET($C$6:$F$6,AU$5,0)))^2-SUM(($AB12:$AE12-OFFSET($C$6:$F$6,AU$5,0))*($AB12:$AE12-OFFSET($C$6:$F$6,AU$5,0)))+OFFSET($G$6,AU$5,0)^2)</f>
        <v>#NUM!</v>
      </c>
      <c r="AV12" s="10" t="e">
        <f t="array" aca="1" ref="AV12" ca="1">-SUM(($AJ12:$AM12)*($AB12:$AE12-OFFSET($C$6:$F$6,AV$5,0)))+SQRT(SUM(($AJ12:$AM12)*($AB12:$AE12-OFFSET($C$6:$F$6,AV$5,0)))^2-SUM(($AB12:$AE12-OFFSET($C$6:$F$6,AV$5,0))*($AB12:$AE12-OFFSET($C$6:$F$6,AV$5,0)))+OFFSET($G$6,AV$5,0)^2)</f>
        <v>#NUM!</v>
      </c>
      <c r="AW12" s="10" t="e">
        <f t="array" aca="1" ref="AW12" ca="1">-SUM(($AJ12:$AM12)*($AB12:$AE12-OFFSET($C$6:$F$6,AW$5,0)))+SQRT(SUM(($AJ12:$AM12)*($AB12:$AE12-OFFSET($C$6:$F$6,AW$5,0)))^2-SUM(($AB12:$AE12-OFFSET($C$6:$F$6,AW$5,0))*($AB12:$AE12-OFFSET($C$6:$F$6,AW$5,0)))+OFFSET($G$6,AW$5,0)^2)</f>
        <v>#NUM!</v>
      </c>
      <c r="AX12" s="10" t="e">
        <f t="array" aca="1" ref="AX12" ca="1">-SUM(($AJ12:$AM12)*($AB12:$AE12-OFFSET($C$6:$F$6,AX$5,0)))+SQRT(SUM(($AJ12:$AM12)*($AB12:$AE12-OFFSET($C$6:$F$6,AX$5,0)))^2-SUM(($AB12:$AE12-OFFSET($C$6:$F$6,AX$5,0))*($AB12:$AE12-OFFSET($C$6:$F$6,AX$5,0)))+OFFSET($G$6,AX$5,0)^2)</f>
        <v>#NUM!</v>
      </c>
      <c r="AY12" s="10">
        <f t="array" aca="1" ref="AY12" ca="1">-SUM(($AJ12:$AM12)*($AB12:$AE12-OFFSET($C$6:$F$6,AO$5,0)))-SQRT(SUM(($AJ12:$AM12)*($AB12:$AE12-OFFSET($C$6:$F$6,AO$5,0)))^2-SUM(($AB12:$AE12-OFFSET($C$6:$F$6,AO$5,0))*($AB12:$AE12-OFFSET($C$6:$F$6,AO$5,0)))+OFFSET($G$6,AO$5,0)^2)</f>
        <v>5.5749100966141327</v>
      </c>
      <c r="AZ12" s="10" t="e">
        <f t="array" aca="1" ref="AZ12" ca="1">-SUM(($AJ12:$AM12)*($AB12:$AE12-OFFSET($C$6:$F$6,AP$5,0)))-SQRT(SUM(($AJ12:$AM12)*($AB12:$AE12-OFFSET($C$6:$F$6,AP$5,0)))^2-SUM(($AB12:$AE12-OFFSET($C$6:$F$6,AP$5,0))*($AB12:$AE12-OFFSET($C$6:$F$6,AP$5,0)))+OFFSET($G$6,AP$5,0)^2)</f>
        <v>#NUM!</v>
      </c>
      <c r="BA12" s="10" t="e">
        <f t="array" aca="1" ref="BA12" ca="1">-SUM(($AJ12:$AM12)*($AB12:$AE12-OFFSET($C$6:$F$6,AQ$5,0)))-SQRT(SUM(($AJ12:$AM12)*($AB12:$AE12-OFFSET($C$6:$F$6,AQ$5,0)))^2-SUM(($AB12:$AE12-OFFSET($C$6:$F$6,AQ$5,0))*($AB12:$AE12-OFFSET($C$6:$F$6,AQ$5,0)))+OFFSET($G$6,AQ$5,0)^2)</f>
        <v>#NUM!</v>
      </c>
      <c r="BB12" s="10" t="e">
        <f t="array" aca="1" ref="BB12" ca="1">-SUM(($AJ12:$AM12)*($AB12:$AE12-OFFSET($C$6:$F$6,AR$5,0)))-SQRT(SUM(($AJ12:$AM12)*($AB12:$AE12-OFFSET($C$6:$F$6,AR$5,0)))^2-SUM(($AB12:$AE12-OFFSET($C$6:$F$6,AR$5,0))*($AB12:$AE12-OFFSET($C$6:$F$6,AR$5,0)))+OFFSET($G$6,AR$5,0)^2)</f>
        <v>#NUM!</v>
      </c>
      <c r="BC12" s="10" t="e">
        <f t="array" aca="1" ref="BC12" ca="1">-SUM(($AJ12:$AM12)*($AB12:$AE12-OFFSET($C$6:$F$6,AS$5,0)))-SQRT(SUM(($AJ12:$AM12)*($AB12:$AE12-OFFSET($C$6:$F$6,AS$5,0)))^2-SUM(($AB12:$AE12-OFFSET($C$6:$F$6,AS$5,0))*($AB12:$AE12-OFFSET($C$6:$F$6,AS$5,0)))+OFFSET($G$6,AS$5,0)^2)</f>
        <v>#NUM!</v>
      </c>
      <c r="BD12" s="10" t="e">
        <f t="array" aca="1" ref="BD12" ca="1">-SUM(($AJ12:$AM12)*($AB12:$AE12-OFFSET($C$6:$F$6,AT$5,0)))-SQRT(SUM(($AJ12:$AM12)*($AB12:$AE12-OFFSET($C$6:$F$6,AT$5,0)))^2-SUM(($AB12:$AE12-OFFSET($C$6:$F$6,AT$5,0))*($AB12:$AE12-OFFSET($C$6:$F$6,AT$5,0)))+OFFSET($G$6,AT$5,0)^2)</f>
        <v>#NUM!</v>
      </c>
      <c r="BE12" s="10" t="e">
        <f t="array" aca="1" ref="BE12" ca="1">-SUM(($AJ12:$AM12)*($AB12:$AE12-OFFSET($C$6:$F$6,AU$5,0)))-SQRT(SUM(($AJ12:$AM12)*($AB12:$AE12-OFFSET($C$6:$F$6,AU$5,0)))^2-SUM(($AB12:$AE12-OFFSET($C$6:$F$6,AU$5,0))*($AB12:$AE12-OFFSET($C$6:$F$6,AU$5,0)))+OFFSET($G$6,AU$5,0)^2)</f>
        <v>#NUM!</v>
      </c>
      <c r="BF12" s="10" t="e">
        <f t="array" aca="1" ref="BF12" ca="1">-SUM(($AJ12:$AM12)*($AB12:$AE12-OFFSET($C$6:$F$6,AV$5,0)))-SQRT(SUM(($AJ12:$AM12)*($AB12:$AE12-OFFSET($C$6:$F$6,AV$5,0)))^2-SUM(($AB12:$AE12-OFFSET($C$6:$F$6,AV$5,0))*($AB12:$AE12-OFFSET($C$6:$F$6,AV$5,0)))+OFFSET($G$6,AV$5,0)^2)</f>
        <v>#NUM!</v>
      </c>
      <c r="BG12" s="10" t="e">
        <f t="array" aca="1" ref="BG12" ca="1">-SUM(($AJ12:$AM12)*($AB12:$AE12-OFFSET($C$6:$F$6,AW$5,0)))-SQRT(SUM(($AJ12:$AM12)*($AB12:$AE12-OFFSET($C$6:$F$6,AW$5,0)))^2-SUM(($AB12:$AE12-OFFSET($C$6:$F$6,AW$5,0))*($AB12:$AE12-OFFSET($C$6:$F$6,AW$5,0)))+OFFSET($G$6,AW$5,0)^2)</f>
        <v>#NUM!</v>
      </c>
      <c r="BH12" s="10" t="e">
        <f t="array" aca="1" ref="BH12" ca="1">-SUM(($AJ12:$AM12)*($AB12:$AE12-OFFSET($C$6:$F$6,AX$5,0)))-SQRT(SUM(($AJ12:$AM12)*($AB12:$AE12-OFFSET($C$6:$F$6,AX$5,0)))^2-SUM(($AB12:$AE12-OFFSET($C$6:$F$6,AX$5,0))*($AB12:$AE12-OFFSET($C$6:$F$6,AX$5,0)))+OFFSET($G$6,AX$5,0)^2)</f>
        <v>#NUM!</v>
      </c>
      <c r="BJ12" s="10">
        <f t="array" aca="1" ref="BJ12" ca="1">MIN(IF(IF(ISERROR(AO12:BH12),-1,AO12:BH12)&lt;0,9999999999,AO12:BH12))</f>
        <v>5.5749100966141327</v>
      </c>
      <c r="BL12">
        <f t="shared" ca="1" si="8"/>
        <v>0</v>
      </c>
      <c r="BN12" s="10">
        <f t="shared" ca="1" si="9"/>
        <v>-2.0614028630205663</v>
      </c>
      <c r="BO12" s="10">
        <f t="shared" ca="1" si="10"/>
        <v>-1.0527648057123296</v>
      </c>
      <c r="BP12" s="10">
        <f t="shared" ca="1" si="11"/>
        <v>-10.058425121502056</v>
      </c>
      <c r="BQ12" s="10">
        <f t="shared" ca="1" si="12"/>
        <v>1</v>
      </c>
      <c r="BR12" s="14">
        <f t="shared" ca="1" si="13"/>
        <v>0.36976432396148218</v>
      </c>
      <c r="BS12" s="14">
        <f t="shared" ca="1" si="14"/>
        <v>0.27852732668377678</v>
      </c>
      <c r="BT12" s="14">
        <f t="shared" ca="1" si="15"/>
        <v>-0.88639543828682743</v>
      </c>
      <c r="BU12" s="14">
        <f t="shared" si="16"/>
        <v>0</v>
      </c>
      <c r="BV12" s="10">
        <f t="array" aca="1" ref="BV12" ca="1">(BN12-OFFSET(C$6,$BL12,0))/SQRT(SUM(($BN12:$BQ12-OFFSET($C$6:$F$6,$BL12,0))*($BN12:$BQ12-OFFSET($C$6:$F$6,$BL12,0))))</f>
        <v>-2.0634663293499162E-3</v>
      </c>
      <c r="BW12" s="10">
        <f t="array" aca="1" ref="BW12" ca="1">(BO12-OFFSET(D$6,$BL12,0))/SQRT(SUM(($BN12:$BQ12-OFFSET($C$6:$F$6,$BL12,0))*($BN12:$BQ12-OFFSET($C$6:$F$6,$BL12,0))))</f>
        <v>0.99994718237666425</v>
      </c>
      <c r="BX12" s="10">
        <f t="array" aca="1" ref="BX12" ca="1">(BP12-OFFSET(E$6,$BL12,0))/SQRT(SUM(($BN12:$BQ12-OFFSET($C$6:$F$6,$BL12,0))*($BN12:$BQ12-OFFSET($C$6:$F$6,$BL12,0))))</f>
        <v>-1.0068493615117172E-2</v>
      </c>
      <c r="BY12" s="10">
        <f t="array" aca="1" ref="BY12" ca="1">(BQ12-OFFSET(F$6,$BL12,0))/SQRT(SUM(($BN12:$BQ12-OFFSET($C$6:$F$6,$BL12,0))*($BN12:$BQ12-OFFSET($C$6:$F$6,$BL12,0))))</f>
        <v>0</v>
      </c>
      <c r="BZ12" s="14">
        <f t="array" aca="1" ref="BZ12" ca="1">-(BN12-O$6)/SQRT(SUM(($O$6:$R$6-$BN12:$BQ12)*($O$6:$R$6-$BN12:$BQ12)))</f>
        <v>-0.58336038636914889</v>
      </c>
      <c r="CA12" s="14">
        <f t="array" aca="1" ref="CA12" ca="1">-(BO12-P$6)/SQRT(SUM(($O$6:$R$6-$BN12:$BQ12)*($O$6:$R$6-$BN12:$BQ12)))</f>
        <v>0.81220208511059244</v>
      </c>
      <c r="CB12" s="14">
        <f t="array" aca="1" ref="CB12" ca="1">-(BP12-Q$6)/SQRT(SUM(($O$6:$R$6-$BN12:$BQ12)*($O$6:$R$6-$BN12:$BQ12)))</f>
        <v>4.2933154139211281E-3</v>
      </c>
      <c r="CC12" s="14">
        <f t="array" aca="1" ref="CC12" ca="1">-(BQ12-R$6)/SQRT(SUM(($O$6:$R$6-$BN12:$BQ12)*($O$6:$R$6-$BN12:$BQ12)))</f>
        <v>0</v>
      </c>
      <c r="CD12" s="14">
        <f t="array" aca="1" ref="CD12:CG12" ca="1">-BR12:BU12-BV12:BY12*2*SUM(-BR12:BU12*BV12:BY12)</f>
        <v>-0.37094740943524279</v>
      </c>
      <c r="CE12" s="14">
        <f ca="1"/>
        <v>0.29479096262913118</v>
      </c>
      <c r="CF12" s="14">
        <f ca="1"/>
        <v>0.88062268184817538</v>
      </c>
      <c r="CG12" s="14">
        <f ca="1"/>
        <v>0</v>
      </c>
      <c r="CH12" s="14">
        <f t="array" aca="1" ref="CH12:CK12" ca="1">-BZ12:CC12-BV12:BY12*2*SUM(-BZ12:CC12*BV12:BY12)</f>
        <v>0.58000387072147719</v>
      </c>
      <c r="CI12" s="14">
        <f ca="1"/>
        <v>0.81435140730808153</v>
      </c>
      <c r="CJ12" s="14">
        <f ca="1"/>
        <v>-2.0671123903904975E-2</v>
      </c>
      <c r="CK12" s="14">
        <f ca="1"/>
        <v>0</v>
      </c>
      <c r="CL12">
        <f t="array" aca="1" ref="CL12" ca="1">SUM(BZ12:CC12*BV12:BY12)</f>
        <v>0.81331970382310503</v>
      </c>
      <c r="CM12">
        <f t="array" aca="1" ref="CM12" ca="1">SUM(CH12:CK12*BR12:BU12)</f>
        <v>0.45960664954374447</v>
      </c>
      <c r="CN12" s="11">
        <f t="shared" ca="1" si="17"/>
        <v>0</v>
      </c>
      <c r="CO12" s="11">
        <f t="shared" ca="1" si="18"/>
        <v>0.7319877334407946</v>
      </c>
      <c r="CP12" s="11">
        <f t="shared" ca="1" si="19"/>
        <v>2.7008669327224093E-68</v>
      </c>
      <c r="CQ12" s="11">
        <f t="shared" ca="1" si="20"/>
        <v>0.7319877334407946</v>
      </c>
      <c r="CS12" s="10">
        <f t="array" aca="1" ref="CS12:CV12" ca="1">BN12:BQ12+BV12:BY12*0.001</f>
        <v>-2.0614049264868957</v>
      </c>
      <c r="CT12" s="10">
        <f ca="1"/>
        <v>-1.0517648585299528</v>
      </c>
      <c r="CU12" s="10">
        <f ca="1"/>
        <v>-10.058435189995672</v>
      </c>
      <c r="CV12" s="10">
        <f ca="1"/>
        <v>1</v>
      </c>
      <c r="CW12" s="10">
        <f t="shared" ca="1" si="21"/>
        <v>-0.58336038636914889</v>
      </c>
      <c r="CX12" s="10">
        <f t="shared" ca="1" si="22"/>
        <v>0.81220208511059244</v>
      </c>
      <c r="CY12" s="10">
        <f t="shared" ca="1" si="23"/>
        <v>4.2933154139211281E-3</v>
      </c>
      <c r="CZ12" s="10">
        <f t="shared" ca="1" si="24"/>
        <v>0</v>
      </c>
      <c r="DB12" s="10">
        <f t="array" aca="1" ref="DB12" ca="1">-SUM(($CW12:$CZ12)*($CS12:$CV12-OFFSET($C$6:$F$6,DB$5,0)))+SQRT(SUM(($CW12:$CZ12)*($CS12:$CV12-OFFSET($C$6:$F$6,DB$5,0)))^2-SUM(($CS12:$CV12-OFFSET($C$6:$F$6,DB$5,0))*($CS12:$CV12-OFFSET($C$6:$F$6,DB$5,0)))+OFFSET($G$6,DB$5,0)^2)</f>
        <v>-1.2295291156760868E-3</v>
      </c>
      <c r="DC12" s="10" t="e">
        <f t="array" aca="1" ref="DC12" ca="1">-SUM(($CW12:$CZ12)*($CS12:$CV12-OFFSET($C$6:$F$6,DC$5,0)))+SQRT(SUM(($CW12:$CZ12)*($CS12:$CV12-OFFSET($C$6:$F$6,DC$5,0)))^2-SUM(($CS12:$CV12-OFFSET($C$6:$F$6,DC$5,0))*($CS12:$CV12-OFFSET($C$6:$F$6,DC$5,0)))+OFFSET($G$6,DC$5,0)^2)</f>
        <v>#NUM!</v>
      </c>
      <c r="DD12" s="10" t="e">
        <f t="array" aca="1" ref="DD12" ca="1">-SUM(($CW12:$CZ12)*($CS12:$CV12-OFFSET($C$6:$F$6,DD$5,0)))+SQRT(SUM(($CW12:$CZ12)*($CS12:$CV12-OFFSET($C$6:$F$6,DD$5,0)))^2-SUM(($CS12:$CV12-OFFSET($C$6:$F$6,DD$5,0))*($CS12:$CV12-OFFSET($C$6:$F$6,DD$5,0)))+OFFSET($G$6,DD$5,0)^2)</f>
        <v>#NUM!</v>
      </c>
      <c r="DE12" s="10" t="e">
        <f t="array" aca="1" ref="DE12" ca="1">-SUM(($CW12:$CZ12)*($CS12:$CV12-OFFSET($C$6:$F$6,DE$5,0)))+SQRT(SUM(($CW12:$CZ12)*($CS12:$CV12-OFFSET($C$6:$F$6,DE$5,0)))^2-SUM(($CS12:$CV12-OFFSET($C$6:$F$6,DE$5,0))*($CS12:$CV12-OFFSET($C$6:$F$6,DE$5,0)))+OFFSET($G$6,DE$5,0)^2)</f>
        <v>#NUM!</v>
      </c>
      <c r="DF12" s="10" t="e">
        <f t="array" aca="1" ref="DF12" ca="1">-SUM(($CW12:$CZ12)*($CS12:$CV12-OFFSET($C$6:$F$6,DF$5,0)))+SQRT(SUM(($CW12:$CZ12)*($CS12:$CV12-OFFSET($C$6:$F$6,DF$5,0)))^2-SUM(($CS12:$CV12-OFFSET($C$6:$F$6,DF$5,0))*($CS12:$CV12-OFFSET($C$6:$F$6,DF$5,0)))+OFFSET($G$6,DF$5,0)^2)</f>
        <v>#NUM!</v>
      </c>
      <c r="DG12" s="10" t="e">
        <f t="array" aca="1" ref="DG12" ca="1">-SUM(($CW12:$CZ12)*($CS12:$CV12-OFFSET($C$6:$F$6,DG$5,0)))+SQRT(SUM(($CW12:$CZ12)*($CS12:$CV12-OFFSET($C$6:$F$6,DG$5,0)))^2-SUM(($CS12:$CV12-OFFSET($C$6:$F$6,DG$5,0))*($CS12:$CV12-OFFSET($C$6:$F$6,DG$5,0)))+OFFSET($G$6,DG$5,0)^2)</f>
        <v>#NUM!</v>
      </c>
      <c r="DH12" s="10" t="e">
        <f t="array" aca="1" ref="DH12" ca="1">-SUM(($CW12:$CZ12)*($CS12:$CV12-OFFSET($C$6:$F$6,DH$5,0)))+SQRT(SUM(($CW12:$CZ12)*($CS12:$CV12-OFFSET($C$6:$F$6,DH$5,0)))^2-SUM(($CS12:$CV12-OFFSET($C$6:$F$6,DH$5,0))*($CS12:$CV12-OFFSET($C$6:$F$6,DH$5,0)))+OFFSET($G$6,DH$5,0)^2)</f>
        <v>#NUM!</v>
      </c>
      <c r="DI12" s="10" t="e">
        <f t="array" aca="1" ref="DI12" ca="1">-SUM(($CW12:$CZ12)*($CS12:$CV12-OFFSET($C$6:$F$6,DI$5,0)))+SQRT(SUM(($CW12:$CZ12)*($CS12:$CV12-OFFSET($C$6:$F$6,DI$5,0)))^2-SUM(($CS12:$CV12-OFFSET($C$6:$F$6,DI$5,0))*($CS12:$CV12-OFFSET($C$6:$F$6,DI$5,0)))+OFFSET($G$6,DI$5,0)^2)</f>
        <v>#NUM!</v>
      </c>
      <c r="DJ12" s="10" t="e">
        <f t="array" aca="1" ref="DJ12" ca="1">-SUM(($CW12:$CZ12)*($CS12:$CV12-OFFSET($C$6:$F$6,DJ$5,0)))+SQRT(SUM(($CW12:$CZ12)*($CS12:$CV12-OFFSET($C$6:$F$6,DJ$5,0)))^2-SUM(($CS12:$CV12-OFFSET($C$6:$F$6,DJ$5,0))*($CS12:$CV12-OFFSET($C$6:$F$6,DJ$5,0)))+OFFSET($G$6,DJ$5,0)^2)</f>
        <v>#NUM!</v>
      </c>
      <c r="DK12" s="10" t="e">
        <f t="array" aca="1" ref="DK12" ca="1">-SUM(($CW12:$CZ12)*($CS12:$CV12-OFFSET($C$6:$F$6,DK$5,0)))+SQRT(SUM(($CW12:$CZ12)*($CS12:$CV12-OFFSET($C$6:$F$6,DK$5,0)))^2-SUM(($CS12:$CV12-OFFSET($C$6:$F$6,DK$5,0))*($CS12:$CV12-OFFSET($C$6:$F$6,DK$5,0)))+OFFSET($G$6,DK$5,0)^2)</f>
        <v>#NUM!</v>
      </c>
      <c r="DL12" s="10">
        <f t="array" aca="1" ref="DL12" ca="1">-SUM(($CW12:$CZ12)*($CS12:$CV12-OFFSET($C$6:$F$6,DB$5,0)))-SQRT(SUM(($CW12:$CZ12)*($CS12:$CV12-OFFSET($C$6:$F$6,DB$5,0)))^2-SUM(($CS12:$CV12-OFFSET($C$6:$F$6,DB$5,0))*($CS12:$CV12-OFFSET($C$6:$F$6,DB$5,0)))+OFFSET($G$6,DB$5,0)^2)</f>
        <v>-1625.0131653488561</v>
      </c>
      <c r="DM12" s="10" t="e">
        <f t="array" aca="1" ref="DM12" ca="1">-SUM(($CW12:$CZ12)*($CS12:$CV12-OFFSET($C$6:$F$6,DC$5,0)))-SQRT(SUM(($CW12:$CZ12)*($CS12:$CV12-OFFSET($C$6:$F$6,DC$5,0)))^2-SUM(($CS12:$CV12-OFFSET($C$6:$F$6,DC$5,0))*($CS12:$CV12-OFFSET($C$6:$F$6,DC$5,0)))+OFFSET($G$6,DC$5,0)^2)</f>
        <v>#NUM!</v>
      </c>
      <c r="DN12" s="10" t="e">
        <f t="array" aca="1" ref="DN12" ca="1">-SUM(($CW12:$CZ12)*($CS12:$CV12-OFFSET($C$6:$F$6,DD$5,0)))-SQRT(SUM(($CW12:$CZ12)*($CS12:$CV12-OFFSET($C$6:$F$6,DD$5,0)))^2-SUM(($CS12:$CV12-OFFSET($C$6:$F$6,DD$5,0))*($CS12:$CV12-OFFSET($C$6:$F$6,DD$5,0)))+OFFSET($G$6,DD$5,0)^2)</f>
        <v>#NUM!</v>
      </c>
      <c r="DO12" s="10" t="e">
        <f t="array" aca="1" ref="DO12" ca="1">-SUM(($CW12:$CZ12)*($CS12:$CV12-OFFSET($C$6:$F$6,DE$5,0)))-SQRT(SUM(($CW12:$CZ12)*($CS12:$CV12-OFFSET($C$6:$F$6,DE$5,0)))^2-SUM(($CS12:$CV12-OFFSET($C$6:$F$6,DE$5,0))*($CS12:$CV12-OFFSET($C$6:$F$6,DE$5,0)))+OFFSET($G$6,DE$5,0)^2)</f>
        <v>#NUM!</v>
      </c>
      <c r="DP12" s="10" t="e">
        <f t="array" aca="1" ref="DP12" ca="1">-SUM(($CW12:$CZ12)*($CS12:$CV12-OFFSET($C$6:$F$6,DF$5,0)))-SQRT(SUM(($CW12:$CZ12)*($CS12:$CV12-OFFSET($C$6:$F$6,DF$5,0)))^2-SUM(($CS12:$CV12-OFFSET($C$6:$F$6,DF$5,0))*($CS12:$CV12-OFFSET($C$6:$F$6,DF$5,0)))+OFFSET($G$6,DF$5,0)^2)</f>
        <v>#NUM!</v>
      </c>
      <c r="DQ12" s="10" t="e">
        <f t="array" aca="1" ref="DQ12" ca="1">-SUM(($CW12:$CZ12)*($CS12:$CV12-OFFSET($C$6:$F$6,DG$5,0)))-SQRT(SUM(($CW12:$CZ12)*($CS12:$CV12-OFFSET($C$6:$F$6,DG$5,0)))^2-SUM(($CS12:$CV12-OFFSET($C$6:$F$6,DG$5,0))*($CS12:$CV12-OFFSET($C$6:$F$6,DG$5,0)))+OFFSET($G$6,DG$5,0)^2)</f>
        <v>#NUM!</v>
      </c>
      <c r="DR12" s="10" t="e">
        <f t="array" aca="1" ref="DR12" ca="1">-SUM(($CW12:$CZ12)*($CS12:$CV12-OFFSET($C$6:$F$6,DH$5,0)))-SQRT(SUM(($CW12:$CZ12)*($CS12:$CV12-OFFSET($C$6:$F$6,DH$5,0)))^2-SUM(($CS12:$CV12-OFFSET($C$6:$F$6,DH$5,0))*($CS12:$CV12-OFFSET($C$6:$F$6,DH$5,0)))+OFFSET($G$6,DH$5,0)^2)</f>
        <v>#NUM!</v>
      </c>
      <c r="DS12" s="10" t="e">
        <f t="array" aca="1" ref="DS12" ca="1">-SUM(($CW12:$CZ12)*($CS12:$CV12-OFFSET($C$6:$F$6,DI$5,0)))-SQRT(SUM(($CW12:$CZ12)*($CS12:$CV12-OFFSET($C$6:$F$6,DI$5,0)))^2-SUM(($CS12:$CV12-OFFSET($C$6:$F$6,DI$5,0))*($CS12:$CV12-OFFSET($C$6:$F$6,DI$5,0)))+OFFSET($G$6,DI$5,0)^2)</f>
        <v>#NUM!</v>
      </c>
      <c r="DT12" s="10" t="e">
        <f t="array" aca="1" ref="DT12" ca="1">-SUM(($CW12:$CZ12)*($CS12:$CV12-OFFSET($C$6:$F$6,DJ$5,0)))-SQRT(SUM(($CW12:$CZ12)*($CS12:$CV12-OFFSET($C$6:$F$6,DJ$5,0)))^2-SUM(($CS12:$CV12-OFFSET($C$6:$F$6,DJ$5,0))*($CS12:$CV12-OFFSET($C$6:$F$6,DJ$5,0)))+OFFSET($G$6,DJ$5,0)^2)</f>
        <v>#NUM!</v>
      </c>
      <c r="DU12" s="10" t="e">
        <f t="array" aca="1" ref="DU12" ca="1">-SUM(($CW12:$CZ12)*($CS12:$CV12-OFFSET($C$6:$F$6,DK$5,0)))-SQRT(SUM(($CW12:$CZ12)*($CS12:$CV12-OFFSET($C$6:$F$6,DK$5,0)))^2-SUM(($CS12:$CV12-OFFSET($C$6:$F$6,DK$5,0))*($CS12:$CV12-OFFSET($C$6:$F$6,DK$5,0)))+OFFSET($G$6,DK$5,0)^2)</f>
        <v>#NUM!</v>
      </c>
      <c r="DW12" s="10">
        <f t="array" aca="1" ref="DW12" ca="1">MIN(IF(IF(ISERROR(DB12:DU12),-1,DB12:DU12)&lt;0,9999999999,DB12:DU12))</f>
        <v>9999999999</v>
      </c>
      <c r="DY12" s="11">
        <f t="shared" ca="1" si="25"/>
        <v>0.7319877334407946</v>
      </c>
      <c r="EB12" s="10">
        <f t="array" aca="1" ref="EB12:EE12" ca="1">BN12:BQ12+BV12:BY12*0.01</f>
        <v>-2.0614234976838599</v>
      </c>
      <c r="EC12" s="10">
        <f ca="1"/>
        <v>-1.042765333888563</v>
      </c>
      <c r="ED12" s="10">
        <f ca="1"/>
        <v>-10.058525806438208</v>
      </c>
      <c r="EE12" s="10">
        <f ca="1"/>
        <v>1</v>
      </c>
      <c r="EF12" s="10">
        <f t="shared" ca="1" si="26"/>
        <v>-0.37094740943524279</v>
      </c>
      <c r="EG12" s="10">
        <f t="shared" ca="1" si="27"/>
        <v>0.29479096262913118</v>
      </c>
      <c r="EH12" s="10">
        <f t="shared" ca="1" si="28"/>
        <v>0.88062268184817538</v>
      </c>
      <c r="EI12" s="10">
        <f t="shared" ca="1" si="29"/>
        <v>0</v>
      </c>
      <c r="EK12" s="10">
        <f t="array" aca="1" ref="EK12" ca="1">-SUM(($EF12:$EI12)*($EB12:$EE12-OFFSET($C$6:$F$6,EK$5,0)))+SQRT(SUM(($EF12:$EI12)*($EB12:$EE12-OFFSET($C$6:$F$6,EK$5,0)))^2-SUM(($EB12:$EE12-OFFSET($C$6:$F$6,EK$5,0))*($EB12:$EE12-OFFSET($C$6:$F$6,EK$5,0)))+OFFSET($G$6,EK$5,0)^2)</f>
        <v>-3.4884743803672791E-2</v>
      </c>
      <c r="EL12" s="10" t="e">
        <f t="array" aca="1" ref="EL12" ca="1">-SUM(($EF12:$EI12)*($EB12:$EE12-OFFSET($C$6:$F$6,EL$5,0)))+SQRT(SUM(($EF12:$EI12)*($EB12:$EE12-OFFSET($C$6:$F$6,EL$5,0)))^2-SUM(($EB12:$EE12-OFFSET($C$6:$F$6,EL$5,0))*($EB12:$EE12-OFFSET($C$6:$F$6,EL$5,0)))+OFFSET($G$6,EL$5,0)^2)</f>
        <v>#NUM!</v>
      </c>
      <c r="EM12" s="10" t="e">
        <f t="array" aca="1" ref="EM12" ca="1">-SUM(($EF12:$EI12)*($EB12:$EE12-OFFSET($C$6:$F$6,EM$5,0)))+SQRT(SUM(($EF12:$EI12)*($EB12:$EE12-OFFSET($C$6:$F$6,EM$5,0)))^2-SUM(($EB12:$EE12-OFFSET($C$6:$F$6,EM$5,0))*($EB12:$EE12-OFFSET($C$6:$F$6,EM$5,0)))+OFFSET($G$6,EM$5,0)^2)</f>
        <v>#NUM!</v>
      </c>
      <c r="EN12" s="10" t="e">
        <f t="array" aca="1" ref="EN12" ca="1">-SUM(($EF12:$EI12)*($EB12:$EE12-OFFSET($C$6:$F$6,EN$5,0)))+SQRT(SUM(($EF12:$EI12)*($EB12:$EE12-OFFSET($C$6:$F$6,EN$5,0)))^2-SUM(($EB12:$EE12-OFFSET($C$6:$F$6,EN$5,0))*($EB12:$EE12-OFFSET($C$6:$F$6,EN$5,0)))+OFFSET($G$6,EN$5,0)^2)</f>
        <v>#NUM!</v>
      </c>
      <c r="EO12" s="10" t="e">
        <f t="array" aca="1" ref="EO12" ca="1">-SUM(($EF12:$EI12)*($EB12:$EE12-OFFSET($C$6:$F$6,EO$5,0)))+SQRT(SUM(($EF12:$EI12)*($EB12:$EE12-OFFSET($C$6:$F$6,EO$5,0)))^2-SUM(($EB12:$EE12-OFFSET($C$6:$F$6,EO$5,0))*($EB12:$EE12-OFFSET($C$6:$F$6,EO$5,0)))+OFFSET($G$6,EO$5,0)^2)</f>
        <v>#NUM!</v>
      </c>
      <c r="EP12" s="10" t="e">
        <f t="array" aca="1" ref="EP12" ca="1">-SUM(($EF12:$EI12)*($EB12:$EE12-OFFSET($C$6:$F$6,EP$5,0)))+SQRT(SUM(($EF12:$EI12)*($EB12:$EE12-OFFSET($C$6:$F$6,EP$5,0)))^2-SUM(($EB12:$EE12-OFFSET($C$6:$F$6,EP$5,0))*($EB12:$EE12-OFFSET($C$6:$F$6,EP$5,0)))+OFFSET($G$6,EP$5,0)^2)</f>
        <v>#NUM!</v>
      </c>
      <c r="EQ12" s="10" t="e">
        <f t="array" aca="1" ref="EQ12" ca="1">-SUM(($EF12:$EI12)*($EB12:$EE12-OFFSET($C$6:$F$6,EQ$5,0)))+SQRT(SUM(($EF12:$EI12)*($EB12:$EE12-OFFSET($C$6:$F$6,EQ$5,0)))^2-SUM(($EB12:$EE12-OFFSET($C$6:$F$6,EQ$5,0))*($EB12:$EE12-OFFSET($C$6:$F$6,EQ$5,0)))+OFFSET($G$6,EQ$5,0)^2)</f>
        <v>#NUM!</v>
      </c>
      <c r="ER12" s="10" t="e">
        <f t="array" aca="1" ref="ER12" ca="1">-SUM(($EF12:$EI12)*($EB12:$EE12-OFFSET($C$6:$F$6,ER$5,0)))+SQRT(SUM(($EF12:$EI12)*($EB12:$EE12-OFFSET($C$6:$F$6,ER$5,0)))^2-SUM(($EB12:$EE12-OFFSET($C$6:$F$6,ER$5,0))*($EB12:$EE12-OFFSET($C$6:$F$6,ER$5,0)))+OFFSET($G$6,ER$5,0)^2)</f>
        <v>#NUM!</v>
      </c>
      <c r="ES12" s="10" t="e">
        <f t="array" aca="1" ref="ES12" ca="1">-SUM(($EF12:$EI12)*($EB12:$EE12-OFFSET($C$6:$F$6,ES$5,0)))+SQRT(SUM(($EF12:$EI12)*($EB12:$EE12-OFFSET($C$6:$F$6,ES$5,0)))^2-SUM(($EB12:$EE12-OFFSET($C$6:$F$6,ES$5,0))*($EB12:$EE12-OFFSET($C$6:$F$6,ES$5,0)))+OFFSET($G$6,ES$5,0)^2)</f>
        <v>#NUM!</v>
      </c>
      <c r="ET12" s="10" t="e">
        <f t="array" aca="1" ref="ET12" ca="1">-SUM(($EF12:$EI12)*($EB12:$EE12-OFFSET($C$6:$F$6,ET$5,0)))+SQRT(SUM(($EF12:$EI12)*($EB12:$EE12-OFFSET($C$6:$F$6,ET$5,0)))^2-SUM(($EB12:$EE12-OFFSET($C$6:$F$6,ET$5,0))*($EB12:$EE12-OFFSET($C$6:$F$6,ET$5,0)))+OFFSET($G$6,ET$5,0)^2)</f>
        <v>#NUM!</v>
      </c>
      <c r="EU12" s="10">
        <f t="array" aca="1" ref="EU12" ca="1">-SUM(($EF12:$EI12)*($EB12:$EE12-OFFSET($C$6:$F$6,EK$5,0)))-SQRT(SUM(($EF12:$EI12)*($EB12:$EE12-OFFSET($C$6:$F$6,EK$5,0)))^2-SUM(($EB12:$EE12-OFFSET($C$6:$F$6,EK$5,0))*($EB12:$EE12-OFFSET($C$6:$F$6,EK$5,0)))+OFFSET($G$6,EK$5,0)^2)</f>
        <v>-572.74607239153227</v>
      </c>
      <c r="EV12" s="10" t="e">
        <f t="array" aca="1" ref="EV12" ca="1">-SUM(($EF12:$EI12)*($EB12:$EE12-OFFSET($C$6:$F$6,EL$5,0)))-SQRT(SUM(($EF12:$EI12)*($EB12:$EE12-OFFSET($C$6:$F$6,EL$5,0)))^2-SUM(($EB12:$EE12-OFFSET($C$6:$F$6,EL$5,0))*($EB12:$EE12-OFFSET($C$6:$F$6,EL$5,0)))+OFFSET($G$6,EL$5,0)^2)</f>
        <v>#NUM!</v>
      </c>
      <c r="EW12" s="10" t="e">
        <f t="array" aca="1" ref="EW12" ca="1">-SUM(($EF12:$EI12)*($EB12:$EE12-OFFSET($C$6:$F$6,EM$5,0)))-SQRT(SUM(($EF12:$EI12)*($EB12:$EE12-OFFSET($C$6:$F$6,EM$5,0)))^2-SUM(($EB12:$EE12-OFFSET($C$6:$F$6,EM$5,0))*($EB12:$EE12-OFFSET($C$6:$F$6,EM$5,0)))+OFFSET($G$6,EM$5,0)^2)</f>
        <v>#NUM!</v>
      </c>
      <c r="EX12" s="10" t="e">
        <f t="array" aca="1" ref="EX12" ca="1">-SUM(($EF12:$EI12)*($EB12:$EE12-OFFSET($C$6:$F$6,EN$5,0)))-SQRT(SUM(($EF12:$EI12)*($EB12:$EE12-OFFSET($C$6:$F$6,EN$5,0)))^2-SUM(($EB12:$EE12-OFFSET($C$6:$F$6,EN$5,0))*($EB12:$EE12-OFFSET($C$6:$F$6,EN$5,0)))+OFFSET($G$6,EN$5,0)^2)</f>
        <v>#NUM!</v>
      </c>
      <c r="EY12" s="10" t="e">
        <f t="array" aca="1" ref="EY12" ca="1">-SUM(($EF12:$EI12)*($EB12:$EE12-OFFSET($C$6:$F$6,EO$5,0)))-SQRT(SUM(($EF12:$EI12)*($EB12:$EE12-OFFSET($C$6:$F$6,EO$5,0)))^2-SUM(($EB12:$EE12-OFFSET($C$6:$F$6,EO$5,0))*($EB12:$EE12-OFFSET($C$6:$F$6,EO$5,0)))+OFFSET($G$6,EO$5,0)^2)</f>
        <v>#NUM!</v>
      </c>
      <c r="EZ12" s="10" t="e">
        <f t="array" aca="1" ref="EZ12" ca="1">-SUM(($EF12:$EI12)*($EB12:$EE12-OFFSET($C$6:$F$6,EP$5,0)))-SQRT(SUM(($EF12:$EI12)*($EB12:$EE12-OFFSET($C$6:$F$6,EP$5,0)))^2-SUM(($EB12:$EE12-OFFSET($C$6:$F$6,EP$5,0))*($EB12:$EE12-OFFSET($C$6:$F$6,EP$5,0)))+OFFSET($G$6,EP$5,0)^2)</f>
        <v>#NUM!</v>
      </c>
      <c r="FA12" s="10" t="e">
        <f t="array" aca="1" ref="FA12" ca="1">-SUM(($EF12:$EI12)*($EB12:$EE12-OFFSET($C$6:$F$6,EQ$5,0)))-SQRT(SUM(($EF12:$EI12)*($EB12:$EE12-OFFSET($C$6:$F$6,EQ$5,0)))^2-SUM(($EB12:$EE12-OFFSET($C$6:$F$6,EQ$5,0))*($EB12:$EE12-OFFSET($C$6:$F$6,EQ$5,0)))+OFFSET($G$6,EQ$5,0)^2)</f>
        <v>#NUM!</v>
      </c>
      <c r="FB12" s="10" t="e">
        <f t="array" aca="1" ref="FB12" ca="1">-SUM(($EF12:$EI12)*($EB12:$EE12-OFFSET($C$6:$F$6,ER$5,0)))-SQRT(SUM(($EF12:$EI12)*($EB12:$EE12-OFFSET($C$6:$F$6,ER$5,0)))^2-SUM(($EB12:$EE12-OFFSET($C$6:$F$6,ER$5,0))*($EB12:$EE12-OFFSET($C$6:$F$6,ER$5,0)))+OFFSET($G$6,ER$5,0)^2)</f>
        <v>#NUM!</v>
      </c>
      <c r="FC12" s="10" t="e">
        <f t="array" aca="1" ref="FC12" ca="1">-SUM(($EF12:$EI12)*($EB12:$EE12-OFFSET($C$6:$F$6,ES$5,0)))-SQRT(SUM(($EF12:$EI12)*($EB12:$EE12-OFFSET($C$6:$F$6,ES$5,0)))^2-SUM(($EB12:$EE12-OFFSET($C$6:$F$6,ES$5,0))*($EB12:$EE12-OFFSET($C$6:$F$6,ES$5,0)))+OFFSET($G$6,ES$5,0)^2)</f>
        <v>#NUM!</v>
      </c>
      <c r="FD12" s="10" t="e">
        <f t="array" aca="1" ref="FD12" ca="1">-SUM(($EF12:$EI12)*($EB12:$EE12-OFFSET($C$6:$F$6,ET$5,0)))-SQRT(SUM(($EF12:$EI12)*($EB12:$EE12-OFFSET($C$6:$F$6,ET$5,0)))^2-SUM(($EB12:$EE12-OFFSET($C$6:$F$6,ET$5,0))*($EB12:$EE12-OFFSET($C$6:$F$6,ET$5,0)))+OFFSET($G$6,ET$5,0)^2)</f>
        <v>#NUM!</v>
      </c>
      <c r="FF12" s="10">
        <f t="array" aca="1" ref="FF12" ca="1">MIN(IF(IF(ISERROR(EK12:FD12),-1,EK12:FD12)&lt;0,9999999999,EK12:FD12))</f>
        <v>9999999999</v>
      </c>
      <c r="FH12">
        <f t="shared" ca="1" si="30"/>
        <v>-1</v>
      </c>
      <c r="FJ12" s="10">
        <f t="shared" ca="1" si="31"/>
        <v>-3709474096.0429039</v>
      </c>
      <c r="FK12" s="10">
        <f t="shared" ca="1" si="32"/>
        <v>2947909624.9537559</v>
      </c>
      <c r="FL12" s="10">
        <f t="shared" ca="1" si="33"/>
        <v>8806226807.5426064</v>
      </c>
      <c r="FM12" s="10">
        <f t="shared" ca="1" si="34"/>
        <v>1</v>
      </c>
      <c r="FN12" s="14">
        <f t="shared" ca="1" si="35"/>
        <v>0.37094740943524279</v>
      </c>
      <c r="FO12" s="14">
        <f t="shared" ca="1" si="0"/>
        <v>-0.29479096262913118</v>
      </c>
      <c r="FP12" s="14">
        <f t="shared" ca="1" si="1"/>
        <v>-0.88062268184817538</v>
      </c>
      <c r="FQ12" s="14">
        <f t="shared" ca="1" si="2"/>
        <v>0</v>
      </c>
      <c r="FR12" s="10" t="e">
        <f t="array" aca="1" ref="FR12" ca="1">(FJ12-OFFSET(C$6,$FH12,0))/SQRT(SUM(($FJ12:$FM12-OFFSET($C$6:$F$6,$FH12,0))*($FJ12:$FM12-OFFSET($C$6:$F$6,$FH12,0))))</f>
        <v>#VALUE!</v>
      </c>
      <c r="FS12" s="10" t="e">
        <f t="array" aca="1" ref="FS12" ca="1">(FK12-OFFSET(D$6,$FH12,0))/SQRT(SUM(($FJ12:$FM12-OFFSET($C$6:$F$6,$FH12,0))*($FJ12:$FM12-OFFSET($C$6:$F$6,$FH12,0))))</f>
        <v>#VALUE!</v>
      </c>
      <c r="FT12" s="10" t="e">
        <f t="array" aca="1" ref="FT12" ca="1">(FL12-OFFSET(E$6,$FH12,0))/SQRT(SUM(($FJ12:$FM12-OFFSET($C$6:$F$6,$FH12,0))*($FJ12:$FM12-OFFSET($C$6:$F$6,$FH12,0))))</f>
        <v>#VALUE!</v>
      </c>
      <c r="FU12" s="10" t="e">
        <f t="array" aca="1" ref="FU12" ca="1">(FM12-OFFSET(F$6,$FH12,0))/SQRT(SUM(($FJ12:$FM12-OFFSET($C$6:$F$6,$FH12,0))*($FJ12:$FM12-OFFSET($C$6:$F$6,$FH12,0))))</f>
        <v>#VALUE!</v>
      </c>
      <c r="FV12" s="14">
        <f t="array" aca="1" ref="FV12" ca="1">-(FJ12-O$6)/SQRT(SUM(($O$6:$R$6-$FJ12:$FM12)*($O$6:$R$6-$FJ12:$FM12)))</f>
        <v>0.37094740887328809</v>
      </c>
      <c r="FW12" s="14">
        <f t="array" aca="1" ref="FW12" ca="1">-(FK12-P$6)/SQRT(SUM(($O$6:$R$6-$FJ12:$FM12)*($O$6:$R$6-$FJ12:$FM12)))</f>
        <v>-0.29479096170914737</v>
      </c>
      <c r="FX12" s="14">
        <f t="array" aca="1" ref="FX12" ca="1">-(FL12-Q$6)/SQRT(SUM(($O$6:$R$6-$FJ12:$FM12)*($O$6:$R$6-$FJ12:$FM12)))</f>
        <v>-0.88062268239285657</v>
      </c>
      <c r="FY12" s="14">
        <f t="array" aca="1" ref="FY12" ca="1">-(FM12-R$6)/SQRT(SUM(($O$6:$R$6-$FJ12:$FM12)*($O$6:$R$6-$FJ12:$FM12)))</f>
        <v>0</v>
      </c>
      <c r="FZ12" s="14" t="e">
        <f t="array" aca="1" ref="FZ12:GC12" ca="1">-FN12:FQ12-FR12:FU12*2*SUM(-FN12:FQ12*FR12:FU12)</f>
        <v>#VALUE!</v>
      </c>
      <c r="GA12" s="14" t="e">
        <f ca="1"/>
        <v>#VALUE!</v>
      </c>
      <c r="GB12" s="14" t="e">
        <f ca="1"/>
        <v>#VALUE!</v>
      </c>
      <c r="GC12" s="14" t="e">
        <f ca="1"/>
        <v>#VALUE!</v>
      </c>
      <c r="GD12" s="14" t="e">
        <f t="array" aca="1" ref="GD12:GG12" ca="1">-FV12:FY12-FR12:FU12*2*SUM(-FV12:FY12*FR12:FU12)</f>
        <v>#VALUE!</v>
      </c>
      <c r="GE12" s="14" t="e">
        <f ca="1"/>
        <v>#VALUE!</v>
      </c>
      <c r="GF12" s="14" t="e">
        <f ca="1"/>
        <v>#VALUE!</v>
      </c>
      <c r="GG12" s="14" t="e">
        <f ca="1"/>
        <v>#VALUE!</v>
      </c>
      <c r="GH12" t="e">
        <f t="array" aca="1" ref="GH12" ca="1">SUM(FV12:FY12*FR12:FU12)</f>
        <v>#VALUE!</v>
      </c>
      <c r="GI12" t="e">
        <f t="array" aca="1" ref="GI12" ca="1">SUM(GD12:GG12*FN12:FQ12)</f>
        <v>#VALUE!</v>
      </c>
      <c r="GJ12" s="11" t="e">
        <f t="shared" ca="1" si="36"/>
        <v>#VALUE!</v>
      </c>
      <c r="GK12" s="11" t="e">
        <f t="shared" ca="1" si="37"/>
        <v>#VALUE!</v>
      </c>
      <c r="GL12" s="11" t="e">
        <f t="shared" ca="1" si="38"/>
        <v>#VALUE!</v>
      </c>
      <c r="GM12" s="11">
        <f t="shared" ca="1" si="39"/>
        <v>0</v>
      </c>
      <c r="GO12" s="10" t="e">
        <f t="array" aca="1" ref="GO12:GR12" ca="1">FJ12:FM12+FR12:FU12*0.001</f>
        <v>#VALUE!</v>
      </c>
      <c r="GP12" s="10" t="e">
        <f ca="1"/>
        <v>#VALUE!</v>
      </c>
      <c r="GQ12" s="10" t="e">
        <f ca="1"/>
        <v>#VALUE!</v>
      </c>
      <c r="GR12" s="10" t="e">
        <f ca="1"/>
        <v>#VALUE!</v>
      </c>
      <c r="GS12" s="10">
        <f t="shared" ca="1" si="40"/>
        <v>0.37094740887328809</v>
      </c>
      <c r="GT12" s="10">
        <f t="shared" ca="1" si="3"/>
        <v>-0.29479096170914737</v>
      </c>
      <c r="GU12" s="10">
        <f t="shared" ca="1" si="4"/>
        <v>-0.88062268239285657</v>
      </c>
      <c r="GV12" s="10">
        <f t="shared" ca="1" si="5"/>
        <v>0</v>
      </c>
      <c r="GX12" s="10" t="e">
        <f t="array" aca="1" ref="GX12" ca="1">-SUM(($GS12:$GV12)*($GO12:$GR12-OFFSET($C$6:$F$6,GX$5,0)))+SQRT(SUM(($GS12:$GV12)*($GO12:$GR12-OFFSET($C$6:$F$6,GX$5,0)))^2-SUM(($GO12:$GR12-OFFSET($C$6:$F$6,GX$5,0))*($GO12:$GR12-OFFSET($C$6:$F$6,GX$5,0)))+OFFSET($G$6,GX$5,0)^2)</f>
        <v>#VALUE!</v>
      </c>
      <c r="GY12" s="10" t="e">
        <f t="array" aca="1" ref="GY12" ca="1">-SUM(($GS12:$GV12)*($GO12:$GR12-OFFSET($C$6:$F$6,GY$5,0)))+SQRT(SUM(($GS12:$GV12)*($GO12:$GR12-OFFSET($C$6:$F$6,GY$5,0)))^2-SUM(($GO12:$GR12-OFFSET($C$6:$F$6,GY$5,0))*($GO12:$GR12-OFFSET($C$6:$F$6,GY$5,0)))+OFFSET($G$6,GY$5,0)^2)</f>
        <v>#VALUE!</v>
      </c>
      <c r="GZ12" s="10" t="e">
        <f t="array" aca="1" ref="GZ12" ca="1">-SUM(($GS12:$GV12)*($GO12:$GR12-OFFSET($C$6:$F$6,GZ$5,0)))+SQRT(SUM(($GS12:$GV12)*($GO12:$GR12-OFFSET($C$6:$F$6,GZ$5,0)))^2-SUM(($GO12:$GR12-OFFSET($C$6:$F$6,GZ$5,0))*($GO12:$GR12-OFFSET($C$6:$F$6,GZ$5,0)))+OFFSET($G$6,GZ$5,0)^2)</f>
        <v>#VALUE!</v>
      </c>
      <c r="HA12" s="10" t="e">
        <f t="array" aca="1" ref="HA12" ca="1">-SUM(($GS12:$GV12)*($GO12:$GR12-OFFSET($C$6:$F$6,HA$5,0)))+SQRT(SUM(($GS12:$GV12)*($GO12:$GR12-OFFSET($C$6:$F$6,HA$5,0)))^2-SUM(($GO12:$GR12-OFFSET($C$6:$F$6,HA$5,0))*($GO12:$GR12-OFFSET($C$6:$F$6,HA$5,0)))+OFFSET($G$6,HA$5,0)^2)</f>
        <v>#VALUE!</v>
      </c>
      <c r="HB12" s="10" t="e">
        <f t="array" aca="1" ref="HB12" ca="1">-SUM(($GS12:$GV12)*($GO12:$GR12-OFFSET($C$6:$F$6,HB$5,0)))+SQRT(SUM(($GS12:$GV12)*($GO12:$GR12-OFFSET($C$6:$F$6,HB$5,0)))^2-SUM(($GO12:$GR12-OFFSET($C$6:$F$6,HB$5,0))*($GO12:$GR12-OFFSET($C$6:$F$6,HB$5,0)))+OFFSET($G$6,HB$5,0)^2)</f>
        <v>#VALUE!</v>
      </c>
      <c r="HC12" s="10" t="e">
        <f t="array" aca="1" ref="HC12" ca="1">-SUM(($GS12:$GV12)*($GO12:$GR12-OFFSET($C$6:$F$6,HC$5,0)))+SQRT(SUM(($GS12:$GV12)*($GO12:$GR12-OFFSET($C$6:$F$6,HC$5,0)))^2-SUM(($GO12:$GR12-OFFSET($C$6:$F$6,HC$5,0))*($GO12:$GR12-OFFSET($C$6:$F$6,HC$5,0)))+OFFSET($G$6,HC$5,0)^2)</f>
        <v>#VALUE!</v>
      </c>
      <c r="HD12" s="10" t="e">
        <f t="array" aca="1" ref="HD12" ca="1">-SUM(($GS12:$GV12)*($GO12:$GR12-OFFSET($C$6:$F$6,HD$5,0)))+SQRT(SUM(($GS12:$GV12)*($GO12:$GR12-OFFSET($C$6:$F$6,HD$5,0)))^2-SUM(($GO12:$GR12-OFFSET($C$6:$F$6,HD$5,0))*($GO12:$GR12-OFFSET($C$6:$F$6,HD$5,0)))+OFFSET($G$6,HD$5,0)^2)</f>
        <v>#VALUE!</v>
      </c>
      <c r="HE12" s="10" t="e">
        <f t="array" aca="1" ref="HE12" ca="1">-SUM(($GS12:$GV12)*($GO12:$GR12-OFFSET($C$6:$F$6,HE$5,0)))+SQRT(SUM(($GS12:$GV12)*($GO12:$GR12-OFFSET($C$6:$F$6,HE$5,0)))^2-SUM(($GO12:$GR12-OFFSET($C$6:$F$6,HE$5,0))*($GO12:$GR12-OFFSET($C$6:$F$6,HE$5,0)))+OFFSET($G$6,HE$5,0)^2)</f>
        <v>#VALUE!</v>
      </c>
      <c r="HF12" s="10" t="e">
        <f t="array" aca="1" ref="HF12" ca="1">-SUM(($GS12:$GV12)*($GO12:$GR12-OFFSET($C$6:$F$6,HF$5,0)))+SQRT(SUM(($GS12:$GV12)*($GO12:$GR12-OFFSET($C$6:$F$6,HF$5,0)))^2-SUM(($GO12:$GR12-OFFSET($C$6:$F$6,HF$5,0))*($GO12:$GR12-OFFSET($C$6:$F$6,HF$5,0)))+OFFSET($G$6,HF$5,0)^2)</f>
        <v>#VALUE!</v>
      </c>
      <c r="HG12" s="10" t="e">
        <f t="array" aca="1" ref="HG12" ca="1">-SUM(($GS12:$GV12)*($GO12:$GR12-OFFSET($C$6:$F$6,HG$5,0)))+SQRT(SUM(($GS12:$GV12)*($GO12:$GR12-OFFSET($C$6:$F$6,HG$5,0)))^2-SUM(($GO12:$GR12-OFFSET($C$6:$F$6,HG$5,0))*($GO12:$GR12-OFFSET($C$6:$F$6,HG$5,0)))+OFFSET($G$6,HG$5,0)^2)</f>
        <v>#VALUE!</v>
      </c>
      <c r="HH12" s="10" t="e">
        <f t="array" aca="1" ref="HH12" ca="1">-SUM(($GS12:$GV12)*($GO12:$GR12-OFFSET($C$6:$F$6,GX$5,0)))-SQRT(SUM(($GS12:$GV12)*($GO12:$GR12-OFFSET($C$6:$F$6,GX$5,0)))^2-SUM(($GO12:$GR12-OFFSET($C$6:$F$6,GX$5,0))*($GO12:$GR12-OFFSET($C$6:$F$6,GX$5,0)))+OFFSET($G$6,GX$5,0)^2)</f>
        <v>#VALUE!</v>
      </c>
      <c r="HI12" s="10" t="e">
        <f t="array" aca="1" ref="HI12" ca="1">-SUM(($GS12:$GV12)*($GO12:$GR12-OFFSET($C$6:$F$6,GY$5,0)))-SQRT(SUM(($GS12:$GV12)*($GO12:$GR12-OFFSET($C$6:$F$6,GY$5,0)))^2-SUM(($GO12:$GR12-OFFSET($C$6:$F$6,GY$5,0))*($GO12:$GR12-OFFSET($C$6:$F$6,GY$5,0)))+OFFSET($G$6,GY$5,0)^2)</f>
        <v>#VALUE!</v>
      </c>
      <c r="HJ12" s="10" t="e">
        <f t="array" aca="1" ref="HJ12" ca="1">-SUM(($GS12:$GV12)*($GO12:$GR12-OFFSET($C$6:$F$6,GZ$5,0)))-SQRT(SUM(($GS12:$GV12)*($GO12:$GR12-OFFSET($C$6:$F$6,GZ$5,0)))^2-SUM(($GO12:$GR12-OFFSET($C$6:$F$6,GZ$5,0))*($GO12:$GR12-OFFSET($C$6:$F$6,GZ$5,0)))+OFFSET($G$6,GZ$5,0)^2)</f>
        <v>#VALUE!</v>
      </c>
      <c r="HK12" s="10" t="e">
        <f t="array" aca="1" ref="HK12" ca="1">-SUM(($GS12:$GV12)*($GO12:$GR12-OFFSET($C$6:$F$6,HA$5,0)))-SQRT(SUM(($GS12:$GV12)*($GO12:$GR12-OFFSET($C$6:$F$6,HA$5,0)))^2-SUM(($GO12:$GR12-OFFSET($C$6:$F$6,HA$5,0))*($GO12:$GR12-OFFSET($C$6:$F$6,HA$5,0)))+OFFSET($G$6,HA$5,0)^2)</f>
        <v>#VALUE!</v>
      </c>
      <c r="HL12" s="10" t="e">
        <f t="array" aca="1" ref="HL12" ca="1">-SUM(($GS12:$GV12)*($GO12:$GR12-OFFSET($C$6:$F$6,HB$5,0)))-SQRT(SUM(($GS12:$GV12)*($GO12:$GR12-OFFSET($C$6:$F$6,HB$5,0)))^2-SUM(($GO12:$GR12-OFFSET($C$6:$F$6,HB$5,0))*($GO12:$GR12-OFFSET($C$6:$F$6,HB$5,0)))+OFFSET($G$6,HB$5,0)^2)</f>
        <v>#VALUE!</v>
      </c>
      <c r="HM12" s="10" t="e">
        <f t="array" aca="1" ref="HM12" ca="1">-SUM(($GS12:$GV12)*($GO12:$GR12-OFFSET($C$6:$F$6,HC$5,0)))-SQRT(SUM(($GS12:$GV12)*($GO12:$GR12-OFFSET($C$6:$F$6,HC$5,0)))^2-SUM(($GO12:$GR12-OFFSET($C$6:$F$6,HC$5,0))*($GO12:$GR12-OFFSET($C$6:$F$6,HC$5,0)))+OFFSET($G$6,HC$5,0)^2)</f>
        <v>#VALUE!</v>
      </c>
      <c r="HN12" s="10" t="e">
        <f t="array" aca="1" ref="HN12" ca="1">-SUM(($GS12:$GV12)*($GO12:$GR12-OFFSET($C$6:$F$6,HD$5,0)))-SQRT(SUM(($GS12:$GV12)*($GO12:$GR12-OFFSET($C$6:$F$6,HD$5,0)))^2-SUM(($GO12:$GR12-OFFSET($C$6:$F$6,HD$5,0))*($GO12:$GR12-OFFSET($C$6:$F$6,HD$5,0)))+OFFSET($G$6,HD$5,0)^2)</f>
        <v>#VALUE!</v>
      </c>
      <c r="HO12" s="10" t="e">
        <f t="array" aca="1" ref="HO12" ca="1">-SUM(($GS12:$GV12)*($GO12:$GR12-OFFSET($C$6:$F$6,HE$5,0)))-SQRT(SUM(($GS12:$GV12)*($GO12:$GR12-OFFSET($C$6:$F$6,HE$5,0)))^2-SUM(($GO12:$GR12-OFFSET($C$6:$F$6,HE$5,0))*($GO12:$GR12-OFFSET($C$6:$F$6,HE$5,0)))+OFFSET($G$6,HE$5,0)^2)</f>
        <v>#VALUE!</v>
      </c>
      <c r="HP12" s="10" t="e">
        <f t="array" aca="1" ref="HP12" ca="1">-SUM(($GS12:$GV12)*($GO12:$GR12-OFFSET($C$6:$F$6,HF$5,0)))-SQRT(SUM(($GS12:$GV12)*($GO12:$GR12-OFFSET($C$6:$F$6,HF$5,0)))^2-SUM(($GO12:$GR12-OFFSET($C$6:$F$6,HF$5,0))*($GO12:$GR12-OFFSET($C$6:$F$6,HF$5,0)))+OFFSET($G$6,HF$5,0)^2)</f>
        <v>#VALUE!</v>
      </c>
      <c r="HQ12" s="10" t="e">
        <f t="array" aca="1" ref="HQ12" ca="1">-SUM(($GS12:$GV12)*($GO12:$GR12-OFFSET($C$6:$F$6,HG$5,0)))-SQRT(SUM(($GS12:$GV12)*($GO12:$GR12-OFFSET($C$6:$F$6,HG$5,0)))^2-SUM(($GO12:$GR12-OFFSET($C$6:$F$6,HG$5,0))*($GO12:$GR12-OFFSET($C$6:$F$6,HG$5,0)))+OFFSET($G$6,HG$5,0)^2)</f>
        <v>#VALUE!</v>
      </c>
      <c r="HS12" s="10">
        <f t="array" aca="1" ref="HS12" ca="1">MIN(IF(IF(ISERROR(GX12:HQ12),-1,GX12:HQ12)&lt;0,9999999999,GX12:HQ12))</f>
        <v>9999999999</v>
      </c>
      <c r="HU12" s="11">
        <f t="shared" ca="1" si="41"/>
        <v>0</v>
      </c>
      <c r="HW12" s="11">
        <f t="shared" ca="1" si="42"/>
        <v>0.7319877334407946</v>
      </c>
    </row>
    <row r="13" spans="2:231" x14ac:dyDescent="0.25">
      <c r="B13">
        <v>7</v>
      </c>
      <c r="C13" s="10">
        <v>3</v>
      </c>
      <c r="D13" s="10">
        <v>-0.8</v>
      </c>
      <c r="E13" s="10">
        <v>-3</v>
      </c>
      <c r="F13" s="10">
        <v>1</v>
      </c>
      <c r="G13" s="10">
        <v>0.2</v>
      </c>
      <c r="H13" s="10">
        <v>0</v>
      </c>
      <c r="I13" s="10">
        <v>0.9</v>
      </c>
      <c r="J13" s="10">
        <v>0.9</v>
      </c>
      <c r="K13" s="10">
        <v>200</v>
      </c>
      <c r="L13" s="10">
        <v>0</v>
      </c>
      <c r="X13" s="11">
        <f t="shared" si="6"/>
        <v>-1.6212438853948288</v>
      </c>
      <c r="Y13" s="11">
        <f t="shared" si="7"/>
        <v>-1</v>
      </c>
      <c r="Z13" s="11">
        <v>4</v>
      </c>
      <c r="AB13" s="10">
        <f t="array" aca="1" ref="AB13:AE13" ca="1">TRANSPOSE(Screen!$GL$98:$GL$101)</f>
        <v>0</v>
      </c>
      <c r="AC13" s="10">
        <f ca="1"/>
        <v>0.50000000000000033</v>
      </c>
      <c r="AD13" s="10">
        <f ca="1"/>
        <v>-15</v>
      </c>
      <c r="AE13" s="10">
        <f ca="1"/>
        <v>1</v>
      </c>
      <c r="AF13" s="10">
        <f t="array" aca="1" ref="AF13:AH13" ca="1">TRANSPOSE(MMULT(Screen!$GI$98:$GK$100,TRANSPOSE(X13:Z13)))</f>
        <v>-1.6212438853948288</v>
      </c>
      <c r="AG13" s="10">
        <f ca="1"/>
        <v>-1.2380565658529825</v>
      </c>
      <c r="AH13" s="10">
        <f ca="1"/>
        <v>3.9400359935205556</v>
      </c>
      <c r="AI13" s="10">
        <v>1</v>
      </c>
      <c r="AJ13" s="10">
        <f t="array" aca="1" ref="AJ13" ca="1">AF13/SQRT(SUM(($AF13:$AH13)*($AF13:$AH13)))</f>
        <v>-0.36540925661806695</v>
      </c>
      <c r="AK13" s="10">
        <f t="array" aca="1" ref="AK13" ca="1">AG13/SQRT(SUM(($AF13:$AH13)*($AF13:$AH13)))</f>
        <v>-0.27904335273362085</v>
      </c>
      <c r="AL13" s="10">
        <f t="array" aca="1" ref="AL13" ca="1">AH13/SQRT(SUM(($AF13:$AH13)*($AF13:$AH13)))</f>
        <v>0.88803765825161474</v>
      </c>
      <c r="AM13" s="10">
        <v>0</v>
      </c>
      <c r="AO13" s="10">
        <f t="array" aca="1" ref="AO13" ca="1">-SUM(($AJ13:$AM13)*($AB13:$AE13-OFFSET($C$6:$F$6,AO$5,0)))+SQRT(SUM(($AJ13:$AM13)*($AB13:$AE13-OFFSET($C$6:$F$6,AO$5,0)))^2-SUM(($AB13:$AE13-OFFSET($C$6:$F$6,AO$5,0))*($AB13:$AE13-OFFSET($C$6:$F$6,AO$5,0)))+OFFSET($G$6,AO$5,0)^2)</f>
        <v>579.44247809310446</v>
      </c>
      <c r="AP13" s="10" t="e">
        <f t="array" aca="1" ref="AP13" ca="1">-SUM(($AJ13:$AM13)*($AB13:$AE13-OFFSET($C$6:$F$6,AP$5,0)))+SQRT(SUM(($AJ13:$AM13)*($AB13:$AE13-OFFSET($C$6:$F$6,AP$5,0)))^2-SUM(($AB13:$AE13-OFFSET($C$6:$F$6,AP$5,0))*($AB13:$AE13-OFFSET($C$6:$F$6,AP$5,0)))+OFFSET($G$6,AP$5,0)^2)</f>
        <v>#NUM!</v>
      </c>
      <c r="AQ13" s="10" t="e">
        <f t="array" aca="1" ref="AQ13" ca="1">-SUM(($AJ13:$AM13)*($AB13:$AE13-OFFSET($C$6:$F$6,AQ$5,0)))+SQRT(SUM(($AJ13:$AM13)*($AB13:$AE13-OFFSET($C$6:$F$6,AQ$5,0)))^2-SUM(($AB13:$AE13-OFFSET($C$6:$F$6,AQ$5,0))*($AB13:$AE13-OFFSET($C$6:$F$6,AQ$5,0)))+OFFSET($G$6,AQ$5,0)^2)</f>
        <v>#NUM!</v>
      </c>
      <c r="AR13" s="10" t="e">
        <f t="array" aca="1" ref="AR13" ca="1">-SUM(($AJ13:$AM13)*($AB13:$AE13-OFFSET($C$6:$F$6,AR$5,0)))+SQRT(SUM(($AJ13:$AM13)*($AB13:$AE13-OFFSET($C$6:$F$6,AR$5,0)))^2-SUM(($AB13:$AE13-OFFSET($C$6:$F$6,AR$5,0))*($AB13:$AE13-OFFSET($C$6:$F$6,AR$5,0)))+OFFSET($G$6,AR$5,0)^2)</f>
        <v>#NUM!</v>
      </c>
      <c r="AS13" s="10" t="e">
        <f t="array" aca="1" ref="AS13" ca="1">-SUM(($AJ13:$AM13)*($AB13:$AE13-OFFSET($C$6:$F$6,AS$5,0)))+SQRT(SUM(($AJ13:$AM13)*($AB13:$AE13-OFFSET($C$6:$F$6,AS$5,0)))^2-SUM(($AB13:$AE13-OFFSET($C$6:$F$6,AS$5,0))*($AB13:$AE13-OFFSET($C$6:$F$6,AS$5,0)))+OFFSET($G$6,AS$5,0)^2)</f>
        <v>#NUM!</v>
      </c>
      <c r="AT13" s="10" t="e">
        <f t="array" aca="1" ref="AT13" ca="1">-SUM(($AJ13:$AM13)*($AB13:$AE13-OFFSET($C$6:$F$6,AT$5,0)))+SQRT(SUM(($AJ13:$AM13)*($AB13:$AE13-OFFSET($C$6:$F$6,AT$5,0)))^2-SUM(($AB13:$AE13-OFFSET($C$6:$F$6,AT$5,0))*($AB13:$AE13-OFFSET($C$6:$F$6,AT$5,0)))+OFFSET($G$6,AT$5,0)^2)</f>
        <v>#NUM!</v>
      </c>
      <c r="AU13" s="10" t="e">
        <f t="array" aca="1" ref="AU13" ca="1">-SUM(($AJ13:$AM13)*($AB13:$AE13-OFFSET($C$6:$F$6,AU$5,0)))+SQRT(SUM(($AJ13:$AM13)*($AB13:$AE13-OFFSET($C$6:$F$6,AU$5,0)))^2-SUM(($AB13:$AE13-OFFSET($C$6:$F$6,AU$5,0))*($AB13:$AE13-OFFSET($C$6:$F$6,AU$5,0)))+OFFSET($G$6,AU$5,0)^2)</f>
        <v>#NUM!</v>
      </c>
      <c r="AV13" s="10" t="e">
        <f t="array" aca="1" ref="AV13" ca="1">-SUM(($AJ13:$AM13)*($AB13:$AE13-OFFSET($C$6:$F$6,AV$5,0)))+SQRT(SUM(($AJ13:$AM13)*($AB13:$AE13-OFFSET($C$6:$F$6,AV$5,0)))^2-SUM(($AB13:$AE13-OFFSET($C$6:$F$6,AV$5,0))*($AB13:$AE13-OFFSET($C$6:$F$6,AV$5,0)))+OFFSET($G$6,AV$5,0)^2)</f>
        <v>#NUM!</v>
      </c>
      <c r="AW13" s="10" t="e">
        <f t="array" aca="1" ref="AW13" ca="1">-SUM(($AJ13:$AM13)*($AB13:$AE13-OFFSET($C$6:$F$6,AW$5,0)))+SQRT(SUM(($AJ13:$AM13)*($AB13:$AE13-OFFSET($C$6:$F$6,AW$5,0)))^2-SUM(($AB13:$AE13-OFFSET($C$6:$F$6,AW$5,0))*($AB13:$AE13-OFFSET($C$6:$F$6,AW$5,0)))+OFFSET($G$6,AW$5,0)^2)</f>
        <v>#NUM!</v>
      </c>
      <c r="AX13" s="10" t="e">
        <f t="array" aca="1" ref="AX13" ca="1">-SUM(($AJ13:$AM13)*($AB13:$AE13-OFFSET($C$6:$F$6,AX$5,0)))+SQRT(SUM(($AJ13:$AM13)*($AB13:$AE13-OFFSET($C$6:$F$6,AX$5,0)))^2-SUM(($AB13:$AE13-OFFSET($C$6:$F$6,AX$5,0))*($AB13:$AE13-OFFSET($C$6:$F$6,AX$5,0)))+OFFSET($G$6,AX$5,0)^2)</f>
        <v>#NUM!</v>
      </c>
      <c r="AY13" s="10">
        <f t="array" aca="1" ref="AY13" ca="1">-SUM(($AJ13:$AM13)*($AB13:$AE13-OFFSET($C$6:$F$6,AO$5,0)))-SQRT(SUM(($AJ13:$AM13)*($AB13:$AE13-OFFSET($C$6:$F$6,AO$5,0)))^2-SUM(($AB13:$AE13-OFFSET($C$6:$F$6,AO$5,0))*($AB13:$AE13-OFFSET($C$6:$F$6,AO$5,0)))+OFFSET($G$6,AO$5,0)^2)</f>
        <v>5.564400474419358</v>
      </c>
      <c r="AZ13" s="10" t="e">
        <f t="array" aca="1" ref="AZ13" ca="1">-SUM(($AJ13:$AM13)*($AB13:$AE13-OFFSET($C$6:$F$6,AP$5,0)))-SQRT(SUM(($AJ13:$AM13)*($AB13:$AE13-OFFSET($C$6:$F$6,AP$5,0)))^2-SUM(($AB13:$AE13-OFFSET($C$6:$F$6,AP$5,0))*($AB13:$AE13-OFFSET($C$6:$F$6,AP$5,0)))+OFFSET($G$6,AP$5,0)^2)</f>
        <v>#NUM!</v>
      </c>
      <c r="BA13" s="10" t="e">
        <f t="array" aca="1" ref="BA13" ca="1">-SUM(($AJ13:$AM13)*($AB13:$AE13-OFFSET($C$6:$F$6,AQ$5,0)))-SQRT(SUM(($AJ13:$AM13)*($AB13:$AE13-OFFSET($C$6:$F$6,AQ$5,0)))^2-SUM(($AB13:$AE13-OFFSET($C$6:$F$6,AQ$5,0))*($AB13:$AE13-OFFSET($C$6:$F$6,AQ$5,0)))+OFFSET($G$6,AQ$5,0)^2)</f>
        <v>#NUM!</v>
      </c>
      <c r="BB13" s="10" t="e">
        <f t="array" aca="1" ref="BB13" ca="1">-SUM(($AJ13:$AM13)*($AB13:$AE13-OFFSET($C$6:$F$6,AR$5,0)))-SQRT(SUM(($AJ13:$AM13)*($AB13:$AE13-OFFSET($C$6:$F$6,AR$5,0)))^2-SUM(($AB13:$AE13-OFFSET($C$6:$F$6,AR$5,0))*($AB13:$AE13-OFFSET($C$6:$F$6,AR$5,0)))+OFFSET($G$6,AR$5,0)^2)</f>
        <v>#NUM!</v>
      </c>
      <c r="BC13" s="10" t="e">
        <f t="array" aca="1" ref="BC13" ca="1">-SUM(($AJ13:$AM13)*($AB13:$AE13-OFFSET($C$6:$F$6,AS$5,0)))-SQRT(SUM(($AJ13:$AM13)*($AB13:$AE13-OFFSET($C$6:$F$6,AS$5,0)))^2-SUM(($AB13:$AE13-OFFSET($C$6:$F$6,AS$5,0))*($AB13:$AE13-OFFSET($C$6:$F$6,AS$5,0)))+OFFSET($G$6,AS$5,0)^2)</f>
        <v>#NUM!</v>
      </c>
      <c r="BD13" s="10" t="e">
        <f t="array" aca="1" ref="BD13" ca="1">-SUM(($AJ13:$AM13)*($AB13:$AE13-OFFSET($C$6:$F$6,AT$5,0)))-SQRT(SUM(($AJ13:$AM13)*($AB13:$AE13-OFFSET($C$6:$F$6,AT$5,0)))^2-SUM(($AB13:$AE13-OFFSET($C$6:$F$6,AT$5,0))*($AB13:$AE13-OFFSET($C$6:$F$6,AT$5,0)))+OFFSET($G$6,AT$5,0)^2)</f>
        <v>#NUM!</v>
      </c>
      <c r="BE13" s="10" t="e">
        <f t="array" aca="1" ref="BE13" ca="1">-SUM(($AJ13:$AM13)*($AB13:$AE13-OFFSET($C$6:$F$6,AU$5,0)))-SQRT(SUM(($AJ13:$AM13)*($AB13:$AE13-OFFSET($C$6:$F$6,AU$5,0)))^2-SUM(($AB13:$AE13-OFFSET($C$6:$F$6,AU$5,0))*($AB13:$AE13-OFFSET($C$6:$F$6,AU$5,0)))+OFFSET($G$6,AU$5,0)^2)</f>
        <v>#NUM!</v>
      </c>
      <c r="BF13" s="10" t="e">
        <f t="array" aca="1" ref="BF13" ca="1">-SUM(($AJ13:$AM13)*($AB13:$AE13-OFFSET($C$6:$F$6,AV$5,0)))-SQRT(SUM(($AJ13:$AM13)*($AB13:$AE13-OFFSET($C$6:$F$6,AV$5,0)))^2-SUM(($AB13:$AE13-OFFSET($C$6:$F$6,AV$5,0))*($AB13:$AE13-OFFSET($C$6:$F$6,AV$5,0)))+OFFSET($G$6,AV$5,0)^2)</f>
        <v>#NUM!</v>
      </c>
      <c r="BG13" s="10" t="e">
        <f t="array" aca="1" ref="BG13" ca="1">-SUM(($AJ13:$AM13)*($AB13:$AE13-OFFSET($C$6:$F$6,AW$5,0)))-SQRT(SUM(($AJ13:$AM13)*($AB13:$AE13-OFFSET($C$6:$F$6,AW$5,0)))^2-SUM(($AB13:$AE13-OFFSET($C$6:$F$6,AW$5,0))*($AB13:$AE13-OFFSET($C$6:$F$6,AW$5,0)))+OFFSET($G$6,AW$5,0)^2)</f>
        <v>#NUM!</v>
      </c>
      <c r="BH13" s="10" t="e">
        <f t="array" aca="1" ref="BH13" ca="1">-SUM(($AJ13:$AM13)*($AB13:$AE13-OFFSET($C$6:$F$6,AX$5,0)))-SQRT(SUM(($AJ13:$AM13)*($AB13:$AE13-OFFSET($C$6:$F$6,AX$5,0)))^2-SUM(($AB13:$AE13-OFFSET($C$6:$F$6,AX$5,0))*($AB13:$AE13-OFFSET($C$6:$F$6,AX$5,0)))+OFFSET($G$6,AX$5,0)^2)</f>
        <v>#NUM!</v>
      </c>
      <c r="BJ13" s="10">
        <f t="array" aca="1" ref="BJ13" ca="1">MIN(IF(IF(ISERROR(AO13:BH13),-1,AO13:BH13)&lt;0,9999999999,AO13:BH13))</f>
        <v>5.564400474419358</v>
      </c>
      <c r="BL13">
        <f t="shared" ca="1" si="8"/>
        <v>0</v>
      </c>
      <c r="BN13" s="10">
        <f t="shared" ca="1" si="9"/>
        <v>-2.0332834408827964</v>
      </c>
      <c r="BO13" s="10">
        <f t="shared" ca="1" si="10"/>
        <v>-1.0527089643345278</v>
      </c>
      <c r="BP13" s="10">
        <f t="shared" ca="1" si="11"/>
        <v>-10.05860283312246</v>
      </c>
      <c r="BQ13" s="10">
        <f t="shared" ca="1" si="12"/>
        <v>1</v>
      </c>
      <c r="BR13" s="14">
        <f t="shared" ca="1" si="13"/>
        <v>0.36540925661806695</v>
      </c>
      <c r="BS13" s="14">
        <f t="shared" ca="1" si="14"/>
        <v>0.27904335273362085</v>
      </c>
      <c r="BT13" s="14">
        <f t="shared" ca="1" si="15"/>
        <v>-0.88803765825161474</v>
      </c>
      <c r="BU13" s="14">
        <f t="shared" si="16"/>
        <v>0</v>
      </c>
      <c r="BV13" s="10">
        <f t="array" aca="1" ref="BV13" ca="1">(BN13-OFFSET(C$6,$BL13,0))/SQRT(SUM(($BN13:$BQ13-OFFSET($C$6:$F$6,$BL13,0))*($BN13:$BQ13-OFFSET($C$6:$F$6,$BL13,0))))</f>
        <v>-2.0353187596424387E-3</v>
      </c>
      <c r="BW13" s="10">
        <f t="array" aca="1" ref="BW13" ca="1">(BO13-OFFSET(D$6,$BL13,0))/SQRT(SUM(($BN13:$BQ13-OFFSET($C$6:$F$6,$BL13,0))*($BN13:$BQ13-OFFSET($C$6:$F$6,$BL13,0))))</f>
        <v>0.99994723827393939</v>
      </c>
      <c r="BX13" s="10">
        <f t="array" aca="1" ref="BX13" ca="1">(BP13-OFFSET(E$6,$BL13,0))/SQRT(SUM(($BN13:$BQ13-OFFSET($C$6:$F$6,$BL13,0))*($BN13:$BQ13-OFFSET($C$6:$F$6,$BL13,0))))</f>
        <v>-1.0068671504627088E-2</v>
      </c>
      <c r="BY13" s="10">
        <f t="array" aca="1" ref="BY13" ca="1">(BQ13-OFFSET(F$6,$BL13,0))/SQRT(SUM(($BN13:$BQ13-OFFSET($C$6:$F$6,$BL13,0))*($BN13:$BQ13-OFFSET($C$6:$F$6,$BL13,0))))</f>
        <v>0</v>
      </c>
      <c r="BZ13" s="14">
        <f t="array" aca="1" ref="BZ13" ca="1">-(BN13-O$6)/SQRT(SUM(($O$6:$R$6-$BN13:$BQ13)*($O$6:$R$6-$BN13:$BQ13)))</f>
        <v>-0.58472297325553801</v>
      </c>
      <c r="CA13" s="14">
        <f t="array" aca="1" ref="CA13" ca="1">-(BO13-P$6)/SQRT(SUM(($O$6:$R$6-$BN13:$BQ13)*($O$6:$R$6-$BN13:$BQ13)))</f>
        <v>0.81122163694373572</v>
      </c>
      <c r="CB13" s="14">
        <f t="array" aca="1" ref="CB13" ca="1">-(BP13-Q$6)/SQRT(SUM(($O$6:$R$6-$BN13:$BQ13)*($O$6:$R$6-$BN13:$BQ13)))</f>
        <v>4.3011976854314309E-3</v>
      </c>
      <c r="CC13" s="14">
        <f t="array" aca="1" ref="CC13" ca="1">-(BQ13-R$6)/SQRT(SUM(($O$6:$R$6-$BN13:$BQ13)*($O$6:$R$6-$BN13:$BQ13)))</f>
        <v>0</v>
      </c>
      <c r="CD13" s="14">
        <f t="array" aca="1" ref="CD13:CG13" ca="1">-BR13:BU13-BV13:BY13*2*SUM(-BR13:BU13*BV13:BY13)</f>
        <v>-0.36657845062920291</v>
      </c>
      <c r="CE13" s="14">
        <f ca="1"/>
        <v>0.29537886830818255</v>
      </c>
      <c r="CF13" s="14">
        <f ca="1"/>
        <v>0.88225368443054419</v>
      </c>
      <c r="CG13" s="14">
        <f ca="1"/>
        <v>0</v>
      </c>
      <c r="CH13" s="14">
        <f t="array" aca="1" ref="CH13:CK13" ca="1">-BZ13:CC13-BV13:BY13*2*SUM(-BZ13:CC13*BV13:BY13)</f>
        <v>0.58141629008536122</v>
      </c>
      <c r="CI13" s="14">
        <f ca="1"/>
        <v>0.81334389521207062</v>
      </c>
      <c r="CJ13" s="14">
        <f ca="1"/>
        <v>-2.0659277446971196E-2</v>
      </c>
      <c r="CK13" s="14">
        <f ca="1"/>
        <v>0</v>
      </c>
      <c r="CL13">
        <f t="array" aca="1" ref="CL13" ca="1">SUM(BZ13:CC13*BV13:BY13)</f>
        <v>0.81232562578004264</v>
      </c>
      <c r="CM13">
        <f t="array" aca="1" ref="CM13" ca="1">SUM(CH13:CK13*BR13:BU13)</f>
        <v>0.45775931815630388</v>
      </c>
      <c r="CN13" s="11">
        <f t="shared" ca="1" si="17"/>
        <v>0</v>
      </c>
      <c r="CO13" s="11">
        <f t="shared" ca="1" si="18"/>
        <v>0.73109306320203837</v>
      </c>
      <c r="CP13" s="11">
        <f t="shared" ca="1" si="19"/>
        <v>1.206927612450252E-68</v>
      </c>
      <c r="CQ13" s="11">
        <f t="shared" ca="1" si="20"/>
        <v>0.73109306320203837</v>
      </c>
      <c r="CS13" s="10">
        <f t="array" aca="1" ref="CS13:CV13" ca="1">BN13:BQ13+BV13:BY13*0.001</f>
        <v>-2.0332854762015562</v>
      </c>
      <c r="CT13" s="10">
        <f ca="1"/>
        <v>-1.0517090170962538</v>
      </c>
      <c r="CU13" s="10">
        <f ca="1"/>
        <v>-10.058612901793966</v>
      </c>
      <c r="CV13" s="10">
        <f ca="1"/>
        <v>1</v>
      </c>
      <c r="CW13" s="10">
        <f t="shared" ca="1" si="21"/>
        <v>-0.58472297325553801</v>
      </c>
      <c r="CX13" s="10">
        <f t="shared" ca="1" si="22"/>
        <v>0.81122163694373572</v>
      </c>
      <c r="CY13" s="10">
        <f t="shared" ca="1" si="23"/>
        <v>4.3011976854314309E-3</v>
      </c>
      <c r="CZ13" s="10">
        <f t="shared" ca="1" si="24"/>
        <v>0</v>
      </c>
      <c r="DB13" s="10">
        <f t="array" aca="1" ref="DB13" ca="1">-SUM(($CW13:$CZ13)*($CS13:$CV13-OFFSET($C$6:$F$6,DB$5,0)))+SQRT(SUM(($CW13:$CZ13)*($CS13:$CV13-OFFSET($C$6:$F$6,DB$5,0)))^2-SUM(($CS13:$CV13-OFFSET($C$6:$F$6,DB$5,0))*($CS13:$CV13-OFFSET($C$6:$F$6,DB$5,0)))+OFFSET($G$6,DB$5,0)^2)</f>
        <v>-1.231033745852983E-3</v>
      </c>
      <c r="DC13" s="10" t="e">
        <f t="array" aca="1" ref="DC13" ca="1">-SUM(($CW13:$CZ13)*($CS13:$CV13-OFFSET($C$6:$F$6,DC$5,0)))+SQRT(SUM(($CW13:$CZ13)*($CS13:$CV13-OFFSET($C$6:$F$6,DC$5,0)))^2-SUM(($CS13:$CV13-OFFSET($C$6:$F$6,DC$5,0))*($CS13:$CV13-OFFSET($C$6:$F$6,DC$5,0)))+OFFSET($G$6,DC$5,0)^2)</f>
        <v>#NUM!</v>
      </c>
      <c r="DD13" s="10" t="e">
        <f t="array" aca="1" ref="DD13" ca="1">-SUM(($CW13:$CZ13)*($CS13:$CV13-OFFSET($C$6:$F$6,DD$5,0)))+SQRT(SUM(($CW13:$CZ13)*($CS13:$CV13-OFFSET($C$6:$F$6,DD$5,0)))^2-SUM(($CS13:$CV13-OFFSET($C$6:$F$6,DD$5,0))*($CS13:$CV13-OFFSET($C$6:$F$6,DD$5,0)))+OFFSET($G$6,DD$5,0)^2)</f>
        <v>#NUM!</v>
      </c>
      <c r="DE13" s="10" t="e">
        <f t="array" aca="1" ref="DE13" ca="1">-SUM(($CW13:$CZ13)*($CS13:$CV13-OFFSET($C$6:$F$6,DE$5,0)))+SQRT(SUM(($CW13:$CZ13)*($CS13:$CV13-OFFSET($C$6:$F$6,DE$5,0)))^2-SUM(($CS13:$CV13-OFFSET($C$6:$F$6,DE$5,0))*($CS13:$CV13-OFFSET($C$6:$F$6,DE$5,0)))+OFFSET($G$6,DE$5,0)^2)</f>
        <v>#NUM!</v>
      </c>
      <c r="DF13" s="10" t="e">
        <f t="array" aca="1" ref="DF13" ca="1">-SUM(($CW13:$CZ13)*($CS13:$CV13-OFFSET($C$6:$F$6,DF$5,0)))+SQRT(SUM(($CW13:$CZ13)*($CS13:$CV13-OFFSET($C$6:$F$6,DF$5,0)))^2-SUM(($CS13:$CV13-OFFSET($C$6:$F$6,DF$5,0))*($CS13:$CV13-OFFSET($C$6:$F$6,DF$5,0)))+OFFSET($G$6,DF$5,0)^2)</f>
        <v>#NUM!</v>
      </c>
      <c r="DG13" s="10" t="e">
        <f t="array" aca="1" ref="DG13" ca="1">-SUM(($CW13:$CZ13)*($CS13:$CV13-OFFSET($C$6:$F$6,DG$5,0)))+SQRT(SUM(($CW13:$CZ13)*($CS13:$CV13-OFFSET($C$6:$F$6,DG$5,0)))^2-SUM(($CS13:$CV13-OFFSET($C$6:$F$6,DG$5,0))*($CS13:$CV13-OFFSET($C$6:$F$6,DG$5,0)))+OFFSET($G$6,DG$5,0)^2)</f>
        <v>#NUM!</v>
      </c>
      <c r="DH13" s="10" t="e">
        <f t="array" aca="1" ref="DH13" ca="1">-SUM(($CW13:$CZ13)*($CS13:$CV13-OFFSET($C$6:$F$6,DH$5,0)))+SQRT(SUM(($CW13:$CZ13)*($CS13:$CV13-OFFSET($C$6:$F$6,DH$5,0)))^2-SUM(($CS13:$CV13-OFFSET($C$6:$F$6,DH$5,0))*($CS13:$CV13-OFFSET($C$6:$F$6,DH$5,0)))+OFFSET($G$6,DH$5,0)^2)</f>
        <v>#NUM!</v>
      </c>
      <c r="DI13" s="10" t="e">
        <f t="array" aca="1" ref="DI13" ca="1">-SUM(($CW13:$CZ13)*($CS13:$CV13-OFFSET($C$6:$F$6,DI$5,0)))+SQRT(SUM(($CW13:$CZ13)*($CS13:$CV13-OFFSET($C$6:$F$6,DI$5,0)))^2-SUM(($CS13:$CV13-OFFSET($C$6:$F$6,DI$5,0))*($CS13:$CV13-OFFSET($C$6:$F$6,DI$5,0)))+OFFSET($G$6,DI$5,0)^2)</f>
        <v>#NUM!</v>
      </c>
      <c r="DJ13" s="10" t="e">
        <f t="array" aca="1" ref="DJ13" ca="1">-SUM(($CW13:$CZ13)*($CS13:$CV13-OFFSET($C$6:$F$6,DJ$5,0)))+SQRT(SUM(($CW13:$CZ13)*($CS13:$CV13-OFFSET($C$6:$F$6,DJ$5,0)))^2-SUM(($CS13:$CV13-OFFSET($C$6:$F$6,DJ$5,0))*($CS13:$CV13-OFFSET($C$6:$F$6,DJ$5,0)))+OFFSET($G$6,DJ$5,0)^2)</f>
        <v>#NUM!</v>
      </c>
      <c r="DK13" s="10" t="e">
        <f t="array" aca="1" ref="DK13" ca="1">-SUM(($CW13:$CZ13)*($CS13:$CV13-OFFSET($C$6:$F$6,DK$5,0)))+SQRT(SUM(($CW13:$CZ13)*($CS13:$CV13-OFFSET($C$6:$F$6,DK$5,0)))^2-SUM(($CS13:$CV13-OFFSET($C$6:$F$6,DK$5,0))*($CS13:$CV13-OFFSET($C$6:$F$6,DK$5,0)))+OFFSET($G$6,DK$5,0)^2)</f>
        <v>#NUM!</v>
      </c>
      <c r="DL13" s="10">
        <f t="array" aca="1" ref="DL13" ca="1">-SUM(($CW13:$CZ13)*($CS13:$CV13-OFFSET($C$6:$F$6,DB$5,0)))-SQRT(SUM(($CW13:$CZ13)*($CS13:$CV13-OFFSET($C$6:$F$6,DB$5,0)))^2-SUM(($CS13:$CV13-OFFSET($C$6:$F$6,DB$5,0))*($CS13:$CV13-OFFSET($C$6:$F$6,DB$5,0)))+OFFSET($G$6,DB$5,0)^2)</f>
        <v>-1623.0269939260309</v>
      </c>
      <c r="DM13" s="10" t="e">
        <f t="array" aca="1" ref="DM13" ca="1">-SUM(($CW13:$CZ13)*($CS13:$CV13-OFFSET($C$6:$F$6,DC$5,0)))-SQRT(SUM(($CW13:$CZ13)*($CS13:$CV13-OFFSET($C$6:$F$6,DC$5,0)))^2-SUM(($CS13:$CV13-OFFSET($C$6:$F$6,DC$5,0))*($CS13:$CV13-OFFSET($C$6:$F$6,DC$5,0)))+OFFSET($G$6,DC$5,0)^2)</f>
        <v>#NUM!</v>
      </c>
      <c r="DN13" s="10" t="e">
        <f t="array" aca="1" ref="DN13" ca="1">-SUM(($CW13:$CZ13)*($CS13:$CV13-OFFSET($C$6:$F$6,DD$5,0)))-SQRT(SUM(($CW13:$CZ13)*($CS13:$CV13-OFFSET($C$6:$F$6,DD$5,0)))^2-SUM(($CS13:$CV13-OFFSET($C$6:$F$6,DD$5,0))*($CS13:$CV13-OFFSET($C$6:$F$6,DD$5,0)))+OFFSET($G$6,DD$5,0)^2)</f>
        <v>#NUM!</v>
      </c>
      <c r="DO13" s="10" t="e">
        <f t="array" aca="1" ref="DO13" ca="1">-SUM(($CW13:$CZ13)*($CS13:$CV13-OFFSET($C$6:$F$6,DE$5,0)))-SQRT(SUM(($CW13:$CZ13)*($CS13:$CV13-OFFSET($C$6:$F$6,DE$5,0)))^2-SUM(($CS13:$CV13-OFFSET($C$6:$F$6,DE$5,0))*($CS13:$CV13-OFFSET($C$6:$F$6,DE$5,0)))+OFFSET($G$6,DE$5,0)^2)</f>
        <v>#NUM!</v>
      </c>
      <c r="DP13" s="10" t="e">
        <f t="array" aca="1" ref="DP13" ca="1">-SUM(($CW13:$CZ13)*($CS13:$CV13-OFFSET($C$6:$F$6,DF$5,0)))-SQRT(SUM(($CW13:$CZ13)*($CS13:$CV13-OFFSET($C$6:$F$6,DF$5,0)))^2-SUM(($CS13:$CV13-OFFSET($C$6:$F$6,DF$5,0))*($CS13:$CV13-OFFSET($C$6:$F$6,DF$5,0)))+OFFSET($G$6,DF$5,0)^2)</f>
        <v>#NUM!</v>
      </c>
      <c r="DQ13" s="10" t="e">
        <f t="array" aca="1" ref="DQ13" ca="1">-SUM(($CW13:$CZ13)*($CS13:$CV13-OFFSET($C$6:$F$6,DG$5,0)))-SQRT(SUM(($CW13:$CZ13)*($CS13:$CV13-OFFSET($C$6:$F$6,DG$5,0)))^2-SUM(($CS13:$CV13-OFFSET($C$6:$F$6,DG$5,0))*($CS13:$CV13-OFFSET($C$6:$F$6,DG$5,0)))+OFFSET($G$6,DG$5,0)^2)</f>
        <v>#NUM!</v>
      </c>
      <c r="DR13" s="10" t="e">
        <f t="array" aca="1" ref="DR13" ca="1">-SUM(($CW13:$CZ13)*($CS13:$CV13-OFFSET($C$6:$F$6,DH$5,0)))-SQRT(SUM(($CW13:$CZ13)*($CS13:$CV13-OFFSET($C$6:$F$6,DH$5,0)))^2-SUM(($CS13:$CV13-OFFSET($C$6:$F$6,DH$5,0))*($CS13:$CV13-OFFSET($C$6:$F$6,DH$5,0)))+OFFSET($G$6,DH$5,0)^2)</f>
        <v>#NUM!</v>
      </c>
      <c r="DS13" s="10" t="e">
        <f t="array" aca="1" ref="DS13" ca="1">-SUM(($CW13:$CZ13)*($CS13:$CV13-OFFSET($C$6:$F$6,DI$5,0)))-SQRT(SUM(($CW13:$CZ13)*($CS13:$CV13-OFFSET($C$6:$F$6,DI$5,0)))^2-SUM(($CS13:$CV13-OFFSET($C$6:$F$6,DI$5,0))*($CS13:$CV13-OFFSET($C$6:$F$6,DI$5,0)))+OFFSET($G$6,DI$5,0)^2)</f>
        <v>#NUM!</v>
      </c>
      <c r="DT13" s="10" t="e">
        <f t="array" aca="1" ref="DT13" ca="1">-SUM(($CW13:$CZ13)*($CS13:$CV13-OFFSET($C$6:$F$6,DJ$5,0)))-SQRT(SUM(($CW13:$CZ13)*($CS13:$CV13-OFFSET($C$6:$F$6,DJ$5,0)))^2-SUM(($CS13:$CV13-OFFSET($C$6:$F$6,DJ$5,0))*($CS13:$CV13-OFFSET($C$6:$F$6,DJ$5,0)))+OFFSET($G$6,DJ$5,0)^2)</f>
        <v>#NUM!</v>
      </c>
      <c r="DU13" s="10" t="e">
        <f t="array" aca="1" ref="DU13" ca="1">-SUM(($CW13:$CZ13)*($CS13:$CV13-OFFSET($C$6:$F$6,DK$5,0)))-SQRT(SUM(($CW13:$CZ13)*($CS13:$CV13-OFFSET($C$6:$F$6,DK$5,0)))^2-SUM(($CS13:$CV13-OFFSET($C$6:$F$6,DK$5,0))*($CS13:$CV13-OFFSET($C$6:$F$6,DK$5,0)))+OFFSET($G$6,DK$5,0)^2)</f>
        <v>#NUM!</v>
      </c>
      <c r="DW13" s="10">
        <f t="array" aca="1" ref="DW13" ca="1">MIN(IF(IF(ISERROR(DB13:DU13),-1,DB13:DU13)&lt;0,9999999999,DB13:DU13))</f>
        <v>9999999999</v>
      </c>
      <c r="DY13" s="11">
        <f t="shared" ca="1" si="25"/>
        <v>0.73109306320203837</v>
      </c>
      <c r="EB13" s="10">
        <f t="array" aca="1" ref="EB13:EE13" ca="1">BN13:BQ13+BV13:BY13*0.01</f>
        <v>-2.0333037940703931</v>
      </c>
      <c r="EC13" s="10">
        <f ca="1"/>
        <v>-1.0427094919517883</v>
      </c>
      <c r="ED13" s="10">
        <f ca="1"/>
        <v>-10.058703519837506</v>
      </c>
      <c r="EE13" s="10">
        <f ca="1"/>
        <v>1</v>
      </c>
      <c r="EF13" s="10">
        <f t="shared" ca="1" si="26"/>
        <v>-0.36657845062920291</v>
      </c>
      <c r="EG13" s="10">
        <f t="shared" ca="1" si="27"/>
        <v>0.29537886830818255</v>
      </c>
      <c r="EH13" s="10">
        <f t="shared" ca="1" si="28"/>
        <v>0.88225368443054419</v>
      </c>
      <c r="EI13" s="10">
        <f t="shared" ca="1" si="29"/>
        <v>0</v>
      </c>
      <c r="EK13" s="10">
        <f t="array" aca="1" ref="EK13" ca="1">-SUM(($EF13:$EI13)*($EB13:$EE13-OFFSET($C$6:$F$6,EK$5,0)))+SQRT(SUM(($EF13:$EI13)*($EB13:$EE13-OFFSET($C$6:$F$6,EK$5,0)))^2-SUM(($EB13:$EE13-OFFSET($C$6:$F$6,EK$5,0))*($EB13:$EE13-OFFSET($C$6:$F$6,EK$5,0)))+OFFSET($G$6,EK$5,0)^2)</f>
        <v>-3.4817695674632887E-2</v>
      </c>
      <c r="EL13" s="10" t="e">
        <f t="array" aca="1" ref="EL13" ca="1">-SUM(($EF13:$EI13)*($EB13:$EE13-OFFSET($C$6:$F$6,EL$5,0)))+SQRT(SUM(($EF13:$EI13)*($EB13:$EE13-OFFSET($C$6:$F$6,EL$5,0)))^2-SUM(($EB13:$EE13-OFFSET($C$6:$F$6,EL$5,0))*($EB13:$EE13-OFFSET($C$6:$F$6,EL$5,0)))+OFFSET($G$6,EL$5,0)^2)</f>
        <v>#NUM!</v>
      </c>
      <c r="EM13" s="10" t="e">
        <f t="array" aca="1" ref="EM13" ca="1">-SUM(($EF13:$EI13)*($EB13:$EE13-OFFSET($C$6:$F$6,EM$5,0)))+SQRT(SUM(($EF13:$EI13)*($EB13:$EE13-OFFSET($C$6:$F$6,EM$5,0)))^2-SUM(($EB13:$EE13-OFFSET($C$6:$F$6,EM$5,0))*($EB13:$EE13-OFFSET($C$6:$F$6,EM$5,0)))+OFFSET($G$6,EM$5,0)^2)</f>
        <v>#NUM!</v>
      </c>
      <c r="EN13" s="10" t="e">
        <f t="array" aca="1" ref="EN13" ca="1">-SUM(($EF13:$EI13)*($EB13:$EE13-OFFSET($C$6:$F$6,EN$5,0)))+SQRT(SUM(($EF13:$EI13)*($EB13:$EE13-OFFSET($C$6:$F$6,EN$5,0)))^2-SUM(($EB13:$EE13-OFFSET($C$6:$F$6,EN$5,0))*($EB13:$EE13-OFFSET($C$6:$F$6,EN$5,0)))+OFFSET($G$6,EN$5,0)^2)</f>
        <v>#NUM!</v>
      </c>
      <c r="EO13" s="10" t="e">
        <f t="array" aca="1" ref="EO13" ca="1">-SUM(($EF13:$EI13)*($EB13:$EE13-OFFSET($C$6:$F$6,EO$5,0)))+SQRT(SUM(($EF13:$EI13)*($EB13:$EE13-OFFSET($C$6:$F$6,EO$5,0)))^2-SUM(($EB13:$EE13-OFFSET($C$6:$F$6,EO$5,0))*($EB13:$EE13-OFFSET($C$6:$F$6,EO$5,0)))+OFFSET($G$6,EO$5,0)^2)</f>
        <v>#NUM!</v>
      </c>
      <c r="EP13" s="10" t="e">
        <f t="array" aca="1" ref="EP13" ca="1">-SUM(($EF13:$EI13)*($EB13:$EE13-OFFSET($C$6:$F$6,EP$5,0)))+SQRT(SUM(($EF13:$EI13)*($EB13:$EE13-OFFSET($C$6:$F$6,EP$5,0)))^2-SUM(($EB13:$EE13-OFFSET($C$6:$F$6,EP$5,0))*($EB13:$EE13-OFFSET($C$6:$F$6,EP$5,0)))+OFFSET($G$6,EP$5,0)^2)</f>
        <v>#NUM!</v>
      </c>
      <c r="EQ13" s="10" t="e">
        <f t="array" aca="1" ref="EQ13" ca="1">-SUM(($EF13:$EI13)*($EB13:$EE13-OFFSET($C$6:$F$6,EQ$5,0)))+SQRT(SUM(($EF13:$EI13)*($EB13:$EE13-OFFSET($C$6:$F$6,EQ$5,0)))^2-SUM(($EB13:$EE13-OFFSET($C$6:$F$6,EQ$5,0))*($EB13:$EE13-OFFSET($C$6:$F$6,EQ$5,0)))+OFFSET($G$6,EQ$5,0)^2)</f>
        <v>#NUM!</v>
      </c>
      <c r="ER13" s="10" t="e">
        <f t="array" aca="1" ref="ER13" ca="1">-SUM(($EF13:$EI13)*($EB13:$EE13-OFFSET($C$6:$F$6,ER$5,0)))+SQRT(SUM(($EF13:$EI13)*($EB13:$EE13-OFFSET($C$6:$F$6,ER$5,0)))^2-SUM(($EB13:$EE13-OFFSET($C$6:$F$6,ER$5,0))*($EB13:$EE13-OFFSET($C$6:$F$6,ER$5,0)))+OFFSET($G$6,ER$5,0)^2)</f>
        <v>#NUM!</v>
      </c>
      <c r="ES13" s="10" t="e">
        <f t="array" aca="1" ref="ES13" ca="1">-SUM(($EF13:$EI13)*($EB13:$EE13-OFFSET($C$6:$F$6,ES$5,0)))+SQRT(SUM(($EF13:$EI13)*($EB13:$EE13-OFFSET($C$6:$F$6,ES$5,0)))^2-SUM(($EB13:$EE13-OFFSET($C$6:$F$6,ES$5,0))*($EB13:$EE13-OFFSET($C$6:$F$6,ES$5,0)))+OFFSET($G$6,ES$5,0)^2)</f>
        <v>#NUM!</v>
      </c>
      <c r="ET13" s="10" t="e">
        <f t="array" aca="1" ref="ET13" ca="1">-SUM(($EF13:$EI13)*($EB13:$EE13-OFFSET($C$6:$F$6,ET$5,0)))+SQRT(SUM(($EF13:$EI13)*($EB13:$EE13-OFFSET($C$6:$F$6,ET$5,0)))^2-SUM(($EB13:$EE13-OFFSET($C$6:$F$6,ET$5,0))*($EB13:$EE13-OFFSET($C$6:$F$6,ET$5,0)))+OFFSET($G$6,ET$5,0)^2)</f>
        <v>#NUM!</v>
      </c>
      <c r="EU13" s="10">
        <f t="array" aca="1" ref="EU13" ca="1">-SUM(($EF13:$EI13)*($EB13:$EE13-OFFSET($C$6:$F$6,EK$5,0)))-SQRT(SUM(($EF13:$EI13)*($EB13:$EE13-OFFSET($C$6:$F$6,EK$5,0)))^2-SUM(($EB13:$EE13-OFFSET($C$6:$F$6,EK$5,0))*($EB13:$EE13-OFFSET($C$6:$F$6,EK$5,0)))+OFFSET($G$6,EK$5,0)^2)</f>
        <v>-573.84900444831203</v>
      </c>
      <c r="EV13" s="10" t="e">
        <f t="array" aca="1" ref="EV13" ca="1">-SUM(($EF13:$EI13)*($EB13:$EE13-OFFSET($C$6:$F$6,EL$5,0)))-SQRT(SUM(($EF13:$EI13)*($EB13:$EE13-OFFSET($C$6:$F$6,EL$5,0)))^2-SUM(($EB13:$EE13-OFFSET($C$6:$F$6,EL$5,0))*($EB13:$EE13-OFFSET($C$6:$F$6,EL$5,0)))+OFFSET($G$6,EL$5,0)^2)</f>
        <v>#NUM!</v>
      </c>
      <c r="EW13" s="10" t="e">
        <f t="array" aca="1" ref="EW13" ca="1">-SUM(($EF13:$EI13)*($EB13:$EE13-OFFSET($C$6:$F$6,EM$5,0)))-SQRT(SUM(($EF13:$EI13)*($EB13:$EE13-OFFSET($C$6:$F$6,EM$5,0)))^2-SUM(($EB13:$EE13-OFFSET($C$6:$F$6,EM$5,0))*($EB13:$EE13-OFFSET($C$6:$F$6,EM$5,0)))+OFFSET($G$6,EM$5,0)^2)</f>
        <v>#NUM!</v>
      </c>
      <c r="EX13" s="10" t="e">
        <f t="array" aca="1" ref="EX13" ca="1">-SUM(($EF13:$EI13)*($EB13:$EE13-OFFSET($C$6:$F$6,EN$5,0)))-SQRT(SUM(($EF13:$EI13)*($EB13:$EE13-OFFSET($C$6:$F$6,EN$5,0)))^2-SUM(($EB13:$EE13-OFFSET($C$6:$F$6,EN$5,0))*($EB13:$EE13-OFFSET($C$6:$F$6,EN$5,0)))+OFFSET($G$6,EN$5,0)^2)</f>
        <v>#NUM!</v>
      </c>
      <c r="EY13" s="10" t="e">
        <f t="array" aca="1" ref="EY13" ca="1">-SUM(($EF13:$EI13)*($EB13:$EE13-OFFSET($C$6:$F$6,EO$5,0)))-SQRT(SUM(($EF13:$EI13)*($EB13:$EE13-OFFSET($C$6:$F$6,EO$5,0)))^2-SUM(($EB13:$EE13-OFFSET($C$6:$F$6,EO$5,0))*($EB13:$EE13-OFFSET($C$6:$F$6,EO$5,0)))+OFFSET($G$6,EO$5,0)^2)</f>
        <v>#NUM!</v>
      </c>
      <c r="EZ13" s="10" t="e">
        <f t="array" aca="1" ref="EZ13" ca="1">-SUM(($EF13:$EI13)*($EB13:$EE13-OFFSET($C$6:$F$6,EP$5,0)))-SQRT(SUM(($EF13:$EI13)*($EB13:$EE13-OFFSET($C$6:$F$6,EP$5,0)))^2-SUM(($EB13:$EE13-OFFSET($C$6:$F$6,EP$5,0))*($EB13:$EE13-OFFSET($C$6:$F$6,EP$5,0)))+OFFSET($G$6,EP$5,0)^2)</f>
        <v>#NUM!</v>
      </c>
      <c r="FA13" s="10" t="e">
        <f t="array" aca="1" ref="FA13" ca="1">-SUM(($EF13:$EI13)*($EB13:$EE13-OFFSET($C$6:$F$6,EQ$5,0)))-SQRT(SUM(($EF13:$EI13)*($EB13:$EE13-OFFSET($C$6:$F$6,EQ$5,0)))^2-SUM(($EB13:$EE13-OFFSET($C$6:$F$6,EQ$5,0))*($EB13:$EE13-OFFSET($C$6:$F$6,EQ$5,0)))+OFFSET($G$6,EQ$5,0)^2)</f>
        <v>#NUM!</v>
      </c>
      <c r="FB13" s="10" t="e">
        <f t="array" aca="1" ref="FB13" ca="1">-SUM(($EF13:$EI13)*($EB13:$EE13-OFFSET($C$6:$F$6,ER$5,0)))-SQRT(SUM(($EF13:$EI13)*($EB13:$EE13-OFFSET($C$6:$F$6,ER$5,0)))^2-SUM(($EB13:$EE13-OFFSET($C$6:$F$6,ER$5,0))*($EB13:$EE13-OFFSET($C$6:$F$6,ER$5,0)))+OFFSET($G$6,ER$5,0)^2)</f>
        <v>#NUM!</v>
      </c>
      <c r="FC13" s="10" t="e">
        <f t="array" aca="1" ref="FC13" ca="1">-SUM(($EF13:$EI13)*($EB13:$EE13-OFFSET($C$6:$F$6,ES$5,0)))-SQRT(SUM(($EF13:$EI13)*($EB13:$EE13-OFFSET($C$6:$F$6,ES$5,0)))^2-SUM(($EB13:$EE13-OFFSET($C$6:$F$6,ES$5,0))*($EB13:$EE13-OFFSET($C$6:$F$6,ES$5,0)))+OFFSET($G$6,ES$5,0)^2)</f>
        <v>#NUM!</v>
      </c>
      <c r="FD13" s="10" t="e">
        <f t="array" aca="1" ref="FD13" ca="1">-SUM(($EF13:$EI13)*($EB13:$EE13-OFFSET($C$6:$F$6,ET$5,0)))-SQRT(SUM(($EF13:$EI13)*($EB13:$EE13-OFFSET($C$6:$F$6,ET$5,0)))^2-SUM(($EB13:$EE13-OFFSET($C$6:$F$6,ET$5,0))*($EB13:$EE13-OFFSET($C$6:$F$6,ET$5,0)))+OFFSET($G$6,ET$5,0)^2)</f>
        <v>#NUM!</v>
      </c>
      <c r="FF13" s="10">
        <f t="array" aca="1" ref="FF13" ca="1">MIN(IF(IF(ISERROR(EK13:FD13),-1,EK13:FD13)&lt;0,9999999999,EK13:FD13))</f>
        <v>9999999999</v>
      </c>
      <c r="FH13">
        <f t="shared" ca="1" si="30"/>
        <v>-1</v>
      </c>
      <c r="FJ13" s="10">
        <f t="shared" ca="1" si="31"/>
        <v>-3665784507.9587545</v>
      </c>
      <c r="FK13" s="10">
        <f t="shared" ca="1" si="32"/>
        <v>2953788681.7437372</v>
      </c>
      <c r="FL13" s="10">
        <f t="shared" ca="1" si="33"/>
        <v>8822536833.3644848</v>
      </c>
      <c r="FM13" s="10">
        <f t="shared" ca="1" si="34"/>
        <v>1</v>
      </c>
      <c r="FN13" s="14">
        <f t="shared" ca="1" si="35"/>
        <v>0.36657845062920291</v>
      </c>
      <c r="FO13" s="14">
        <f t="shared" ca="1" si="0"/>
        <v>-0.29537886830818255</v>
      </c>
      <c r="FP13" s="14">
        <f t="shared" ca="1" si="1"/>
        <v>-0.88225368443054419</v>
      </c>
      <c r="FQ13" s="14">
        <f t="shared" ca="1" si="2"/>
        <v>0</v>
      </c>
      <c r="FR13" s="10" t="e">
        <f t="array" aca="1" ref="FR13" ca="1">(FJ13-OFFSET(C$6,$FH13,0))/SQRT(SUM(($FJ13:$FM13-OFFSET($C$6:$F$6,$FH13,0))*($FJ13:$FM13-OFFSET($C$6:$F$6,$FH13,0))))</f>
        <v>#VALUE!</v>
      </c>
      <c r="FS13" s="10" t="e">
        <f t="array" aca="1" ref="FS13" ca="1">(FK13-OFFSET(D$6,$FH13,0))/SQRT(SUM(($FJ13:$FM13-OFFSET($C$6:$F$6,$FH13,0))*($FJ13:$FM13-OFFSET($C$6:$F$6,$FH13,0))))</f>
        <v>#VALUE!</v>
      </c>
      <c r="FT13" s="10" t="e">
        <f t="array" aca="1" ref="FT13" ca="1">(FL13-OFFSET(E$6,$FH13,0))/SQRT(SUM(($FJ13:$FM13-OFFSET($C$6:$F$6,$FH13,0))*($FJ13:$FM13-OFFSET($C$6:$F$6,$FH13,0))))</f>
        <v>#VALUE!</v>
      </c>
      <c r="FU13" s="10" t="e">
        <f t="array" aca="1" ref="FU13" ca="1">(FM13-OFFSET(F$6,$FH13,0))/SQRT(SUM(($FJ13:$FM13-OFFSET($C$6:$F$6,$FH13,0))*($FJ13:$FM13-OFFSET($C$6:$F$6,$FH13,0))))</f>
        <v>#VALUE!</v>
      </c>
      <c r="FV13" s="14">
        <f t="array" aca="1" ref="FV13" ca="1">-(FJ13-O$6)/SQRT(SUM(($O$6:$R$6-$FJ13:$FM13)*($O$6:$R$6-$FJ13:$FM13)))</f>
        <v>0.36657845006105816</v>
      </c>
      <c r="FW13" s="14">
        <f t="array" aca="1" ref="FW13" ca="1">-(FK13-P$6)/SQRT(SUM(($O$6:$R$6-$FJ13:$FM13)*($O$6:$R$6-$FJ13:$FM13)))</f>
        <v>-0.29537886738805064</v>
      </c>
      <c r="FX13" s="14">
        <f t="array" aca="1" ref="FX13" ca="1">-(FL13-Q$6)/SQRT(SUM(($O$6:$R$6-$FJ13:$FM13)*($O$6:$R$6-$FJ13:$FM13)))</f>
        <v>-0.88225368497467038</v>
      </c>
      <c r="FY13" s="14">
        <f t="array" aca="1" ref="FY13" ca="1">-(FM13-R$6)/SQRT(SUM(($O$6:$R$6-$FJ13:$FM13)*($O$6:$R$6-$FJ13:$FM13)))</f>
        <v>0</v>
      </c>
      <c r="FZ13" s="14" t="e">
        <f t="array" aca="1" ref="FZ13:GC13" ca="1">-FN13:FQ13-FR13:FU13*2*SUM(-FN13:FQ13*FR13:FU13)</f>
        <v>#VALUE!</v>
      </c>
      <c r="GA13" s="14" t="e">
        <f ca="1"/>
        <v>#VALUE!</v>
      </c>
      <c r="GB13" s="14" t="e">
        <f ca="1"/>
        <v>#VALUE!</v>
      </c>
      <c r="GC13" s="14" t="e">
        <f ca="1"/>
        <v>#VALUE!</v>
      </c>
      <c r="GD13" s="14" t="e">
        <f t="array" aca="1" ref="GD13:GG13" ca="1">-FV13:FY13-FR13:FU13*2*SUM(-FV13:FY13*FR13:FU13)</f>
        <v>#VALUE!</v>
      </c>
      <c r="GE13" s="14" t="e">
        <f ca="1"/>
        <v>#VALUE!</v>
      </c>
      <c r="GF13" s="14" t="e">
        <f ca="1"/>
        <v>#VALUE!</v>
      </c>
      <c r="GG13" s="14" t="e">
        <f ca="1"/>
        <v>#VALUE!</v>
      </c>
      <c r="GH13" t="e">
        <f t="array" aca="1" ref="GH13" ca="1">SUM(FV13:FY13*FR13:FU13)</f>
        <v>#VALUE!</v>
      </c>
      <c r="GI13" t="e">
        <f t="array" aca="1" ref="GI13" ca="1">SUM(GD13:GG13*FN13:FQ13)</f>
        <v>#VALUE!</v>
      </c>
      <c r="GJ13" s="11" t="e">
        <f t="shared" ca="1" si="36"/>
        <v>#VALUE!</v>
      </c>
      <c r="GK13" s="11" t="e">
        <f t="shared" ca="1" si="37"/>
        <v>#VALUE!</v>
      </c>
      <c r="GL13" s="11" t="e">
        <f t="shared" ca="1" si="38"/>
        <v>#VALUE!</v>
      </c>
      <c r="GM13" s="11">
        <f t="shared" ca="1" si="39"/>
        <v>0</v>
      </c>
      <c r="GO13" s="10" t="e">
        <f t="array" aca="1" ref="GO13:GR13" ca="1">FJ13:FM13+FR13:FU13*0.001</f>
        <v>#VALUE!</v>
      </c>
      <c r="GP13" s="10" t="e">
        <f ca="1"/>
        <v>#VALUE!</v>
      </c>
      <c r="GQ13" s="10" t="e">
        <f ca="1"/>
        <v>#VALUE!</v>
      </c>
      <c r="GR13" s="10" t="e">
        <f ca="1"/>
        <v>#VALUE!</v>
      </c>
      <c r="GS13" s="10">
        <f t="shared" ca="1" si="40"/>
        <v>0.36657845006105816</v>
      </c>
      <c r="GT13" s="10">
        <f t="shared" ca="1" si="3"/>
        <v>-0.29537886738805064</v>
      </c>
      <c r="GU13" s="10">
        <f t="shared" ca="1" si="4"/>
        <v>-0.88225368497467038</v>
      </c>
      <c r="GV13" s="10">
        <f t="shared" ca="1" si="5"/>
        <v>0</v>
      </c>
      <c r="GX13" s="10" t="e">
        <f t="array" aca="1" ref="GX13" ca="1">-SUM(($GS13:$GV13)*($GO13:$GR13-OFFSET($C$6:$F$6,GX$5,0)))+SQRT(SUM(($GS13:$GV13)*($GO13:$GR13-OFFSET($C$6:$F$6,GX$5,0)))^2-SUM(($GO13:$GR13-OFFSET($C$6:$F$6,GX$5,0))*($GO13:$GR13-OFFSET($C$6:$F$6,GX$5,0)))+OFFSET($G$6,GX$5,0)^2)</f>
        <v>#VALUE!</v>
      </c>
      <c r="GY13" s="10" t="e">
        <f t="array" aca="1" ref="GY13" ca="1">-SUM(($GS13:$GV13)*($GO13:$GR13-OFFSET($C$6:$F$6,GY$5,0)))+SQRT(SUM(($GS13:$GV13)*($GO13:$GR13-OFFSET($C$6:$F$6,GY$5,0)))^2-SUM(($GO13:$GR13-OFFSET($C$6:$F$6,GY$5,0))*($GO13:$GR13-OFFSET($C$6:$F$6,GY$5,0)))+OFFSET($G$6,GY$5,0)^2)</f>
        <v>#VALUE!</v>
      </c>
      <c r="GZ13" s="10" t="e">
        <f t="array" aca="1" ref="GZ13" ca="1">-SUM(($GS13:$GV13)*($GO13:$GR13-OFFSET($C$6:$F$6,GZ$5,0)))+SQRT(SUM(($GS13:$GV13)*($GO13:$GR13-OFFSET($C$6:$F$6,GZ$5,0)))^2-SUM(($GO13:$GR13-OFFSET($C$6:$F$6,GZ$5,0))*($GO13:$GR13-OFFSET($C$6:$F$6,GZ$5,0)))+OFFSET($G$6,GZ$5,0)^2)</f>
        <v>#VALUE!</v>
      </c>
      <c r="HA13" s="10" t="e">
        <f t="array" aca="1" ref="HA13" ca="1">-SUM(($GS13:$GV13)*($GO13:$GR13-OFFSET($C$6:$F$6,HA$5,0)))+SQRT(SUM(($GS13:$GV13)*($GO13:$GR13-OFFSET($C$6:$F$6,HA$5,0)))^2-SUM(($GO13:$GR13-OFFSET($C$6:$F$6,HA$5,0))*($GO13:$GR13-OFFSET($C$6:$F$6,HA$5,0)))+OFFSET($G$6,HA$5,0)^2)</f>
        <v>#VALUE!</v>
      </c>
      <c r="HB13" s="10" t="e">
        <f t="array" aca="1" ref="HB13" ca="1">-SUM(($GS13:$GV13)*($GO13:$GR13-OFFSET($C$6:$F$6,HB$5,0)))+SQRT(SUM(($GS13:$GV13)*($GO13:$GR13-OFFSET($C$6:$F$6,HB$5,0)))^2-SUM(($GO13:$GR13-OFFSET($C$6:$F$6,HB$5,0))*($GO13:$GR13-OFFSET($C$6:$F$6,HB$5,0)))+OFFSET($G$6,HB$5,0)^2)</f>
        <v>#VALUE!</v>
      </c>
      <c r="HC13" s="10" t="e">
        <f t="array" aca="1" ref="HC13" ca="1">-SUM(($GS13:$GV13)*($GO13:$GR13-OFFSET($C$6:$F$6,HC$5,0)))+SQRT(SUM(($GS13:$GV13)*($GO13:$GR13-OFFSET($C$6:$F$6,HC$5,0)))^2-SUM(($GO13:$GR13-OFFSET($C$6:$F$6,HC$5,0))*($GO13:$GR13-OFFSET($C$6:$F$6,HC$5,0)))+OFFSET($G$6,HC$5,0)^2)</f>
        <v>#VALUE!</v>
      </c>
      <c r="HD13" s="10" t="e">
        <f t="array" aca="1" ref="HD13" ca="1">-SUM(($GS13:$GV13)*($GO13:$GR13-OFFSET($C$6:$F$6,HD$5,0)))+SQRT(SUM(($GS13:$GV13)*($GO13:$GR13-OFFSET($C$6:$F$6,HD$5,0)))^2-SUM(($GO13:$GR13-OFFSET($C$6:$F$6,HD$5,0))*($GO13:$GR13-OFFSET($C$6:$F$6,HD$5,0)))+OFFSET($G$6,HD$5,0)^2)</f>
        <v>#VALUE!</v>
      </c>
      <c r="HE13" s="10" t="e">
        <f t="array" aca="1" ref="HE13" ca="1">-SUM(($GS13:$GV13)*($GO13:$GR13-OFFSET($C$6:$F$6,HE$5,0)))+SQRT(SUM(($GS13:$GV13)*($GO13:$GR13-OFFSET($C$6:$F$6,HE$5,0)))^2-SUM(($GO13:$GR13-OFFSET($C$6:$F$6,HE$5,0))*($GO13:$GR13-OFFSET($C$6:$F$6,HE$5,0)))+OFFSET($G$6,HE$5,0)^2)</f>
        <v>#VALUE!</v>
      </c>
      <c r="HF13" s="10" t="e">
        <f t="array" aca="1" ref="HF13" ca="1">-SUM(($GS13:$GV13)*($GO13:$GR13-OFFSET($C$6:$F$6,HF$5,0)))+SQRT(SUM(($GS13:$GV13)*($GO13:$GR13-OFFSET($C$6:$F$6,HF$5,0)))^2-SUM(($GO13:$GR13-OFFSET($C$6:$F$6,HF$5,0))*($GO13:$GR13-OFFSET($C$6:$F$6,HF$5,0)))+OFFSET($G$6,HF$5,0)^2)</f>
        <v>#VALUE!</v>
      </c>
      <c r="HG13" s="10" t="e">
        <f t="array" aca="1" ref="HG13" ca="1">-SUM(($GS13:$GV13)*($GO13:$GR13-OFFSET($C$6:$F$6,HG$5,0)))+SQRT(SUM(($GS13:$GV13)*($GO13:$GR13-OFFSET($C$6:$F$6,HG$5,0)))^2-SUM(($GO13:$GR13-OFFSET($C$6:$F$6,HG$5,0))*($GO13:$GR13-OFFSET($C$6:$F$6,HG$5,0)))+OFFSET($G$6,HG$5,0)^2)</f>
        <v>#VALUE!</v>
      </c>
      <c r="HH13" s="10" t="e">
        <f t="array" aca="1" ref="HH13" ca="1">-SUM(($GS13:$GV13)*($GO13:$GR13-OFFSET($C$6:$F$6,GX$5,0)))-SQRT(SUM(($GS13:$GV13)*($GO13:$GR13-OFFSET($C$6:$F$6,GX$5,0)))^2-SUM(($GO13:$GR13-OFFSET($C$6:$F$6,GX$5,0))*($GO13:$GR13-OFFSET($C$6:$F$6,GX$5,0)))+OFFSET($G$6,GX$5,0)^2)</f>
        <v>#VALUE!</v>
      </c>
      <c r="HI13" s="10" t="e">
        <f t="array" aca="1" ref="HI13" ca="1">-SUM(($GS13:$GV13)*($GO13:$GR13-OFFSET($C$6:$F$6,GY$5,0)))-SQRT(SUM(($GS13:$GV13)*($GO13:$GR13-OFFSET($C$6:$F$6,GY$5,0)))^2-SUM(($GO13:$GR13-OFFSET($C$6:$F$6,GY$5,0))*($GO13:$GR13-OFFSET($C$6:$F$6,GY$5,0)))+OFFSET($G$6,GY$5,0)^2)</f>
        <v>#VALUE!</v>
      </c>
      <c r="HJ13" s="10" t="e">
        <f t="array" aca="1" ref="HJ13" ca="1">-SUM(($GS13:$GV13)*($GO13:$GR13-OFFSET($C$6:$F$6,GZ$5,0)))-SQRT(SUM(($GS13:$GV13)*($GO13:$GR13-OFFSET($C$6:$F$6,GZ$5,0)))^2-SUM(($GO13:$GR13-OFFSET($C$6:$F$6,GZ$5,0))*($GO13:$GR13-OFFSET($C$6:$F$6,GZ$5,0)))+OFFSET($G$6,GZ$5,0)^2)</f>
        <v>#VALUE!</v>
      </c>
      <c r="HK13" s="10" t="e">
        <f t="array" aca="1" ref="HK13" ca="1">-SUM(($GS13:$GV13)*($GO13:$GR13-OFFSET($C$6:$F$6,HA$5,0)))-SQRT(SUM(($GS13:$GV13)*($GO13:$GR13-OFFSET($C$6:$F$6,HA$5,0)))^2-SUM(($GO13:$GR13-OFFSET($C$6:$F$6,HA$5,0))*($GO13:$GR13-OFFSET($C$6:$F$6,HA$5,0)))+OFFSET($G$6,HA$5,0)^2)</f>
        <v>#VALUE!</v>
      </c>
      <c r="HL13" s="10" t="e">
        <f t="array" aca="1" ref="HL13" ca="1">-SUM(($GS13:$GV13)*($GO13:$GR13-OFFSET($C$6:$F$6,HB$5,0)))-SQRT(SUM(($GS13:$GV13)*($GO13:$GR13-OFFSET($C$6:$F$6,HB$5,0)))^2-SUM(($GO13:$GR13-OFFSET($C$6:$F$6,HB$5,0))*($GO13:$GR13-OFFSET($C$6:$F$6,HB$5,0)))+OFFSET($G$6,HB$5,0)^2)</f>
        <v>#VALUE!</v>
      </c>
      <c r="HM13" s="10" t="e">
        <f t="array" aca="1" ref="HM13" ca="1">-SUM(($GS13:$GV13)*($GO13:$GR13-OFFSET($C$6:$F$6,HC$5,0)))-SQRT(SUM(($GS13:$GV13)*($GO13:$GR13-OFFSET($C$6:$F$6,HC$5,0)))^2-SUM(($GO13:$GR13-OFFSET($C$6:$F$6,HC$5,0))*($GO13:$GR13-OFFSET($C$6:$F$6,HC$5,0)))+OFFSET($G$6,HC$5,0)^2)</f>
        <v>#VALUE!</v>
      </c>
      <c r="HN13" s="10" t="e">
        <f t="array" aca="1" ref="HN13" ca="1">-SUM(($GS13:$GV13)*($GO13:$GR13-OFFSET($C$6:$F$6,HD$5,0)))-SQRT(SUM(($GS13:$GV13)*($GO13:$GR13-OFFSET($C$6:$F$6,HD$5,0)))^2-SUM(($GO13:$GR13-OFFSET($C$6:$F$6,HD$5,0))*($GO13:$GR13-OFFSET($C$6:$F$6,HD$5,0)))+OFFSET($G$6,HD$5,0)^2)</f>
        <v>#VALUE!</v>
      </c>
      <c r="HO13" s="10" t="e">
        <f t="array" aca="1" ref="HO13" ca="1">-SUM(($GS13:$GV13)*($GO13:$GR13-OFFSET($C$6:$F$6,HE$5,0)))-SQRT(SUM(($GS13:$GV13)*($GO13:$GR13-OFFSET($C$6:$F$6,HE$5,0)))^2-SUM(($GO13:$GR13-OFFSET($C$6:$F$6,HE$5,0))*($GO13:$GR13-OFFSET($C$6:$F$6,HE$5,0)))+OFFSET($G$6,HE$5,0)^2)</f>
        <v>#VALUE!</v>
      </c>
      <c r="HP13" s="10" t="e">
        <f t="array" aca="1" ref="HP13" ca="1">-SUM(($GS13:$GV13)*($GO13:$GR13-OFFSET($C$6:$F$6,HF$5,0)))-SQRT(SUM(($GS13:$GV13)*($GO13:$GR13-OFFSET($C$6:$F$6,HF$5,0)))^2-SUM(($GO13:$GR13-OFFSET($C$6:$F$6,HF$5,0))*($GO13:$GR13-OFFSET($C$6:$F$6,HF$5,0)))+OFFSET($G$6,HF$5,0)^2)</f>
        <v>#VALUE!</v>
      </c>
      <c r="HQ13" s="10" t="e">
        <f t="array" aca="1" ref="HQ13" ca="1">-SUM(($GS13:$GV13)*($GO13:$GR13-OFFSET($C$6:$F$6,HG$5,0)))-SQRT(SUM(($GS13:$GV13)*($GO13:$GR13-OFFSET($C$6:$F$6,HG$5,0)))^2-SUM(($GO13:$GR13-OFFSET($C$6:$F$6,HG$5,0))*($GO13:$GR13-OFFSET($C$6:$F$6,HG$5,0)))+OFFSET($G$6,HG$5,0)^2)</f>
        <v>#VALUE!</v>
      </c>
      <c r="HS13" s="10">
        <f t="array" aca="1" ref="HS13" ca="1">MIN(IF(IF(ISERROR(GX13:HQ13),-1,GX13:HQ13)&lt;0,9999999999,GX13:HQ13))</f>
        <v>9999999999</v>
      </c>
      <c r="HU13" s="11">
        <f t="shared" ca="1" si="41"/>
        <v>0</v>
      </c>
      <c r="HW13" s="11">
        <f t="shared" ca="1" si="42"/>
        <v>0.73109306320203837</v>
      </c>
    </row>
    <row r="14" spans="2:231" x14ac:dyDescent="0.25">
      <c r="B14">
        <v>8</v>
      </c>
      <c r="C14" s="10">
        <v>-3</v>
      </c>
      <c r="D14" s="10">
        <v>-0.8</v>
      </c>
      <c r="E14" s="10">
        <v>3</v>
      </c>
      <c r="F14" s="10">
        <v>1</v>
      </c>
      <c r="G14" s="10">
        <v>0.2</v>
      </c>
      <c r="H14" s="10">
        <v>0</v>
      </c>
      <c r="I14" s="10">
        <v>0.9</v>
      </c>
      <c r="J14" s="10">
        <v>0.9</v>
      </c>
      <c r="K14" s="10">
        <v>200</v>
      </c>
      <c r="L14" s="10">
        <v>0</v>
      </c>
      <c r="X14" s="11">
        <f t="shared" si="6"/>
        <v>-1.5988819007686932</v>
      </c>
      <c r="Y14" s="11">
        <f t="shared" si="7"/>
        <v>-1</v>
      </c>
      <c r="Z14" s="11">
        <v>4</v>
      </c>
      <c r="AB14" s="10">
        <f t="array" aca="1" ref="AB14:AE14" ca="1">TRANSPOSE(Screen!$GL$98:$GL$101)</f>
        <v>0</v>
      </c>
      <c r="AC14" s="10">
        <f ca="1"/>
        <v>0.50000000000000033</v>
      </c>
      <c r="AD14" s="10">
        <f ca="1"/>
        <v>-15</v>
      </c>
      <c r="AE14" s="10">
        <f ca="1"/>
        <v>1</v>
      </c>
      <c r="AF14" s="10">
        <f t="array" aca="1" ref="AF14:AH14" ca="1">TRANSPOSE(MMULT(Screen!$GI$98:$GK$100,TRANSPOSE(X14:Z14)))</f>
        <v>-1.5988819007686932</v>
      </c>
      <c r="AG14" s="10">
        <f ca="1"/>
        <v>-1.2380565658529825</v>
      </c>
      <c r="AH14" s="10">
        <f ca="1"/>
        <v>3.9400359935205556</v>
      </c>
      <c r="AI14" s="10">
        <v>1</v>
      </c>
      <c r="AJ14" s="10">
        <f t="array" aca="1" ref="AJ14" ca="1">AF14/SQRT(SUM(($AF14:$AH14)*($AF14:$AH14)))</f>
        <v>-0.36103006073944077</v>
      </c>
      <c r="AK14" s="10">
        <f t="array" aca="1" ref="AK14" ca="1">AG14/SQRT(SUM(($AF14:$AH14)*($AF14:$AH14)))</f>
        <v>-0.27955512971525515</v>
      </c>
      <c r="AL14" s="10">
        <f t="array" aca="1" ref="AL14" ca="1">AH14/SQRT(SUM(($AF14:$AH14)*($AF14:$AH14)))</f>
        <v>0.88966635582804987</v>
      </c>
      <c r="AM14" s="10">
        <v>0</v>
      </c>
      <c r="AO14" s="10">
        <f t="array" aca="1" ref="AO14" ca="1">-SUM(($AJ14:$AM14)*($AB14:$AE14-OFFSET($C$6:$F$6,AO$5,0)))+SQRT(SUM(($AJ14:$AM14)*($AB14:$AE14-OFFSET($C$6:$F$6,AO$5,0)))^2-SUM(($AB14:$AE14-OFFSET($C$6:$F$6,AO$5,0))*($AB14:$AE14-OFFSET($C$6:$F$6,AO$5,0)))+OFFSET($G$6,AO$5,0)^2)</f>
        <v>580.52578840341607</v>
      </c>
      <c r="AP14" s="10" t="e">
        <f t="array" aca="1" ref="AP14" ca="1">-SUM(($AJ14:$AM14)*($AB14:$AE14-OFFSET($C$6:$F$6,AP$5,0)))+SQRT(SUM(($AJ14:$AM14)*($AB14:$AE14-OFFSET($C$6:$F$6,AP$5,0)))^2-SUM(($AB14:$AE14-OFFSET($C$6:$F$6,AP$5,0))*($AB14:$AE14-OFFSET($C$6:$F$6,AP$5,0)))+OFFSET($G$6,AP$5,0)^2)</f>
        <v>#NUM!</v>
      </c>
      <c r="AQ14" s="10" t="e">
        <f t="array" aca="1" ref="AQ14" ca="1">-SUM(($AJ14:$AM14)*($AB14:$AE14-OFFSET($C$6:$F$6,AQ$5,0)))+SQRT(SUM(($AJ14:$AM14)*($AB14:$AE14-OFFSET($C$6:$F$6,AQ$5,0)))^2-SUM(($AB14:$AE14-OFFSET($C$6:$F$6,AQ$5,0))*($AB14:$AE14-OFFSET($C$6:$F$6,AQ$5,0)))+OFFSET($G$6,AQ$5,0)^2)</f>
        <v>#NUM!</v>
      </c>
      <c r="AR14" s="10" t="e">
        <f t="array" aca="1" ref="AR14" ca="1">-SUM(($AJ14:$AM14)*($AB14:$AE14-OFFSET($C$6:$F$6,AR$5,0)))+SQRT(SUM(($AJ14:$AM14)*($AB14:$AE14-OFFSET($C$6:$F$6,AR$5,0)))^2-SUM(($AB14:$AE14-OFFSET($C$6:$F$6,AR$5,0))*($AB14:$AE14-OFFSET($C$6:$F$6,AR$5,0)))+OFFSET($G$6,AR$5,0)^2)</f>
        <v>#NUM!</v>
      </c>
      <c r="AS14" s="10" t="e">
        <f t="array" aca="1" ref="AS14" ca="1">-SUM(($AJ14:$AM14)*($AB14:$AE14-OFFSET($C$6:$F$6,AS$5,0)))+SQRT(SUM(($AJ14:$AM14)*($AB14:$AE14-OFFSET($C$6:$F$6,AS$5,0)))^2-SUM(($AB14:$AE14-OFFSET($C$6:$F$6,AS$5,0))*($AB14:$AE14-OFFSET($C$6:$F$6,AS$5,0)))+OFFSET($G$6,AS$5,0)^2)</f>
        <v>#NUM!</v>
      </c>
      <c r="AT14" s="10" t="e">
        <f t="array" aca="1" ref="AT14" ca="1">-SUM(($AJ14:$AM14)*($AB14:$AE14-OFFSET($C$6:$F$6,AT$5,0)))+SQRT(SUM(($AJ14:$AM14)*($AB14:$AE14-OFFSET($C$6:$F$6,AT$5,0)))^2-SUM(($AB14:$AE14-OFFSET($C$6:$F$6,AT$5,0))*($AB14:$AE14-OFFSET($C$6:$F$6,AT$5,0)))+OFFSET($G$6,AT$5,0)^2)</f>
        <v>#NUM!</v>
      </c>
      <c r="AU14" s="10" t="e">
        <f t="array" aca="1" ref="AU14" ca="1">-SUM(($AJ14:$AM14)*($AB14:$AE14-OFFSET($C$6:$F$6,AU$5,0)))+SQRT(SUM(($AJ14:$AM14)*($AB14:$AE14-OFFSET($C$6:$F$6,AU$5,0)))^2-SUM(($AB14:$AE14-OFFSET($C$6:$F$6,AU$5,0))*($AB14:$AE14-OFFSET($C$6:$F$6,AU$5,0)))+OFFSET($G$6,AU$5,0)^2)</f>
        <v>#NUM!</v>
      </c>
      <c r="AV14" s="10" t="e">
        <f t="array" aca="1" ref="AV14" ca="1">-SUM(($AJ14:$AM14)*($AB14:$AE14-OFFSET($C$6:$F$6,AV$5,0)))+SQRT(SUM(($AJ14:$AM14)*($AB14:$AE14-OFFSET($C$6:$F$6,AV$5,0)))^2-SUM(($AB14:$AE14-OFFSET($C$6:$F$6,AV$5,0))*($AB14:$AE14-OFFSET($C$6:$F$6,AV$5,0)))+OFFSET($G$6,AV$5,0)^2)</f>
        <v>#NUM!</v>
      </c>
      <c r="AW14" s="10" t="e">
        <f t="array" aca="1" ref="AW14" ca="1">-SUM(($AJ14:$AM14)*($AB14:$AE14-OFFSET($C$6:$F$6,AW$5,0)))+SQRT(SUM(($AJ14:$AM14)*($AB14:$AE14-OFFSET($C$6:$F$6,AW$5,0)))^2-SUM(($AB14:$AE14-OFFSET($C$6:$F$6,AW$5,0))*($AB14:$AE14-OFFSET($C$6:$F$6,AW$5,0)))+OFFSET($G$6,AW$5,0)^2)</f>
        <v>#NUM!</v>
      </c>
      <c r="AX14" s="10" t="e">
        <f t="array" aca="1" ref="AX14" ca="1">-SUM(($AJ14:$AM14)*($AB14:$AE14-OFFSET($C$6:$F$6,AX$5,0)))+SQRT(SUM(($AJ14:$AM14)*($AB14:$AE14-OFFSET($C$6:$F$6,AX$5,0)))^2-SUM(($AB14:$AE14-OFFSET($C$6:$F$6,AX$5,0))*($AB14:$AE14-OFFSET($C$6:$F$6,AX$5,0)))+OFFSET($G$6,AX$5,0)^2)</f>
        <v>#NUM!</v>
      </c>
      <c r="AY14" s="10">
        <f t="array" aca="1" ref="AY14" ca="1">-SUM(($AJ14:$AM14)*($AB14:$AE14-OFFSET($C$6:$F$6,AO$5,0)))-SQRT(SUM(($AJ14:$AM14)*($AB14:$AE14-OFFSET($C$6:$F$6,AO$5,0)))^2-SUM(($AB14:$AE14-OFFSET($C$6:$F$6,AO$5,0))*($AB14:$AE14-OFFSET($C$6:$F$6,AO$5,0)))+OFFSET($G$6,AO$5,0)^2)</f>
        <v>5.5540168316509835</v>
      </c>
      <c r="AZ14" s="10" t="e">
        <f t="array" aca="1" ref="AZ14" ca="1">-SUM(($AJ14:$AM14)*($AB14:$AE14-OFFSET($C$6:$F$6,AP$5,0)))-SQRT(SUM(($AJ14:$AM14)*($AB14:$AE14-OFFSET($C$6:$F$6,AP$5,0)))^2-SUM(($AB14:$AE14-OFFSET($C$6:$F$6,AP$5,0))*($AB14:$AE14-OFFSET($C$6:$F$6,AP$5,0)))+OFFSET($G$6,AP$5,0)^2)</f>
        <v>#NUM!</v>
      </c>
      <c r="BA14" s="10" t="e">
        <f t="array" aca="1" ref="BA14" ca="1">-SUM(($AJ14:$AM14)*($AB14:$AE14-OFFSET($C$6:$F$6,AQ$5,0)))-SQRT(SUM(($AJ14:$AM14)*($AB14:$AE14-OFFSET($C$6:$F$6,AQ$5,0)))^2-SUM(($AB14:$AE14-OFFSET($C$6:$F$6,AQ$5,0))*($AB14:$AE14-OFFSET($C$6:$F$6,AQ$5,0)))+OFFSET($G$6,AQ$5,0)^2)</f>
        <v>#NUM!</v>
      </c>
      <c r="BB14" s="10" t="e">
        <f t="array" aca="1" ref="BB14" ca="1">-SUM(($AJ14:$AM14)*($AB14:$AE14-OFFSET($C$6:$F$6,AR$5,0)))-SQRT(SUM(($AJ14:$AM14)*($AB14:$AE14-OFFSET($C$6:$F$6,AR$5,0)))^2-SUM(($AB14:$AE14-OFFSET($C$6:$F$6,AR$5,0))*($AB14:$AE14-OFFSET($C$6:$F$6,AR$5,0)))+OFFSET($G$6,AR$5,0)^2)</f>
        <v>#NUM!</v>
      </c>
      <c r="BC14" s="10" t="e">
        <f t="array" aca="1" ref="BC14" ca="1">-SUM(($AJ14:$AM14)*($AB14:$AE14-OFFSET($C$6:$F$6,AS$5,0)))-SQRT(SUM(($AJ14:$AM14)*($AB14:$AE14-OFFSET($C$6:$F$6,AS$5,0)))^2-SUM(($AB14:$AE14-OFFSET($C$6:$F$6,AS$5,0))*($AB14:$AE14-OFFSET($C$6:$F$6,AS$5,0)))+OFFSET($G$6,AS$5,0)^2)</f>
        <v>#NUM!</v>
      </c>
      <c r="BD14" s="10" t="e">
        <f t="array" aca="1" ref="BD14" ca="1">-SUM(($AJ14:$AM14)*($AB14:$AE14-OFFSET($C$6:$F$6,AT$5,0)))-SQRT(SUM(($AJ14:$AM14)*($AB14:$AE14-OFFSET($C$6:$F$6,AT$5,0)))^2-SUM(($AB14:$AE14-OFFSET($C$6:$F$6,AT$5,0))*($AB14:$AE14-OFFSET($C$6:$F$6,AT$5,0)))+OFFSET($G$6,AT$5,0)^2)</f>
        <v>#NUM!</v>
      </c>
      <c r="BE14" s="10" t="e">
        <f t="array" aca="1" ref="BE14" ca="1">-SUM(($AJ14:$AM14)*($AB14:$AE14-OFFSET($C$6:$F$6,AU$5,0)))-SQRT(SUM(($AJ14:$AM14)*($AB14:$AE14-OFFSET($C$6:$F$6,AU$5,0)))^2-SUM(($AB14:$AE14-OFFSET($C$6:$F$6,AU$5,0))*($AB14:$AE14-OFFSET($C$6:$F$6,AU$5,0)))+OFFSET($G$6,AU$5,0)^2)</f>
        <v>#NUM!</v>
      </c>
      <c r="BF14" s="10" t="e">
        <f t="array" aca="1" ref="BF14" ca="1">-SUM(($AJ14:$AM14)*($AB14:$AE14-OFFSET($C$6:$F$6,AV$5,0)))-SQRT(SUM(($AJ14:$AM14)*($AB14:$AE14-OFFSET($C$6:$F$6,AV$5,0)))^2-SUM(($AB14:$AE14-OFFSET($C$6:$F$6,AV$5,0))*($AB14:$AE14-OFFSET($C$6:$F$6,AV$5,0)))+OFFSET($G$6,AV$5,0)^2)</f>
        <v>#NUM!</v>
      </c>
      <c r="BG14" s="10" t="e">
        <f t="array" aca="1" ref="BG14" ca="1">-SUM(($AJ14:$AM14)*($AB14:$AE14-OFFSET($C$6:$F$6,AW$5,0)))-SQRT(SUM(($AJ14:$AM14)*($AB14:$AE14-OFFSET($C$6:$F$6,AW$5,0)))^2-SUM(($AB14:$AE14-OFFSET($C$6:$F$6,AW$5,0))*($AB14:$AE14-OFFSET($C$6:$F$6,AW$5,0)))+OFFSET($G$6,AW$5,0)^2)</f>
        <v>#NUM!</v>
      </c>
      <c r="BH14" s="10" t="e">
        <f t="array" aca="1" ref="BH14" ca="1">-SUM(($AJ14:$AM14)*($AB14:$AE14-OFFSET($C$6:$F$6,AX$5,0)))-SQRT(SUM(($AJ14:$AM14)*($AB14:$AE14-OFFSET($C$6:$F$6,AX$5,0)))^2-SUM(($AB14:$AE14-OFFSET($C$6:$F$6,AX$5,0))*($AB14:$AE14-OFFSET($C$6:$F$6,AX$5,0)))+OFFSET($G$6,AX$5,0)^2)</f>
        <v>#NUM!</v>
      </c>
      <c r="BJ14" s="10">
        <f t="array" aca="1" ref="BJ14" ca="1">MIN(IF(IF(ISERROR(AO14:BH14),-1,AO14:BH14)&lt;0,9999999999,AO14:BH14))</f>
        <v>5.5540168316509835</v>
      </c>
      <c r="BL14">
        <f t="shared" ca="1" si="8"/>
        <v>0</v>
      </c>
      <c r="BN14" s="10">
        <f t="shared" ca="1" si="9"/>
        <v>-2.005167034078831</v>
      </c>
      <c r="BO14" s="10">
        <f t="shared" ca="1" si="10"/>
        <v>-1.0526538958129006</v>
      </c>
      <c r="BP14" s="10">
        <f t="shared" ca="1" si="11"/>
        <v>-10.058778085177419</v>
      </c>
      <c r="BQ14" s="10">
        <f t="shared" ca="1" si="12"/>
        <v>1</v>
      </c>
      <c r="BR14" s="14">
        <f t="shared" ca="1" si="13"/>
        <v>0.36103006073944077</v>
      </c>
      <c r="BS14" s="14">
        <f t="shared" ca="1" si="14"/>
        <v>0.27955512971525515</v>
      </c>
      <c r="BT14" s="14">
        <f t="shared" ca="1" si="15"/>
        <v>-0.88966635582804987</v>
      </c>
      <c r="BU14" s="14">
        <f t="shared" si="16"/>
        <v>0</v>
      </c>
      <c r="BV14" s="10">
        <f t="array" aca="1" ref="BV14" ca="1">(BN14-OFFSET(C$6,$BL14,0))/SQRT(SUM(($BN14:$BQ14-OFFSET($C$6:$F$6,$BL14,0))*($BN14:$BQ14-OFFSET($C$6:$F$6,$BL14,0))))</f>
        <v>-2.0071742082871185E-3</v>
      </c>
      <c r="BW14" s="10">
        <f t="array" aca="1" ref="BW14" ca="1">(BO14-OFFSET(D$6,$BL14,0))/SQRT(SUM(($BN14:$BQ14-OFFSET($C$6:$F$6,$BL14,0))*($BN14:$BQ14-OFFSET($C$6:$F$6,$BL14,0))))</f>
        <v>0.99994729339758481</v>
      </c>
      <c r="BX14" s="10">
        <f t="array" aca="1" ref="BX14" ca="1">(BP14-OFFSET(E$6,$BL14,0))/SQRT(SUM(($BN14:$BQ14-OFFSET($C$6:$F$6,$BL14,0))*($BN14:$BQ14-OFFSET($C$6:$F$6,$BL14,0))))</f>
        <v>-1.006884693210953E-2</v>
      </c>
      <c r="BY14" s="10">
        <f t="array" aca="1" ref="BY14" ca="1">(BQ14-OFFSET(F$6,$BL14,0))/SQRT(SUM(($BN14:$BQ14-OFFSET($C$6:$F$6,$BL14,0))*($BN14:$BQ14-OFFSET($C$6:$F$6,$BL14,0))))</f>
        <v>0</v>
      </c>
      <c r="BZ14" s="14">
        <f t="array" aca="1" ref="BZ14" ca="1">-(BN14-O$6)/SQRT(SUM(($O$6:$R$6-$BN14:$BQ14)*($O$6:$R$6-$BN14:$BQ14)))</f>
        <v>-0.58608047095167215</v>
      </c>
      <c r="CA14" s="14">
        <f t="array" aca="1" ref="CA14" ca="1">-(BO14-P$6)/SQRT(SUM(($O$6:$R$6-$BN14:$BQ14)*($O$6:$R$6-$BN14:$BQ14)))</f>
        <v>0.81024139317681021</v>
      </c>
      <c r="CB14" s="14">
        <f t="array" aca="1" ref="CB14" ca="1">-(BP14-Q$6)/SQRT(SUM(($O$6:$R$6-$BN14:$BQ14)*($O$6:$R$6-$BN14:$BQ14)))</f>
        <v>4.3088689894161024E-3</v>
      </c>
      <c r="CC14" s="14">
        <f t="array" aca="1" ref="CC14" ca="1">-(BQ14-R$6)/SQRT(SUM(($O$6:$R$6-$BN14:$BQ14)*($O$6:$R$6-$BN14:$BQ14)))</f>
        <v>0</v>
      </c>
      <c r="CD14" s="14">
        <f t="array" aca="1" ref="CD14:CG14" ca="1">-BR14:BU14-BV14:BY14*2*SUM(-BR14:BU14*BV14:BY14)</f>
        <v>-0.3621852844735669</v>
      </c>
      <c r="CE14" s="14">
        <f ca="1"/>
        <v>0.29596185403169278</v>
      </c>
      <c r="CF14" s="14">
        <f ca="1"/>
        <v>0.88387125797195387</v>
      </c>
      <c r="CG14" s="14">
        <f ca="1"/>
        <v>0</v>
      </c>
      <c r="CH14" s="14">
        <f t="array" aca="1" ref="CH14:CK14" ca="1">-BZ14:CC14-BV14:BY14*2*SUM(-BZ14:CC14*BV14:BY14)</f>
        <v>0.58282350295343932</v>
      </c>
      <c r="CI14" s="14">
        <f ca="1"/>
        <v>0.81233641848946614</v>
      </c>
      <c r="CJ14" s="14">
        <f ca="1"/>
        <v>-2.0647217749373295E-2</v>
      </c>
      <c r="CK14" s="14">
        <f ca="1"/>
        <v>0</v>
      </c>
      <c r="CL14">
        <f t="array" aca="1" ref="CL14" ca="1">SUM(BZ14:CC14*BV14:BY14)</f>
        <v>0.81133166836880977</v>
      </c>
      <c r="CM14">
        <f t="array" aca="1" ref="CM14" ca="1">SUM(CH14:CK14*BR14:BU14)</f>
        <v>0.45587875248797555</v>
      </c>
      <c r="CN14" s="11">
        <f t="shared" ca="1" si="17"/>
        <v>0</v>
      </c>
      <c r="CO14" s="11">
        <f t="shared" ca="1" si="18"/>
        <v>0.73019850153192878</v>
      </c>
      <c r="CP14" s="11">
        <f t="shared" ca="1" si="19"/>
        <v>5.2980095999291181E-69</v>
      </c>
      <c r="CQ14" s="11">
        <f t="shared" ca="1" si="20"/>
        <v>0.73019850153192878</v>
      </c>
      <c r="CS14" s="10">
        <f t="array" aca="1" ref="CS14:CV14" ca="1">BN14:BQ14+BV14:BY14*0.001</f>
        <v>-2.0051690412530392</v>
      </c>
      <c r="CT14" s="10">
        <f ca="1"/>
        <v>-1.0516539485195031</v>
      </c>
      <c r="CU14" s="10">
        <f ca="1"/>
        <v>-10.05878815402435</v>
      </c>
      <c r="CV14" s="10">
        <f ca="1"/>
        <v>1</v>
      </c>
      <c r="CW14" s="10">
        <f t="shared" ca="1" si="21"/>
        <v>-0.58608047095167215</v>
      </c>
      <c r="CX14" s="10">
        <f t="shared" ca="1" si="22"/>
        <v>0.81024139317681021</v>
      </c>
      <c r="CY14" s="10">
        <f t="shared" ca="1" si="23"/>
        <v>4.3088689894161024E-3</v>
      </c>
      <c r="CZ14" s="10">
        <f t="shared" ca="1" si="24"/>
        <v>0</v>
      </c>
      <c r="DB14" s="10">
        <f t="array" aca="1" ref="DB14" ca="1">-SUM(($CW14:$CZ14)*($CS14:$CV14-OFFSET($C$6:$F$6,DB$5,0)))+SQRT(SUM(($CW14:$CZ14)*($CS14:$CV14-OFFSET($C$6:$F$6,DB$5,0)))^2-SUM(($CS14:$CV14-OFFSET($C$6:$F$6,DB$5,0))*($CS14:$CV14-OFFSET($C$6:$F$6,DB$5,0)))+OFFSET($G$6,DB$5,0)^2)</f>
        <v>-1.2325418799719046E-3</v>
      </c>
      <c r="DC14" s="10" t="e">
        <f t="array" aca="1" ref="DC14" ca="1">-SUM(($CW14:$CZ14)*($CS14:$CV14-OFFSET($C$6:$F$6,DC$5,0)))+SQRT(SUM(($CW14:$CZ14)*($CS14:$CV14-OFFSET($C$6:$F$6,DC$5,0)))^2-SUM(($CS14:$CV14-OFFSET($C$6:$F$6,DC$5,0))*($CS14:$CV14-OFFSET($C$6:$F$6,DC$5,0)))+OFFSET($G$6,DC$5,0)^2)</f>
        <v>#NUM!</v>
      </c>
      <c r="DD14" s="10" t="e">
        <f t="array" aca="1" ref="DD14" ca="1">-SUM(($CW14:$CZ14)*($CS14:$CV14-OFFSET($C$6:$F$6,DD$5,0)))+SQRT(SUM(($CW14:$CZ14)*($CS14:$CV14-OFFSET($C$6:$F$6,DD$5,0)))^2-SUM(($CS14:$CV14-OFFSET($C$6:$F$6,DD$5,0))*($CS14:$CV14-OFFSET($C$6:$F$6,DD$5,0)))+OFFSET($G$6,DD$5,0)^2)</f>
        <v>#NUM!</v>
      </c>
      <c r="DE14" s="10" t="e">
        <f t="array" aca="1" ref="DE14" ca="1">-SUM(($CW14:$CZ14)*($CS14:$CV14-OFFSET($C$6:$F$6,DE$5,0)))+SQRT(SUM(($CW14:$CZ14)*($CS14:$CV14-OFFSET($C$6:$F$6,DE$5,0)))^2-SUM(($CS14:$CV14-OFFSET($C$6:$F$6,DE$5,0))*($CS14:$CV14-OFFSET($C$6:$F$6,DE$5,0)))+OFFSET($G$6,DE$5,0)^2)</f>
        <v>#NUM!</v>
      </c>
      <c r="DF14" s="10" t="e">
        <f t="array" aca="1" ref="DF14" ca="1">-SUM(($CW14:$CZ14)*($CS14:$CV14-OFFSET($C$6:$F$6,DF$5,0)))+SQRT(SUM(($CW14:$CZ14)*($CS14:$CV14-OFFSET($C$6:$F$6,DF$5,0)))^2-SUM(($CS14:$CV14-OFFSET($C$6:$F$6,DF$5,0))*($CS14:$CV14-OFFSET($C$6:$F$6,DF$5,0)))+OFFSET($G$6,DF$5,0)^2)</f>
        <v>#NUM!</v>
      </c>
      <c r="DG14" s="10" t="e">
        <f t="array" aca="1" ref="DG14" ca="1">-SUM(($CW14:$CZ14)*($CS14:$CV14-OFFSET($C$6:$F$6,DG$5,0)))+SQRT(SUM(($CW14:$CZ14)*($CS14:$CV14-OFFSET($C$6:$F$6,DG$5,0)))^2-SUM(($CS14:$CV14-OFFSET($C$6:$F$6,DG$5,0))*($CS14:$CV14-OFFSET($C$6:$F$6,DG$5,0)))+OFFSET($G$6,DG$5,0)^2)</f>
        <v>#NUM!</v>
      </c>
      <c r="DH14" s="10" t="e">
        <f t="array" aca="1" ref="DH14" ca="1">-SUM(($CW14:$CZ14)*($CS14:$CV14-OFFSET($C$6:$F$6,DH$5,0)))+SQRT(SUM(($CW14:$CZ14)*($CS14:$CV14-OFFSET($C$6:$F$6,DH$5,0)))^2-SUM(($CS14:$CV14-OFFSET($C$6:$F$6,DH$5,0))*($CS14:$CV14-OFFSET($C$6:$F$6,DH$5,0)))+OFFSET($G$6,DH$5,0)^2)</f>
        <v>#NUM!</v>
      </c>
      <c r="DI14" s="10" t="e">
        <f t="array" aca="1" ref="DI14" ca="1">-SUM(($CW14:$CZ14)*($CS14:$CV14-OFFSET($C$6:$F$6,DI$5,0)))+SQRT(SUM(($CW14:$CZ14)*($CS14:$CV14-OFFSET($C$6:$F$6,DI$5,0)))^2-SUM(($CS14:$CV14-OFFSET($C$6:$F$6,DI$5,0))*($CS14:$CV14-OFFSET($C$6:$F$6,DI$5,0)))+OFFSET($G$6,DI$5,0)^2)</f>
        <v>#NUM!</v>
      </c>
      <c r="DJ14" s="10" t="e">
        <f t="array" aca="1" ref="DJ14" ca="1">-SUM(($CW14:$CZ14)*($CS14:$CV14-OFFSET($C$6:$F$6,DJ$5,0)))+SQRT(SUM(($CW14:$CZ14)*($CS14:$CV14-OFFSET($C$6:$F$6,DJ$5,0)))^2-SUM(($CS14:$CV14-OFFSET($C$6:$F$6,DJ$5,0))*($CS14:$CV14-OFFSET($C$6:$F$6,DJ$5,0)))+OFFSET($G$6,DJ$5,0)^2)</f>
        <v>#NUM!</v>
      </c>
      <c r="DK14" s="10" t="e">
        <f t="array" aca="1" ref="DK14" ca="1">-SUM(($CW14:$CZ14)*($CS14:$CV14-OFFSET($C$6:$F$6,DK$5,0)))+SQRT(SUM(($CW14:$CZ14)*($CS14:$CV14-OFFSET($C$6:$F$6,DK$5,0)))^2-SUM(($CS14:$CV14-OFFSET($C$6:$F$6,DK$5,0))*($CS14:$CV14-OFFSET($C$6:$F$6,DK$5,0)))+OFFSET($G$6,DK$5,0)^2)</f>
        <v>#NUM!</v>
      </c>
      <c r="DL14" s="10">
        <f t="array" aca="1" ref="DL14" ca="1">-SUM(($CW14:$CZ14)*($CS14:$CV14-OFFSET($C$6:$F$6,DB$5,0)))-SQRT(SUM(($CW14:$CZ14)*($CS14:$CV14-OFFSET($C$6:$F$6,DB$5,0)))^2-SUM(($CS14:$CV14-OFFSET($C$6:$F$6,DB$5,0))*($CS14:$CV14-OFFSET($C$6:$F$6,DB$5,0)))+OFFSET($G$6,DB$5,0)^2)</f>
        <v>-1621.0410635223386</v>
      </c>
      <c r="DM14" s="10" t="e">
        <f t="array" aca="1" ref="DM14" ca="1">-SUM(($CW14:$CZ14)*($CS14:$CV14-OFFSET($C$6:$F$6,DC$5,0)))-SQRT(SUM(($CW14:$CZ14)*($CS14:$CV14-OFFSET($C$6:$F$6,DC$5,0)))^2-SUM(($CS14:$CV14-OFFSET($C$6:$F$6,DC$5,0))*($CS14:$CV14-OFFSET($C$6:$F$6,DC$5,0)))+OFFSET($G$6,DC$5,0)^2)</f>
        <v>#NUM!</v>
      </c>
      <c r="DN14" s="10" t="e">
        <f t="array" aca="1" ref="DN14" ca="1">-SUM(($CW14:$CZ14)*($CS14:$CV14-OFFSET($C$6:$F$6,DD$5,0)))-SQRT(SUM(($CW14:$CZ14)*($CS14:$CV14-OFFSET($C$6:$F$6,DD$5,0)))^2-SUM(($CS14:$CV14-OFFSET($C$6:$F$6,DD$5,0))*($CS14:$CV14-OFFSET($C$6:$F$6,DD$5,0)))+OFFSET($G$6,DD$5,0)^2)</f>
        <v>#NUM!</v>
      </c>
      <c r="DO14" s="10" t="e">
        <f t="array" aca="1" ref="DO14" ca="1">-SUM(($CW14:$CZ14)*($CS14:$CV14-OFFSET($C$6:$F$6,DE$5,0)))-SQRT(SUM(($CW14:$CZ14)*($CS14:$CV14-OFFSET($C$6:$F$6,DE$5,0)))^2-SUM(($CS14:$CV14-OFFSET($C$6:$F$6,DE$5,0))*($CS14:$CV14-OFFSET($C$6:$F$6,DE$5,0)))+OFFSET($G$6,DE$5,0)^2)</f>
        <v>#NUM!</v>
      </c>
      <c r="DP14" s="10" t="e">
        <f t="array" aca="1" ref="DP14" ca="1">-SUM(($CW14:$CZ14)*($CS14:$CV14-OFFSET($C$6:$F$6,DF$5,0)))-SQRT(SUM(($CW14:$CZ14)*($CS14:$CV14-OFFSET($C$6:$F$6,DF$5,0)))^2-SUM(($CS14:$CV14-OFFSET($C$6:$F$6,DF$5,0))*($CS14:$CV14-OFFSET($C$6:$F$6,DF$5,0)))+OFFSET($G$6,DF$5,0)^2)</f>
        <v>#NUM!</v>
      </c>
      <c r="DQ14" s="10" t="e">
        <f t="array" aca="1" ref="DQ14" ca="1">-SUM(($CW14:$CZ14)*($CS14:$CV14-OFFSET($C$6:$F$6,DG$5,0)))-SQRT(SUM(($CW14:$CZ14)*($CS14:$CV14-OFFSET($C$6:$F$6,DG$5,0)))^2-SUM(($CS14:$CV14-OFFSET($C$6:$F$6,DG$5,0))*($CS14:$CV14-OFFSET($C$6:$F$6,DG$5,0)))+OFFSET($G$6,DG$5,0)^2)</f>
        <v>#NUM!</v>
      </c>
      <c r="DR14" s="10" t="e">
        <f t="array" aca="1" ref="DR14" ca="1">-SUM(($CW14:$CZ14)*($CS14:$CV14-OFFSET($C$6:$F$6,DH$5,0)))-SQRT(SUM(($CW14:$CZ14)*($CS14:$CV14-OFFSET($C$6:$F$6,DH$5,0)))^2-SUM(($CS14:$CV14-OFFSET($C$6:$F$6,DH$5,0))*($CS14:$CV14-OFFSET($C$6:$F$6,DH$5,0)))+OFFSET($G$6,DH$5,0)^2)</f>
        <v>#NUM!</v>
      </c>
      <c r="DS14" s="10" t="e">
        <f t="array" aca="1" ref="DS14" ca="1">-SUM(($CW14:$CZ14)*($CS14:$CV14-OFFSET($C$6:$F$6,DI$5,0)))-SQRT(SUM(($CW14:$CZ14)*($CS14:$CV14-OFFSET($C$6:$F$6,DI$5,0)))^2-SUM(($CS14:$CV14-OFFSET($C$6:$F$6,DI$5,0))*($CS14:$CV14-OFFSET($C$6:$F$6,DI$5,0)))+OFFSET($G$6,DI$5,0)^2)</f>
        <v>#NUM!</v>
      </c>
      <c r="DT14" s="10" t="e">
        <f t="array" aca="1" ref="DT14" ca="1">-SUM(($CW14:$CZ14)*($CS14:$CV14-OFFSET($C$6:$F$6,DJ$5,0)))-SQRT(SUM(($CW14:$CZ14)*($CS14:$CV14-OFFSET($C$6:$F$6,DJ$5,0)))^2-SUM(($CS14:$CV14-OFFSET($C$6:$F$6,DJ$5,0))*($CS14:$CV14-OFFSET($C$6:$F$6,DJ$5,0)))+OFFSET($G$6,DJ$5,0)^2)</f>
        <v>#NUM!</v>
      </c>
      <c r="DU14" s="10" t="e">
        <f t="array" aca="1" ref="DU14" ca="1">-SUM(($CW14:$CZ14)*($CS14:$CV14-OFFSET($C$6:$F$6,DK$5,0)))-SQRT(SUM(($CW14:$CZ14)*($CS14:$CV14-OFFSET($C$6:$F$6,DK$5,0)))^2-SUM(($CS14:$CV14-OFFSET($C$6:$F$6,DK$5,0))*($CS14:$CV14-OFFSET($C$6:$F$6,DK$5,0)))+OFFSET($G$6,DK$5,0)^2)</f>
        <v>#NUM!</v>
      </c>
      <c r="DW14" s="10">
        <f t="array" aca="1" ref="DW14" ca="1">MIN(IF(IF(ISERROR(DB14:DU14),-1,DB14:DU14)&lt;0,9999999999,DB14:DU14))</f>
        <v>9999999999</v>
      </c>
      <c r="DY14" s="11">
        <f t="shared" ca="1" si="25"/>
        <v>0.73019850153192878</v>
      </c>
      <c r="EB14" s="10">
        <f t="array" aca="1" ref="EB14:EE14" ca="1">BN14:BQ14+BV14:BY14*0.01</f>
        <v>-2.0051871058209141</v>
      </c>
      <c r="EC14" s="10">
        <f ca="1"/>
        <v>-1.0426544228789247</v>
      </c>
      <c r="ED14" s="10">
        <f ca="1"/>
        <v>-10.05887877364674</v>
      </c>
      <c r="EE14" s="10">
        <f ca="1"/>
        <v>1</v>
      </c>
      <c r="EF14" s="10">
        <f t="shared" ca="1" si="26"/>
        <v>-0.3621852844735669</v>
      </c>
      <c r="EG14" s="10">
        <f t="shared" ca="1" si="27"/>
        <v>0.29596185403169278</v>
      </c>
      <c r="EH14" s="10">
        <f t="shared" ca="1" si="28"/>
        <v>0.88387125797195387</v>
      </c>
      <c r="EI14" s="10">
        <f t="shared" ca="1" si="29"/>
        <v>0</v>
      </c>
      <c r="EK14" s="10">
        <f t="array" aca="1" ref="EK14" ca="1">-SUM(($EF14:$EI14)*($EB14:$EE14-OFFSET($C$6:$F$6,EK$5,0)))+SQRT(SUM(($EF14:$EI14)*($EB14:$EE14-OFFSET($C$6:$F$6,EK$5,0)))^2-SUM(($EB14:$EE14-OFFSET($C$6:$F$6,EK$5,0))*($EB14:$EE14-OFFSET($C$6:$F$6,EK$5,0)))+OFFSET($G$6,EK$5,0)^2)</f>
        <v>-3.4751458490063669E-2</v>
      </c>
      <c r="EL14" s="10" t="e">
        <f t="array" aca="1" ref="EL14" ca="1">-SUM(($EF14:$EI14)*($EB14:$EE14-OFFSET($C$6:$F$6,EL$5,0)))+SQRT(SUM(($EF14:$EI14)*($EB14:$EE14-OFFSET($C$6:$F$6,EL$5,0)))^2-SUM(($EB14:$EE14-OFFSET($C$6:$F$6,EL$5,0))*($EB14:$EE14-OFFSET($C$6:$F$6,EL$5,0)))+OFFSET($G$6,EL$5,0)^2)</f>
        <v>#NUM!</v>
      </c>
      <c r="EM14" s="10" t="e">
        <f t="array" aca="1" ref="EM14" ca="1">-SUM(($EF14:$EI14)*($EB14:$EE14-OFFSET($C$6:$F$6,EM$5,0)))+SQRT(SUM(($EF14:$EI14)*($EB14:$EE14-OFFSET($C$6:$F$6,EM$5,0)))^2-SUM(($EB14:$EE14-OFFSET($C$6:$F$6,EM$5,0))*($EB14:$EE14-OFFSET($C$6:$F$6,EM$5,0)))+OFFSET($G$6,EM$5,0)^2)</f>
        <v>#NUM!</v>
      </c>
      <c r="EN14" s="10" t="e">
        <f t="array" aca="1" ref="EN14" ca="1">-SUM(($EF14:$EI14)*($EB14:$EE14-OFFSET($C$6:$F$6,EN$5,0)))+SQRT(SUM(($EF14:$EI14)*($EB14:$EE14-OFFSET($C$6:$F$6,EN$5,0)))^2-SUM(($EB14:$EE14-OFFSET($C$6:$F$6,EN$5,0))*($EB14:$EE14-OFFSET($C$6:$F$6,EN$5,0)))+OFFSET($G$6,EN$5,0)^2)</f>
        <v>#NUM!</v>
      </c>
      <c r="EO14" s="10" t="e">
        <f t="array" aca="1" ref="EO14" ca="1">-SUM(($EF14:$EI14)*($EB14:$EE14-OFFSET($C$6:$F$6,EO$5,0)))+SQRT(SUM(($EF14:$EI14)*($EB14:$EE14-OFFSET($C$6:$F$6,EO$5,0)))^2-SUM(($EB14:$EE14-OFFSET($C$6:$F$6,EO$5,0))*($EB14:$EE14-OFFSET($C$6:$F$6,EO$5,0)))+OFFSET($G$6,EO$5,0)^2)</f>
        <v>#NUM!</v>
      </c>
      <c r="EP14" s="10" t="e">
        <f t="array" aca="1" ref="EP14" ca="1">-SUM(($EF14:$EI14)*($EB14:$EE14-OFFSET($C$6:$F$6,EP$5,0)))+SQRT(SUM(($EF14:$EI14)*($EB14:$EE14-OFFSET($C$6:$F$6,EP$5,0)))^2-SUM(($EB14:$EE14-OFFSET($C$6:$F$6,EP$5,0))*($EB14:$EE14-OFFSET($C$6:$F$6,EP$5,0)))+OFFSET($G$6,EP$5,0)^2)</f>
        <v>#NUM!</v>
      </c>
      <c r="EQ14" s="10" t="e">
        <f t="array" aca="1" ref="EQ14" ca="1">-SUM(($EF14:$EI14)*($EB14:$EE14-OFFSET($C$6:$F$6,EQ$5,0)))+SQRT(SUM(($EF14:$EI14)*($EB14:$EE14-OFFSET($C$6:$F$6,EQ$5,0)))^2-SUM(($EB14:$EE14-OFFSET($C$6:$F$6,EQ$5,0))*($EB14:$EE14-OFFSET($C$6:$F$6,EQ$5,0)))+OFFSET($G$6,EQ$5,0)^2)</f>
        <v>#NUM!</v>
      </c>
      <c r="ER14" s="10" t="e">
        <f t="array" aca="1" ref="ER14" ca="1">-SUM(($EF14:$EI14)*($EB14:$EE14-OFFSET($C$6:$F$6,ER$5,0)))+SQRT(SUM(($EF14:$EI14)*($EB14:$EE14-OFFSET($C$6:$F$6,ER$5,0)))^2-SUM(($EB14:$EE14-OFFSET($C$6:$F$6,ER$5,0))*($EB14:$EE14-OFFSET($C$6:$F$6,ER$5,0)))+OFFSET($G$6,ER$5,0)^2)</f>
        <v>#NUM!</v>
      </c>
      <c r="ES14" s="10" t="e">
        <f t="array" aca="1" ref="ES14" ca="1">-SUM(($EF14:$EI14)*($EB14:$EE14-OFFSET($C$6:$F$6,ES$5,0)))+SQRT(SUM(($EF14:$EI14)*($EB14:$EE14-OFFSET($C$6:$F$6,ES$5,0)))^2-SUM(($EB14:$EE14-OFFSET($C$6:$F$6,ES$5,0))*($EB14:$EE14-OFFSET($C$6:$F$6,ES$5,0)))+OFFSET($G$6,ES$5,0)^2)</f>
        <v>#NUM!</v>
      </c>
      <c r="ET14" s="10" t="e">
        <f t="array" aca="1" ref="ET14" ca="1">-SUM(($EF14:$EI14)*($EB14:$EE14-OFFSET($C$6:$F$6,ET$5,0)))+SQRT(SUM(($EF14:$EI14)*($EB14:$EE14-OFFSET($C$6:$F$6,ET$5,0)))^2-SUM(($EB14:$EE14-OFFSET($C$6:$F$6,ET$5,0))*($EB14:$EE14-OFFSET($C$6:$F$6,ET$5,0)))+OFFSET($G$6,ET$5,0)^2)</f>
        <v>#NUM!</v>
      </c>
      <c r="EU14" s="10">
        <f t="array" aca="1" ref="EU14" ca="1">-SUM(($EF14:$EI14)*($EB14:$EE14-OFFSET($C$6:$F$6,EK$5,0)))-SQRT(SUM(($EF14:$EI14)*($EB14:$EE14-OFFSET($C$6:$F$6,EK$5,0)))^2-SUM(($EB14:$EE14-OFFSET($C$6:$F$6,EK$5,0))*($EB14:$EE14-OFFSET($C$6:$F$6,EK$5,0)))+OFFSET($G$6,EK$5,0)^2)</f>
        <v>-574.94277558646422</v>
      </c>
      <c r="EV14" s="10" t="e">
        <f t="array" aca="1" ref="EV14" ca="1">-SUM(($EF14:$EI14)*($EB14:$EE14-OFFSET($C$6:$F$6,EL$5,0)))-SQRT(SUM(($EF14:$EI14)*($EB14:$EE14-OFFSET($C$6:$F$6,EL$5,0)))^2-SUM(($EB14:$EE14-OFFSET($C$6:$F$6,EL$5,0))*($EB14:$EE14-OFFSET($C$6:$F$6,EL$5,0)))+OFFSET($G$6,EL$5,0)^2)</f>
        <v>#NUM!</v>
      </c>
      <c r="EW14" s="10" t="e">
        <f t="array" aca="1" ref="EW14" ca="1">-SUM(($EF14:$EI14)*($EB14:$EE14-OFFSET($C$6:$F$6,EM$5,0)))-SQRT(SUM(($EF14:$EI14)*($EB14:$EE14-OFFSET($C$6:$F$6,EM$5,0)))^2-SUM(($EB14:$EE14-OFFSET($C$6:$F$6,EM$5,0))*($EB14:$EE14-OFFSET($C$6:$F$6,EM$5,0)))+OFFSET($G$6,EM$5,0)^2)</f>
        <v>#NUM!</v>
      </c>
      <c r="EX14" s="10" t="e">
        <f t="array" aca="1" ref="EX14" ca="1">-SUM(($EF14:$EI14)*($EB14:$EE14-OFFSET($C$6:$F$6,EN$5,0)))-SQRT(SUM(($EF14:$EI14)*($EB14:$EE14-OFFSET($C$6:$F$6,EN$5,0)))^2-SUM(($EB14:$EE14-OFFSET($C$6:$F$6,EN$5,0))*($EB14:$EE14-OFFSET($C$6:$F$6,EN$5,0)))+OFFSET($G$6,EN$5,0)^2)</f>
        <v>#NUM!</v>
      </c>
      <c r="EY14" s="10" t="e">
        <f t="array" aca="1" ref="EY14" ca="1">-SUM(($EF14:$EI14)*($EB14:$EE14-OFFSET($C$6:$F$6,EO$5,0)))-SQRT(SUM(($EF14:$EI14)*($EB14:$EE14-OFFSET($C$6:$F$6,EO$5,0)))^2-SUM(($EB14:$EE14-OFFSET($C$6:$F$6,EO$5,0))*($EB14:$EE14-OFFSET($C$6:$F$6,EO$5,0)))+OFFSET($G$6,EO$5,0)^2)</f>
        <v>#NUM!</v>
      </c>
      <c r="EZ14" s="10" t="e">
        <f t="array" aca="1" ref="EZ14" ca="1">-SUM(($EF14:$EI14)*($EB14:$EE14-OFFSET($C$6:$F$6,EP$5,0)))-SQRT(SUM(($EF14:$EI14)*($EB14:$EE14-OFFSET($C$6:$F$6,EP$5,0)))^2-SUM(($EB14:$EE14-OFFSET($C$6:$F$6,EP$5,0))*($EB14:$EE14-OFFSET($C$6:$F$6,EP$5,0)))+OFFSET($G$6,EP$5,0)^2)</f>
        <v>#NUM!</v>
      </c>
      <c r="FA14" s="10" t="e">
        <f t="array" aca="1" ref="FA14" ca="1">-SUM(($EF14:$EI14)*($EB14:$EE14-OFFSET($C$6:$F$6,EQ$5,0)))-SQRT(SUM(($EF14:$EI14)*($EB14:$EE14-OFFSET($C$6:$F$6,EQ$5,0)))^2-SUM(($EB14:$EE14-OFFSET($C$6:$F$6,EQ$5,0))*($EB14:$EE14-OFFSET($C$6:$F$6,EQ$5,0)))+OFFSET($G$6,EQ$5,0)^2)</f>
        <v>#NUM!</v>
      </c>
      <c r="FB14" s="10" t="e">
        <f t="array" aca="1" ref="FB14" ca="1">-SUM(($EF14:$EI14)*($EB14:$EE14-OFFSET($C$6:$F$6,ER$5,0)))-SQRT(SUM(($EF14:$EI14)*($EB14:$EE14-OFFSET($C$6:$F$6,ER$5,0)))^2-SUM(($EB14:$EE14-OFFSET($C$6:$F$6,ER$5,0))*($EB14:$EE14-OFFSET($C$6:$F$6,ER$5,0)))+OFFSET($G$6,ER$5,0)^2)</f>
        <v>#NUM!</v>
      </c>
      <c r="FC14" s="10" t="e">
        <f t="array" aca="1" ref="FC14" ca="1">-SUM(($EF14:$EI14)*($EB14:$EE14-OFFSET($C$6:$F$6,ES$5,0)))-SQRT(SUM(($EF14:$EI14)*($EB14:$EE14-OFFSET($C$6:$F$6,ES$5,0)))^2-SUM(($EB14:$EE14-OFFSET($C$6:$F$6,ES$5,0))*($EB14:$EE14-OFFSET($C$6:$F$6,ES$5,0)))+OFFSET($G$6,ES$5,0)^2)</f>
        <v>#NUM!</v>
      </c>
      <c r="FD14" s="10" t="e">
        <f t="array" aca="1" ref="FD14" ca="1">-SUM(($EF14:$EI14)*($EB14:$EE14-OFFSET($C$6:$F$6,ET$5,0)))-SQRT(SUM(($EF14:$EI14)*($EB14:$EE14-OFFSET($C$6:$F$6,ET$5,0)))^2-SUM(($EB14:$EE14-OFFSET($C$6:$F$6,ET$5,0))*($EB14:$EE14-OFFSET($C$6:$F$6,ET$5,0)))+OFFSET($G$6,ET$5,0)^2)</f>
        <v>#NUM!</v>
      </c>
      <c r="FF14" s="10">
        <f t="array" aca="1" ref="FF14" ca="1">MIN(IF(IF(ISERROR(EK14:FD14),-1,EK14:FD14)&lt;0,9999999999,EK14:FD14))</f>
        <v>9999999999</v>
      </c>
      <c r="FH14">
        <f t="shared" ca="1" si="30"/>
        <v>-1</v>
      </c>
      <c r="FJ14" s="10">
        <f t="shared" ca="1" si="31"/>
        <v>-3621852846.3786707</v>
      </c>
      <c r="FK14" s="10">
        <f t="shared" ca="1" si="32"/>
        <v>2959618538.9783115</v>
      </c>
      <c r="FL14" s="10">
        <f t="shared" ca="1" si="33"/>
        <v>8838712568.7767887</v>
      </c>
      <c r="FM14" s="10">
        <f t="shared" ca="1" si="34"/>
        <v>1</v>
      </c>
      <c r="FN14" s="14">
        <f t="shared" ca="1" si="35"/>
        <v>0.3621852844735669</v>
      </c>
      <c r="FO14" s="14">
        <f t="shared" ca="1" si="0"/>
        <v>-0.29596185403169278</v>
      </c>
      <c r="FP14" s="14">
        <f t="shared" ca="1" si="1"/>
        <v>-0.88387125797195387</v>
      </c>
      <c r="FQ14" s="14">
        <f t="shared" ca="1" si="2"/>
        <v>0</v>
      </c>
      <c r="FR14" s="10" t="e">
        <f t="array" aca="1" ref="FR14" ca="1">(FJ14-OFFSET(C$6,$FH14,0))/SQRT(SUM(($FJ14:$FM14-OFFSET($C$6:$F$6,$FH14,0))*($FJ14:$FM14-OFFSET($C$6:$F$6,$FH14,0))))</f>
        <v>#VALUE!</v>
      </c>
      <c r="FS14" s="10" t="e">
        <f t="array" aca="1" ref="FS14" ca="1">(FK14-OFFSET(D$6,$FH14,0))/SQRT(SUM(($FJ14:$FM14-OFFSET($C$6:$F$6,$FH14,0))*($FJ14:$FM14-OFFSET($C$6:$F$6,$FH14,0))))</f>
        <v>#VALUE!</v>
      </c>
      <c r="FT14" s="10" t="e">
        <f t="array" aca="1" ref="FT14" ca="1">(FL14-OFFSET(E$6,$FH14,0))/SQRT(SUM(($FJ14:$FM14-OFFSET($C$6:$F$6,$FH14,0))*($FJ14:$FM14-OFFSET($C$6:$F$6,$FH14,0))))</f>
        <v>#VALUE!</v>
      </c>
      <c r="FU14" s="10" t="e">
        <f t="array" aca="1" ref="FU14" ca="1">(FM14-OFFSET(F$6,$FH14,0))/SQRT(SUM(($FJ14:$FM14-OFFSET($C$6:$F$6,$FH14,0))*($FJ14:$FM14-OFFSET($C$6:$F$6,$FH14,0))))</f>
        <v>#VALUE!</v>
      </c>
      <c r="FV14" s="14">
        <f t="array" aca="1" ref="FV14" ca="1">-(FJ14-O$6)/SQRT(SUM(($O$6:$R$6-$FJ14:$FM14)*($O$6:$R$6-$FJ14:$FM14)))</f>
        <v>0.36218528389921451</v>
      </c>
      <c r="FW14" s="14">
        <f t="array" aca="1" ref="FW14" ca="1">-(FK14-P$6)/SQRT(SUM(($O$6:$R$6-$FJ14:$FM14)*($O$6:$R$6-$FJ14:$FM14)))</f>
        <v>-0.29596185311139278</v>
      </c>
      <c r="FX14" s="14">
        <f t="array" aca="1" ref="FX14" ca="1">-(FL14-Q$6)/SQRT(SUM(($O$6:$R$6-$FJ14:$FM14)*($O$6:$R$6-$FJ14:$FM14)))</f>
        <v>-0.883871258515467</v>
      </c>
      <c r="FY14" s="14">
        <f t="array" aca="1" ref="FY14" ca="1">-(FM14-R$6)/SQRT(SUM(($O$6:$R$6-$FJ14:$FM14)*($O$6:$R$6-$FJ14:$FM14)))</f>
        <v>0</v>
      </c>
      <c r="FZ14" s="14" t="e">
        <f t="array" aca="1" ref="FZ14:GC14" ca="1">-FN14:FQ14-FR14:FU14*2*SUM(-FN14:FQ14*FR14:FU14)</f>
        <v>#VALUE!</v>
      </c>
      <c r="GA14" s="14" t="e">
        <f ca="1"/>
        <v>#VALUE!</v>
      </c>
      <c r="GB14" s="14" t="e">
        <f ca="1"/>
        <v>#VALUE!</v>
      </c>
      <c r="GC14" s="14" t="e">
        <f ca="1"/>
        <v>#VALUE!</v>
      </c>
      <c r="GD14" s="14" t="e">
        <f t="array" aca="1" ref="GD14:GG14" ca="1">-FV14:FY14-FR14:FU14*2*SUM(-FV14:FY14*FR14:FU14)</f>
        <v>#VALUE!</v>
      </c>
      <c r="GE14" s="14" t="e">
        <f ca="1"/>
        <v>#VALUE!</v>
      </c>
      <c r="GF14" s="14" t="e">
        <f ca="1"/>
        <v>#VALUE!</v>
      </c>
      <c r="GG14" s="14" t="e">
        <f ca="1"/>
        <v>#VALUE!</v>
      </c>
      <c r="GH14" t="e">
        <f t="array" aca="1" ref="GH14" ca="1">SUM(FV14:FY14*FR14:FU14)</f>
        <v>#VALUE!</v>
      </c>
      <c r="GI14" t="e">
        <f t="array" aca="1" ref="GI14" ca="1">SUM(GD14:GG14*FN14:FQ14)</f>
        <v>#VALUE!</v>
      </c>
      <c r="GJ14" s="11" t="e">
        <f t="shared" ca="1" si="36"/>
        <v>#VALUE!</v>
      </c>
      <c r="GK14" s="11" t="e">
        <f t="shared" ca="1" si="37"/>
        <v>#VALUE!</v>
      </c>
      <c r="GL14" s="11" t="e">
        <f t="shared" ca="1" si="38"/>
        <v>#VALUE!</v>
      </c>
      <c r="GM14" s="11">
        <f t="shared" ca="1" si="39"/>
        <v>0</v>
      </c>
      <c r="GO14" s="10" t="e">
        <f t="array" aca="1" ref="GO14:GR14" ca="1">FJ14:FM14+FR14:FU14*0.001</f>
        <v>#VALUE!</v>
      </c>
      <c r="GP14" s="10" t="e">
        <f ca="1"/>
        <v>#VALUE!</v>
      </c>
      <c r="GQ14" s="10" t="e">
        <f ca="1"/>
        <v>#VALUE!</v>
      </c>
      <c r="GR14" s="10" t="e">
        <f ca="1"/>
        <v>#VALUE!</v>
      </c>
      <c r="GS14" s="10">
        <f t="shared" ca="1" si="40"/>
        <v>0.36218528389921451</v>
      </c>
      <c r="GT14" s="10">
        <f t="shared" ca="1" si="3"/>
        <v>-0.29596185311139278</v>
      </c>
      <c r="GU14" s="10">
        <f t="shared" ca="1" si="4"/>
        <v>-0.883871258515467</v>
      </c>
      <c r="GV14" s="10">
        <f t="shared" ca="1" si="5"/>
        <v>0</v>
      </c>
      <c r="GX14" s="10" t="e">
        <f t="array" aca="1" ref="GX14" ca="1">-SUM(($GS14:$GV14)*($GO14:$GR14-OFFSET($C$6:$F$6,GX$5,0)))+SQRT(SUM(($GS14:$GV14)*($GO14:$GR14-OFFSET($C$6:$F$6,GX$5,0)))^2-SUM(($GO14:$GR14-OFFSET($C$6:$F$6,GX$5,0))*($GO14:$GR14-OFFSET($C$6:$F$6,GX$5,0)))+OFFSET($G$6,GX$5,0)^2)</f>
        <v>#VALUE!</v>
      </c>
      <c r="GY14" s="10" t="e">
        <f t="array" aca="1" ref="GY14" ca="1">-SUM(($GS14:$GV14)*($GO14:$GR14-OFFSET($C$6:$F$6,GY$5,0)))+SQRT(SUM(($GS14:$GV14)*($GO14:$GR14-OFFSET($C$6:$F$6,GY$5,0)))^2-SUM(($GO14:$GR14-OFFSET($C$6:$F$6,GY$5,0))*($GO14:$GR14-OFFSET($C$6:$F$6,GY$5,0)))+OFFSET($G$6,GY$5,0)^2)</f>
        <v>#VALUE!</v>
      </c>
      <c r="GZ14" s="10" t="e">
        <f t="array" aca="1" ref="GZ14" ca="1">-SUM(($GS14:$GV14)*($GO14:$GR14-OFFSET($C$6:$F$6,GZ$5,0)))+SQRT(SUM(($GS14:$GV14)*($GO14:$GR14-OFFSET($C$6:$F$6,GZ$5,0)))^2-SUM(($GO14:$GR14-OFFSET($C$6:$F$6,GZ$5,0))*($GO14:$GR14-OFFSET($C$6:$F$6,GZ$5,0)))+OFFSET($G$6,GZ$5,0)^2)</f>
        <v>#VALUE!</v>
      </c>
      <c r="HA14" s="10" t="e">
        <f t="array" aca="1" ref="HA14" ca="1">-SUM(($GS14:$GV14)*($GO14:$GR14-OFFSET($C$6:$F$6,HA$5,0)))+SQRT(SUM(($GS14:$GV14)*($GO14:$GR14-OFFSET($C$6:$F$6,HA$5,0)))^2-SUM(($GO14:$GR14-OFFSET($C$6:$F$6,HA$5,0))*($GO14:$GR14-OFFSET($C$6:$F$6,HA$5,0)))+OFFSET($G$6,HA$5,0)^2)</f>
        <v>#VALUE!</v>
      </c>
      <c r="HB14" s="10" t="e">
        <f t="array" aca="1" ref="HB14" ca="1">-SUM(($GS14:$GV14)*($GO14:$GR14-OFFSET($C$6:$F$6,HB$5,0)))+SQRT(SUM(($GS14:$GV14)*($GO14:$GR14-OFFSET($C$6:$F$6,HB$5,0)))^2-SUM(($GO14:$GR14-OFFSET($C$6:$F$6,HB$5,0))*($GO14:$GR14-OFFSET($C$6:$F$6,HB$5,0)))+OFFSET($G$6,HB$5,0)^2)</f>
        <v>#VALUE!</v>
      </c>
      <c r="HC14" s="10" t="e">
        <f t="array" aca="1" ref="HC14" ca="1">-SUM(($GS14:$GV14)*($GO14:$GR14-OFFSET($C$6:$F$6,HC$5,0)))+SQRT(SUM(($GS14:$GV14)*($GO14:$GR14-OFFSET($C$6:$F$6,HC$5,0)))^2-SUM(($GO14:$GR14-OFFSET($C$6:$F$6,HC$5,0))*($GO14:$GR14-OFFSET($C$6:$F$6,HC$5,0)))+OFFSET($G$6,HC$5,0)^2)</f>
        <v>#VALUE!</v>
      </c>
      <c r="HD14" s="10" t="e">
        <f t="array" aca="1" ref="HD14" ca="1">-SUM(($GS14:$GV14)*($GO14:$GR14-OFFSET($C$6:$F$6,HD$5,0)))+SQRT(SUM(($GS14:$GV14)*($GO14:$GR14-OFFSET($C$6:$F$6,HD$5,0)))^2-SUM(($GO14:$GR14-OFFSET($C$6:$F$6,HD$5,0))*($GO14:$GR14-OFFSET($C$6:$F$6,HD$5,0)))+OFFSET($G$6,HD$5,0)^2)</f>
        <v>#VALUE!</v>
      </c>
      <c r="HE14" s="10" t="e">
        <f t="array" aca="1" ref="HE14" ca="1">-SUM(($GS14:$GV14)*($GO14:$GR14-OFFSET($C$6:$F$6,HE$5,0)))+SQRT(SUM(($GS14:$GV14)*($GO14:$GR14-OFFSET($C$6:$F$6,HE$5,0)))^2-SUM(($GO14:$GR14-OFFSET($C$6:$F$6,HE$5,0))*($GO14:$GR14-OFFSET($C$6:$F$6,HE$5,0)))+OFFSET($G$6,HE$5,0)^2)</f>
        <v>#VALUE!</v>
      </c>
      <c r="HF14" s="10" t="e">
        <f t="array" aca="1" ref="HF14" ca="1">-SUM(($GS14:$GV14)*($GO14:$GR14-OFFSET($C$6:$F$6,HF$5,0)))+SQRT(SUM(($GS14:$GV14)*($GO14:$GR14-OFFSET($C$6:$F$6,HF$5,0)))^2-SUM(($GO14:$GR14-OFFSET($C$6:$F$6,HF$5,0))*($GO14:$GR14-OFFSET($C$6:$F$6,HF$5,0)))+OFFSET($G$6,HF$5,0)^2)</f>
        <v>#VALUE!</v>
      </c>
      <c r="HG14" s="10" t="e">
        <f t="array" aca="1" ref="HG14" ca="1">-SUM(($GS14:$GV14)*($GO14:$GR14-OFFSET($C$6:$F$6,HG$5,0)))+SQRT(SUM(($GS14:$GV14)*($GO14:$GR14-OFFSET($C$6:$F$6,HG$5,0)))^2-SUM(($GO14:$GR14-OFFSET($C$6:$F$6,HG$5,0))*($GO14:$GR14-OFFSET($C$6:$F$6,HG$5,0)))+OFFSET($G$6,HG$5,0)^2)</f>
        <v>#VALUE!</v>
      </c>
      <c r="HH14" s="10" t="e">
        <f t="array" aca="1" ref="HH14" ca="1">-SUM(($GS14:$GV14)*($GO14:$GR14-OFFSET($C$6:$F$6,GX$5,0)))-SQRT(SUM(($GS14:$GV14)*($GO14:$GR14-OFFSET($C$6:$F$6,GX$5,0)))^2-SUM(($GO14:$GR14-OFFSET($C$6:$F$6,GX$5,0))*($GO14:$GR14-OFFSET($C$6:$F$6,GX$5,0)))+OFFSET($G$6,GX$5,0)^2)</f>
        <v>#VALUE!</v>
      </c>
      <c r="HI14" s="10" t="e">
        <f t="array" aca="1" ref="HI14" ca="1">-SUM(($GS14:$GV14)*($GO14:$GR14-OFFSET($C$6:$F$6,GY$5,0)))-SQRT(SUM(($GS14:$GV14)*($GO14:$GR14-OFFSET($C$6:$F$6,GY$5,0)))^2-SUM(($GO14:$GR14-OFFSET($C$6:$F$6,GY$5,0))*($GO14:$GR14-OFFSET($C$6:$F$6,GY$5,0)))+OFFSET($G$6,GY$5,0)^2)</f>
        <v>#VALUE!</v>
      </c>
      <c r="HJ14" s="10" t="e">
        <f t="array" aca="1" ref="HJ14" ca="1">-SUM(($GS14:$GV14)*($GO14:$GR14-OFFSET($C$6:$F$6,GZ$5,0)))-SQRT(SUM(($GS14:$GV14)*($GO14:$GR14-OFFSET($C$6:$F$6,GZ$5,0)))^2-SUM(($GO14:$GR14-OFFSET($C$6:$F$6,GZ$5,0))*($GO14:$GR14-OFFSET($C$6:$F$6,GZ$5,0)))+OFFSET($G$6,GZ$5,0)^2)</f>
        <v>#VALUE!</v>
      </c>
      <c r="HK14" s="10" t="e">
        <f t="array" aca="1" ref="HK14" ca="1">-SUM(($GS14:$GV14)*($GO14:$GR14-OFFSET($C$6:$F$6,HA$5,0)))-SQRT(SUM(($GS14:$GV14)*($GO14:$GR14-OFFSET($C$6:$F$6,HA$5,0)))^2-SUM(($GO14:$GR14-OFFSET($C$6:$F$6,HA$5,0))*($GO14:$GR14-OFFSET($C$6:$F$6,HA$5,0)))+OFFSET($G$6,HA$5,0)^2)</f>
        <v>#VALUE!</v>
      </c>
      <c r="HL14" s="10" t="e">
        <f t="array" aca="1" ref="HL14" ca="1">-SUM(($GS14:$GV14)*($GO14:$GR14-OFFSET($C$6:$F$6,HB$5,0)))-SQRT(SUM(($GS14:$GV14)*($GO14:$GR14-OFFSET($C$6:$F$6,HB$5,0)))^2-SUM(($GO14:$GR14-OFFSET($C$6:$F$6,HB$5,0))*($GO14:$GR14-OFFSET($C$6:$F$6,HB$5,0)))+OFFSET($G$6,HB$5,0)^2)</f>
        <v>#VALUE!</v>
      </c>
      <c r="HM14" s="10" t="e">
        <f t="array" aca="1" ref="HM14" ca="1">-SUM(($GS14:$GV14)*($GO14:$GR14-OFFSET($C$6:$F$6,HC$5,0)))-SQRT(SUM(($GS14:$GV14)*($GO14:$GR14-OFFSET($C$6:$F$6,HC$5,0)))^2-SUM(($GO14:$GR14-OFFSET($C$6:$F$6,HC$5,0))*($GO14:$GR14-OFFSET($C$6:$F$6,HC$5,0)))+OFFSET($G$6,HC$5,0)^2)</f>
        <v>#VALUE!</v>
      </c>
      <c r="HN14" s="10" t="e">
        <f t="array" aca="1" ref="HN14" ca="1">-SUM(($GS14:$GV14)*($GO14:$GR14-OFFSET($C$6:$F$6,HD$5,0)))-SQRT(SUM(($GS14:$GV14)*($GO14:$GR14-OFFSET($C$6:$F$6,HD$5,0)))^2-SUM(($GO14:$GR14-OFFSET($C$6:$F$6,HD$5,0))*($GO14:$GR14-OFFSET($C$6:$F$6,HD$5,0)))+OFFSET($G$6,HD$5,0)^2)</f>
        <v>#VALUE!</v>
      </c>
      <c r="HO14" s="10" t="e">
        <f t="array" aca="1" ref="HO14" ca="1">-SUM(($GS14:$GV14)*($GO14:$GR14-OFFSET($C$6:$F$6,HE$5,0)))-SQRT(SUM(($GS14:$GV14)*($GO14:$GR14-OFFSET($C$6:$F$6,HE$5,0)))^2-SUM(($GO14:$GR14-OFFSET($C$6:$F$6,HE$5,0))*($GO14:$GR14-OFFSET($C$6:$F$6,HE$5,0)))+OFFSET($G$6,HE$5,0)^2)</f>
        <v>#VALUE!</v>
      </c>
      <c r="HP14" s="10" t="e">
        <f t="array" aca="1" ref="HP14" ca="1">-SUM(($GS14:$GV14)*($GO14:$GR14-OFFSET($C$6:$F$6,HF$5,0)))-SQRT(SUM(($GS14:$GV14)*($GO14:$GR14-OFFSET($C$6:$F$6,HF$5,0)))^2-SUM(($GO14:$GR14-OFFSET($C$6:$F$6,HF$5,0))*($GO14:$GR14-OFFSET($C$6:$F$6,HF$5,0)))+OFFSET($G$6,HF$5,0)^2)</f>
        <v>#VALUE!</v>
      </c>
      <c r="HQ14" s="10" t="e">
        <f t="array" aca="1" ref="HQ14" ca="1">-SUM(($GS14:$GV14)*($GO14:$GR14-OFFSET($C$6:$F$6,HG$5,0)))-SQRT(SUM(($GS14:$GV14)*($GO14:$GR14-OFFSET($C$6:$F$6,HG$5,0)))^2-SUM(($GO14:$GR14-OFFSET($C$6:$F$6,HG$5,0))*($GO14:$GR14-OFFSET($C$6:$F$6,HG$5,0)))+OFFSET($G$6,HG$5,0)^2)</f>
        <v>#VALUE!</v>
      </c>
      <c r="HS14" s="10">
        <f t="array" aca="1" ref="HS14" ca="1">MIN(IF(IF(ISERROR(GX14:HQ14),-1,GX14:HQ14)&lt;0,9999999999,GX14:HQ14))</f>
        <v>9999999999</v>
      </c>
      <c r="HU14" s="11">
        <f t="shared" ca="1" si="41"/>
        <v>0</v>
      </c>
      <c r="HW14" s="11">
        <f t="shared" ca="1" si="42"/>
        <v>0.73019850153192878</v>
      </c>
    </row>
    <row r="15" spans="2:231" x14ac:dyDescent="0.25">
      <c r="B15">
        <v>9</v>
      </c>
      <c r="C15" s="10">
        <v>-3</v>
      </c>
      <c r="D15" s="10">
        <v>-0.8</v>
      </c>
      <c r="E15" s="10">
        <v>-3</v>
      </c>
      <c r="F15" s="10">
        <v>1</v>
      </c>
      <c r="G15" s="10">
        <v>0.2</v>
      </c>
      <c r="H15" s="10">
        <v>0</v>
      </c>
      <c r="I15" s="10">
        <v>0.9</v>
      </c>
      <c r="J15" s="10">
        <v>0.9</v>
      </c>
      <c r="K15" s="10">
        <v>200</v>
      </c>
      <c r="L15" s="10">
        <v>0</v>
      </c>
      <c r="X15" s="11">
        <f t="shared" si="6"/>
        <v>-1.5765199161425578</v>
      </c>
      <c r="Y15" s="11">
        <f t="shared" si="7"/>
        <v>-1</v>
      </c>
      <c r="Z15" s="11">
        <v>4</v>
      </c>
      <c r="AB15" s="10">
        <f t="array" aca="1" ref="AB15:AE15" ca="1">TRANSPOSE(Screen!$GL$98:$GL$101)</f>
        <v>0</v>
      </c>
      <c r="AC15" s="10">
        <f ca="1"/>
        <v>0.50000000000000033</v>
      </c>
      <c r="AD15" s="10">
        <f ca="1"/>
        <v>-15</v>
      </c>
      <c r="AE15" s="10">
        <f ca="1"/>
        <v>1</v>
      </c>
      <c r="AF15" s="10">
        <f t="array" aca="1" ref="AF15:AH15" ca="1">TRANSPOSE(MMULT(Screen!$GI$98:$GK$100,TRANSPOSE(X15:Z15)))</f>
        <v>-1.5765199161425578</v>
      </c>
      <c r="AG15" s="10">
        <f ca="1"/>
        <v>-1.2380565658529825</v>
      </c>
      <c r="AH15" s="10">
        <f ca="1"/>
        <v>3.9400359935205556</v>
      </c>
      <c r="AI15" s="10">
        <v>1</v>
      </c>
      <c r="AJ15" s="10">
        <f t="array" aca="1" ref="AJ15" ca="1">AF15/SQRT(SUM(($AF15:$AH15)*($AF15:$AH15)))</f>
        <v>-0.35662685012699047</v>
      </c>
      <c r="AK15" s="10">
        <f t="array" aca="1" ref="AK15" ca="1">AG15/SQRT(SUM(($AF15:$AH15)*($AF15:$AH15)))</f>
        <v>-0.28006256618661263</v>
      </c>
      <c r="AL15" s="10">
        <f t="array" aca="1" ref="AL15" ca="1">AH15/SQRT(SUM(($AF15:$AH15)*($AF15:$AH15)))</f>
        <v>0.89128124000759157</v>
      </c>
      <c r="AM15" s="10">
        <v>0</v>
      </c>
      <c r="AO15" s="10">
        <f t="array" aca="1" ref="AO15" ca="1">-SUM(($AJ15:$AM15)*($AB15:$AE15-OFFSET($C$6:$F$6,AO$5,0)))+SQRT(SUM(($AJ15:$AM15)*($AB15:$AE15-OFFSET($C$6:$F$6,AO$5,0)))^2-SUM(($AB15:$AE15-OFFSET($C$6:$F$6,AO$5,0))*($AB15:$AE15-OFFSET($C$6:$F$6,AO$5,0)))+OFFSET($G$6,AO$5,0)^2)</f>
        <v>581.59987232568551</v>
      </c>
      <c r="AP15" s="10" t="e">
        <f t="array" aca="1" ref="AP15" ca="1">-SUM(($AJ15:$AM15)*($AB15:$AE15-OFFSET($C$6:$F$6,AP$5,0)))+SQRT(SUM(($AJ15:$AM15)*($AB15:$AE15-OFFSET($C$6:$F$6,AP$5,0)))^2-SUM(($AB15:$AE15-OFFSET($C$6:$F$6,AP$5,0))*($AB15:$AE15-OFFSET($C$6:$F$6,AP$5,0)))+OFFSET($G$6,AP$5,0)^2)</f>
        <v>#NUM!</v>
      </c>
      <c r="AQ15" s="10" t="e">
        <f t="array" aca="1" ref="AQ15" ca="1">-SUM(($AJ15:$AM15)*($AB15:$AE15-OFFSET($C$6:$F$6,AQ$5,0)))+SQRT(SUM(($AJ15:$AM15)*($AB15:$AE15-OFFSET($C$6:$F$6,AQ$5,0)))^2-SUM(($AB15:$AE15-OFFSET($C$6:$F$6,AQ$5,0))*($AB15:$AE15-OFFSET($C$6:$F$6,AQ$5,0)))+OFFSET($G$6,AQ$5,0)^2)</f>
        <v>#NUM!</v>
      </c>
      <c r="AR15" s="10" t="e">
        <f t="array" aca="1" ref="AR15" ca="1">-SUM(($AJ15:$AM15)*($AB15:$AE15-OFFSET($C$6:$F$6,AR$5,0)))+SQRT(SUM(($AJ15:$AM15)*($AB15:$AE15-OFFSET($C$6:$F$6,AR$5,0)))^2-SUM(($AB15:$AE15-OFFSET($C$6:$F$6,AR$5,0))*($AB15:$AE15-OFFSET($C$6:$F$6,AR$5,0)))+OFFSET($G$6,AR$5,0)^2)</f>
        <v>#NUM!</v>
      </c>
      <c r="AS15" s="10" t="e">
        <f t="array" aca="1" ref="AS15" ca="1">-SUM(($AJ15:$AM15)*($AB15:$AE15-OFFSET($C$6:$F$6,AS$5,0)))+SQRT(SUM(($AJ15:$AM15)*($AB15:$AE15-OFFSET($C$6:$F$6,AS$5,0)))^2-SUM(($AB15:$AE15-OFFSET($C$6:$F$6,AS$5,0))*($AB15:$AE15-OFFSET($C$6:$F$6,AS$5,0)))+OFFSET($G$6,AS$5,0)^2)</f>
        <v>#NUM!</v>
      </c>
      <c r="AT15" s="10" t="e">
        <f t="array" aca="1" ref="AT15" ca="1">-SUM(($AJ15:$AM15)*($AB15:$AE15-OFFSET($C$6:$F$6,AT$5,0)))+SQRT(SUM(($AJ15:$AM15)*($AB15:$AE15-OFFSET($C$6:$F$6,AT$5,0)))^2-SUM(($AB15:$AE15-OFFSET($C$6:$F$6,AT$5,0))*($AB15:$AE15-OFFSET($C$6:$F$6,AT$5,0)))+OFFSET($G$6,AT$5,0)^2)</f>
        <v>#NUM!</v>
      </c>
      <c r="AU15" s="10" t="e">
        <f t="array" aca="1" ref="AU15" ca="1">-SUM(($AJ15:$AM15)*($AB15:$AE15-OFFSET($C$6:$F$6,AU$5,0)))+SQRT(SUM(($AJ15:$AM15)*($AB15:$AE15-OFFSET($C$6:$F$6,AU$5,0)))^2-SUM(($AB15:$AE15-OFFSET($C$6:$F$6,AU$5,0))*($AB15:$AE15-OFFSET($C$6:$F$6,AU$5,0)))+OFFSET($G$6,AU$5,0)^2)</f>
        <v>#NUM!</v>
      </c>
      <c r="AV15" s="10" t="e">
        <f t="array" aca="1" ref="AV15" ca="1">-SUM(($AJ15:$AM15)*($AB15:$AE15-OFFSET($C$6:$F$6,AV$5,0)))+SQRT(SUM(($AJ15:$AM15)*($AB15:$AE15-OFFSET($C$6:$F$6,AV$5,0)))^2-SUM(($AB15:$AE15-OFFSET($C$6:$F$6,AV$5,0))*($AB15:$AE15-OFFSET($C$6:$F$6,AV$5,0)))+OFFSET($G$6,AV$5,0)^2)</f>
        <v>#NUM!</v>
      </c>
      <c r="AW15" s="10" t="e">
        <f t="array" aca="1" ref="AW15" ca="1">-SUM(($AJ15:$AM15)*($AB15:$AE15-OFFSET($C$6:$F$6,AW$5,0)))+SQRT(SUM(($AJ15:$AM15)*($AB15:$AE15-OFFSET($C$6:$F$6,AW$5,0)))^2-SUM(($AB15:$AE15-OFFSET($C$6:$F$6,AW$5,0))*($AB15:$AE15-OFFSET($C$6:$F$6,AW$5,0)))+OFFSET($G$6,AW$5,0)^2)</f>
        <v>#NUM!</v>
      </c>
      <c r="AX15" s="10" t="e">
        <f t="array" aca="1" ref="AX15" ca="1">-SUM(($AJ15:$AM15)*($AB15:$AE15-OFFSET($C$6:$F$6,AX$5,0)))+SQRT(SUM(($AJ15:$AM15)*($AB15:$AE15-OFFSET($C$6:$F$6,AX$5,0)))^2-SUM(($AB15:$AE15-OFFSET($C$6:$F$6,AX$5,0))*($AB15:$AE15-OFFSET($C$6:$F$6,AX$5,0)))+OFFSET($G$6,AX$5,0)^2)</f>
        <v>#NUM!</v>
      </c>
      <c r="AY15" s="10">
        <f t="array" aca="1" ref="AY15" ca="1">-SUM(($AJ15:$AM15)*($AB15:$AE15-OFFSET($C$6:$F$6,AO$5,0)))-SQRT(SUM(($AJ15:$AM15)*($AB15:$AE15-OFFSET($C$6:$F$6,AO$5,0)))^2-SUM(($AB15:$AE15-OFFSET($C$6:$F$6,AO$5,0))*($AB15:$AE15-OFFSET($C$6:$F$6,AO$5,0)))+OFFSET($G$6,AO$5,0)^2)</f>
        <v>5.5437598139541251</v>
      </c>
      <c r="AZ15" s="10" t="e">
        <f t="array" aca="1" ref="AZ15" ca="1">-SUM(($AJ15:$AM15)*($AB15:$AE15-OFFSET($C$6:$F$6,AP$5,0)))-SQRT(SUM(($AJ15:$AM15)*($AB15:$AE15-OFFSET($C$6:$F$6,AP$5,0)))^2-SUM(($AB15:$AE15-OFFSET($C$6:$F$6,AP$5,0))*($AB15:$AE15-OFFSET($C$6:$F$6,AP$5,0)))+OFFSET($G$6,AP$5,0)^2)</f>
        <v>#NUM!</v>
      </c>
      <c r="BA15" s="10" t="e">
        <f t="array" aca="1" ref="BA15" ca="1">-SUM(($AJ15:$AM15)*($AB15:$AE15-OFFSET($C$6:$F$6,AQ$5,0)))-SQRT(SUM(($AJ15:$AM15)*($AB15:$AE15-OFFSET($C$6:$F$6,AQ$5,0)))^2-SUM(($AB15:$AE15-OFFSET($C$6:$F$6,AQ$5,0))*($AB15:$AE15-OFFSET($C$6:$F$6,AQ$5,0)))+OFFSET($G$6,AQ$5,0)^2)</f>
        <v>#NUM!</v>
      </c>
      <c r="BB15" s="10" t="e">
        <f t="array" aca="1" ref="BB15" ca="1">-SUM(($AJ15:$AM15)*($AB15:$AE15-OFFSET($C$6:$F$6,AR$5,0)))-SQRT(SUM(($AJ15:$AM15)*($AB15:$AE15-OFFSET($C$6:$F$6,AR$5,0)))^2-SUM(($AB15:$AE15-OFFSET($C$6:$F$6,AR$5,0))*($AB15:$AE15-OFFSET($C$6:$F$6,AR$5,0)))+OFFSET($G$6,AR$5,0)^2)</f>
        <v>#NUM!</v>
      </c>
      <c r="BC15" s="10" t="e">
        <f t="array" aca="1" ref="BC15" ca="1">-SUM(($AJ15:$AM15)*($AB15:$AE15-OFFSET($C$6:$F$6,AS$5,0)))-SQRT(SUM(($AJ15:$AM15)*($AB15:$AE15-OFFSET($C$6:$F$6,AS$5,0)))^2-SUM(($AB15:$AE15-OFFSET($C$6:$F$6,AS$5,0))*($AB15:$AE15-OFFSET($C$6:$F$6,AS$5,0)))+OFFSET($G$6,AS$5,0)^2)</f>
        <v>#NUM!</v>
      </c>
      <c r="BD15" s="10" t="e">
        <f t="array" aca="1" ref="BD15" ca="1">-SUM(($AJ15:$AM15)*($AB15:$AE15-OFFSET($C$6:$F$6,AT$5,0)))-SQRT(SUM(($AJ15:$AM15)*($AB15:$AE15-OFFSET($C$6:$F$6,AT$5,0)))^2-SUM(($AB15:$AE15-OFFSET($C$6:$F$6,AT$5,0))*($AB15:$AE15-OFFSET($C$6:$F$6,AT$5,0)))+OFFSET($G$6,AT$5,0)^2)</f>
        <v>#NUM!</v>
      </c>
      <c r="BE15" s="10" t="e">
        <f t="array" aca="1" ref="BE15" ca="1">-SUM(($AJ15:$AM15)*($AB15:$AE15-OFFSET($C$6:$F$6,AU$5,0)))-SQRT(SUM(($AJ15:$AM15)*($AB15:$AE15-OFFSET($C$6:$F$6,AU$5,0)))^2-SUM(($AB15:$AE15-OFFSET($C$6:$F$6,AU$5,0))*($AB15:$AE15-OFFSET($C$6:$F$6,AU$5,0)))+OFFSET($G$6,AU$5,0)^2)</f>
        <v>#NUM!</v>
      </c>
      <c r="BF15" s="10" t="e">
        <f t="array" aca="1" ref="BF15" ca="1">-SUM(($AJ15:$AM15)*($AB15:$AE15-OFFSET($C$6:$F$6,AV$5,0)))-SQRT(SUM(($AJ15:$AM15)*($AB15:$AE15-OFFSET($C$6:$F$6,AV$5,0)))^2-SUM(($AB15:$AE15-OFFSET($C$6:$F$6,AV$5,0))*($AB15:$AE15-OFFSET($C$6:$F$6,AV$5,0)))+OFFSET($G$6,AV$5,0)^2)</f>
        <v>#NUM!</v>
      </c>
      <c r="BG15" s="10" t="e">
        <f t="array" aca="1" ref="BG15" ca="1">-SUM(($AJ15:$AM15)*($AB15:$AE15-OFFSET($C$6:$F$6,AW$5,0)))-SQRT(SUM(($AJ15:$AM15)*($AB15:$AE15-OFFSET($C$6:$F$6,AW$5,0)))^2-SUM(($AB15:$AE15-OFFSET($C$6:$F$6,AW$5,0))*($AB15:$AE15-OFFSET($C$6:$F$6,AW$5,0)))+OFFSET($G$6,AW$5,0)^2)</f>
        <v>#NUM!</v>
      </c>
      <c r="BH15" s="10" t="e">
        <f t="array" aca="1" ref="BH15" ca="1">-SUM(($AJ15:$AM15)*($AB15:$AE15-OFFSET($C$6:$F$6,AX$5,0)))-SQRT(SUM(($AJ15:$AM15)*($AB15:$AE15-OFFSET($C$6:$F$6,AX$5,0)))^2-SUM(($AB15:$AE15-OFFSET($C$6:$F$6,AX$5,0))*($AB15:$AE15-OFFSET($C$6:$F$6,AX$5,0)))+OFFSET($G$6,AX$5,0)^2)</f>
        <v>#NUM!</v>
      </c>
      <c r="BJ15" s="10">
        <f t="array" aca="1" ref="BJ15" ca="1">MIN(IF(IF(ISERROR(AO15:BH15),-1,AO15:BH15)&lt;0,9999999999,AO15:BH15))</f>
        <v>5.5437598139541251</v>
      </c>
      <c r="BL15">
        <f t="shared" ca="1" si="8"/>
        <v>0</v>
      </c>
      <c r="BN15" s="10">
        <f t="shared" ca="1" si="9"/>
        <v>-1.9770536003110504</v>
      </c>
      <c r="BO15" s="10">
        <f t="shared" ca="1" si="10"/>
        <v>-1.0525995998182101</v>
      </c>
      <c r="BP15" s="10">
        <f t="shared" ca="1" si="11"/>
        <v>-10.058950878714711</v>
      </c>
      <c r="BQ15" s="10">
        <f t="shared" ca="1" si="12"/>
        <v>1</v>
      </c>
      <c r="BR15" s="14">
        <f t="shared" ca="1" si="13"/>
        <v>0.35662685012699047</v>
      </c>
      <c r="BS15" s="14">
        <f t="shared" ca="1" si="14"/>
        <v>0.28006256618661263</v>
      </c>
      <c r="BT15" s="14">
        <f t="shared" ca="1" si="15"/>
        <v>-0.89128124000759157</v>
      </c>
      <c r="BU15" s="14">
        <f t="shared" si="16"/>
        <v>0</v>
      </c>
      <c r="BV15" s="10">
        <f t="array" aca="1" ref="BV15" ca="1">(BN15-OFFSET(C$6,$BL15,0))/SQRT(SUM(($BN15:$BQ15-OFFSET($C$6:$F$6,$BL15,0))*($BN15:$BQ15-OFFSET($C$6:$F$6,$BL15,0))))</f>
        <v>-1.9790326329439945E-3</v>
      </c>
      <c r="BW15" s="10">
        <f t="array" aca="1" ref="BW15" ca="1">(BO15-OFFSET(D$6,$BL15,0))/SQRT(SUM(($BN15:$BQ15-OFFSET($C$6:$F$6,$BL15,0))*($BN15:$BQ15-OFFSET($C$6:$F$6,$BL15,0))))</f>
        <v>0.9999473477479297</v>
      </c>
      <c r="BX15" s="10">
        <f t="array" aca="1" ref="BX15" ca="1">(BP15-OFFSET(E$6,$BL15,0))/SQRT(SUM(($BN15:$BQ15-OFFSET($C$6:$F$6,$BL15,0))*($BN15:$BQ15-OFFSET($C$6:$F$6,$BL15,0))))</f>
        <v>-1.0069019898613325E-2</v>
      </c>
      <c r="BY15" s="10">
        <f t="array" aca="1" ref="BY15" ca="1">(BQ15-OFFSET(F$6,$BL15,0))/SQRT(SUM(($BN15:$BQ15-OFFSET($C$6:$F$6,$BL15,0))*($BN15:$BQ15-OFFSET($C$6:$F$6,$BL15,0))))</f>
        <v>0</v>
      </c>
      <c r="BZ15" s="14">
        <f t="array" aca="1" ref="BZ15" ca="1">-(BN15-O$6)/SQRT(SUM(($O$6:$R$6-$BN15:$BQ15)*($O$6:$R$6-$BN15:$BQ15)))</f>
        <v>-0.58743289533706322</v>
      </c>
      <c r="CA15" s="14">
        <f t="array" aca="1" ref="CA15" ca="1">-(BO15-P$6)/SQRT(SUM(($O$6:$R$6-$BN15:$BQ15)*($O$6:$R$6-$BN15:$BQ15)))</f>
        <v>0.80926136863811016</v>
      </c>
      <c r="CB15" s="14">
        <f t="array" aca="1" ref="CB15" ca="1">-(BP15-Q$6)/SQRT(SUM(($O$6:$R$6-$BN15:$BQ15)*($O$6:$R$6-$BN15:$BQ15)))</f>
        <v>4.3163301411797243E-3</v>
      </c>
      <c r="CC15" s="14">
        <f t="array" aca="1" ref="CC15" ca="1">-(BQ15-R$6)/SQRT(SUM(($O$6:$R$6-$BN15:$BQ15)*($O$6:$R$6-$BN15:$BQ15)))</f>
        <v>0</v>
      </c>
      <c r="CD15" s="14">
        <f t="array" aca="1" ref="CD15:CG15" ca="1">-BR15:BU15-BV15:BY15*2*SUM(-BR15:BU15*BV15:BY15)</f>
        <v>-0.35776802514707812</v>
      </c>
      <c r="CE15" s="14">
        <f ca="1"/>
        <v>0.29653981805772045</v>
      </c>
      <c r="CF15" s="14">
        <f ca="1"/>
        <v>0.88547511342140695</v>
      </c>
      <c r="CG15" s="14">
        <f ca="1"/>
        <v>0</v>
      </c>
      <c r="CH15" s="14">
        <f t="array" aca="1" ref="CH15:CK15" ca="1">-BZ15:CC15-BV15:BY15*2*SUM(-BZ15:CC15*BV15:BY15)</f>
        <v>0.58422552525177218</v>
      </c>
      <c r="CI15" s="14">
        <f ca="1"/>
        <v>0.81132899285672833</v>
      </c>
      <c r="CJ15" s="14">
        <f ca="1"/>
        <v>-2.0634945950445242E-2</v>
      </c>
      <c r="CK15" s="14">
        <f ca="1"/>
        <v>0</v>
      </c>
      <c r="CL15">
        <f t="array" aca="1" ref="CL15" ca="1">SUM(BZ15:CC15*BV15:BY15)</f>
        <v>0.81033784685999422</v>
      </c>
      <c r="CM15">
        <f t="array" aca="1" ref="CM15" ca="1">SUM(CH15:CK15*BR15:BU15)</f>
        <v>0.45396492880958378</v>
      </c>
      <c r="CN15" s="11">
        <f t="shared" ca="1" si="17"/>
        <v>0</v>
      </c>
      <c r="CO15" s="11">
        <f t="shared" ca="1" si="18"/>
        <v>0.72930406217399479</v>
      </c>
      <c r="CP15" s="11">
        <f t="shared" ca="1" si="19"/>
        <v>2.2840364542643462E-69</v>
      </c>
      <c r="CQ15" s="11">
        <f t="shared" ca="1" si="20"/>
        <v>0.72930406217399479</v>
      </c>
      <c r="CS15" s="10">
        <f t="array" aca="1" ref="CS15:CV15" ca="1">BN15:BQ15+BV15:BY15*0.001</f>
        <v>-1.9770555793436833</v>
      </c>
      <c r="CT15" s="10">
        <f ca="1"/>
        <v>-1.0515996524704621</v>
      </c>
      <c r="CU15" s="10">
        <f ca="1"/>
        <v>-10.05896094773461</v>
      </c>
      <c r="CV15" s="10">
        <f ca="1"/>
        <v>1</v>
      </c>
      <c r="CW15" s="10">
        <f t="shared" ca="1" si="21"/>
        <v>-0.58743289533706322</v>
      </c>
      <c r="CX15" s="10">
        <f t="shared" ca="1" si="22"/>
        <v>0.80926136863811016</v>
      </c>
      <c r="CY15" s="10">
        <f t="shared" ca="1" si="23"/>
        <v>4.3163301411797243E-3</v>
      </c>
      <c r="CZ15" s="10">
        <f t="shared" ca="1" si="24"/>
        <v>0</v>
      </c>
      <c r="DB15" s="10">
        <f t="array" aca="1" ref="DB15" ca="1">-SUM(($CW15:$CZ15)*($CS15:$CV15-OFFSET($C$6:$F$6,DB$5,0)))+SQRT(SUM(($CW15:$CZ15)*($CS15:$CV15-OFFSET($C$6:$F$6,DB$5,0)))^2-SUM(($CS15:$CV15-OFFSET($C$6:$F$6,DB$5,0))*($CS15:$CV15-OFFSET($C$6:$F$6,DB$5,0)))+OFFSET($G$6,DB$5,0)^2)</f>
        <v>-1.2340535070052283E-3</v>
      </c>
      <c r="DC15" s="10" t="e">
        <f t="array" aca="1" ref="DC15" ca="1">-SUM(($CW15:$CZ15)*($CS15:$CV15-OFFSET($C$6:$F$6,DC$5,0)))+SQRT(SUM(($CW15:$CZ15)*($CS15:$CV15-OFFSET($C$6:$F$6,DC$5,0)))^2-SUM(($CS15:$CV15-OFFSET($C$6:$F$6,DC$5,0))*($CS15:$CV15-OFFSET($C$6:$F$6,DC$5,0)))+OFFSET($G$6,DC$5,0)^2)</f>
        <v>#NUM!</v>
      </c>
      <c r="DD15" s="10" t="e">
        <f t="array" aca="1" ref="DD15" ca="1">-SUM(($CW15:$CZ15)*($CS15:$CV15-OFFSET($C$6:$F$6,DD$5,0)))+SQRT(SUM(($CW15:$CZ15)*($CS15:$CV15-OFFSET($C$6:$F$6,DD$5,0)))^2-SUM(($CS15:$CV15-OFFSET($C$6:$F$6,DD$5,0))*($CS15:$CV15-OFFSET($C$6:$F$6,DD$5,0)))+OFFSET($G$6,DD$5,0)^2)</f>
        <v>#NUM!</v>
      </c>
      <c r="DE15" s="10" t="e">
        <f t="array" aca="1" ref="DE15" ca="1">-SUM(($CW15:$CZ15)*($CS15:$CV15-OFFSET($C$6:$F$6,DE$5,0)))+SQRT(SUM(($CW15:$CZ15)*($CS15:$CV15-OFFSET($C$6:$F$6,DE$5,0)))^2-SUM(($CS15:$CV15-OFFSET($C$6:$F$6,DE$5,0))*($CS15:$CV15-OFFSET($C$6:$F$6,DE$5,0)))+OFFSET($G$6,DE$5,0)^2)</f>
        <v>#NUM!</v>
      </c>
      <c r="DF15" s="10" t="e">
        <f t="array" aca="1" ref="DF15" ca="1">-SUM(($CW15:$CZ15)*($CS15:$CV15-OFFSET($C$6:$F$6,DF$5,0)))+SQRT(SUM(($CW15:$CZ15)*($CS15:$CV15-OFFSET($C$6:$F$6,DF$5,0)))^2-SUM(($CS15:$CV15-OFFSET($C$6:$F$6,DF$5,0))*($CS15:$CV15-OFFSET($C$6:$F$6,DF$5,0)))+OFFSET($G$6,DF$5,0)^2)</f>
        <v>#NUM!</v>
      </c>
      <c r="DG15" s="10" t="e">
        <f t="array" aca="1" ref="DG15" ca="1">-SUM(($CW15:$CZ15)*($CS15:$CV15-OFFSET($C$6:$F$6,DG$5,0)))+SQRT(SUM(($CW15:$CZ15)*($CS15:$CV15-OFFSET($C$6:$F$6,DG$5,0)))^2-SUM(($CS15:$CV15-OFFSET($C$6:$F$6,DG$5,0))*($CS15:$CV15-OFFSET($C$6:$F$6,DG$5,0)))+OFFSET($G$6,DG$5,0)^2)</f>
        <v>#NUM!</v>
      </c>
      <c r="DH15" s="10" t="e">
        <f t="array" aca="1" ref="DH15" ca="1">-SUM(($CW15:$CZ15)*($CS15:$CV15-OFFSET($C$6:$F$6,DH$5,0)))+SQRT(SUM(($CW15:$CZ15)*($CS15:$CV15-OFFSET($C$6:$F$6,DH$5,0)))^2-SUM(($CS15:$CV15-OFFSET($C$6:$F$6,DH$5,0))*($CS15:$CV15-OFFSET($C$6:$F$6,DH$5,0)))+OFFSET($G$6,DH$5,0)^2)</f>
        <v>#NUM!</v>
      </c>
      <c r="DI15" s="10" t="e">
        <f t="array" aca="1" ref="DI15" ca="1">-SUM(($CW15:$CZ15)*($CS15:$CV15-OFFSET($C$6:$F$6,DI$5,0)))+SQRT(SUM(($CW15:$CZ15)*($CS15:$CV15-OFFSET($C$6:$F$6,DI$5,0)))^2-SUM(($CS15:$CV15-OFFSET($C$6:$F$6,DI$5,0))*($CS15:$CV15-OFFSET($C$6:$F$6,DI$5,0)))+OFFSET($G$6,DI$5,0)^2)</f>
        <v>#NUM!</v>
      </c>
      <c r="DJ15" s="10" t="e">
        <f t="array" aca="1" ref="DJ15" ca="1">-SUM(($CW15:$CZ15)*($CS15:$CV15-OFFSET($C$6:$F$6,DJ$5,0)))+SQRT(SUM(($CW15:$CZ15)*($CS15:$CV15-OFFSET($C$6:$F$6,DJ$5,0)))^2-SUM(($CS15:$CV15-OFFSET($C$6:$F$6,DJ$5,0))*($CS15:$CV15-OFFSET($C$6:$F$6,DJ$5,0)))+OFFSET($G$6,DJ$5,0)^2)</f>
        <v>#NUM!</v>
      </c>
      <c r="DK15" s="10" t="e">
        <f t="array" aca="1" ref="DK15" ca="1">-SUM(($CW15:$CZ15)*($CS15:$CV15-OFFSET($C$6:$F$6,DK$5,0)))+SQRT(SUM(($CW15:$CZ15)*($CS15:$CV15-OFFSET($C$6:$F$6,DK$5,0)))^2-SUM(($CS15:$CV15-OFFSET($C$6:$F$6,DK$5,0))*($CS15:$CV15-OFFSET($C$6:$F$6,DK$5,0)))+OFFSET($G$6,DK$5,0)^2)</f>
        <v>#NUM!</v>
      </c>
      <c r="DL15" s="10">
        <f t="array" aca="1" ref="DL15" ca="1">-SUM(($CW15:$CZ15)*($CS15:$CV15-OFFSET($C$6:$F$6,DB$5,0)))-SQRT(SUM(($CW15:$CZ15)*($CS15:$CV15-OFFSET($C$6:$F$6,DB$5,0)))^2-SUM(($CS15:$CV15-OFFSET($C$6:$F$6,DB$5,0))*($CS15:$CV15-OFFSET($C$6:$F$6,DB$5,0)))+OFFSET($G$6,DB$5,0)^2)</f>
        <v>-1619.0554046484551</v>
      </c>
      <c r="DM15" s="10" t="e">
        <f t="array" aca="1" ref="DM15" ca="1">-SUM(($CW15:$CZ15)*($CS15:$CV15-OFFSET($C$6:$F$6,DC$5,0)))-SQRT(SUM(($CW15:$CZ15)*($CS15:$CV15-OFFSET($C$6:$F$6,DC$5,0)))^2-SUM(($CS15:$CV15-OFFSET($C$6:$F$6,DC$5,0))*($CS15:$CV15-OFFSET($C$6:$F$6,DC$5,0)))+OFFSET($G$6,DC$5,0)^2)</f>
        <v>#NUM!</v>
      </c>
      <c r="DN15" s="10" t="e">
        <f t="array" aca="1" ref="DN15" ca="1">-SUM(($CW15:$CZ15)*($CS15:$CV15-OFFSET($C$6:$F$6,DD$5,0)))-SQRT(SUM(($CW15:$CZ15)*($CS15:$CV15-OFFSET($C$6:$F$6,DD$5,0)))^2-SUM(($CS15:$CV15-OFFSET($C$6:$F$6,DD$5,0))*($CS15:$CV15-OFFSET($C$6:$F$6,DD$5,0)))+OFFSET($G$6,DD$5,0)^2)</f>
        <v>#NUM!</v>
      </c>
      <c r="DO15" s="10" t="e">
        <f t="array" aca="1" ref="DO15" ca="1">-SUM(($CW15:$CZ15)*($CS15:$CV15-OFFSET($C$6:$F$6,DE$5,0)))-SQRT(SUM(($CW15:$CZ15)*($CS15:$CV15-OFFSET($C$6:$F$6,DE$5,0)))^2-SUM(($CS15:$CV15-OFFSET($C$6:$F$6,DE$5,0))*($CS15:$CV15-OFFSET($C$6:$F$6,DE$5,0)))+OFFSET($G$6,DE$5,0)^2)</f>
        <v>#NUM!</v>
      </c>
      <c r="DP15" s="10" t="e">
        <f t="array" aca="1" ref="DP15" ca="1">-SUM(($CW15:$CZ15)*($CS15:$CV15-OFFSET($C$6:$F$6,DF$5,0)))-SQRT(SUM(($CW15:$CZ15)*($CS15:$CV15-OFFSET($C$6:$F$6,DF$5,0)))^2-SUM(($CS15:$CV15-OFFSET($C$6:$F$6,DF$5,0))*($CS15:$CV15-OFFSET($C$6:$F$6,DF$5,0)))+OFFSET($G$6,DF$5,0)^2)</f>
        <v>#NUM!</v>
      </c>
      <c r="DQ15" s="10" t="e">
        <f t="array" aca="1" ref="DQ15" ca="1">-SUM(($CW15:$CZ15)*($CS15:$CV15-OFFSET($C$6:$F$6,DG$5,0)))-SQRT(SUM(($CW15:$CZ15)*($CS15:$CV15-OFFSET($C$6:$F$6,DG$5,0)))^2-SUM(($CS15:$CV15-OFFSET($C$6:$F$6,DG$5,0))*($CS15:$CV15-OFFSET($C$6:$F$6,DG$5,0)))+OFFSET($G$6,DG$5,0)^2)</f>
        <v>#NUM!</v>
      </c>
      <c r="DR15" s="10" t="e">
        <f t="array" aca="1" ref="DR15" ca="1">-SUM(($CW15:$CZ15)*($CS15:$CV15-OFFSET($C$6:$F$6,DH$5,0)))-SQRT(SUM(($CW15:$CZ15)*($CS15:$CV15-OFFSET($C$6:$F$6,DH$5,0)))^2-SUM(($CS15:$CV15-OFFSET($C$6:$F$6,DH$5,0))*($CS15:$CV15-OFFSET($C$6:$F$6,DH$5,0)))+OFFSET($G$6,DH$5,0)^2)</f>
        <v>#NUM!</v>
      </c>
      <c r="DS15" s="10" t="e">
        <f t="array" aca="1" ref="DS15" ca="1">-SUM(($CW15:$CZ15)*($CS15:$CV15-OFFSET($C$6:$F$6,DI$5,0)))-SQRT(SUM(($CW15:$CZ15)*($CS15:$CV15-OFFSET($C$6:$F$6,DI$5,0)))^2-SUM(($CS15:$CV15-OFFSET($C$6:$F$6,DI$5,0))*($CS15:$CV15-OFFSET($C$6:$F$6,DI$5,0)))+OFFSET($G$6,DI$5,0)^2)</f>
        <v>#NUM!</v>
      </c>
      <c r="DT15" s="10" t="e">
        <f t="array" aca="1" ref="DT15" ca="1">-SUM(($CW15:$CZ15)*($CS15:$CV15-OFFSET($C$6:$F$6,DJ$5,0)))-SQRT(SUM(($CW15:$CZ15)*($CS15:$CV15-OFFSET($C$6:$F$6,DJ$5,0)))^2-SUM(($CS15:$CV15-OFFSET($C$6:$F$6,DJ$5,0))*($CS15:$CV15-OFFSET($C$6:$F$6,DJ$5,0)))+OFFSET($G$6,DJ$5,0)^2)</f>
        <v>#NUM!</v>
      </c>
      <c r="DU15" s="10" t="e">
        <f t="array" aca="1" ref="DU15" ca="1">-SUM(($CW15:$CZ15)*($CS15:$CV15-OFFSET($C$6:$F$6,DK$5,0)))-SQRT(SUM(($CW15:$CZ15)*($CS15:$CV15-OFFSET($C$6:$F$6,DK$5,0)))^2-SUM(($CS15:$CV15-OFFSET($C$6:$F$6,DK$5,0))*($CS15:$CV15-OFFSET($C$6:$F$6,DK$5,0)))+OFFSET($G$6,DK$5,0)^2)</f>
        <v>#NUM!</v>
      </c>
      <c r="DW15" s="10">
        <f t="array" aca="1" ref="DW15" ca="1">MIN(IF(IF(ISERROR(DB15:DU15),-1,DB15:DU15)&lt;0,9999999999,DB15:DU15))</f>
        <v>9999999999</v>
      </c>
      <c r="DY15" s="11">
        <f t="shared" ca="1" si="25"/>
        <v>0.72930406217399479</v>
      </c>
      <c r="EB15" s="10">
        <f t="array" aca="1" ref="EB15:EE15" ca="1">BN15:BQ15+BV15:BY15*0.01</f>
        <v>-1.9770733906373799</v>
      </c>
      <c r="EC15" s="10">
        <f ca="1"/>
        <v>-1.0426001263407307</v>
      </c>
      <c r="ED15" s="10">
        <f ca="1"/>
        <v>-10.059051568913697</v>
      </c>
      <c r="EE15" s="10">
        <f ca="1"/>
        <v>1</v>
      </c>
      <c r="EF15" s="10">
        <f t="shared" ca="1" si="26"/>
        <v>-0.35776802514707812</v>
      </c>
      <c r="EG15" s="10">
        <f t="shared" ca="1" si="27"/>
        <v>0.29653981805772045</v>
      </c>
      <c r="EH15" s="10">
        <f t="shared" ca="1" si="28"/>
        <v>0.88547511342140695</v>
      </c>
      <c r="EI15" s="10">
        <f t="shared" ca="1" si="29"/>
        <v>0</v>
      </c>
      <c r="EK15" s="10">
        <f t="array" aca="1" ref="EK15" ca="1">-SUM(($EF15:$EI15)*($EB15:$EE15-OFFSET($C$6:$F$6,EK$5,0)))+SQRT(SUM(($EF15:$EI15)*($EB15:$EE15-OFFSET($C$6:$F$6,EK$5,0)))^2-SUM(($EB15:$EE15-OFFSET($C$6:$F$6,EK$5,0))*($EB15:$EE15-OFFSET($C$6:$F$6,EK$5,0)))+OFFSET($G$6,EK$5,0)^2)</f>
        <v>-3.468603609286447E-2</v>
      </c>
      <c r="EL15" s="10" t="e">
        <f t="array" aca="1" ref="EL15" ca="1">-SUM(($EF15:$EI15)*($EB15:$EE15-OFFSET($C$6:$F$6,EL$5,0)))+SQRT(SUM(($EF15:$EI15)*($EB15:$EE15-OFFSET($C$6:$F$6,EL$5,0)))^2-SUM(($EB15:$EE15-OFFSET($C$6:$F$6,EL$5,0))*($EB15:$EE15-OFFSET($C$6:$F$6,EL$5,0)))+OFFSET($G$6,EL$5,0)^2)</f>
        <v>#NUM!</v>
      </c>
      <c r="EM15" s="10" t="e">
        <f t="array" aca="1" ref="EM15" ca="1">-SUM(($EF15:$EI15)*($EB15:$EE15-OFFSET($C$6:$F$6,EM$5,0)))+SQRT(SUM(($EF15:$EI15)*($EB15:$EE15-OFFSET($C$6:$F$6,EM$5,0)))^2-SUM(($EB15:$EE15-OFFSET($C$6:$F$6,EM$5,0))*($EB15:$EE15-OFFSET($C$6:$F$6,EM$5,0)))+OFFSET($G$6,EM$5,0)^2)</f>
        <v>#NUM!</v>
      </c>
      <c r="EN15" s="10" t="e">
        <f t="array" aca="1" ref="EN15" ca="1">-SUM(($EF15:$EI15)*($EB15:$EE15-OFFSET($C$6:$F$6,EN$5,0)))+SQRT(SUM(($EF15:$EI15)*($EB15:$EE15-OFFSET($C$6:$F$6,EN$5,0)))^2-SUM(($EB15:$EE15-OFFSET($C$6:$F$6,EN$5,0))*($EB15:$EE15-OFFSET($C$6:$F$6,EN$5,0)))+OFFSET($G$6,EN$5,0)^2)</f>
        <v>#NUM!</v>
      </c>
      <c r="EO15" s="10" t="e">
        <f t="array" aca="1" ref="EO15" ca="1">-SUM(($EF15:$EI15)*($EB15:$EE15-OFFSET($C$6:$F$6,EO$5,0)))+SQRT(SUM(($EF15:$EI15)*($EB15:$EE15-OFFSET($C$6:$F$6,EO$5,0)))^2-SUM(($EB15:$EE15-OFFSET($C$6:$F$6,EO$5,0))*($EB15:$EE15-OFFSET($C$6:$F$6,EO$5,0)))+OFFSET($G$6,EO$5,0)^2)</f>
        <v>#NUM!</v>
      </c>
      <c r="EP15" s="10" t="e">
        <f t="array" aca="1" ref="EP15" ca="1">-SUM(($EF15:$EI15)*($EB15:$EE15-OFFSET($C$6:$F$6,EP$5,0)))+SQRT(SUM(($EF15:$EI15)*($EB15:$EE15-OFFSET($C$6:$F$6,EP$5,0)))^2-SUM(($EB15:$EE15-OFFSET($C$6:$F$6,EP$5,0))*($EB15:$EE15-OFFSET($C$6:$F$6,EP$5,0)))+OFFSET($G$6,EP$5,0)^2)</f>
        <v>#NUM!</v>
      </c>
      <c r="EQ15" s="10" t="e">
        <f t="array" aca="1" ref="EQ15" ca="1">-SUM(($EF15:$EI15)*($EB15:$EE15-OFFSET($C$6:$F$6,EQ$5,0)))+SQRT(SUM(($EF15:$EI15)*($EB15:$EE15-OFFSET($C$6:$F$6,EQ$5,0)))^2-SUM(($EB15:$EE15-OFFSET($C$6:$F$6,EQ$5,0))*($EB15:$EE15-OFFSET($C$6:$F$6,EQ$5,0)))+OFFSET($G$6,EQ$5,0)^2)</f>
        <v>#NUM!</v>
      </c>
      <c r="ER15" s="10" t="e">
        <f t="array" aca="1" ref="ER15" ca="1">-SUM(($EF15:$EI15)*($EB15:$EE15-OFFSET($C$6:$F$6,ER$5,0)))+SQRT(SUM(($EF15:$EI15)*($EB15:$EE15-OFFSET($C$6:$F$6,ER$5,0)))^2-SUM(($EB15:$EE15-OFFSET($C$6:$F$6,ER$5,0))*($EB15:$EE15-OFFSET($C$6:$F$6,ER$5,0)))+OFFSET($G$6,ER$5,0)^2)</f>
        <v>#NUM!</v>
      </c>
      <c r="ES15" s="10" t="e">
        <f t="array" aca="1" ref="ES15" ca="1">-SUM(($EF15:$EI15)*($EB15:$EE15-OFFSET($C$6:$F$6,ES$5,0)))+SQRT(SUM(($EF15:$EI15)*($EB15:$EE15-OFFSET($C$6:$F$6,ES$5,0)))^2-SUM(($EB15:$EE15-OFFSET($C$6:$F$6,ES$5,0))*($EB15:$EE15-OFFSET($C$6:$F$6,ES$5,0)))+OFFSET($G$6,ES$5,0)^2)</f>
        <v>#NUM!</v>
      </c>
      <c r="ET15" s="10" t="e">
        <f t="array" aca="1" ref="ET15" ca="1">-SUM(($EF15:$EI15)*($EB15:$EE15-OFFSET($C$6:$F$6,ET$5,0)))+SQRT(SUM(($EF15:$EI15)*($EB15:$EE15-OFFSET($C$6:$F$6,ET$5,0)))^2-SUM(($EB15:$EE15-OFFSET($C$6:$F$6,ET$5,0))*($EB15:$EE15-OFFSET($C$6:$F$6,ET$5,0)))+OFFSET($G$6,ET$5,0)^2)</f>
        <v>#NUM!</v>
      </c>
      <c r="EU15" s="10">
        <f t="array" aca="1" ref="EU15" ca="1">-SUM(($EF15:$EI15)*($EB15:$EE15-OFFSET($C$6:$F$6,EK$5,0)))-SQRT(SUM(($EF15:$EI15)*($EB15:$EE15-OFFSET($C$6:$F$6,EK$5,0)))^2-SUM(($EB15:$EE15-OFFSET($C$6:$F$6,EK$5,0))*($EB15:$EE15-OFFSET($C$6:$F$6,EK$5,0)))+OFFSET($G$6,EK$5,0)^2)</f>
        <v>-576.02719280309111</v>
      </c>
      <c r="EV15" s="10" t="e">
        <f t="array" aca="1" ref="EV15" ca="1">-SUM(($EF15:$EI15)*($EB15:$EE15-OFFSET($C$6:$F$6,EL$5,0)))-SQRT(SUM(($EF15:$EI15)*($EB15:$EE15-OFFSET($C$6:$F$6,EL$5,0)))^2-SUM(($EB15:$EE15-OFFSET($C$6:$F$6,EL$5,0))*($EB15:$EE15-OFFSET($C$6:$F$6,EL$5,0)))+OFFSET($G$6,EL$5,0)^2)</f>
        <v>#NUM!</v>
      </c>
      <c r="EW15" s="10" t="e">
        <f t="array" aca="1" ref="EW15" ca="1">-SUM(($EF15:$EI15)*($EB15:$EE15-OFFSET($C$6:$F$6,EM$5,0)))-SQRT(SUM(($EF15:$EI15)*($EB15:$EE15-OFFSET($C$6:$F$6,EM$5,0)))^2-SUM(($EB15:$EE15-OFFSET($C$6:$F$6,EM$5,0))*($EB15:$EE15-OFFSET($C$6:$F$6,EM$5,0)))+OFFSET($G$6,EM$5,0)^2)</f>
        <v>#NUM!</v>
      </c>
      <c r="EX15" s="10" t="e">
        <f t="array" aca="1" ref="EX15" ca="1">-SUM(($EF15:$EI15)*($EB15:$EE15-OFFSET($C$6:$F$6,EN$5,0)))-SQRT(SUM(($EF15:$EI15)*($EB15:$EE15-OFFSET($C$6:$F$6,EN$5,0)))^2-SUM(($EB15:$EE15-OFFSET($C$6:$F$6,EN$5,0))*($EB15:$EE15-OFFSET($C$6:$F$6,EN$5,0)))+OFFSET($G$6,EN$5,0)^2)</f>
        <v>#NUM!</v>
      </c>
      <c r="EY15" s="10" t="e">
        <f t="array" aca="1" ref="EY15" ca="1">-SUM(($EF15:$EI15)*($EB15:$EE15-OFFSET($C$6:$F$6,EO$5,0)))-SQRT(SUM(($EF15:$EI15)*($EB15:$EE15-OFFSET($C$6:$F$6,EO$5,0)))^2-SUM(($EB15:$EE15-OFFSET($C$6:$F$6,EO$5,0))*($EB15:$EE15-OFFSET($C$6:$F$6,EO$5,0)))+OFFSET($G$6,EO$5,0)^2)</f>
        <v>#NUM!</v>
      </c>
      <c r="EZ15" s="10" t="e">
        <f t="array" aca="1" ref="EZ15" ca="1">-SUM(($EF15:$EI15)*($EB15:$EE15-OFFSET($C$6:$F$6,EP$5,0)))-SQRT(SUM(($EF15:$EI15)*($EB15:$EE15-OFFSET($C$6:$F$6,EP$5,0)))^2-SUM(($EB15:$EE15-OFFSET($C$6:$F$6,EP$5,0))*($EB15:$EE15-OFFSET($C$6:$F$6,EP$5,0)))+OFFSET($G$6,EP$5,0)^2)</f>
        <v>#NUM!</v>
      </c>
      <c r="FA15" s="10" t="e">
        <f t="array" aca="1" ref="FA15" ca="1">-SUM(($EF15:$EI15)*($EB15:$EE15-OFFSET($C$6:$F$6,EQ$5,0)))-SQRT(SUM(($EF15:$EI15)*($EB15:$EE15-OFFSET($C$6:$F$6,EQ$5,0)))^2-SUM(($EB15:$EE15-OFFSET($C$6:$F$6,EQ$5,0))*($EB15:$EE15-OFFSET($C$6:$F$6,EQ$5,0)))+OFFSET($G$6,EQ$5,0)^2)</f>
        <v>#NUM!</v>
      </c>
      <c r="FB15" s="10" t="e">
        <f t="array" aca="1" ref="FB15" ca="1">-SUM(($EF15:$EI15)*($EB15:$EE15-OFFSET($C$6:$F$6,ER$5,0)))-SQRT(SUM(($EF15:$EI15)*($EB15:$EE15-OFFSET($C$6:$F$6,ER$5,0)))^2-SUM(($EB15:$EE15-OFFSET($C$6:$F$6,ER$5,0))*($EB15:$EE15-OFFSET($C$6:$F$6,ER$5,0)))+OFFSET($G$6,ER$5,0)^2)</f>
        <v>#NUM!</v>
      </c>
      <c r="FC15" s="10" t="e">
        <f t="array" aca="1" ref="FC15" ca="1">-SUM(($EF15:$EI15)*($EB15:$EE15-OFFSET($C$6:$F$6,ES$5,0)))-SQRT(SUM(($EF15:$EI15)*($EB15:$EE15-OFFSET($C$6:$F$6,ES$5,0)))^2-SUM(($EB15:$EE15-OFFSET($C$6:$F$6,ES$5,0))*($EB15:$EE15-OFFSET($C$6:$F$6,ES$5,0)))+OFFSET($G$6,ES$5,0)^2)</f>
        <v>#NUM!</v>
      </c>
      <c r="FD15" s="10" t="e">
        <f t="array" aca="1" ref="FD15" ca="1">-SUM(($EF15:$EI15)*($EB15:$EE15-OFFSET($C$6:$F$6,ET$5,0)))-SQRT(SUM(($EF15:$EI15)*($EB15:$EE15-OFFSET($C$6:$F$6,ET$5,0)))^2-SUM(($EB15:$EE15-OFFSET($C$6:$F$6,ET$5,0))*($EB15:$EE15-OFFSET($C$6:$F$6,ET$5,0)))+OFFSET($G$6,ET$5,0)^2)</f>
        <v>#NUM!</v>
      </c>
      <c r="FF15" s="10">
        <f t="array" aca="1" ref="FF15" ca="1">MIN(IF(IF(ISERROR(EK15:FD15),-1,EK15:FD15)&lt;0,9999999999,EK15:FD15))</f>
        <v>9999999999</v>
      </c>
      <c r="FH15">
        <f t="shared" ca="1" si="30"/>
        <v>-1</v>
      </c>
      <c r="FJ15" s="10">
        <f t="shared" ca="1" si="31"/>
        <v>-3577680253.0900865</v>
      </c>
      <c r="FK15" s="10">
        <f t="shared" ca="1" si="32"/>
        <v>2965398179.2380648</v>
      </c>
      <c r="FL15" s="10">
        <f t="shared" ca="1" si="33"/>
        <v>8854751123.2695427</v>
      </c>
      <c r="FM15" s="10">
        <f t="shared" ca="1" si="34"/>
        <v>1</v>
      </c>
      <c r="FN15" s="14">
        <f t="shared" ca="1" si="35"/>
        <v>0.35776802514707812</v>
      </c>
      <c r="FO15" s="14">
        <f t="shared" ca="1" si="0"/>
        <v>-0.29653981805772045</v>
      </c>
      <c r="FP15" s="14">
        <f t="shared" ca="1" si="1"/>
        <v>-0.88547511342140695</v>
      </c>
      <c r="FQ15" s="14">
        <f t="shared" ca="1" si="2"/>
        <v>0</v>
      </c>
      <c r="FR15" s="10" t="e">
        <f t="array" aca="1" ref="FR15" ca="1">(FJ15-OFFSET(C$6,$FH15,0))/SQRT(SUM(($FJ15:$FM15-OFFSET($C$6:$F$6,$FH15,0))*($FJ15:$FM15-OFFSET($C$6:$F$6,$FH15,0))))</f>
        <v>#VALUE!</v>
      </c>
      <c r="FS15" s="10" t="e">
        <f t="array" aca="1" ref="FS15" ca="1">(FK15-OFFSET(D$6,$FH15,0))/SQRT(SUM(($FJ15:$FM15-OFFSET($C$6:$F$6,$FH15,0))*($FJ15:$FM15-OFFSET($C$6:$F$6,$FH15,0))))</f>
        <v>#VALUE!</v>
      </c>
      <c r="FT15" s="10" t="e">
        <f t="array" aca="1" ref="FT15" ca="1">(FL15-OFFSET(E$6,$FH15,0))/SQRT(SUM(($FJ15:$FM15-OFFSET($C$6:$F$6,$FH15,0))*($FJ15:$FM15-OFFSET($C$6:$F$6,$FH15,0))))</f>
        <v>#VALUE!</v>
      </c>
      <c r="FU15" s="10" t="e">
        <f t="array" aca="1" ref="FU15" ca="1">(FM15-OFFSET(F$6,$FH15,0))/SQRT(SUM(($FJ15:$FM15-OFFSET($C$6:$F$6,$FH15,0))*($FJ15:$FM15-OFFSET($C$6:$F$6,$FH15,0))))</f>
        <v>#VALUE!</v>
      </c>
      <c r="FV15" s="14">
        <f t="array" aca="1" ref="FV15" ca="1">-(FJ15-O$6)/SQRT(SUM(($O$6:$R$6-$FJ15:$FM15)*($O$6:$R$6-$FJ15:$FM15)))</f>
        <v>0.35776802456650175</v>
      </c>
      <c r="FW15" s="14">
        <f t="array" aca="1" ref="FW15" ca="1">-(FK15-P$6)/SQRT(SUM(($O$6:$R$6-$FJ15:$FM15)*($O$6:$R$6-$FJ15:$FM15)))</f>
        <v>-0.29653981713723238</v>
      </c>
      <c r="FX15" s="14">
        <f t="array" aca="1" ref="FX15" ca="1">-(FL15-Q$6)/SQRT(SUM(($O$6:$R$6-$FJ15:$FM15)*($O$6:$R$6-$FJ15:$FM15)))</f>
        <v>-0.88547511396424916</v>
      </c>
      <c r="FY15" s="14">
        <f t="array" aca="1" ref="FY15" ca="1">-(FM15-R$6)/SQRT(SUM(($O$6:$R$6-$FJ15:$FM15)*($O$6:$R$6-$FJ15:$FM15)))</f>
        <v>0</v>
      </c>
      <c r="FZ15" s="14" t="e">
        <f t="array" aca="1" ref="FZ15:GC15" ca="1">-FN15:FQ15-FR15:FU15*2*SUM(-FN15:FQ15*FR15:FU15)</f>
        <v>#VALUE!</v>
      </c>
      <c r="GA15" s="14" t="e">
        <f ca="1"/>
        <v>#VALUE!</v>
      </c>
      <c r="GB15" s="14" t="e">
        <f ca="1"/>
        <v>#VALUE!</v>
      </c>
      <c r="GC15" s="14" t="e">
        <f ca="1"/>
        <v>#VALUE!</v>
      </c>
      <c r="GD15" s="14" t="e">
        <f t="array" aca="1" ref="GD15:GG15" ca="1">-FV15:FY15-FR15:FU15*2*SUM(-FV15:FY15*FR15:FU15)</f>
        <v>#VALUE!</v>
      </c>
      <c r="GE15" s="14" t="e">
        <f ca="1"/>
        <v>#VALUE!</v>
      </c>
      <c r="GF15" s="14" t="e">
        <f ca="1"/>
        <v>#VALUE!</v>
      </c>
      <c r="GG15" s="14" t="e">
        <f ca="1"/>
        <v>#VALUE!</v>
      </c>
      <c r="GH15" t="e">
        <f t="array" aca="1" ref="GH15" ca="1">SUM(FV15:FY15*FR15:FU15)</f>
        <v>#VALUE!</v>
      </c>
      <c r="GI15" t="e">
        <f t="array" aca="1" ref="GI15" ca="1">SUM(GD15:GG15*FN15:FQ15)</f>
        <v>#VALUE!</v>
      </c>
      <c r="GJ15" s="11" t="e">
        <f t="shared" ca="1" si="36"/>
        <v>#VALUE!</v>
      </c>
      <c r="GK15" s="11" t="e">
        <f t="shared" ca="1" si="37"/>
        <v>#VALUE!</v>
      </c>
      <c r="GL15" s="11" t="e">
        <f t="shared" ca="1" si="38"/>
        <v>#VALUE!</v>
      </c>
      <c r="GM15" s="11">
        <f t="shared" ca="1" si="39"/>
        <v>0</v>
      </c>
      <c r="GO15" s="10" t="e">
        <f t="array" aca="1" ref="GO15:GR15" ca="1">FJ15:FM15+FR15:FU15*0.001</f>
        <v>#VALUE!</v>
      </c>
      <c r="GP15" s="10" t="e">
        <f ca="1"/>
        <v>#VALUE!</v>
      </c>
      <c r="GQ15" s="10" t="e">
        <f ca="1"/>
        <v>#VALUE!</v>
      </c>
      <c r="GR15" s="10" t="e">
        <f ca="1"/>
        <v>#VALUE!</v>
      </c>
      <c r="GS15" s="10">
        <f t="shared" ca="1" si="40"/>
        <v>0.35776802456650175</v>
      </c>
      <c r="GT15" s="10">
        <f t="shared" ca="1" si="3"/>
        <v>-0.29653981713723238</v>
      </c>
      <c r="GU15" s="10">
        <f t="shared" ca="1" si="4"/>
        <v>-0.88547511396424916</v>
      </c>
      <c r="GV15" s="10">
        <f t="shared" ca="1" si="5"/>
        <v>0</v>
      </c>
      <c r="GX15" s="10" t="e">
        <f t="array" aca="1" ref="GX15" ca="1">-SUM(($GS15:$GV15)*($GO15:$GR15-OFFSET($C$6:$F$6,GX$5,0)))+SQRT(SUM(($GS15:$GV15)*($GO15:$GR15-OFFSET($C$6:$F$6,GX$5,0)))^2-SUM(($GO15:$GR15-OFFSET($C$6:$F$6,GX$5,0))*($GO15:$GR15-OFFSET($C$6:$F$6,GX$5,0)))+OFFSET($G$6,GX$5,0)^2)</f>
        <v>#VALUE!</v>
      </c>
      <c r="GY15" s="10" t="e">
        <f t="array" aca="1" ref="GY15" ca="1">-SUM(($GS15:$GV15)*($GO15:$GR15-OFFSET($C$6:$F$6,GY$5,0)))+SQRT(SUM(($GS15:$GV15)*($GO15:$GR15-OFFSET($C$6:$F$6,GY$5,0)))^2-SUM(($GO15:$GR15-OFFSET($C$6:$F$6,GY$5,0))*($GO15:$GR15-OFFSET($C$6:$F$6,GY$5,0)))+OFFSET($G$6,GY$5,0)^2)</f>
        <v>#VALUE!</v>
      </c>
      <c r="GZ15" s="10" t="e">
        <f t="array" aca="1" ref="GZ15" ca="1">-SUM(($GS15:$GV15)*($GO15:$GR15-OFFSET($C$6:$F$6,GZ$5,0)))+SQRT(SUM(($GS15:$GV15)*($GO15:$GR15-OFFSET($C$6:$F$6,GZ$5,0)))^2-SUM(($GO15:$GR15-OFFSET($C$6:$F$6,GZ$5,0))*($GO15:$GR15-OFFSET($C$6:$F$6,GZ$5,0)))+OFFSET($G$6,GZ$5,0)^2)</f>
        <v>#VALUE!</v>
      </c>
      <c r="HA15" s="10" t="e">
        <f t="array" aca="1" ref="HA15" ca="1">-SUM(($GS15:$GV15)*($GO15:$GR15-OFFSET($C$6:$F$6,HA$5,0)))+SQRT(SUM(($GS15:$GV15)*($GO15:$GR15-OFFSET($C$6:$F$6,HA$5,0)))^2-SUM(($GO15:$GR15-OFFSET($C$6:$F$6,HA$5,0))*($GO15:$GR15-OFFSET($C$6:$F$6,HA$5,0)))+OFFSET($G$6,HA$5,0)^2)</f>
        <v>#VALUE!</v>
      </c>
      <c r="HB15" s="10" t="e">
        <f t="array" aca="1" ref="HB15" ca="1">-SUM(($GS15:$GV15)*($GO15:$GR15-OFFSET($C$6:$F$6,HB$5,0)))+SQRT(SUM(($GS15:$GV15)*($GO15:$GR15-OFFSET($C$6:$F$6,HB$5,0)))^2-SUM(($GO15:$GR15-OFFSET($C$6:$F$6,HB$5,0))*($GO15:$GR15-OFFSET($C$6:$F$6,HB$5,0)))+OFFSET($G$6,HB$5,0)^2)</f>
        <v>#VALUE!</v>
      </c>
      <c r="HC15" s="10" t="e">
        <f t="array" aca="1" ref="HC15" ca="1">-SUM(($GS15:$GV15)*($GO15:$GR15-OFFSET($C$6:$F$6,HC$5,0)))+SQRT(SUM(($GS15:$GV15)*($GO15:$GR15-OFFSET($C$6:$F$6,HC$5,0)))^2-SUM(($GO15:$GR15-OFFSET($C$6:$F$6,HC$5,0))*($GO15:$GR15-OFFSET($C$6:$F$6,HC$5,0)))+OFFSET($G$6,HC$5,0)^2)</f>
        <v>#VALUE!</v>
      </c>
      <c r="HD15" s="10" t="e">
        <f t="array" aca="1" ref="HD15" ca="1">-SUM(($GS15:$GV15)*($GO15:$GR15-OFFSET($C$6:$F$6,HD$5,0)))+SQRT(SUM(($GS15:$GV15)*($GO15:$GR15-OFFSET($C$6:$F$6,HD$5,0)))^2-SUM(($GO15:$GR15-OFFSET($C$6:$F$6,HD$5,0))*($GO15:$GR15-OFFSET($C$6:$F$6,HD$5,0)))+OFFSET($G$6,HD$5,0)^2)</f>
        <v>#VALUE!</v>
      </c>
      <c r="HE15" s="10" t="e">
        <f t="array" aca="1" ref="HE15" ca="1">-SUM(($GS15:$GV15)*($GO15:$GR15-OFFSET($C$6:$F$6,HE$5,0)))+SQRT(SUM(($GS15:$GV15)*($GO15:$GR15-OFFSET($C$6:$F$6,HE$5,0)))^2-SUM(($GO15:$GR15-OFFSET($C$6:$F$6,HE$5,0))*($GO15:$GR15-OFFSET($C$6:$F$6,HE$5,0)))+OFFSET($G$6,HE$5,0)^2)</f>
        <v>#VALUE!</v>
      </c>
      <c r="HF15" s="10" t="e">
        <f t="array" aca="1" ref="HF15" ca="1">-SUM(($GS15:$GV15)*($GO15:$GR15-OFFSET($C$6:$F$6,HF$5,0)))+SQRT(SUM(($GS15:$GV15)*($GO15:$GR15-OFFSET($C$6:$F$6,HF$5,0)))^2-SUM(($GO15:$GR15-OFFSET($C$6:$F$6,HF$5,0))*($GO15:$GR15-OFFSET($C$6:$F$6,HF$5,0)))+OFFSET($G$6,HF$5,0)^2)</f>
        <v>#VALUE!</v>
      </c>
      <c r="HG15" s="10" t="e">
        <f t="array" aca="1" ref="HG15" ca="1">-SUM(($GS15:$GV15)*($GO15:$GR15-OFFSET($C$6:$F$6,HG$5,0)))+SQRT(SUM(($GS15:$GV15)*($GO15:$GR15-OFFSET($C$6:$F$6,HG$5,0)))^2-SUM(($GO15:$GR15-OFFSET($C$6:$F$6,HG$5,0))*($GO15:$GR15-OFFSET($C$6:$F$6,HG$5,0)))+OFFSET($G$6,HG$5,0)^2)</f>
        <v>#VALUE!</v>
      </c>
      <c r="HH15" s="10" t="e">
        <f t="array" aca="1" ref="HH15" ca="1">-SUM(($GS15:$GV15)*($GO15:$GR15-OFFSET($C$6:$F$6,GX$5,0)))-SQRT(SUM(($GS15:$GV15)*($GO15:$GR15-OFFSET($C$6:$F$6,GX$5,0)))^2-SUM(($GO15:$GR15-OFFSET($C$6:$F$6,GX$5,0))*($GO15:$GR15-OFFSET($C$6:$F$6,GX$5,0)))+OFFSET($G$6,GX$5,0)^2)</f>
        <v>#VALUE!</v>
      </c>
      <c r="HI15" s="10" t="e">
        <f t="array" aca="1" ref="HI15" ca="1">-SUM(($GS15:$GV15)*($GO15:$GR15-OFFSET($C$6:$F$6,GY$5,0)))-SQRT(SUM(($GS15:$GV15)*($GO15:$GR15-OFFSET($C$6:$F$6,GY$5,0)))^2-SUM(($GO15:$GR15-OFFSET($C$6:$F$6,GY$5,0))*($GO15:$GR15-OFFSET($C$6:$F$6,GY$5,0)))+OFFSET($G$6,GY$5,0)^2)</f>
        <v>#VALUE!</v>
      </c>
      <c r="HJ15" s="10" t="e">
        <f t="array" aca="1" ref="HJ15" ca="1">-SUM(($GS15:$GV15)*($GO15:$GR15-OFFSET($C$6:$F$6,GZ$5,0)))-SQRT(SUM(($GS15:$GV15)*($GO15:$GR15-OFFSET($C$6:$F$6,GZ$5,0)))^2-SUM(($GO15:$GR15-OFFSET($C$6:$F$6,GZ$5,0))*($GO15:$GR15-OFFSET($C$6:$F$6,GZ$5,0)))+OFFSET($G$6,GZ$5,0)^2)</f>
        <v>#VALUE!</v>
      </c>
      <c r="HK15" s="10" t="e">
        <f t="array" aca="1" ref="HK15" ca="1">-SUM(($GS15:$GV15)*($GO15:$GR15-OFFSET($C$6:$F$6,HA$5,0)))-SQRT(SUM(($GS15:$GV15)*($GO15:$GR15-OFFSET($C$6:$F$6,HA$5,0)))^2-SUM(($GO15:$GR15-OFFSET($C$6:$F$6,HA$5,0))*($GO15:$GR15-OFFSET($C$6:$F$6,HA$5,0)))+OFFSET($G$6,HA$5,0)^2)</f>
        <v>#VALUE!</v>
      </c>
      <c r="HL15" s="10" t="e">
        <f t="array" aca="1" ref="HL15" ca="1">-SUM(($GS15:$GV15)*($GO15:$GR15-OFFSET($C$6:$F$6,HB$5,0)))-SQRT(SUM(($GS15:$GV15)*($GO15:$GR15-OFFSET($C$6:$F$6,HB$5,0)))^2-SUM(($GO15:$GR15-OFFSET($C$6:$F$6,HB$5,0))*($GO15:$GR15-OFFSET($C$6:$F$6,HB$5,0)))+OFFSET($G$6,HB$5,0)^2)</f>
        <v>#VALUE!</v>
      </c>
      <c r="HM15" s="10" t="e">
        <f t="array" aca="1" ref="HM15" ca="1">-SUM(($GS15:$GV15)*($GO15:$GR15-OFFSET($C$6:$F$6,HC$5,0)))-SQRT(SUM(($GS15:$GV15)*($GO15:$GR15-OFFSET($C$6:$F$6,HC$5,0)))^2-SUM(($GO15:$GR15-OFFSET($C$6:$F$6,HC$5,0))*($GO15:$GR15-OFFSET($C$6:$F$6,HC$5,0)))+OFFSET($G$6,HC$5,0)^2)</f>
        <v>#VALUE!</v>
      </c>
      <c r="HN15" s="10" t="e">
        <f t="array" aca="1" ref="HN15" ca="1">-SUM(($GS15:$GV15)*($GO15:$GR15-OFFSET($C$6:$F$6,HD$5,0)))-SQRT(SUM(($GS15:$GV15)*($GO15:$GR15-OFFSET($C$6:$F$6,HD$5,0)))^2-SUM(($GO15:$GR15-OFFSET($C$6:$F$6,HD$5,0))*($GO15:$GR15-OFFSET($C$6:$F$6,HD$5,0)))+OFFSET($G$6,HD$5,0)^2)</f>
        <v>#VALUE!</v>
      </c>
      <c r="HO15" s="10" t="e">
        <f t="array" aca="1" ref="HO15" ca="1">-SUM(($GS15:$GV15)*($GO15:$GR15-OFFSET($C$6:$F$6,HE$5,0)))-SQRT(SUM(($GS15:$GV15)*($GO15:$GR15-OFFSET($C$6:$F$6,HE$5,0)))^2-SUM(($GO15:$GR15-OFFSET($C$6:$F$6,HE$5,0))*($GO15:$GR15-OFFSET($C$6:$F$6,HE$5,0)))+OFFSET($G$6,HE$5,0)^2)</f>
        <v>#VALUE!</v>
      </c>
      <c r="HP15" s="10" t="e">
        <f t="array" aca="1" ref="HP15" ca="1">-SUM(($GS15:$GV15)*($GO15:$GR15-OFFSET($C$6:$F$6,HF$5,0)))-SQRT(SUM(($GS15:$GV15)*($GO15:$GR15-OFFSET($C$6:$F$6,HF$5,0)))^2-SUM(($GO15:$GR15-OFFSET($C$6:$F$6,HF$5,0))*($GO15:$GR15-OFFSET($C$6:$F$6,HF$5,0)))+OFFSET($G$6,HF$5,0)^2)</f>
        <v>#VALUE!</v>
      </c>
      <c r="HQ15" s="10" t="e">
        <f t="array" aca="1" ref="HQ15" ca="1">-SUM(($GS15:$GV15)*($GO15:$GR15-OFFSET($C$6:$F$6,HG$5,0)))-SQRT(SUM(($GS15:$GV15)*($GO15:$GR15-OFFSET($C$6:$F$6,HG$5,0)))^2-SUM(($GO15:$GR15-OFFSET($C$6:$F$6,HG$5,0))*($GO15:$GR15-OFFSET($C$6:$F$6,HG$5,0)))+OFFSET($G$6,HG$5,0)^2)</f>
        <v>#VALUE!</v>
      </c>
      <c r="HS15" s="10">
        <f t="array" aca="1" ref="HS15" ca="1">MIN(IF(IF(ISERROR(GX15:HQ15),-1,GX15:HQ15)&lt;0,9999999999,GX15:HQ15))</f>
        <v>9999999999</v>
      </c>
      <c r="HU15" s="11">
        <f t="shared" ca="1" si="41"/>
        <v>0</v>
      </c>
      <c r="HW15" s="11">
        <f t="shared" ca="1" si="42"/>
        <v>0.72930406217399479</v>
      </c>
    </row>
    <row r="16" spans="2:231" x14ac:dyDescent="0.25">
      <c r="X16" s="11">
        <f t="shared" si="6"/>
        <v>-1.5541579315164222</v>
      </c>
      <c r="Y16" s="11">
        <f t="shared" si="7"/>
        <v>-1</v>
      </c>
      <c r="Z16" s="11">
        <v>4</v>
      </c>
      <c r="AB16" s="10">
        <f t="array" aca="1" ref="AB16:AE16" ca="1">TRANSPOSE(Screen!$GL$98:$GL$101)</f>
        <v>0</v>
      </c>
      <c r="AC16" s="10">
        <f ca="1"/>
        <v>0.50000000000000033</v>
      </c>
      <c r="AD16" s="10">
        <f ca="1"/>
        <v>-15</v>
      </c>
      <c r="AE16" s="10">
        <f ca="1"/>
        <v>1</v>
      </c>
      <c r="AF16" s="10">
        <f t="array" aca="1" ref="AF16:AH16" ca="1">TRANSPOSE(MMULT(Screen!$GI$98:$GK$100,TRANSPOSE(X16:Z16)))</f>
        <v>-1.5541579315164222</v>
      </c>
      <c r="AG16" s="10">
        <f ca="1"/>
        <v>-1.2380565658529825</v>
      </c>
      <c r="AH16" s="10">
        <f ca="1"/>
        <v>3.9400359935205556</v>
      </c>
      <c r="AI16" s="10">
        <v>1</v>
      </c>
      <c r="AJ16" s="10">
        <f t="array" aca="1" ref="AJ16" ca="1">AF16/SQRT(SUM(($AF16:$AH16)*($AF16:$AH16)))</f>
        <v>-0.35219974497281009</v>
      </c>
      <c r="AK16" s="10">
        <f t="array" aca="1" ref="AK16" ca="1">AG16/SQRT(SUM(($AF16:$AH16)*($AF16:$AH16)))</f>
        <v>-0.28056557053367004</v>
      </c>
      <c r="AL16" s="10">
        <f t="array" aca="1" ref="AL16" ca="1">AH16/SQRT(SUM(($AF16:$AH16)*($AF16:$AH16)))</f>
        <v>0.89288201923445842</v>
      </c>
      <c r="AM16" s="10">
        <v>0</v>
      </c>
      <c r="AO16" s="10">
        <f t="array" aca="1" ref="AO16" ca="1">-SUM(($AJ16:$AM16)*($AB16:$AE16-OFFSET($C$6:$F$6,AO$5,0)))+SQRT(SUM(($AJ16:$AM16)*($AB16:$AE16-OFFSET($C$6:$F$6,AO$5,0)))^2-SUM(($AB16:$AE16-OFFSET($C$6:$F$6,AO$5,0))*($AB16:$AE16-OFFSET($C$6:$F$6,AO$5,0)))+OFFSET($G$6,AO$5,0)^2)</f>
        <v>582.66453715091598</v>
      </c>
      <c r="AP16" s="10" t="e">
        <f t="array" aca="1" ref="AP16" ca="1">-SUM(($AJ16:$AM16)*($AB16:$AE16-OFFSET($C$6:$F$6,AP$5,0)))+SQRT(SUM(($AJ16:$AM16)*($AB16:$AE16-OFFSET($C$6:$F$6,AP$5,0)))^2-SUM(($AB16:$AE16-OFFSET($C$6:$F$6,AP$5,0))*($AB16:$AE16-OFFSET($C$6:$F$6,AP$5,0)))+OFFSET($G$6,AP$5,0)^2)</f>
        <v>#NUM!</v>
      </c>
      <c r="AQ16" s="10" t="e">
        <f t="array" aca="1" ref="AQ16" ca="1">-SUM(($AJ16:$AM16)*($AB16:$AE16-OFFSET($C$6:$F$6,AQ$5,0)))+SQRT(SUM(($AJ16:$AM16)*($AB16:$AE16-OFFSET($C$6:$F$6,AQ$5,0)))^2-SUM(($AB16:$AE16-OFFSET($C$6:$F$6,AQ$5,0))*($AB16:$AE16-OFFSET($C$6:$F$6,AQ$5,0)))+OFFSET($G$6,AQ$5,0)^2)</f>
        <v>#NUM!</v>
      </c>
      <c r="AR16" s="10" t="e">
        <f t="array" aca="1" ref="AR16" ca="1">-SUM(($AJ16:$AM16)*($AB16:$AE16-OFFSET($C$6:$F$6,AR$5,0)))+SQRT(SUM(($AJ16:$AM16)*($AB16:$AE16-OFFSET($C$6:$F$6,AR$5,0)))^2-SUM(($AB16:$AE16-OFFSET($C$6:$F$6,AR$5,0))*($AB16:$AE16-OFFSET($C$6:$F$6,AR$5,0)))+OFFSET($G$6,AR$5,0)^2)</f>
        <v>#NUM!</v>
      </c>
      <c r="AS16" s="10" t="e">
        <f t="array" aca="1" ref="AS16" ca="1">-SUM(($AJ16:$AM16)*($AB16:$AE16-OFFSET($C$6:$F$6,AS$5,0)))+SQRT(SUM(($AJ16:$AM16)*($AB16:$AE16-OFFSET($C$6:$F$6,AS$5,0)))^2-SUM(($AB16:$AE16-OFFSET($C$6:$F$6,AS$5,0))*($AB16:$AE16-OFFSET($C$6:$F$6,AS$5,0)))+OFFSET($G$6,AS$5,0)^2)</f>
        <v>#NUM!</v>
      </c>
      <c r="AT16" s="10" t="e">
        <f t="array" aca="1" ref="AT16" ca="1">-SUM(($AJ16:$AM16)*($AB16:$AE16-OFFSET($C$6:$F$6,AT$5,0)))+SQRT(SUM(($AJ16:$AM16)*($AB16:$AE16-OFFSET($C$6:$F$6,AT$5,0)))^2-SUM(($AB16:$AE16-OFFSET($C$6:$F$6,AT$5,0))*($AB16:$AE16-OFFSET($C$6:$F$6,AT$5,0)))+OFFSET($G$6,AT$5,0)^2)</f>
        <v>#NUM!</v>
      </c>
      <c r="AU16" s="10" t="e">
        <f t="array" aca="1" ref="AU16" ca="1">-SUM(($AJ16:$AM16)*($AB16:$AE16-OFFSET($C$6:$F$6,AU$5,0)))+SQRT(SUM(($AJ16:$AM16)*($AB16:$AE16-OFFSET($C$6:$F$6,AU$5,0)))^2-SUM(($AB16:$AE16-OFFSET($C$6:$F$6,AU$5,0))*($AB16:$AE16-OFFSET($C$6:$F$6,AU$5,0)))+OFFSET($G$6,AU$5,0)^2)</f>
        <v>#NUM!</v>
      </c>
      <c r="AV16" s="10" t="e">
        <f t="array" aca="1" ref="AV16" ca="1">-SUM(($AJ16:$AM16)*($AB16:$AE16-OFFSET($C$6:$F$6,AV$5,0)))+SQRT(SUM(($AJ16:$AM16)*($AB16:$AE16-OFFSET($C$6:$F$6,AV$5,0)))^2-SUM(($AB16:$AE16-OFFSET($C$6:$F$6,AV$5,0))*($AB16:$AE16-OFFSET($C$6:$F$6,AV$5,0)))+OFFSET($G$6,AV$5,0)^2)</f>
        <v>#NUM!</v>
      </c>
      <c r="AW16" s="10" t="e">
        <f t="array" aca="1" ref="AW16" ca="1">-SUM(($AJ16:$AM16)*($AB16:$AE16-OFFSET($C$6:$F$6,AW$5,0)))+SQRT(SUM(($AJ16:$AM16)*($AB16:$AE16-OFFSET($C$6:$F$6,AW$5,0)))^2-SUM(($AB16:$AE16-OFFSET($C$6:$F$6,AW$5,0))*($AB16:$AE16-OFFSET($C$6:$F$6,AW$5,0)))+OFFSET($G$6,AW$5,0)^2)</f>
        <v>#NUM!</v>
      </c>
      <c r="AX16" s="10" t="e">
        <f t="array" aca="1" ref="AX16" ca="1">-SUM(($AJ16:$AM16)*($AB16:$AE16-OFFSET($C$6:$F$6,AX$5,0)))+SQRT(SUM(($AJ16:$AM16)*($AB16:$AE16-OFFSET($C$6:$F$6,AX$5,0)))^2-SUM(($AB16:$AE16-OFFSET($C$6:$F$6,AX$5,0))*($AB16:$AE16-OFFSET($C$6:$F$6,AX$5,0)))+OFFSET($G$6,AX$5,0)^2)</f>
        <v>#NUM!</v>
      </c>
      <c r="AY16" s="10">
        <f t="array" aca="1" ref="AY16" ca="1">-SUM(($AJ16:$AM16)*($AB16:$AE16-OFFSET($C$6:$F$6,AO$5,0)))-SQRT(SUM(($AJ16:$AM16)*($AB16:$AE16-OFFSET($C$6:$F$6,AO$5,0)))^2-SUM(($AB16:$AE16-OFFSET($C$6:$F$6,AO$5,0))*($AB16:$AE16-OFFSET($C$6:$F$6,AO$5,0)))+OFFSET($G$6,AO$5,0)^2)</f>
        <v>5.5336300639915521</v>
      </c>
      <c r="AZ16" s="10" t="e">
        <f t="array" aca="1" ref="AZ16" ca="1">-SUM(($AJ16:$AM16)*($AB16:$AE16-OFFSET($C$6:$F$6,AP$5,0)))-SQRT(SUM(($AJ16:$AM16)*($AB16:$AE16-OFFSET($C$6:$F$6,AP$5,0)))^2-SUM(($AB16:$AE16-OFFSET($C$6:$F$6,AP$5,0))*($AB16:$AE16-OFFSET($C$6:$F$6,AP$5,0)))+OFFSET($G$6,AP$5,0)^2)</f>
        <v>#NUM!</v>
      </c>
      <c r="BA16" s="10" t="e">
        <f t="array" aca="1" ref="BA16" ca="1">-SUM(($AJ16:$AM16)*($AB16:$AE16-OFFSET($C$6:$F$6,AQ$5,0)))-SQRT(SUM(($AJ16:$AM16)*($AB16:$AE16-OFFSET($C$6:$F$6,AQ$5,0)))^2-SUM(($AB16:$AE16-OFFSET($C$6:$F$6,AQ$5,0))*($AB16:$AE16-OFFSET($C$6:$F$6,AQ$5,0)))+OFFSET($G$6,AQ$5,0)^2)</f>
        <v>#NUM!</v>
      </c>
      <c r="BB16" s="10" t="e">
        <f t="array" aca="1" ref="BB16" ca="1">-SUM(($AJ16:$AM16)*($AB16:$AE16-OFFSET($C$6:$F$6,AR$5,0)))-SQRT(SUM(($AJ16:$AM16)*($AB16:$AE16-OFFSET($C$6:$F$6,AR$5,0)))^2-SUM(($AB16:$AE16-OFFSET($C$6:$F$6,AR$5,0))*($AB16:$AE16-OFFSET($C$6:$F$6,AR$5,0)))+OFFSET($G$6,AR$5,0)^2)</f>
        <v>#NUM!</v>
      </c>
      <c r="BC16" s="10" t="e">
        <f t="array" aca="1" ref="BC16" ca="1">-SUM(($AJ16:$AM16)*($AB16:$AE16-OFFSET($C$6:$F$6,AS$5,0)))-SQRT(SUM(($AJ16:$AM16)*($AB16:$AE16-OFFSET($C$6:$F$6,AS$5,0)))^2-SUM(($AB16:$AE16-OFFSET($C$6:$F$6,AS$5,0))*($AB16:$AE16-OFFSET($C$6:$F$6,AS$5,0)))+OFFSET($G$6,AS$5,0)^2)</f>
        <v>#NUM!</v>
      </c>
      <c r="BD16" s="10" t="e">
        <f t="array" aca="1" ref="BD16" ca="1">-SUM(($AJ16:$AM16)*($AB16:$AE16-OFFSET($C$6:$F$6,AT$5,0)))-SQRT(SUM(($AJ16:$AM16)*($AB16:$AE16-OFFSET($C$6:$F$6,AT$5,0)))^2-SUM(($AB16:$AE16-OFFSET($C$6:$F$6,AT$5,0))*($AB16:$AE16-OFFSET($C$6:$F$6,AT$5,0)))+OFFSET($G$6,AT$5,0)^2)</f>
        <v>#NUM!</v>
      </c>
      <c r="BE16" s="10" t="e">
        <f t="array" aca="1" ref="BE16" ca="1">-SUM(($AJ16:$AM16)*($AB16:$AE16-OFFSET($C$6:$F$6,AU$5,0)))-SQRT(SUM(($AJ16:$AM16)*($AB16:$AE16-OFFSET($C$6:$F$6,AU$5,0)))^2-SUM(($AB16:$AE16-OFFSET($C$6:$F$6,AU$5,0))*($AB16:$AE16-OFFSET($C$6:$F$6,AU$5,0)))+OFFSET($G$6,AU$5,0)^2)</f>
        <v>#NUM!</v>
      </c>
      <c r="BF16" s="10" t="e">
        <f t="array" aca="1" ref="BF16" ca="1">-SUM(($AJ16:$AM16)*($AB16:$AE16-OFFSET($C$6:$F$6,AV$5,0)))-SQRT(SUM(($AJ16:$AM16)*($AB16:$AE16-OFFSET($C$6:$F$6,AV$5,0)))^2-SUM(($AB16:$AE16-OFFSET($C$6:$F$6,AV$5,0))*($AB16:$AE16-OFFSET($C$6:$F$6,AV$5,0)))+OFFSET($G$6,AV$5,0)^2)</f>
        <v>#NUM!</v>
      </c>
      <c r="BG16" s="10" t="e">
        <f t="array" aca="1" ref="BG16" ca="1">-SUM(($AJ16:$AM16)*($AB16:$AE16-OFFSET($C$6:$F$6,AW$5,0)))-SQRT(SUM(($AJ16:$AM16)*($AB16:$AE16-OFFSET($C$6:$F$6,AW$5,0)))^2-SUM(($AB16:$AE16-OFFSET($C$6:$F$6,AW$5,0))*($AB16:$AE16-OFFSET($C$6:$F$6,AW$5,0)))+OFFSET($G$6,AW$5,0)^2)</f>
        <v>#NUM!</v>
      </c>
      <c r="BH16" s="10" t="e">
        <f t="array" aca="1" ref="BH16" ca="1">-SUM(($AJ16:$AM16)*($AB16:$AE16-OFFSET($C$6:$F$6,AX$5,0)))-SQRT(SUM(($AJ16:$AM16)*($AB16:$AE16-OFFSET($C$6:$F$6,AX$5,0)))^2-SUM(($AB16:$AE16-OFFSET($C$6:$F$6,AX$5,0))*($AB16:$AE16-OFFSET($C$6:$F$6,AX$5,0)))+OFFSET($G$6,AX$5,0)^2)</f>
        <v>#NUM!</v>
      </c>
      <c r="BJ16" s="10">
        <f t="array" aca="1" ref="BJ16" ca="1">MIN(IF(IF(ISERROR(AO16:BH16),-1,AO16:BH16)&lt;0,9999999999,AO16:BH16))</f>
        <v>5.5336300639915521</v>
      </c>
      <c r="BL16">
        <f t="shared" ca="1" si="8"/>
        <v>0</v>
      </c>
      <c r="BN16" s="10">
        <f t="shared" ca="1" si="9"/>
        <v>-1.9489430973116995</v>
      </c>
      <c r="BO16" s="10">
        <f t="shared" ca="1" si="10"/>
        <v>-1.0525460760260583</v>
      </c>
      <c r="BP16" s="10">
        <f t="shared" ca="1" si="11"/>
        <v>-10.059121214766718</v>
      </c>
      <c r="BQ16" s="10">
        <f t="shared" ca="1" si="12"/>
        <v>1</v>
      </c>
      <c r="BR16" s="14">
        <f t="shared" ca="1" si="13"/>
        <v>0.35219974497281009</v>
      </c>
      <c r="BS16" s="14">
        <f t="shared" ca="1" si="14"/>
        <v>0.28056557053367004</v>
      </c>
      <c r="BT16" s="14">
        <f t="shared" ca="1" si="15"/>
        <v>-0.89288201923445842</v>
      </c>
      <c r="BU16" s="14">
        <f t="shared" si="16"/>
        <v>0</v>
      </c>
      <c r="BV16" s="10">
        <f t="array" aca="1" ref="BV16" ca="1">(BN16-OFFSET(C$6,$BL16,0))/SQRT(SUM(($BN16:$BQ16-OFFSET($C$6:$F$6,$BL16,0))*($BN16:$BQ16-OFFSET($C$6:$F$6,$BL16,0))))</f>
        <v>-1.9508939913030026E-3</v>
      </c>
      <c r="BW16" s="10">
        <f t="array" aca="1" ref="BW16" ca="1">(BO16-OFFSET(D$6,$BL16,0))/SQRT(SUM(($BN16:$BQ16-OFFSET($C$6:$F$6,$BL16,0))*($BN16:$BQ16-OFFSET($C$6:$F$6,$BL16,0))))</f>
        <v>0.99994740132529925</v>
      </c>
      <c r="BX16" s="10">
        <f t="array" aca="1" ref="BX16" ca="1">(BP16-OFFSET(E$6,$BL16,0))/SQRT(SUM(($BN16:$BQ16-OFFSET($C$6:$F$6,$BL16,0))*($BN16:$BQ16-OFFSET($C$6:$F$6,$BL16,0))))</f>
        <v>-1.006919040517189E-2</v>
      </c>
      <c r="BY16" s="10">
        <f t="array" aca="1" ref="BY16" ca="1">(BQ16-OFFSET(F$6,$BL16,0))/SQRT(SUM(($BN16:$BQ16-OFFSET($C$6:$F$6,$BL16,0))*($BN16:$BQ16-OFFSET($C$6:$F$6,$BL16,0))))</f>
        <v>0</v>
      </c>
      <c r="BZ16" s="14">
        <f t="array" aca="1" ref="BZ16" ca="1">-(BN16-O$6)/SQRT(SUM(($O$6:$R$6-$BN16:$BQ16)*($O$6:$R$6-$BN16:$BQ16)))</f>
        <v>-0.58878026231778713</v>
      </c>
      <c r="CA16" s="14">
        <f t="array" aca="1" ref="CA16" ca="1">-(BO16-P$6)/SQRT(SUM(($O$6:$R$6-$BN16:$BQ16)*($O$6:$R$6-$BN16:$BQ16)))</f>
        <v>0.80828157800613076</v>
      </c>
      <c r="CB16" s="14">
        <f t="array" aca="1" ref="CB16" ca="1">-(BP16-Q$6)/SQRT(SUM(($O$6:$R$6-$BN16:$BQ16)*($O$6:$R$6-$BN16:$BQ16)))</f>
        <v>4.3235819544724706E-3</v>
      </c>
      <c r="CC16" s="14">
        <f t="array" aca="1" ref="CC16" ca="1">-(BQ16-R$6)/SQRT(SUM(($O$6:$R$6-$BN16:$BQ16)*($O$6:$R$6-$BN16:$BQ16)))</f>
        <v>0</v>
      </c>
      <c r="CD16" s="14">
        <f t="array" aca="1" ref="CD16:CG16" ca="1">-BR16:BU16-BV16:BY16*2*SUM(-BR16:BU16*BV16:BY16)</f>
        <v>-0.35332679323990834</v>
      </c>
      <c r="CE16" s="14">
        <f ca="1"/>
        <v>0.29711265846140789</v>
      </c>
      <c r="CF16" s="14">
        <f ca="1"/>
        <v>0.88706496118424039</v>
      </c>
      <c r="CG16" s="14">
        <f ca="1"/>
        <v>0</v>
      </c>
      <c r="CH16" s="14">
        <f t="array" aca="1" ref="CH16:CK16" ca="1">-BZ16:CC16-BV16:BY16*2*SUM(-BZ16:CC16*BV16:BY16)</f>
        <v>0.58562237293662533</v>
      </c>
      <c r="CI16" s="14">
        <f ca="1"/>
        <v>0.81032163387648981</v>
      </c>
      <c r="CJ16" s="14">
        <f ca="1"/>
        <v>-2.0622463184893181E-2</v>
      </c>
      <c r="CK16" s="14">
        <f ca="1"/>
        <v>0</v>
      </c>
      <c r="CL16">
        <f t="array" aca="1" ref="CL16" ca="1">SUM(BZ16:CC16*BV16:BY16)</f>
        <v>0.80934417637236422</v>
      </c>
      <c r="CM16">
        <f t="array" aca="1" ref="CM16" ca="1">SUM(CH16:CK16*BR16:BU16)</f>
        <v>0.45201782849310007</v>
      </c>
      <c r="CN16" s="11">
        <f t="shared" ca="1" si="17"/>
        <v>0</v>
      </c>
      <c r="CO16" s="11">
        <f t="shared" ca="1" si="18"/>
        <v>0.72840975873512781</v>
      </c>
      <c r="CP16" s="11">
        <f t="shared" ca="1" si="19"/>
        <v>9.6684182398488751E-70</v>
      </c>
      <c r="CQ16" s="11">
        <f t="shared" ca="1" si="20"/>
        <v>0.72840975873512781</v>
      </c>
      <c r="CS16" s="10">
        <f t="array" aca="1" ref="CS16:CV16" ca="1">BN16:BQ16+BV16:BY16*0.001</f>
        <v>-1.9489450482056907</v>
      </c>
      <c r="CT16" s="10">
        <f ca="1"/>
        <v>-1.051546128624733</v>
      </c>
      <c r="CU16" s="10">
        <f ca="1"/>
        <v>-10.059131283957123</v>
      </c>
      <c r="CV16" s="10">
        <f ca="1"/>
        <v>1</v>
      </c>
      <c r="CW16" s="10">
        <f t="shared" ca="1" si="21"/>
        <v>-0.58878026231778713</v>
      </c>
      <c r="CX16" s="10">
        <f t="shared" ca="1" si="22"/>
        <v>0.80828157800613076</v>
      </c>
      <c r="CY16" s="10">
        <f t="shared" ca="1" si="23"/>
        <v>4.3235819544724706E-3</v>
      </c>
      <c r="CZ16" s="10">
        <f t="shared" ca="1" si="24"/>
        <v>0</v>
      </c>
      <c r="DB16" s="10">
        <f t="array" aca="1" ref="DB16" ca="1">-SUM(($CW16:$CZ16)*($CS16:$CV16-OFFSET($C$6:$F$6,DB$5,0)))+SQRT(SUM(($CW16:$CZ16)*($CS16:$CV16-OFFSET($C$6:$F$6,DB$5,0)))^2-SUM(($CS16:$CV16-OFFSET($C$6:$F$6,DB$5,0))*($CS16:$CV16-OFFSET($C$6:$F$6,DB$5,0)))+OFFSET($G$6,DB$5,0)^2)</f>
        <v>-1.2355686155842704E-3</v>
      </c>
      <c r="DC16" s="10" t="e">
        <f t="array" aca="1" ref="DC16" ca="1">-SUM(($CW16:$CZ16)*($CS16:$CV16-OFFSET($C$6:$F$6,DC$5,0)))+SQRT(SUM(($CW16:$CZ16)*($CS16:$CV16-OFFSET($C$6:$F$6,DC$5,0)))^2-SUM(($CS16:$CV16-OFFSET($C$6:$F$6,DC$5,0))*($CS16:$CV16-OFFSET($C$6:$F$6,DC$5,0)))+OFFSET($G$6,DC$5,0)^2)</f>
        <v>#NUM!</v>
      </c>
      <c r="DD16" s="10" t="e">
        <f t="array" aca="1" ref="DD16" ca="1">-SUM(($CW16:$CZ16)*($CS16:$CV16-OFFSET($C$6:$F$6,DD$5,0)))+SQRT(SUM(($CW16:$CZ16)*($CS16:$CV16-OFFSET($C$6:$F$6,DD$5,0)))^2-SUM(($CS16:$CV16-OFFSET($C$6:$F$6,DD$5,0))*($CS16:$CV16-OFFSET($C$6:$F$6,DD$5,0)))+OFFSET($G$6,DD$5,0)^2)</f>
        <v>#NUM!</v>
      </c>
      <c r="DE16" s="10" t="e">
        <f t="array" aca="1" ref="DE16" ca="1">-SUM(($CW16:$CZ16)*($CS16:$CV16-OFFSET($C$6:$F$6,DE$5,0)))+SQRT(SUM(($CW16:$CZ16)*($CS16:$CV16-OFFSET($C$6:$F$6,DE$5,0)))^2-SUM(($CS16:$CV16-OFFSET($C$6:$F$6,DE$5,0))*($CS16:$CV16-OFFSET($C$6:$F$6,DE$5,0)))+OFFSET($G$6,DE$5,0)^2)</f>
        <v>#NUM!</v>
      </c>
      <c r="DF16" s="10" t="e">
        <f t="array" aca="1" ref="DF16" ca="1">-SUM(($CW16:$CZ16)*($CS16:$CV16-OFFSET($C$6:$F$6,DF$5,0)))+SQRT(SUM(($CW16:$CZ16)*($CS16:$CV16-OFFSET($C$6:$F$6,DF$5,0)))^2-SUM(($CS16:$CV16-OFFSET($C$6:$F$6,DF$5,0))*($CS16:$CV16-OFFSET($C$6:$F$6,DF$5,0)))+OFFSET($G$6,DF$5,0)^2)</f>
        <v>#NUM!</v>
      </c>
      <c r="DG16" s="10" t="e">
        <f t="array" aca="1" ref="DG16" ca="1">-SUM(($CW16:$CZ16)*($CS16:$CV16-OFFSET($C$6:$F$6,DG$5,0)))+SQRT(SUM(($CW16:$CZ16)*($CS16:$CV16-OFFSET($C$6:$F$6,DG$5,0)))^2-SUM(($CS16:$CV16-OFFSET($C$6:$F$6,DG$5,0))*($CS16:$CV16-OFFSET($C$6:$F$6,DG$5,0)))+OFFSET($G$6,DG$5,0)^2)</f>
        <v>#NUM!</v>
      </c>
      <c r="DH16" s="10" t="e">
        <f t="array" aca="1" ref="DH16" ca="1">-SUM(($CW16:$CZ16)*($CS16:$CV16-OFFSET($C$6:$F$6,DH$5,0)))+SQRT(SUM(($CW16:$CZ16)*($CS16:$CV16-OFFSET($C$6:$F$6,DH$5,0)))^2-SUM(($CS16:$CV16-OFFSET($C$6:$F$6,DH$5,0))*($CS16:$CV16-OFFSET($C$6:$F$6,DH$5,0)))+OFFSET($G$6,DH$5,0)^2)</f>
        <v>#NUM!</v>
      </c>
      <c r="DI16" s="10" t="e">
        <f t="array" aca="1" ref="DI16" ca="1">-SUM(($CW16:$CZ16)*($CS16:$CV16-OFFSET($C$6:$F$6,DI$5,0)))+SQRT(SUM(($CW16:$CZ16)*($CS16:$CV16-OFFSET($C$6:$F$6,DI$5,0)))^2-SUM(($CS16:$CV16-OFFSET($C$6:$F$6,DI$5,0))*($CS16:$CV16-OFFSET($C$6:$F$6,DI$5,0)))+OFFSET($G$6,DI$5,0)^2)</f>
        <v>#NUM!</v>
      </c>
      <c r="DJ16" s="10" t="e">
        <f t="array" aca="1" ref="DJ16" ca="1">-SUM(($CW16:$CZ16)*($CS16:$CV16-OFFSET($C$6:$F$6,DJ$5,0)))+SQRT(SUM(($CW16:$CZ16)*($CS16:$CV16-OFFSET($C$6:$F$6,DJ$5,0)))^2-SUM(($CS16:$CV16-OFFSET($C$6:$F$6,DJ$5,0))*($CS16:$CV16-OFFSET($C$6:$F$6,DJ$5,0)))+OFFSET($G$6,DJ$5,0)^2)</f>
        <v>#NUM!</v>
      </c>
      <c r="DK16" s="10" t="e">
        <f t="array" aca="1" ref="DK16" ca="1">-SUM(($CW16:$CZ16)*($CS16:$CV16-OFFSET($C$6:$F$6,DK$5,0)))+SQRT(SUM(($CW16:$CZ16)*($CS16:$CV16-OFFSET($C$6:$F$6,DK$5,0)))^2-SUM(($CS16:$CV16-OFFSET($C$6:$F$6,DK$5,0))*($CS16:$CV16-OFFSET($C$6:$F$6,DK$5,0)))+OFFSET($G$6,DK$5,0)^2)</f>
        <v>#NUM!</v>
      </c>
      <c r="DL16" s="10">
        <f t="array" aca="1" ref="DL16" ca="1">-SUM(($CW16:$CZ16)*($CS16:$CV16-OFFSET($C$6:$F$6,DB$5,0)))-SQRT(SUM(($CW16:$CZ16)*($CS16:$CV16-OFFSET($C$6:$F$6,DB$5,0)))^2-SUM(($CS16:$CV16-OFFSET($C$6:$F$6,DB$5,0))*($CS16:$CV16-OFFSET($C$6:$F$6,DB$5,0)))+OFFSET($G$6,DB$5,0)^2)</f>
        <v>-1617.0700475117208</v>
      </c>
      <c r="DM16" s="10" t="e">
        <f t="array" aca="1" ref="DM16" ca="1">-SUM(($CW16:$CZ16)*($CS16:$CV16-OFFSET($C$6:$F$6,DC$5,0)))-SQRT(SUM(($CW16:$CZ16)*($CS16:$CV16-OFFSET($C$6:$F$6,DC$5,0)))^2-SUM(($CS16:$CV16-OFFSET($C$6:$F$6,DC$5,0))*($CS16:$CV16-OFFSET($C$6:$F$6,DC$5,0)))+OFFSET($G$6,DC$5,0)^2)</f>
        <v>#NUM!</v>
      </c>
      <c r="DN16" s="10" t="e">
        <f t="array" aca="1" ref="DN16" ca="1">-SUM(($CW16:$CZ16)*($CS16:$CV16-OFFSET($C$6:$F$6,DD$5,0)))-SQRT(SUM(($CW16:$CZ16)*($CS16:$CV16-OFFSET($C$6:$F$6,DD$5,0)))^2-SUM(($CS16:$CV16-OFFSET($C$6:$F$6,DD$5,0))*($CS16:$CV16-OFFSET($C$6:$F$6,DD$5,0)))+OFFSET($G$6,DD$5,0)^2)</f>
        <v>#NUM!</v>
      </c>
      <c r="DO16" s="10" t="e">
        <f t="array" aca="1" ref="DO16" ca="1">-SUM(($CW16:$CZ16)*($CS16:$CV16-OFFSET($C$6:$F$6,DE$5,0)))-SQRT(SUM(($CW16:$CZ16)*($CS16:$CV16-OFFSET($C$6:$F$6,DE$5,0)))^2-SUM(($CS16:$CV16-OFFSET($C$6:$F$6,DE$5,0))*($CS16:$CV16-OFFSET($C$6:$F$6,DE$5,0)))+OFFSET($G$6,DE$5,0)^2)</f>
        <v>#NUM!</v>
      </c>
      <c r="DP16" s="10" t="e">
        <f t="array" aca="1" ref="DP16" ca="1">-SUM(($CW16:$CZ16)*($CS16:$CV16-OFFSET($C$6:$F$6,DF$5,0)))-SQRT(SUM(($CW16:$CZ16)*($CS16:$CV16-OFFSET($C$6:$F$6,DF$5,0)))^2-SUM(($CS16:$CV16-OFFSET($C$6:$F$6,DF$5,0))*($CS16:$CV16-OFFSET($C$6:$F$6,DF$5,0)))+OFFSET($G$6,DF$5,0)^2)</f>
        <v>#NUM!</v>
      </c>
      <c r="DQ16" s="10" t="e">
        <f t="array" aca="1" ref="DQ16" ca="1">-SUM(($CW16:$CZ16)*($CS16:$CV16-OFFSET($C$6:$F$6,DG$5,0)))-SQRT(SUM(($CW16:$CZ16)*($CS16:$CV16-OFFSET($C$6:$F$6,DG$5,0)))^2-SUM(($CS16:$CV16-OFFSET($C$6:$F$6,DG$5,0))*($CS16:$CV16-OFFSET($C$6:$F$6,DG$5,0)))+OFFSET($G$6,DG$5,0)^2)</f>
        <v>#NUM!</v>
      </c>
      <c r="DR16" s="10" t="e">
        <f t="array" aca="1" ref="DR16" ca="1">-SUM(($CW16:$CZ16)*($CS16:$CV16-OFFSET($C$6:$F$6,DH$5,0)))-SQRT(SUM(($CW16:$CZ16)*($CS16:$CV16-OFFSET($C$6:$F$6,DH$5,0)))^2-SUM(($CS16:$CV16-OFFSET($C$6:$F$6,DH$5,0))*($CS16:$CV16-OFFSET($C$6:$F$6,DH$5,0)))+OFFSET($G$6,DH$5,0)^2)</f>
        <v>#NUM!</v>
      </c>
      <c r="DS16" s="10" t="e">
        <f t="array" aca="1" ref="DS16" ca="1">-SUM(($CW16:$CZ16)*($CS16:$CV16-OFFSET($C$6:$F$6,DI$5,0)))-SQRT(SUM(($CW16:$CZ16)*($CS16:$CV16-OFFSET($C$6:$F$6,DI$5,0)))^2-SUM(($CS16:$CV16-OFFSET($C$6:$F$6,DI$5,0))*($CS16:$CV16-OFFSET($C$6:$F$6,DI$5,0)))+OFFSET($G$6,DI$5,0)^2)</f>
        <v>#NUM!</v>
      </c>
      <c r="DT16" s="10" t="e">
        <f t="array" aca="1" ref="DT16" ca="1">-SUM(($CW16:$CZ16)*($CS16:$CV16-OFFSET($C$6:$F$6,DJ$5,0)))-SQRT(SUM(($CW16:$CZ16)*($CS16:$CV16-OFFSET($C$6:$F$6,DJ$5,0)))^2-SUM(($CS16:$CV16-OFFSET($C$6:$F$6,DJ$5,0))*($CS16:$CV16-OFFSET($C$6:$F$6,DJ$5,0)))+OFFSET($G$6,DJ$5,0)^2)</f>
        <v>#NUM!</v>
      </c>
      <c r="DU16" s="10" t="e">
        <f t="array" aca="1" ref="DU16" ca="1">-SUM(($CW16:$CZ16)*($CS16:$CV16-OFFSET($C$6:$F$6,DK$5,0)))-SQRT(SUM(($CW16:$CZ16)*($CS16:$CV16-OFFSET($C$6:$F$6,DK$5,0)))^2-SUM(($CS16:$CV16-OFFSET($C$6:$F$6,DK$5,0))*($CS16:$CV16-OFFSET($C$6:$F$6,DK$5,0)))+OFFSET($G$6,DK$5,0)^2)</f>
        <v>#NUM!</v>
      </c>
      <c r="DW16" s="10">
        <f t="array" aca="1" ref="DW16" ca="1">MIN(IF(IF(ISERROR(DB16:DU16),-1,DB16:DU16)&lt;0,9999999999,DB16:DU16))</f>
        <v>9999999999</v>
      </c>
      <c r="DY16" s="11">
        <f t="shared" ca="1" si="25"/>
        <v>0.72840975873512781</v>
      </c>
      <c r="EB16" s="10">
        <f t="array" aca="1" ref="EB16:EE16" ca="1">BN16:BQ16+BV16:BY16*0.01</f>
        <v>-1.9489626062516126</v>
      </c>
      <c r="EC16" s="10">
        <f ca="1"/>
        <v>-1.0425466020128054</v>
      </c>
      <c r="ED16" s="10">
        <f ca="1"/>
        <v>-10.05922190667077</v>
      </c>
      <c r="EE16" s="10">
        <f ca="1"/>
        <v>1</v>
      </c>
      <c r="EF16" s="10">
        <f t="shared" ca="1" si="26"/>
        <v>-0.35332679323990834</v>
      </c>
      <c r="EG16" s="10">
        <f t="shared" ca="1" si="27"/>
        <v>0.29711265846140789</v>
      </c>
      <c r="EH16" s="10">
        <f t="shared" ca="1" si="28"/>
        <v>0.88706496118424039</v>
      </c>
      <c r="EI16" s="10">
        <f t="shared" ca="1" si="29"/>
        <v>0</v>
      </c>
      <c r="EK16" s="10">
        <f t="array" aca="1" ref="EK16" ca="1">-SUM(($EF16:$EI16)*($EB16:$EE16-OFFSET($C$6:$F$6,EK$5,0)))+SQRT(SUM(($EF16:$EI16)*($EB16:$EE16-OFFSET($C$6:$F$6,EK$5,0)))^2-SUM(($EB16:$EE16-OFFSET($C$6:$F$6,EK$5,0))*($EB16:$EE16-OFFSET($C$6:$F$6,EK$5,0)))+OFFSET($G$6,EK$5,0)^2)</f>
        <v>-3.46214323079721E-2</v>
      </c>
      <c r="EL16" s="10" t="e">
        <f t="array" aca="1" ref="EL16" ca="1">-SUM(($EF16:$EI16)*($EB16:$EE16-OFFSET($C$6:$F$6,EL$5,0)))+SQRT(SUM(($EF16:$EI16)*($EB16:$EE16-OFFSET($C$6:$F$6,EL$5,0)))^2-SUM(($EB16:$EE16-OFFSET($C$6:$F$6,EL$5,0))*($EB16:$EE16-OFFSET($C$6:$F$6,EL$5,0)))+OFFSET($G$6,EL$5,0)^2)</f>
        <v>#NUM!</v>
      </c>
      <c r="EM16" s="10" t="e">
        <f t="array" aca="1" ref="EM16" ca="1">-SUM(($EF16:$EI16)*($EB16:$EE16-OFFSET($C$6:$F$6,EM$5,0)))+SQRT(SUM(($EF16:$EI16)*($EB16:$EE16-OFFSET($C$6:$F$6,EM$5,0)))^2-SUM(($EB16:$EE16-OFFSET($C$6:$F$6,EM$5,0))*($EB16:$EE16-OFFSET($C$6:$F$6,EM$5,0)))+OFFSET($G$6,EM$5,0)^2)</f>
        <v>#NUM!</v>
      </c>
      <c r="EN16" s="10" t="e">
        <f t="array" aca="1" ref="EN16" ca="1">-SUM(($EF16:$EI16)*($EB16:$EE16-OFFSET($C$6:$F$6,EN$5,0)))+SQRT(SUM(($EF16:$EI16)*($EB16:$EE16-OFFSET($C$6:$F$6,EN$5,0)))^2-SUM(($EB16:$EE16-OFFSET($C$6:$F$6,EN$5,0))*($EB16:$EE16-OFFSET($C$6:$F$6,EN$5,0)))+OFFSET($G$6,EN$5,0)^2)</f>
        <v>#NUM!</v>
      </c>
      <c r="EO16" s="10" t="e">
        <f t="array" aca="1" ref="EO16" ca="1">-SUM(($EF16:$EI16)*($EB16:$EE16-OFFSET($C$6:$F$6,EO$5,0)))+SQRT(SUM(($EF16:$EI16)*($EB16:$EE16-OFFSET($C$6:$F$6,EO$5,0)))^2-SUM(($EB16:$EE16-OFFSET($C$6:$F$6,EO$5,0))*($EB16:$EE16-OFFSET($C$6:$F$6,EO$5,0)))+OFFSET($G$6,EO$5,0)^2)</f>
        <v>#NUM!</v>
      </c>
      <c r="EP16" s="10" t="e">
        <f t="array" aca="1" ref="EP16" ca="1">-SUM(($EF16:$EI16)*($EB16:$EE16-OFFSET($C$6:$F$6,EP$5,0)))+SQRT(SUM(($EF16:$EI16)*($EB16:$EE16-OFFSET($C$6:$F$6,EP$5,0)))^2-SUM(($EB16:$EE16-OFFSET($C$6:$F$6,EP$5,0))*($EB16:$EE16-OFFSET($C$6:$F$6,EP$5,0)))+OFFSET($G$6,EP$5,0)^2)</f>
        <v>#NUM!</v>
      </c>
      <c r="EQ16" s="10" t="e">
        <f t="array" aca="1" ref="EQ16" ca="1">-SUM(($EF16:$EI16)*($EB16:$EE16-OFFSET($C$6:$F$6,EQ$5,0)))+SQRT(SUM(($EF16:$EI16)*($EB16:$EE16-OFFSET($C$6:$F$6,EQ$5,0)))^2-SUM(($EB16:$EE16-OFFSET($C$6:$F$6,EQ$5,0))*($EB16:$EE16-OFFSET($C$6:$F$6,EQ$5,0)))+OFFSET($G$6,EQ$5,0)^2)</f>
        <v>#NUM!</v>
      </c>
      <c r="ER16" s="10" t="e">
        <f t="array" aca="1" ref="ER16" ca="1">-SUM(($EF16:$EI16)*($EB16:$EE16-OFFSET($C$6:$F$6,ER$5,0)))+SQRT(SUM(($EF16:$EI16)*($EB16:$EE16-OFFSET($C$6:$F$6,ER$5,0)))^2-SUM(($EB16:$EE16-OFFSET($C$6:$F$6,ER$5,0))*($EB16:$EE16-OFFSET($C$6:$F$6,ER$5,0)))+OFFSET($G$6,ER$5,0)^2)</f>
        <v>#NUM!</v>
      </c>
      <c r="ES16" s="10" t="e">
        <f t="array" aca="1" ref="ES16" ca="1">-SUM(($EF16:$EI16)*($EB16:$EE16-OFFSET($C$6:$F$6,ES$5,0)))+SQRT(SUM(($EF16:$EI16)*($EB16:$EE16-OFFSET($C$6:$F$6,ES$5,0)))^2-SUM(($EB16:$EE16-OFFSET($C$6:$F$6,ES$5,0))*($EB16:$EE16-OFFSET($C$6:$F$6,ES$5,0)))+OFFSET($G$6,ES$5,0)^2)</f>
        <v>#NUM!</v>
      </c>
      <c r="ET16" s="10" t="e">
        <f t="array" aca="1" ref="ET16" ca="1">-SUM(($EF16:$EI16)*($EB16:$EE16-OFFSET($C$6:$F$6,ET$5,0)))+SQRT(SUM(($EF16:$EI16)*($EB16:$EE16-OFFSET($C$6:$F$6,ET$5,0)))^2-SUM(($EB16:$EE16-OFFSET($C$6:$F$6,ET$5,0))*($EB16:$EE16-OFFSET($C$6:$F$6,ET$5,0)))+OFFSET($G$6,ET$5,0)^2)</f>
        <v>#NUM!</v>
      </c>
      <c r="EU16" s="10">
        <f t="array" aca="1" ref="EU16" ca="1">-SUM(($EF16:$EI16)*($EB16:$EE16-OFFSET($C$6:$F$6,EK$5,0)))-SQRT(SUM(($EF16:$EI16)*($EB16:$EE16-OFFSET($C$6:$F$6,EK$5,0)))^2-SUM(($EB16:$EE16-OFFSET($C$6:$F$6,EK$5,0))*($EB16:$EE16-OFFSET($C$6:$F$6,EK$5,0)))+OFFSET($G$6,EK$5,0)^2)</f>
        <v>-577.10206274077359</v>
      </c>
      <c r="EV16" s="10" t="e">
        <f t="array" aca="1" ref="EV16" ca="1">-SUM(($EF16:$EI16)*($EB16:$EE16-OFFSET($C$6:$F$6,EL$5,0)))-SQRT(SUM(($EF16:$EI16)*($EB16:$EE16-OFFSET($C$6:$F$6,EL$5,0)))^2-SUM(($EB16:$EE16-OFFSET($C$6:$F$6,EL$5,0))*($EB16:$EE16-OFFSET($C$6:$F$6,EL$5,0)))+OFFSET($G$6,EL$5,0)^2)</f>
        <v>#NUM!</v>
      </c>
      <c r="EW16" s="10" t="e">
        <f t="array" aca="1" ref="EW16" ca="1">-SUM(($EF16:$EI16)*($EB16:$EE16-OFFSET($C$6:$F$6,EM$5,0)))-SQRT(SUM(($EF16:$EI16)*($EB16:$EE16-OFFSET($C$6:$F$6,EM$5,0)))^2-SUM(($EB16:$EE16-OFFSET($C$6:$F$6,EM$5,0))*($EB16:$EE16-OFFSET($C$6:$F$6,EM$5,0)))+OFFSET($G$6,EM$5,0)^2)</f>
        <v>#NUM!</v>
      </c>
      <c r="EX16" s="10" t="e">
        <f t="array" aca="1" ref="EX16" ca="1">-SUM(($EF16:$EI16)*($EB16:$EE16-OFFSET($C$6:$F$6,EN$5,0)))-SQRT(SUM(($EF16:$EI16)*($EB16:$EE16-OFFSET($C$6:$F$6,EN$5,0)))^2-SUM(($EB16:$EE16-OFFSET($C$6:$F$6,EN$5,0))*($EB16:$EE16-OFFSET($C$6:$F$6,EN$5,0)))+OFFSET($G$6,EN$5,0)^2)</f>
        <v>#NUM!</v>
      </c>
      <c r="EY16" s="10" t="e">
        <f t="array" aca="1" ref="EY16" ca="1">-SUM(($EF16:$EI16)*($EB16:$EE16-OFFSET($C$6:$F$6,EO$5,0)))-SQRT(SUM(($EF16:$EI16)*($EB16:$EE16-OFFSET($C$6:$F$6,EO$5,0)))^2-SUM(($EB16:$EE16-OFFSET($C$6:$F$6,EO$5,0))*($EB16:$EE16-OFFSET($C$6:$F$6,EO$5,0)))+OFFSET($G$6,EO$5,0)^2)</f>
        <v>#NUM!</v>
      </c>
      <c r="EZ16" s="10" t="e">
        <f t="array" aca="1" ref="EZ16" ca="1">-SUM(($EF16:$EI16)*($EB16:$EE16-OFFSET($C$6:$F$6,EP$5,0)))-SQRT(SUM(($EF16:$EI16)*($EB16:$EE16-OFFSET($C$6:$F$6,EP$5,0)))^2-SUM(($EB16:$EE16-OFFSET($C$6:$F$6,EP$5,0))*($EB16:$EE16-OFFSET($C$6:$F$6,EP$5,0)))+OFFSET($G$6,EP$5,0)^2)</f>
        <v>#NUM!</v>
      </c>
      <c r="FA16" s="10" t="e">
        <f t="array" aca="1" ref="FA16" ca="1">-SUM(($EF16:$EI16)*($EB16:$EE16-OFFSET($C$6:$F$6,EQ$5,0)))-SQRT(SUM(($EF16:$EI16)*($EB16:$EE16-OFFSET($C$6:$F$6,EQ$5,0)))^2-SUM(($EB16:$EE16-OFFSET($C$6:$F$6,EQ$5,0))*($EB16:$EE16-OFFSET($C$6:$F$6,EQ$5,0)))+OFFSET($G$6,EQ$5,0)^2)</f>
        <v>#NUM!</v>
      </c>
      <c r="FB16" s="10" t="e">
        <f t="array" aca="1" ref="FB16" ca="1">-SUM(($EF16:$EI16)*($EB16:$EE16-OFFSET($C$6:$F$6,ER$5,0)))-SQRT(SUM(($EF16:$EI16)*($EB16:$EE16-OFFSET($C$6:$F$6,ER$5,0)))^2-SUM(($EB16:$EE16-OFFSET($C$6:$F$6,ER$5,0))*($EB16:$EE16-OFFSET($C$6:$F$6,ER$5,0)))+OFFSET($G$6,ER$5,0)^2)</f>
        <v>#NUM!</v>
      </c>
      <c r="FC16" s="10" t="e">
        <f t="array" aca="1" ref="FC16" ca="1">-SUM(($EF16:$EI16)*($EB16:$EE16-OFFSET($C$6:$F$6,ES$5,0)))-SQRT(SUM(($EF16:$EI16)*($EB16:$EE16-OFFSET($C$6:$F$6,ES$5,0)))^2-SUM(($EB16:$EE16-OFFSET($C$6:$F$6,ES$5,0))*($EB16:$EE16-OFFSET($C$6:$F$6,ES$5,0)))+OFFSET($G$6,ES$5,0)^2)</f>
        <v>#NUM!</v>
      </c>
      <c r="FD16" s="10" t="e">
        <f t="array" aca="1" ref="FD16" ca="1">-SUM(($EF16:$EI16)*($EB16:$EE16-OFFSET($C$6:$F$6,ET$5,0)))-SQRT(SUM(($EF16:$EI16)*($EB16:$EE16-OFFSET($C$6:$F$6,ET$5,0)))^2-SUM(($EB16:$EE16-OFFSET($C$6:$F$6,ET$5,0))*($EB16:$EE16-OFFSET($C$6:$F$6,ET$5,0)))+OFFSET($G$6,ET$5,0)^2)</f>
        <v>#NUM!</v>
      </c>
      <c r="FF16" s="10">
        <f t="array" aca="1" ref="FF16" ca="1">MIN(IF(IF(ISERROR(EK16:FD16),-1,EK16:FD16)&lt;0,9999999999,EK16:FD16))</f>
        <v>9999999999</v>
      </c>
      <c r="FH16">
        <f t="shared" ca="1" si="30"/>
        <v>-1</v>
      </c>
      <c r="FJ16" s="10">
        <f t="shared" ca="1" si="31"/>
        <v>-3533267933.9947195</v>
      </c>
      <c r="FK16" s="10">
        <f t="shared" ca="1" si="32"/>
        <v>2971126583.2744193</v>
      </c>
      <c r="FL16" s="10">
        <f t="shared" ca="1" si="33"/>
        <v>8870649600.8961182</v>
      </c>
      <c r="FM16" s="10">
        <f t="shared" ca="1" si="34"/>
        <v>1</v>
      </c>
      <c r="FN16" s="14">
        <f t="shared" ca="1" si="35"/>
        <v>0.35332679323990834</v>
      </c>
      <c r="FO16" s="14">
        <f t="shared" ca="1" si="0"/>
        <v>-0.29711265846140789</v>
      </c>
      <c r="FP16" s="14">
        <f t="shared" ca="1" si="1"/>
        <v>-0.88706496118424039</v>
      </c>
      <c r="FQ16" s="14">
        <f t="shared" ca="1" si="2"/>
        <v>0</v>
      </c>
      <c r="FR16" s="10" t="e">
        <f t="array" aca="1" ref="FR16" ca="1">(FJ16-OFFSET(C$6,$FH16,0))/SQRT(SUM(($FJ16:$FM16-OFFSET($C$6:$F$6,$FH16,0))*($FJ16:$FM16-OFFSET($C$6:$F$6,$FH16,0))))</f>
        <v>#VALUE!</v>
      </c>
      <c r="FS16" s="10" t="e">
        <f t="array" aca="1" ref="FS16" ca="1">(FK16-OFFSET(D$6,$FH16,0))/SQRT(SUM(($FJ16:$FM16-OFFSET($C$6:$F$6,$FH16,0))*($FJ16:$FM16-OFFSET($C$6:$F$6,$FH16,0))))</f>
        <v>#VALUE!</v>
      </c>
      <c r="FT16" s="10" t="e">
        <f t="array" aca="1" ref="FT16" ca="1">(FL16-OFFSET(E$6,$FH16,0))/SQRT(SUM(($FJ16:$FM16-OFFSET($C$6:$F$6,$FH16,0))*($FJ16:$FM16-OFFSET($C$6:$F$6,$FH16,0))))</f>
        <v>#VALUE!</v>
      </c>
      <c r="FU16" s="10" t="e">
        <f t="array" aca="1" ref="FU16" ca="1">(FM16-OFFSET(F$6,$FH16,0))/SQRT(SUM(($FJ16:$FM16-OFFSET($C$6:$F$6,$FH16,0))*($FJ16:$FM16-OFFSET($C$6:$F$6,$FH16,0))))</f>
        <v>#VALUE!</v>
      </c>
      <c r="FV16" s="14">
        <f t="array" aca="1" ref="FV16" ca="1">-(FJ16-O$6)/SQRT(SUM(($O$6:$R$6-$FJ16:$FM16)*($O$6:$R$6-$FJ16:$FM16)))</f>
        <v>0.35332679265309208</v>
      </c>
      <c r="FW16" s="14">
        <f t="array" aca="1" ref="FW16" ca="1">-(FK16-P$6)/SQRT(SUM(($O$6:$R$6-$FJ16:$FM16)*($O$6:$R$6-$FJ16:$FM16)))</f>
        <v>-0.2971126575407112</v>
      </c>
      <c r="FX16" s="14">
        <f t="array" aca="1" ref="FX16" ca="1">-(FL16-Q$6)/SQRT(SUM(($O$6:$R$6-$FJ16:$FM16)*($O$6:$R$6-$FJ16:$FM16)))</f>
        <v>-0.88706496172635241</v>
      </c>
      <c r="FY16" s="14">
        <f t="array" aca="1" ref="FY16" ca="1">-(FM16-R$6)/SQRT(SUM(($O$6:$R$6-$FJ16:$FM16)*($O$6:$R$6-$FJ16:$FM16)))</f>
        <v>0</v>
      </c>
      <c r="FZ16" s="14" t="e">
        <f t="array" aca="1" ref="FZ16:GC16" ca="1">-FN16:FQ16-FR16:FU16*2*SUM(-FN16:FQ16*FR16:FU16)</f>
        <v>#VALUE!</v>
      </c>
      <c r="GA16" s="14" t="e">
        <f ca="1"/>
        <v>#VALUE!</v>
      </c>
      <c r="GB16" s="14" t="e">
        <f ca="1"/>
        <v>#VALUE!</v>
      </c>
      <c r="GC16" s="14" t="e">
        <f ca="1"/>
        <v>#VALUE!</v>
      </c>
      <c r="GD16" s="14" t="e">
        <f t="array" aca="1" ref="GD16:GG16" ca="1">-FV16:FY16-FR16:FU16*2*SUM(-FV16:FY16*FR16:FU16)</f>
        <v>#VALUE!</v>
      </c>
      <c r="GE16" s="14" t="e">
        <f ca="1"/>
        <v>#VALUE!</v>
      </c>
      <c r="GF16" s="14" t="e">
        <f ca="1"/>
        <v>#VALUE!</v>
      </c>
      <c r="GG16" s="14" t="e">
        <f ca="1"/>
        <v>#VALUE!</v>
      </c>
      <c r="GH16" t="e">
        <f t="array" aca="1" ref="GH16" ca="1">SUM(FV16:FY16*FR16:FU16)</f>
        <v>#VALUE!</v>
      </c>
      <c r="GI16" t="e">
        <f t="array" aca="1" ref="GI16" ca="1">SUM(GD16:GG16*FN16:FQ16)</f>
        <v>#VALUE!</v>
      </c>
      <c r="GJ16" s="11" t="e">
        <f t="shared" ca="1" si="36"/>
        <v>#VALUE!</v>
      </c>
      <c r="GK16" s="11" t="e">
        <f t="shared" ca="1" si="37"/>
        <v>#VALUE!</v>
      </c>
      <c r="GL16" s="11" t="e">
        <f t="shared" ca="1" si="38"/>
        <v>#VALUE!</v>
      </c>
      <c r="GM16" s="11">
        <f t="shared" ca="1" si="39"/>
        <v>0</v>
      </c>
      <c r="GO16" s="10" t="e">
        <f t="array" aca="1" ref="GO16:GR16" ca="1">FJ16:FM16+FR16:FU16*0.001</f>
        <v>#VALUE!</v>
      </c>
      <c r="GP16" s="10" t="e">
        <f ca="1"/>
        <v>#VALUE!</v>
      </c>
      <c r="GQ16" s="10" t="e">
        <f ca="1"/>
        <v>#VALUE!</v>
      </c>
      <c r="GR16" s="10" t="e">
        <f ca="1"/>
        <v>#VALUE!</v>
      </c>
      <c r="GS16" s="10">
        <f t="shared" ca="1" si="40"/>
        <v>0.35332679265309208</v>
      </c>
      <c r="GT16" s="10">
        <f t="shared" ca="1" si="3"/>
        <v>-0.2971126575407112</v>
      </c>
      <c r="GU16" s="10">
        <f t="shared" ca="1" si="4"/>
        <v>-0.88706496172635241</v>
      </c>
      <c r="GV16" s="10">
        <f t="shared" ca="1" si="5"/>
        <v>0</v>
      </c>
      <c r="GX16" s="10" t="e">
        <f t="array" aca="1" ref="GX16" ca="1">-SUM(($GS16:$GV16)*($GO16:$GR16-OFFSET($C$6:$F$6,GX$5,0)))+SQRT(SUM(($GS16:$GV16)*($GO16:$GR16-OFFSET($C$6:$F$6,GX$5,0)))^2-SUM(($GO16:$GR16-OFFSET($C$6:$F$6,GX$5,0))*($GO16:$GR16-OFFSET($C$6:$F$6,GX$5,0)))+OFFSET($G$6,GX$5,0)^2)</f>
        <v>#VALUE!</v>
      </c>
      <c r="GY16" s="10" t="e">
        <f t="array" aca="1" ref="GY16" ca="1">-SUM(($GS16:$GV16)*($GO16:$GR16-OFFSET($C$6:$F$6,GY$5,0)))+SQRT(SUM(($GS16:$GV16)*($GO16:$GR16-OFFSET($C$6:$F$6,GY$5,0)))^2-SUM(($GO16:$GR16-OFFSET($C$6:$F$6,GY$5,0))*($GO16:$GR16-OFFSET($C$6:$F$6,GY$5,0)))+OFFSET($G$6,GY$5,0)^2)</f>
        <v>#VALUE!</v>
      </c>
      <c r="GZ16" s="10" t="e">
        <f t="array" aca="1" ref="GZ16" ca="1">-SUM(($GS16:$GV16)*($GO16:$GR16-OFFSET($C$6:$F$6,GZ$5,0)))+SQRT(SUM(($GS16:$GV16)*($GO16:$GR16-OFFSET($C$6:$F$6,GZ$5,0)))^2-SUM(($GO16:$GR16-OFFSET($C$6:$F$6,GZ$5,0))*($GO16:$GR16-OFFSET($C$6:$F$6,GZ$5,0)))+OFFSET($G$6,GZ$5,0)^2)</f>
        <v>#VALUE!</v>
      </c>
      <c r="HA16" s="10" t="e">
        <f t="array" aca="1" ref="HA16" ca="1">-SUM(($GS16:$GV16)*($GO16:$GR16-OFFSET($C$6:$F$6,HA$5,0)))+SQRT(SUM(($GS16:$GV16)*($GO16:$GR16-OFFSET($C$6:$F$6,HA$5,0)))^2-SUM(($GO16:$GR16-OFFSET($C$6:$F$6,HA$5,0))*($GO16:$GR16-OFFSET($C$6:$F$6,HA$5,0)))+OFFSET($G$6,HA$5,0)^2)</f>
        <v>#VALUE!</v>
      </c>
      <c r="HB16" s="10" t="e">
        <f t="array" aca="1" ref="HB16" ca="1">-SUM(($GS16:$GV16)*($GO16:$GR16-OFFSET($C$6:$F$6,HB$5,0)))+SQRT(SUM(($GS16:$GV16)*($GO16:$GR16-OFFSET($C$6:$F$6,HB$5,0)))^2-SUM(($GO16:$GR16-OFFSET($C$6:$F$6,HB$5,0))*($GO16:$GR16-OFFSET($C$6:$F$6,HB$5,0)))+OFFSET($G$6,HB$5,0)^2)</f>
        <v>#VALUE!</v>
      </c>
      <c r="HC16" s="10" t="e">
        <f t="array" aca="1" ref="HC16" ca="1">-SUM(($GS16:$GV16)*($GO16:$GR16-OFFSET($C$6:$F$6,HC$5,0)))+SQRT(SUM(($GS16:$GV16)*($GO16:$GR16-OFFSET($C$6:$F$6,HC$5,0)))^2-SUM(($GO16:$GR16-OFFSET($C$6:$F$6,HC$5,0))*($GO16:$GR16-OFFSET($C$6:$F$6,HC$5,0)))+OFFSET($G$6,HC$5,0)^2)</f>
        <v>#VALUE!</v>
      </c>
      <c r="HD16" s="10" t="e">
        <f t="array" aca="1" ref="HD16" ca="1">-SUM(($GS16:$GV16)*($GO16:$GR16-OFFSET($C$6:$F$6,HD$5,0)))+SQRT(SUM(($GS16:$GV16)*($GO16:$GR16-OFFSET($C$6:$F$6,HD$5,0)))^2-SUM(($GO16:$GR16-OFFSET($C$6:$F$6,HD$5,0))*($GO16:$GR16-OFFSET($C$6:$F$6,HD$5,0)))+OFFSET($G$6,HD$5,0)^2)</f>
        <v>#VALUE!</v>
      </c>
      <c r="HE16" s="10" t="e">
        <f t="array" aca="1" ref="HE16" ca="1">-SUM(($GS16:$GV16)*($GO16:$GR16-OFFSET($C$6:$F$6,HE$5,0)))+SQRT(SUM(($GS16:$GV16)*($GO16:$GR16-OFFSET($C$6:$F$6,HE$5,0)))^2-SUM(($GO16:$GR16-OFFSET($C$6:$F$6,HE$5,0))*($GO16:$GR16-OFFSET($C$6:$F$6,HE$5,0)))+OFFSET($G$6,HE$5,0)^2)</f>
        <v>#VALUE!</v>
      </c>
      <c r="HF16" s="10" t="e">
        <f t="array" aca="1" ref="HF16" ca="1">-SUM(($GS16:$GV16)*($GO16:$GR16-OFFSET($C$6:$F$6,HF$5,0)))+SQRT(SUM(($GS16:$GV16)*($GO16:$GR16-OFFSET($C$6:$F$6,HF$5,0)))^2-SUM(($GO16:$GR16-OFFSET($C$6:$F$6,HF$5,0))*($GO16:$GR16-OFFSET($C$6:$F$6,HF$5,0)))+OFFSET($G$6,HF$5,0)^2)</f>
        <v>#VALUE!</v>
      </c>
      <c r="HG16" s="10" t="e">
        <f t="array" aca="1" ref="HG16" ca="1">-SUM(($GS16:$GV16)*($GO16:$GR16-OFFSET($C$6:$F$6,HG$5,0)))+SQRT(SUM(($GS16:$GV16)*($GO16:$GR16-OFFSET($C$6:$F$6,HG$5,0)))^2-SUM(($GO16:$GR16-OFFSET($C$6:$F$6,HG$5,0))*($GO16:$GR16-OFFSET($C$6:$F$6,HG$5,0)))+OFFSET($G$6,HG$5,0)^2)</f>
        <v>#VALUE!</v>
      </c>
      <c r="HH16" s="10" t="e">
        <f t="array" aca="1" ref="HH16" ca="1">-SUM(($GS16:$GV16)*($GO16:$GR16-OFFSET($C$6:$F$6,GX$5,0)))-SQRT(SUM(($GS16:$GV16)*($GO16:$GR16-OFFSET($C$6:$F$6,GX$5,0)))^2-SUM(($GO16:$GR16-OFFSET($C$6:$F$6,GX$5,0))*($GO16:$GR16-OFFSET($C$6:$F$6,GX$5,0)))+OFFSET($G$6,GX$5,0)^2)</f>
        <v>#VALUE!</v>
      </c>
      <c r="HI16" s="10" t="e">
        <f t="array" aca="1" ref="HI16" ca="1">-SUM(($GS16:$GV16)*($GO16:$GR16-OFFSET($C$6:$F$6,GY$5,0)))-SQRT(SUM(($GS16:$GV16)*($GO16:$GR16-OFFSET($C$6:$F$6,GY$5,0)))^2-SUM(($GO16:$GR16-OFFSET($C$6:$F$6,GY$5,0))*($GO16:$GR16-OFFSET($C$6:$F$6,GY$5,0)))+OFFSET($G$6,GY$5,0)^2)</f>
        <v>#VALUE!</v>
      </c>
      <c r="HJ16" s="10" t="e">
        <f t="array" aca="1" ref="HJ16" ca="1">-SUM(($GS16:$GV16)*($GO16:$GR16-OFFSET($C$6:$F$6,GZ$5,0)))-SQRT(SUM(($GS16:$GV16)*($GO16:$GR16-OFFSET($C$6:$F$6,GZ$5,0)))^2-SUM(($GO16:$GR16-OFFSET($C$6:$F$6,GZ$5,0))*($GO16:$GR16-OFFSET($C$6:$F$6,GZ$5,0)))+OFFSET($G$6,GZ$5,0)^2)</f>
        <v>#VALUE!</v>
      </c>
      <c r="HK16" s="10" t="e">
        <f t="array" aca="1" ref="HK16" ca="1">-SUM(($GS16:$GV16)*($GO16:$GR16-OFFSET($C$6:$F$6,HA$5,0)))-SQRT(SUM(($GS16:$GV16)*($GO16:$GR16-OFFSET($C$6:$F$6,HA$5,0)))^2-SUM(($GO16:$GR16-OFFSET($C$6:$F$6,HA$5,0))*($GO16:$GR16-OFFSET($C$6:$F$6,HA$5,0)))+OFFSET($G$6,HA$5,0)^2)</f>
        <v>#VALUE!</v>
      </c>
      <c r="HL16" s="10" t="e">
        <f t="array" aca="1" ref="HL16" ca="1">-SUM(($GS16:$GV16)*($GO16:$GR16-OFFSET($C$6:$F$6,HB$5,0)))-SQRT(SUM(($GS16:$GV16)*($GO16:$GR16-OFFSET($C$6:$F$6,HB$5,0)))^2-SUM(($GO16:$GR16-OFFSET($C$6:$F$6,HB$5,0))*($GO16:$GR16-OFFSET($C$6:$F$6,HB$5,0)))+OFFSET($G$6,HB$5,0)^2)</f>
        <v>#VALUE!</v>
      </c>
      <c r="HM16" s="10" t="e">
        <f t="array" aca="1" ref="HM16" ca="1">-SUM(($GS16:$GV16)*($GO16:$GR16-OFFSET($C$6:$F$6,HC$5,0)))-SQRT(SUM(($GS16:$GV16)*($GO16:$GR16-OFFSET($C$6:$F$6,HC$5,0)))^2-SUM(($GO16:$GR16-OFFSET($C$6:$F$6,HC$5,0))*($GO16:$GR16-OFFSET($C$6:$F$6,HC$5,0)))+OFFSET($G$6,HC$5,0)^2)</f>
        <v>#VALUE!</v>
      </c>
      <c r="HN16" s="10" t="e">
        <f t="array" aca="1" ref="HN16" ca="1">-SUM(($GS16:$GV16)*($GO16:$GR16-OFFSET($C$6:$F$6,HD$5,0)))-SQRT(SUM(($GS16:$GV16)*($GO16:$GR16-OFFSET($C$6:$F$6,HD$5,0)))^2-SUM(($GO16:$GR16-OFFSET($C$6:$F$6,HD$5,0))*($GO16:$GR16-OFFSET($C$6:$F$6,HD$5,0)))+OFFSET($G$6,HD$5,0)^2)</f>
        <v>#VALUE!</v>
      </c>
      <c r="HO16" s="10" t="e">
        <f t="array" aca="1" ref="HO16" ca="1">-SUM(($GS16:$GV16)*($GO16:$GR16-OFFSET($C$6:$F$6,HE$5,0)))-SQRT(SUM(($GS16:$GV16)*($GO16:$GR16-OFFSET($C$6:$F$6,HE$5,0)))^2-SUM(($GO16:$GR16-OFFSET($C$6:$F$6,HE$5,0))*($GO16:$GR16-OFFSET($C$6:$F$6,HE$5,0)))+OFFSET($G$6,HE$5,0)^2)</f>
        <v>#VALUE!</v>
      </c>
      <c r="HP16" s="10" t="e">
        <f t="array" aca="1" ref="HP16" ca="1">-SUM(($GS16:$GV16)*($GO16:$GR16-OFFSET($C$6:$F$6,HF$5,0)))-SQRT(SUM(($GS16:$GV16)*($GO16:$GR16-OFFSET($C$6:$F$6,HF$5,0)))^2-SUM(($GO16:$GR16-OFFSET($C$6:$F$6,HF$5,0))*($GO16:$GR16-OFFSET($C$6:$F$6,HF$5,0)))+OFFSET($G$6,HF$5,0)^2)</f>
        <v>#VALUE!</v>
      </c>
      <c r="HQ16" s="10" t="e">
        <f t="array" aca="1" ref="HQ16" ca="1">-SUM(($GS16:$GV16)*($GO16:$GR16-OFFSET($C$6:$F$6,HG$5,0)))-SQRT(SUM(($GS16:$GV16)*($GO16:$GR16-OFFSET($C$6:$F$6,HG$5,0)))^2-SUM(($GO16:$GR16-OFFSET($C$6:$F$6,HG$5,0))*($GO16:$GR16-OFFSET($C$6:$F$6,HG$5,0)))+OFFSET($G$6,HG$5,0)^2)</f>
        <v>#VALUE!</v>
      </c>
      <c r="HS16" s="10">
        <f t="array" aca="1" ref="HS16" ca="1">MIN(IF(IF(ISERROR(GX16:HQ16),-1,GX16:HQ16)&lt;0,9999999999,GX16:HQ16))</f>
        <v>9999999999</v>
      </c>
      <c r="HU16" s="11">
        <f t="shared" ca="1" si="41"/>
        <v>0</v>
      </c>
      <c r="HW16" s="11">
        <f t="shared" ca="1" si="42"/>
        <v>0.72840975873512781</v>
      </c>
    </row>
    <row r="17" spans="16:231" x14ac:dyDescent="0.25">
      <c r="X17" s="11">
        <f t="shared" si="6"/>
        <v>-1.5317959468902864</v>
      </c>
      <c r="Y17" s="11">
        <f t="shared" si="7"/>
        <v>-1</v>
      </c>
      <c r="Z17" s="11">
        <v>4</v>
      </c>
      <c r="AB17" s="10">
        <f t="array" aca="1" ref="AB17:AE17" ca="1">TRANSPOSE(Screen!$GL$98:$GL$101)</f>
        <v>0</v>
      </c>
      <c r="AC17" s="10">
        <f ca="1"/>
        <v>0.50000000000000033</v>
      </c>
      <c r="AD17" s="10">
        <f ca="1"/>
        <v>-15</v>
      </c>
      <c r="AE17" s="10">
        <f ca="1"/>
        <v>1</v>
      </c>
      <c r="AF17" s="10">
        <f t="array" aca="1" ref="AF17:AH17" ca="1">TRANSPOSE(MMULT(Screen!$GI$98:$GK$100,TRANSPOSE(X17:Z17)))</f>
        <v>-1.5317959468902864</v>
      </c>
      <c r="AG17" s="10">
        <f ca="1"/>
        <v>-1.2380565658529825</v>
      </c>
      <c r="AH17" s="10">
        <f ca="1"/>
        <v>3.9400359935205556</v>
      </c>
      <c r="AI17" s="10">
        <v>1</v>
      </c>
      <c r="AJ17" s="10">
        <f t="array" aca="1" ref="AJ17" ca="1">AF17/SQRT(SUM(($AF17:$AH17)*($AF17:$AH17)))</f>
        <v>-0.34774887191842868</v>
      </c>
      <c r="AK17" s="10">
        <f t="array" aca="1" ref="AK17" ca="1">AG17/SQRT(SUM(($AF17:$AH17)*($AF17:$AH17)))</f>
        <v>-0.28106405100536214</v>
      </c>
      <c r="AL17" s="10">
        <f t="array" aca="1" ref="AL17" ca="1">AH17/SQRT(SUM(($AF17:$AH17)*($AF17:$AH17)))</f>
        <v>0.8944684015167419</v>
      </c>
      <c r="AM17" s="10">
        <v>0</v>
      </c>
      <c r="AO17" s="10">
        <f t="array" aca="1" ref="AO17" ca="1">-SUM(($AJ17:$AM17)*($AB17:$AE17-OFFSET($C$6:$F$6,AO$5,0)))+SQRT(SUM(($AJ17:$AM17)*($AB17:$AE17-OFFSET($C$6:$F$6,AO$5,0)))^2-SUM(($AB17:$AE17-OFFSET($C$6:$F$6,AO$5,0))*($AB17:$AE17-OFFSET($C$6:$F$6,AO$5,0)))+OFFSET($G$6,AO$5,0)^2)</f>
        <v>583.71958988596566</v>
      </c>
      <c r="AP17" s="10" t="e">
        <f t="array" aca="1" ref="AP17" ca="1">-SUM(($AJ17:$AM17)*($AB17:$AE17-OFFSET($C$6:$F$6,AP$5,0)))+SQRT(SUM(($AJ17:$AM17)*($AB17:$AE17-OFFSET($C$6:$F$6,AP$5,0)))^2-SUM(($AB17:$AE17-OFFSET($C$6:$F$6,AP$5,0))*($AB17:$AE17-OFFSET($C$6:$F$6,AP$5,0)))+OFFSET($G$6,AP$5,0)^2)</f>
        <v>#NUM!</v>
      </c>
      <c r="AQ17" s="10" t="e">
        <f t="array" aca="1" ref="AQ17" ca="1">-SUM(($AJ17:$AM17)*($AB17:$AE17-OFFSET($C$6:$F$6,AQ$5,0)))+SQRT(SUM(($AJ17:$AM17)*($AB17:$AE17-OFFSET($C$6:$F$6,AQ$5,0)))^2-SUM(($AB17:$AE17-OFFSET($C$6:$F$6,AQ$5,0))*($AB17:$AE17-OFFSET($C$6:$F$6,AQ$5,0)))+OFFSET($G$6,AQ$5,0)^2)</f>
        <v>#NUM!</v>
      </c>
      <c r="AR17" s="10" t="e">
        <f t="array" aca="1" ref="AR17" ca="1">-SUM(($AJ17:$AM17)*($AB17:$AE17-OFFSET($C$6:$F$6,AR$5,0)))+SQRT(SUM(($AJ17:$AM17)*($AB17:$AE17-OFFSET($C$6:$F$6,AR$5,0)))^2-SUM(($AB17:$AE17-OFFSET($C$6:$F$6,AR$5,0))*($AB17:$AE17-OFFSET($C$6:$F$6,AR$5,0)))+OFFSET($G$6,AR$5,0)^2)</f>
        <v>#NUM!</v>
      </c>
      <c r="AS17" s="10" t="e">
        <f t="array" aca="1" ref="AS17" ca="1">-SUM(($AJ17:$AM17)*($AB17:$AE17-OFFSET($C$6:$F$6,AS$5,0)))+SQRT(SUM(($AJ17:$AM17)*($AB17:$AE17-OFFSET($C$6:$F$6,AS$5,0)))^2-SUM(($AB17:$AE17-OFFSET($C$6:$F$6,AS$5,0))*($AB17:$AE17-OFFSET($C$6:$F$6,AS$5,0)))+OFFSET($G$6,AS$5,0)^2)</f>
        <v>#NUM!</v>
      </c>
      <c r="AT17" s="10" t="e">
        <f t="array" aca="1" ref="AT17" ca="1">-SUM(($AJ17:$AM17)*($AB17:$AE17-OFFSET($C$6:$F$6,AT$5,0)))+SQRT(SUM(($AJ17:$AM17)*($AB17:$AE17-OFFSET($C$6:$F$6,AT$5,0)))^2-SUM(($AB17:$AE17-OFFSET($C$6:$F$6,AT$5,0))*($AB17:$AE17-OFFSET($C$6:$F$6,AT$5,0)))+OFFSET($G$6,AT$5,0)^2)</f>
        <v>#NUM!</v>
      </c>
      <c r="AU17" s="10" t="e">
        <f t="array" aca="1" ref="AU17" ca="1">-SUM(($AJ17:$AM17)*($AB17:$AE17-OFFSET($C$6:$F$6,AU$5,0)))+SQRT(SUM(($AJ17:$AM17)*($AB17:$AE17-OFFSET($C$6:$F$6,AU$5,0)))^2-SUM(($AB17:$AE17-OFFSET($C$6:$F$6,AU$5,0))*($AB17:$AE17-OFFSET($C$6:$F$6,AU$5,0)))+OFFSET($G$6,AU$5,0)^2)</f>
        <v>#NUM!</v>
      </c>
      <c r="AV17" s="10" t="e">
        <f t="array" aca="1" ref="AV17" ca="1">-SUM(($AJ17:$AM17)*($AB17:$AE17-OFFSET($C$6:$F$6,AV$5,0)))+SQRT(SUM(($AJ17:$AM17)*($AB17:$AE17-OFFSET($C$6:$F$6,AV$5,0)))^2-SUM(($AB17:$AE17-OFFSET($C$6:$F$6,AV$5,0))*($AB17:$AE17-OFFSET($C$6:$F$6,AV$5,0)))+OFFSET($G$6,AV$5,0)^2)</f>
        <v>#NUM!</v>
      </c>
      <c r="AW17" s="10" t="e">
        <f t="array" aca="1" ref="AW17" ca="1">-SUM(($AJ17:$AM17)*($AB17:$AE17-OFFSET($C$6:$F$6,AW$5,0)))+SQRT(SUM(($AJ17:$AM17)*($AB17:$AE17-OFFSET($C$6:$F$6,AW$5,0)))^2-SUM(($AB17:$AE17-OFFSET($C$6:$F$6,AW$5,0))*($AB17:$AE17-OFFSET($C$6:$F$6,AW$5,0)))+OFFSET($G$6,AW$5,0)^2)</f>
        <v>#NUM!</v>
      </c>
      <c r="AX17" s="10" t="e">
        <f t="array" aca="1" ref="AX17" ca="1">-SUM(($AJ17:$AM17)*($AB17:$AE17-OFFSET($C$6:$F$6,AX$5,0)))+SQRT(SUM(($AJ17:$AM17)*($AB17:$AE17-OFFSET($C$6:$F$6,AX$5,0)))^2-SUM(($AB17:$AE17-OFFSET($C$6:$F$6,AX$5,0))*($AB17:$AE17-OFFSET($C$6:$F$6,AX$5,0)))+OFFSET($G$6,AX$5,0)^2)</f>
        <v>#NUM!</v>
      </c>
      <c r="AY17" s="10">
        <f t="array" aca="1" ref="AY17" ca="1">-SUM(($AJ17:$AM17)*($AB17:$AE17-OFFSET($C$6:$F$6,AO$5,0)))-SQRT(SUM(($AJ17:$AM17)*($AB17:$AE17-OFFSET($C$6:$F$6,AO$5,0)))^2-SUM(($AB17:$AE17-OFFSET($C$6:$F$6,AO$5,0))*($AB17:$AE17-OFFSET($C$6:$F$6,AO$5,0)))+OFFSET($G$6,AO$5,0)^2)</f>
        <v>5.5236282212661649</v>
      </c>
      <c r="AZ17" s="10" t="e">
        <f t="array" aca="1" ref="AZ17" ca="1">-SUM(($AJ17:$AM17)*($AB17:$AE17-OFFSET($C$6:$F$6,AP$5,0)))-SQRT(SUM(($AJ17:$AM17)*($AB17:$AE17-OFFSET($C$6:$F$6,AP$5,0)))^2-SUM(($AB17:$AE17-OFFSET($C$6:$F$6,AP$5,0))*($AB17:$AE17-OFFSET($C$6:$F$6,AP$5,0)))+OFFSET($G$6,AP$5,0)^2)</f>
        <v>#NUM!</v>
      </c>
      <c r="BA17" s="10" t="e">
        <f t="array" aca="1" ref="BA17" ca="1">-SUM(($AJ17:$AM17)*($AB17:$AE17-OFFSET($C$6:$F$6,AQ$5,0)))-SQRT(SUM(($AJ17:$AM17)*($AB17:$AE17-OFFSET($C$6:$F$6,AQ$5,0)))^2-SUM(($AB17:$AE17-OFFSET($C$6:$F$6,AQ$5,0))*($AB17:$AE17-OFFSET($C$6:$F$6,AQ$5,0)))+OFFSET($G$6,AQ$5,0)^2)</f>
        <v>#NUM!</v>
      </c>
      <c r="BB17" s="10" t="e">
        <f t="array" aca="1" ref="BB17" ca="1">-SUM(($AJ17:$AM17)*($AB17:$AE17-OFFSET($C$6:$F$6,AR$5,0)))-SQRT(SUM(($AJ17:$AM17)*($AB17:$AE17-OFFSET($C$6:$F$6,AR$5,0)))^2-SUM(($AB17:$AE17-OFFSET($C$6:$F$6,AR$5,0))*($AB17:$AE17-OFFSET($C$6:$F$6,AR$5,0)))+OFFSET($G$6,AR$5,0)^2)</f>
        <v>#NUM!</v>
      </c>
      <c r="BC17" s="10" t="e">
        <f t="array" aca="1" ref="BC17" ca="1">-SUM(($AJ17:$AM17)*($AB17:$AE17-OFFSET($C$6:$F$6,AS$5,0)))-SQRT(SUM(($AJ17:$AM17)*($AB17:$AE17-OFFSET($C$6:$F$6,AS$5,0)))^2-SUM(($AB17:$AE17-OFFSET($C$6:$F$6,AS$5,0))*($AB17:$AE17-OFFSET($C$6:$F$6,AS$5,0)))+OFFSET($G$6,AS$5,0)^2)</f>
        <v>#NUM!</v>
      </c>
      <c r="BD17" s="10" t="e">
        <f t="array" aca="1" ref="BD17" ca="1">-SUM(($AJ17:$AM17)*($AB17:$AE17-OFFSET($C$6:$F$6,AT$5,0)))-SQRT(SUM(($AJ17:$AM17)*($AB17:$AE17-OFFSET($C$6:$F$6,AT$5,0)))^2-SUM(($AB17:$AE17-OFFSET($C$6:$F$6,AT$5,0))*($AB17:$AE17-OFFSET($C$6:$F$6,AT$5,0)))+OFFSET($G$6,AT$5,0)^2)</f>
        <v>#NUM!</v>
      </c>
      <c r="BE17" s="10" t="e">
        <f t="array" aca="1" ref="BE17" ca="1">-SUM(($AJ17:$AM17)*($AB17:$AE17-OFFSET($C$6:$F$6,AU$5,0)))-SQRT(SUM(($AJ17:$AM17)*($AB17:$AE17-OFFSET($C$6:$F$6,AU$5,0)))^2-SUM(($AB17:$AE17-OFFSET($C$6:$F$6,AU$5,0))*($AB17:$AE17-OFFSET($C$6:$F$6,AU$5,0)))+OFFSET($G$6,AU$5,0)^2)</f>
        <v>#NUM!</v>
      </c>
      <c r="BF17" s="10" t="e">
        <f t="array" aca="1" ref="BF17" ca="1">-SUM(($AJ17:$AM17)*($AB17:$AE17-OFFSET($C$6:$F$6,AV$5,0)))-SQRT(SUM(($AJ17:$AM17)*($AB17:$AE17-OFFSET($C$6:$F$6,AV$5,0)))^2-SUM(($AB17:$AE17-OFFSET($C$6:$F$6,AV$5,0))*($AB17:$AE17-OFFSET($C$6:$F$6,AV$5,0)))+OFFSET($G$6,AV$5,0)^2)</f>
        <v>#NUM!</v>
      </c>
      <c r="BG17" s="10" t="e">
        <f t="array" aca="1" ref="BG17" ca="1">-SUM(($AJ17:$AM17)*($AB17:$AE17-OFFSET($C$6:$F$6,AW$5,0)))-SQRT(SUM(($AJ17:$AM17)*($AB17:$AE17-OFFSET($C$6:$F$6,AW$5,0)))^2-SUM(($AB17:$AE17-OFFSET($C$6:$F$6,AW$5,0))*($AB17:$AE17-OFFSET($C$6:$F$6,AW$5,0)))+OFFSET($G$6,AW$5,0)^2)</f>
        <v>#NUM!</v>
      </c>
      <c r="BH17" s="10" t="e">
        <f t="array" aca="1" ref="BH17" ca="1">-SUM(($AJ17:$AM17)*($AB17:$AE17-OFFSET($C$6:$F$6,AX$5,0)))-SQRT(SUM(($AJ17:$AM17)*($AB17:$AE17-OFFSET($C$6:$F$6,AX$5,0)))^2-SUM(($AB17:$AE17-OFFSET($C$6:$F$6,AX$5,0))*($AB17:$AE17-OFFSET($C$6:$F$6,AX$5,0)))+OFFSET($G$6,AX$5,0)^2)</f>
        <v>#NUM!</v>
      </c>
      <c r="BJ17" s="10">
        <f t="array" aca="1" ref="BJ17" ca="1">MIN(IF(IF(ISERROR(AO17:BH17),-1,AO17:BH17)&lt;0,9999999999,AO17:BH17))</f>
        <v>5.5236282212661649</v>
      </c>
      <c r="BL17">
        <f t="shared" ca="1" si="8"/>
        <v>0</v>
      </c>
      <c r="BN17" s="10">
        <f t="shared" ref="BN17:BN24" ca="1" si="43">AB17+$BJ17*AJ17</f>
        <v>-1.9208354828421057</v>
      </c>
      <c r="BO17" s="10">
        <f t="shared" ref="BO17:BO24" ca="1" si="44">AC17+$BJ17*AK17</f>
        <v>-1.0524933241166106</v>
      </c>
      <c r="BP17" s="10">
        <f t="shared" ref="BP17:BP24" ca="1" si="45">AD17+$BJ17*AL17</f>
        <v>-10.059289094351289</v>
      </c>
      <c r="BQ17" s="10">
        <f t="shared" ref="BQ17:BQ24" ca="1" si="46">AE17+$BJ17*AM17</f>
        <v>1</v>
      </c>
      <c r="BR17" s="14">
        <f t="shared" ref="BR17:BR24" ca="1" si="47">-AJ17</f>
        <v>0.34774887191842868</v>
      </c>
      <c r="BS17" s="14">
        <f t="shared" ref="BS17:BS24" ca="1" si="48">-AK17</f>
        <v>0.28106405100536214</v>
      </c>
      <c r="BT17" s="14">
        <f t="shared" ref="BT17:BT24" ca="1" si="49">-AL17</f>
        <v>-0.8944684015167419</v>
      </c>
      <c r="BU17" s="14">
        <f t="shared" ref="BU17:BU24" si="50">-AM17</f>
        <v>0</v>
      </c>
      <c r="BV17" s="10">
        <f t="array" aca="1" ref="BV17" ca="1">(BN17-OFFSET(C$6,$BL17,0))/SQRT(SUM(($BN17:$BQ17-OFFSET($C$6:$F$6,$BL17,0))*($BN17:$BQ17-OFFSET($C$6:$F$6,$BL17,0))))</f>
        <v>-1.9227582410831891E-3</v>
      </c>
      <c r="BW17" s="10">
        <f t="array" aca="1" ref="BW17" ca="1">(BO17-OFFSET(D$6,$BL17,0))/SQRT(SUM(($BN17:$BQ17-OFFSET($C$6:$F$6,$BL17,0))*($BN17:$BQ17-OFFSET($C$6:$F$6,$BL17,0))))</f>
        <v>0.99994745413001351</v>
      </c>
      <c r="BX17" s="10">
        <f t="array" aca="1" ref="BX17" ca="1">(BP17-OFFSET(E$6,$BL17,0))/SQRT(SUM(($BN17:$BQ17-OFFSET($C$6:$F$6,$BL17,0))*($BN17:$BQ17-OFFSET($C$6:$F$6,$BL17,0))))</f>
        <v>-1.0069358452804095E-2</v>
      </c>
      <c r="BY17" s="10">
        <f t="array" aca="1" ref="BY17" ca="1">(BQ17-OFFSET(F$6,$BL17,0))/SQRT(SUM(($BN17:$BQ17-OFFSET($C$6:$F$6,$BL17,0))*($BN17:$BQ17-OFFSET($C$6:$F$6,$BL17,0))))</f>
        <v>0</v>
      </c>
      <c r="BZ17" s="14">
        <f t="array" aca="1" ref="BZ17" ca="1">-(BN17-O$6)/SQRT(SUM(($O$6:$R$6-$BN17:$BQ17)*($O$6:$R$6-$BN17:$BQ17)))</f>
        <v>-0.59012258782518379</v>
      </c>
      <c r="CA17" s="14">
        <f t="array" aca="1" ref="CA17" ca="1">-(BO17-P$6)/SQRT(SUM(($O$6:$R$6-$BN17:$BQ17)*($O$6:$R$6-$BN17:$BQ17)))</f>
        <v>0.80730203581034399</v>
      </c>
      <c r="CB17" s="14">
        <f t="array" aca="1" ref="CB17" ca="1">-(BP17-Q$6)/SQRT(SUM(($O$6:$R$6-$BN17:$BQ17)*($O$6:$R$6-$BN17:$BQ17)))</f>
        <v>4.3306252415196934E-3</v>
      </c>
      <c r="CC17" s="14">
        <f t="array" aca="1" ref="CC17" ca="1">-(BQ17-R$6)/SQRT(SUM(($O$6:$R$6-$BN17:$BQ17)*($O$6:$R$6-$BN17:$BQ17)))</f>
        <v>0</v>
      </c>
      <c r="CD17" s="14">
        <f t="array" aca="1" ref="CD17:CG17" ca="1">-BR17:BU17-BV17:BY17*2*SUM(-BR17:BU17*BV17:BY17)</f>
        <v>-0.34886171581257464</v>
      </c>
      <c r="CE17" s="14">
        <f ca="1"/>
        <v>0.29768027317368828</v>
      </c>
      <c r="CF17" s="14">
        <f ca="1"/>
        <v>0.88864051123249199</v>
      </c>
      <c r="CG17" s="14">
        <f ca="1"/>
        <v>0</v>
      </c>
      <c r="CH17" s="14">
        <f t="array" aca="1" ref="CH17:CK17" ca="1">-BZ17:CC17-BV17:BY17*2*SUM(-BZ17:CC17*BV17:BY17)</f>
        <v>0.58701406199312345</v>
      </c>
      <c r="CI17" s="14">
        <f ca="1"/>
        <v>0.80931435695831855</v>
      </c>
      <c r="CJ17" s="14">
        <f ca="1"/>
        <v>-2.0609770582841087E-2</v>
      </c>
      <c r="CK17" s="14">
        <f ca="1"/>
        <v>0</v>
      </c>
      <c r="CL17">
        <f t="array" aca="1" ref="CL17" ca="1">SUM(BZ17:CC17*BV17:BY17)</f>
        <v>0.80835067187363907</v>
      </c>
      <c r="CM17">
        <f t="array" aca="1" ref="CM17" ca="1">SUM(CH17:CK17*BR17:BU17)</f>
        <v>0.4500374381107286</v>
      </c>
      <c r="CN17" s="11">
        <f t="shared" ca="1" si="17"/>
        <v>0</v>
      </c>
      <c r="CO17" s="11">
        <f t="shared" ca="1" si="18"/>
        <v>0.72751560468627519</v>
      </c>
      <c r="CP17" s="11">
        <f t="shared" ca="1" si="19"/>
        <v>4.017642221814801E-70</v>
      </c>
      <c r="CQ17" s="11">
        <f t="shared" ca="1" si="20"/>
        <v>0.72751560468627519</v>
      </c>
      <c r="CS17" s="10">
        <f t="array" aca="1" ref="CS17:CV17" ca="1">BN17:BQ17+BV17:BY17*0.001</f>
        <v>-1.9208374056003468</v>
      </c>
      <c r="CT17" s="10">
        <f ca="1"/>
        <v>-1.0514933766624806</v>
      </c>
      <c r="CU17" s="10">
        <f ca="1"/>
        <v>-10.059299163709742</v>
      </c>
      <c r="CV17" s="10">
        <f ca="1"/>
        <v>1</v>
      </c>
      <c r="CW17" s="10">
        <f t="shared" ca="1" si="21"/>
        <v>-0.59012258782518379</v>
      </c>
      <c r="CX17" s="10">
        <f t="shared" ca="1" si="22"/>
        <v>0.80730203581034399</v>
      </c>
      <c r="CY17" s="10">
        <f t="shared" ca="1" si="23"/>
        <v>4.3306252415196934E-3</v>
      </c>
      <c r="CZ17" s="10">
        <f t="shared" ca="1" si="24"/>
        <v>0</v>
      </c>
      <c r="DB17" s="10">
        <f t="array" aca="1" ref="DB17" ca="1">-SUM(($CW17:$CZ17)*($CS17:$CV17-OFFSET($C$6:$F$6,DB$5,0)))+SQRT(SUM(($CW17:$CZ17)*($CS17:$CV17-OFFSET($C$6:$F$6,DB$5,0)))^2-SUM(($CS17:$CV17-OFFSET($C$6:$F$6,DB$5,0))*($CS17:$CV17-OFFSET($C$6:$F$6,DB$5,0)))+OFFSET($G$6,DB$5,0)^2)</f>
        <v>-1.2370871952498419E-3</v>
      </c>
      <c r="DC17" s="10" t="e">
        <f t="array" aca="1" ref="DC17" ca="1">-SUM(($CW17:$CZ17)*($CS17:$CV17-OFFSET($C$6:$F$6,DC$5,0)))+SQRT(SUM(($CW17:$CZ17)*($CS17:$CV17-OFFSET($C$6:$F$6,DC$5,0)))^2-SUM(($CS17:$CV17-OFFSET($C$6:$F$6,DC$5,0))*($CS17:$CV17-OFFSET($C$6:$F$6,DC$5,0)))+OFFSET($G$6,DC$5,0)^2)</f>
        <v>#NUM!</v>
      </c>
      <c r="DD17" s="10" t="e">
        <f t="array" aca="1" ref="DD17" ca="1">-SUM(($CW17:$CZ17)*($CS17:$CV17-OFFSET($C$6:$F$6,DD$5,0)))+SQRT(SUM(($CW17:$CZ17)*($CS17:$CV17-OFFSET($C$6:$F$6,DD$5,0)))^2-SUM(($CS17:$CV17-OFFSET($C$6:$F$6,DD$5,0))*($CS17:$CV17-OFFSET($C$6:$F$6,DD$5,0)))+OFFSET($G$6,DD$5,0)^2)</f>
        <v>#NUM!</v>
      </c>
      <c r="DE17" s="10" t="e">
        <f t="array" aca="1" ref="DE17" ca="1">-SUM(($CW17:$CZ17)*($CS17:$CV17-OFFSET($C$6:$F$6,DE$5,0)))+SQRT(SUM(($CW17:$CZ17)*($CS17:$CV17-OFFSET($C$6:$F$6,DE$5,0)))^2-SUM(($CS17:$CV17-OFFSET($C$6:$F$6,DE$5,0))*($CS17:$CV17-OFFSET($C$6:$F$6,DE$5,0)))+OFFSET($G$6,DE$5,0)^2)</f>
        <v>#NUM!</v>
      </c>
      <c r="DF17" s="10" t="e">
        <f t="array" aca="1" ref="DF17" ca="1">-SUM(($CW17:$CZ17)*($CS17:$CV17-OFFSET($C$6:$F$6,DF$5,0)))+SQRT(SUM(($CW17:$CZ17)*($CS17:$CV17-OFFSET($C$6:$F$6,DF$5,0)))^2-SUM(($CS17:$CV17-OFFSET($C$6:$F$6,DF$5,0))*($CS17:$CV17-OFFSET($C$6:$F$6,DF$5,0)))+OFFSET($G$6,DF$5,0)^2)</f>
        <v>#NUM!</v>
      </c>
      <c r="DG17" s="10" t="e">
        <f t="array" aca="1" ref="DG17" ca="1">-SUM(($CW17:$CZ17)*($CS17:$CV17-OFFSET($C$6:$F$6,DG$5,0)))+SQRT(SUM(($CW17:$CZ17)*($CS17:$CV17-OFFSET($C$6:$F$6,DG$5,0)))^2-SUM(($CS17:$CV17-OFFSET($C$6:$F$6,DG$5,0))*($CS17:$CV17-OFFSET($C$6:$F$6,DG$5,0)))+OFFSET($G$6,DG$5,0)^2)</f>
        <v>#NUM!</v>
      </c>
      <c r="DH17" s="10" t="e">
        <f t="array" aca="1" ref="DH17" ca="1">-SUM(($CW17:$CZ17)*($CS17:$CV17-OFFSET($C$6:$F$6,DH$5,0)))+SQRT(SUM(($CW17:$CZ17)*($CS17:$CV17-OFFSET($C$6:$F$6,DH$5,0)))^2-SUM(($CS17:$CV17-OFFSET($C$6:$F$6,DH$5,0))*($CS17:$CV17-OFFSET($C$6:$F$6,DH$5,0)))+OFFSET($G$6,DH$5,0)^2)</f>
        <v>#NUM!</v>
      </c>
      <c r="DI17" s="10" t="e">
        <f t="array" aca="1" ref="DI17" ca="1">-SUM(($CW17:$CZ17)*($CS17:$CV17-OFFSET($C$6:$F$6,DI$5,0)))+SQRT(SUM(($CW17:$CZ17)*($CS17:$CV17-OFFSET($C$6:$F$6,DI$5,0)))^2-SUM(($CS17:$CV17-OFFSET($C$6:$F$6,DI$5,0))*($CS17:$CV17-OFFSET($C$6:$F$6,DI$5,0)))+OFFSET($G$6,DI$5,0)^2)</f>
        <v>#NUM!</v>
      </c>
      <c r="DJ17" s="10" t="e">
        <f t="array" aca="1" ref="DJ17" ca="1">-SUM(($CW17:$CZ17)*($CS17:$CV17-OFFSET($C$6:$F$6,DJ$5,0)))+SQRT(SUM(($CW17:$CZ17)*($CS17:$CV17-OFFSET($C$6:$F$6,DJ$5,0)))^2-SUM(($CS17:$CV17-OFFSET($C$6:$F$6,DJ$5,0))*($CS17:$CV17-OFFSET($C$6:$F$6,DJ$5,0)))+OFFSET($G$6,DJ$5,0)^2)</f>
        <v>#NUM!</v>
      </c>
      <c r="DK17" s="10" t="e">
        <f t="array" aca="1" ref="DK17" ca="1">-SUM(($CW17:$CZ17)*($CS17:$CV17-OFFSET($C$6:$F$6,DK$5,0)))+SQRT(SUM(($CW17:$CZ17)*($CS17:$CV17-OFFSET($C$6:$F$6,DK$5,0)))^2-SUM(($CS17:$CV17-OFFSET($C$6:$F$6,DK$5,0))*($CS17:$CV17-OFFSET($C$6:$F$6,DK$5,0)))+OFFSET($G$6,DK$5,0)^2)</f>
        <v>#NUM!</v>
      </c>
      <c r="DL17" s="10">
        <f t="array" aca="1" ref="DL17" ca="1">-SUM(($CW17:$CZ17)*($CS17:$CV17-OFFSET($C$6:$F$6,DB$5,0)))-SQRT(SUM(($CW17:$CZ17)*($CS17:$CV17-OFFSET($C$6:$F$6,DB$5,0)))^2-SUM(($CS17:$CV17-OFFSET($C$6:$F$6,DB$5,0))*($CS17:$CV17-OFFSET($C$6:$F$6,DB$5,0)))+OFFSET($G$6,DB$5,0)^2)</f>
        <v>-1615.0850220176792</v>
      </c>
      <c r="DM17" s="10" t="e">
        <f t="array" aca="1" ref="DM17" ca="1">-SUM(($CW17:$CZ17)*($CS17:$CV17-OFFSET($C$6:$F$6,DC$5,0)))-SQRT(SUM(($CW17:$CZ17)*($CS17:$CV17-OFFSET($C$6:$F$6,DC$5,0)))^2-SUM(($CS17:$CV17-OFFSET($C$6:$F$6,DC$5,0))*($CS17:$CV17-OFFSET($C$6:$F$6,DC$5,0)))+OFFSET($G$6,DC$5,0)^2)</f>
        <v>#NUM!</v>
      </c>
      <c r="DN17" s="10" t="e">
        <f t="array" aca="1" ref="DN17" ca="1">-SUM(($CW17:$CZ17)*($CS17:$CV17-OFFSET($C$6:$F$6,DD$5,0)))-SQRT(SUM(($CW17:$CZ17)*($CS17:$CV17-OFFSET($C$6:$F$6,DD$5,0)))^2-SUM(($CS17:$CV17-OFFSET($C$6:$F$6,DD$5,0))*($CS17:$CV17-OFFSET($C$6:$F$6,DD$5,0)))+OFFSET($G$6,DD$5,0)^2)</f>
        <v>#NUM!</v>
      </c>
      <c r="DO17" s="10" t="e">
        <f t="array" aca="1" ref="DO17" ca="1">-SUM(($CW17:$CZ17)*($CS17:$CV17-OFFSET($C$6:$F$6,DE$5,0)))-SQRT(SUM(($CW17:$CZ17)*($CS17:$CV17-OFFSET($C$6:$F$6,DE$5,0)))^2-SUM(($CS17:$CV17-OFFSET($C$6:$F$6,DE$5,0))*($CS17:$CV17-OFFSET($C$6:$F$6,DE$5,0)))+OFFSET($G$6,DE$5,0)^2)</f>
        <v>#NUM!</v>
      </c>
      <c r="DP17" s="10" t="e">
        <f t="array" aca="1" ref="DP17" ca="1">-SUM(($CW17:$CZ17)*($CS17:$CV17-OFFSET($C$6:$F$6,DF$5,0)))-SQRT(SUM(($CW17:$CZ17)*($CS17:$CV17-OFFSET($C$6:$F$6,DF$5,0)))^2-SUM(($CS17:$CV17-OFFSET($C$6:$F$6,DF$5,0))*($CS17:$CV17-OFFSET($C$6:$F$6,DF$5,0)))+OFFSET($G$6,DF$5,0)^2)</f>
        <v>#NUM!</v>
      </c>
      <c r="DQ17" s="10" t="e">
        <f t="array" aca="1" ref="DQ17" ca="1">-SUM(($CW17:$CZ17)*($CS17:$CV17-OFFSET($C$6:$F$6,DG$5,0)))-SQRT(SUM(($CW17:$CZ17)*($CS17:$CV17-OFFSET($C$6:$F$6,DG$5,0)))^2-SUM(($CS17:$CV17-OFFSET($C$6:$F$6,DG$5,0))*($CS17:$CV17-OFFSET($C$6:$F$6,DG$5,0)))+OFFSET($G$6,DG$5,0)^2)</f>
        <v>#NUM!</v>
      </c>
      <c r="DR17" s="10" t="e">
        <f t="array" aca="1" ref="DR17" ca="1">-SUM(($CW17:$CZ17)*($CS17:$CV17-OFFSET($C$6:$F$6,DH$5,0)))-SQRT(SUM(($CW17:$CZ17)*($CS17:$CV17-OFFSET($C$6:$F$6,DH$5,0)))^2-SUM(($CS17:$CV17-OFFSET($C$6:$F$6,DH$5,0))*($CS17:$CV17-OFFSET($C$6:$F$6,DH$5,0)))+OFFSET($G$6,DH$5,0)^2)</f>
        <v>#NUM!</v>
      </c>
      <c r="DS17" s="10" t="e">
        <f t="array" aca="1" ref="DS17" ca="1">-SUM(($CW17:$CZ17)*($CS17:$CV17-OFFSET($C$6:$F$6,DI$5,0)))-SQRT(SUM(($CW17:$CZ17)*($CS17:$CV17-OFFSET($C$6:$F$6,DI$5,0)))^2-SUM(($CS17:$CV17-OFFSET($C$6:$F$6,DI$5,0))*($CS17:$CV17-OFFSET($C$6:$F$6,DI$5,0)))+OFFSET($G$6,DI$5,0)^2)</f>
        <v>#NUM!</v>
      </c>
      <c r="DT17" s="10" t="e">
        <f t="array" aca="1" ref="DT17" ca="1">-SUM(($CW17:$CZ17)*($CS17:$CV17-OFFSET($C$6:$F$6,DJ$5,0)))-SQRT(SUM(($CW17:$CZ17)*($CS17:$CV17-OFFSET($C$6:$F$6,DJ$5,0)))^2-SUM(($CS17:$CV17-OFFSET($C$6:$F$6,DJ$5,0))*($CS17:$CV17-OFFSET($C$6:$F$6,DJ$5,0)))+OFFSET($G$6,DJ$5,0)^2)</f>
        <v>#NUM!</v>
      </c>
      <c r="DU17" s="10" t="e">
        <f t="array" aca="1" ref="DU17" ca="1">-SUM(($CW17:$CZ17)*($CS17:$CV17-OFFSET($C$6:$F$6,DK$5,0)))-SQRT(SUM(($CW17:$CZ17)*($CS17:$CV17-OFFSET($C$6:$F$6,DK$5,0)))^2-SUM(($CS17:$CV17-OFFSET($C$6:$F$6,DK$5,0))*($CS17:$CV17-OFFSET($C$6:$F$6,DK$5,0)))+OFFSET($G$6,DK$5,0)^2)</f>
        <v>#NUM!</v>
      </c>
      <c r="DW17" s="10">
        <f t="array" aca="1" ref="DW17" ca="1">MIN(IF(IF(ISERROR(DB17:DU17),-1,DB17:DU17)&lt;0,9999999999,DB17:DU17))</f>
        <v>9999999999</v>
      </c>
      <c r="DY17" s="11">
        <f t="shared" ca="1" si="25"/>
        <v>0.72751560468627519</v>
      </c>
      <c r="EB17" s="10">
        <f t="array" aca="1" ref="EB17:EE17" ca="1">BN17:BQ17+BV17:BY17*0.01</f>
        <v>-1.9208547104245166</v>
      </c>
      <c r="EC17" s="10">
        <f ca="1"/>
        <v>-1.0424938495753104</v>
      </c>
      <c r="ED17" s="10">
        <f ca="1"/>
        <v>-10.059389787935817</v>
      </c>
      <c r="EE17" s="10">
        <f ca="1"/>
        <v>1</v>
      </c>
      <c r="EF17" s="10">
        <f t="shared" ca="1" si="26"/>
        <v>-0.34886171581257464</v>
      </c>
      <c r="EG17" s="10">
        <f t="shared" ca="1" si="27"/>
        <v>0.29768027317368828</v>
      </c>
      <c r="EH17" s="10">
        <f t="shared" ca="1" si="28"/>
        <v>0.88864051123249199</v>
      </c>
      <c r="EI17" s="10">
        <f t="shared" ca="1" si="29"/>
        <v>0</v>
      </c>
      <c r="EK17" s="10">
        <f t="array" aca="1" ref="EK17" ca="1">-SUM(($EF17:$EI17)*($EB17:$EE17-OFFSET($C$6:$F$6,EK$5,0)))+SQRT(SUM(($EF17:$EI17)*($EB17:$EE17-OFFSET($C$6:$F$6,EK$5,0)))^2-SUM(($EB17:$EE17-OFFSET($C$6:$F$6,EK$5,0))*($EB17:$EE17-OFFSET($C$6:$F$6,EK$5,0)))+OFFSET($G$6,EK$5,0)^2)</f>
        <v>-3.4557650943895624E-2</v>
      </c>
      <c r="EL17" s="10" t="e">
        <f t="array" aca="1" ref="EL17" ca="1">-SUM(($EF17:$EI17)*($EB17:$EE17-OFFSET($C$6:$F$6,EL$5,0)))+SQRT(SUM(($EF17:$EI17)*($EB17:$EE17-OFFSET($C$6:$F$6,EL$5,0)))^2-SUM(($EB17:$EE17-OFFSET($C$6:$F$6,EL$5,0))*($EB17:$EE17-OFFSET($C$6:$F$6,EL$5,0)))+OFFSET($G$6,EL$5,0)^2)</f>
        <v>#NUM!</v>
      </c>
      <c r="EM17" s="10" t="e">
        <f t="array" aca="1" ref="EM17" ca="1">-SUM(($EF17:$EI17)*($EB17:$EE17-OFFSET($C$6:$F$6,EM$5,0)))+SQRT(SUM(($EF17:$EI17)*($EB17:$EE17-OFFSET($C$6:$F$6,EM$5,0)))^2-SUM(($EB17:$EE17-OFFSET($C$6:$F$6,EM$5,0))*($EB17:$EE17-OFFSET($C$6:$F$6,EM$5,0)))+OFFSET($G$6,EM$5,0)^2)</f>
        <v>#NUM!</v>
      </c>
      <c r="EN17" s="10" t="e">
        <f t="array" aca="1" ref="EN17" ca="1">-SUM(($EF17:$EI17)*($EB17:$EE17-OFFSET($C$6:$F$6,EN$5,0)))+SQRT(SUM(($EF17:$EI17)*($EB17:$EE17-OFFSET($C$6:$F$6,EN$5,0)))^2-SUM(($EB17:$EE17-OFFSET($C$6:$F$6,EN$5,0))*($EB17:$EE17-OFFSET($C$6:$F$6,EN$5,0)))+OFFSET($G$6,EN$5,0)^2)</f>
        <v>#NUM!</v>
      </c>
      <c r="EO17" s="10" t="e">
        <f t="array" aca="1" ref="EO17" ca="1">-SUM(($EF17:$EI17)*($EB17:$EE17-OFFSET($C$6:$F$6,EO$5,0)))+SQRT(SUM(($EF17:$EI17)*($EB17:$EE17-OFFSET($C$6:$F$6,EO$5,0)))^2-SUM(($EB17:$EE17-OFFSET($C$6:$F$6,EO$5,0))*($EB17:$EE17-OFFSET($C$6:$F$6,EO$5,0)))+OFFSET($G$6,EO$5,0)^2)</f>
        <v>#NUM!</v>
      </c>
      <c r="EP17" s="10" t="e">
        <f t="array" aca="1" ref="EP17" ca="1">-SUM(($EF17:$EI17)*($EB17:$EE17-OFFSET($C$6:$F$6,EP$5,0)))+SQRT(SUM(($EF17:$EI17)*($EB17:$EE17-OFFSET($C$6:$F$6,EP$5,0)))^2-SUM(($EB17:$EE17-OFFSET($C$6:$F$6,EP$5,0))*($EB17:$EE17-OFFSET($C$6:$F$6,EP$5,0)))+OFFSET($G$6,EP$5,0)^2)</f>
        <v>#NUM!</v>
      </c>
      <c r="EQ17" s="10" t="e">
        <f t="array" aca="1" ref="EQ17" ca="1">-SUM(($EF17:$EI17)*($EB17:$EE17-OFFSET($C$6:$F$6,EQ$5,0)))+SQRT(SUM(($EF17:$EI17)*($EB17:$EE17-OFFSET($C$6:$F$6,EQ$5,0)))^2-SUM(($EB17:$EE17-OFFSET($C$6:$F$6,EQ$5,0))*($EB17:$EE17-OFFSET($C$6:$F$6,EQ$5,0)))+OFFSET($G$6,EQ$5,0)^2)</f>
        <v>#NUM!</v>
      </c>
      <c r="ER17" s="10" t="e">
        <f t="array" aca="1" ref="ER17" ca="1">-SUM(($EF17:$EI17)*($EB17:$EE17-OFFSET($C$6:$F$6,ER$5,0)))+SQRT(SUM(($EF17:$EI17)*($EB17:$EE17-OFFSET($C$6:$F$6,ER$5,0)))^2-SUM(($EB17:$EE17-OFFSET($C$6:$F$6,ER$5,0))*($EB17:$EE17-OFFSET($C$6:$F$6,ER$5,0)))+OFFSET($G$6,ER$5,0)^2)</f>
        <v>#NUM!</v>
      </c>
      <c r="ES17" s="10" t="e">
        <f t="array" aca="1" ref="ES17" ca="1">-SUM(($EF17:$EI17)*($EB17:$EE17-OFFSET($C$6:$F$6,ES$5,0)))+SQRT(SUM(($EF17:$EI17)*($EB17:$EE17-OFFSET($C$6:$F$6,ES$5,0)))^2-SUM(($EB17:$EE17-OFFSET($C$6:$F$6,ES$5,0))*($EB17:$EE17-OFFSET($C$6:$F$6,ES$5,0)))+OFFSET($G$6,ES$5,0)^2)</f>
        <v>#NUM!</v>
      </c>
      <c r="ET17" s="10" t="e">
        <f t="array" aca="1" ref="ET17" ca="1">-SUM(($EF17:$EI17)*($EB17:$EE17-OFFSET($C$6:$F$6,ET$5,0)))+SQRT(SUM(($EF17:$EI17)*($EB17:$EE17-OFFSET($C$6:$F$6,ET$5,0)))^2-SUM(($EB17:$EE17-OFFSET($C$6:$F$6,ET$5,0))*($EB17:$EE17-OFFSET($C$6:$F$6,ET$5,0)))+OFFSET($G$6,ET$5,0)^2)</f>
        <v>#NUM!</v>
      </c>
      <c r="EU17" s="10">
        <f t="array" aca="1" ref="EU17" ca="1">-SUM(($EF17:$EI17)*($EB17:$EE17-OFFSET($C$6:$F$6,EK$5,0)))-SQRT(SUM(($EF17:$EI17)*($EB17:$EE17-OFFSET($C$6:$F$6,EK$5,0)))^2-SUM(($EB17:$EE17-OFFSET($C$6:$F$6,EK$5,0))*($EB17:$EE17-OFFSET($C$6:$F$6,EK$5,0)))+OFFSET($G$6,EK$5,0)^2)</f>
        <v>-578.16719176112019</v>
      </c>
      <c r="EV17" s="10" t="e">
        <f t="array" aca="1" ref="EV17" ca="1">-SUM(($EF17:$EI17)*($EB17:$EE17-OFFSET($C$6:$F$6,EL$5,0)))-SQRT(SUM(($EF17:$EI17)*($EB17:$EE17-OFFSET($C$6:$F$6,EL$5,0)))^2-SUM(($EB17:$EE17-OFFSET($C$6:$F$6,EL$5,0))*($EB17:$EE17-OFFSET($C$6:$F$6,EL$5,0)))+OFFSET($G$6,EL$5,0)^2)</f>
        <v>#NUM!</v>
      </c>
      <c r="EW17" s="10" t="e">
        <f t="array" aca="1" ref="EW17" ca="1">-SUM(($EF17:$EI17)*($EB17:$EE17-OFFSET($C$6:$F$6,EM$5,0)))-SQRT(SUM(($EF17:$EI17)*($EB17:$EE17-OFFSET($C$6:$F$6,EM$5,0)))^2-SUM(($EB17:$EE17-OFFSET($C$6:$F$6,EM$5,0))*($EB17:$EE17-OFFSET($C$6:$F$6,EM$5,0)))+OFFSET($G$6,EM$5,0)^2)</f>
        <v>#NUM!</v>
      </c>
      <c r="EX17" s="10" t="e">
        <f t="array" aca="1" ref="EX17" ca="1">-SUM(($EF17:$EI17)*($EB17:$EE17-OFFSET($C$6:$F$6,EN$5,0)))-SQRT(SUM(($EF17:$EI17)*($EB17:$EE17-OFFSET($C$6:$F$6,EN$5,0)))^2-SUM(($EB17:$EE17-OFFSET($C$6:$F$6,EN$5,0))*($EB17:$EE17-OFFSET($C$6:$F$6,EN$5,0)))+OFFSET($G$6,EN$5,0)^2)</f>
        <v>#NUM!</v>
      </c>
      <c r="EY17" s="10" t="e">
        <f t="array" aca="1" ref="EY17" ca="1">-SUM(($EF17:$EI17)*($EB17:$EE17-OFFSET($C$6:$F$6,EO$5,0)))-SQRT(SUM(($EF17:$EI17)*($EB17:$EE17-OFFSET($C$6:$F$6,EO$5,0)))^2-SUM(($EB17:$EE17-OFFSET($C$6:$F$6,EO$5,0))*($EB17:$EE17-OFFSET($C$6:$F$6,EO$5,0)))+OFFSET($G$6,EO$5,0)^2)</f>
        <v>#NUM!</v>
      </c>
      <c r="EZ17" s="10" t="e">
        <f t="array" aca="1" ref="EZ17" ca="1">-SUM(($EF17:$EI17)*($EB17:$EE17-OFFSET($C$6:$F$6,EP$5,0)))-SQRT(SUM(($EF17:$EI17)*($EB17:$EE17-OFFSET($C$6:$F$6,EP$5,0)))^2-SUM(($EB17:$EE17-OFFSET($C$6:$F$6,EP$5,0))*($EB17:$EE17-OFFSET($C$6:$F$6,EP$5,0)))+OFFSET($G$6,EP$5,0)^2)</f>
        <v>#NUM!</v>
      </c>
      <c r="FA17" s="10" t="e">
        <f t="array" aca="1" ref="FA17" ca="1">-SUM(($EF17:$EI17)*($EB17:$EE17-OFFSET($C$6:$F$6,EQ$5,0)))-SQRT(SUM(($EF17:$EI17)*($EB17:$EE17-OFFSET($C$6:$F$6,EQ$5,0)))^2-SUM(($EB17:$EE17-OFFSET($C$6:$F$6,EQ$5,0))*($EB17:$EE17-OFFSET($C$6:$F$6,EQ$5,0)))+OFFSET($G$6,EQ$5,0)^2)</f>
        <v>#NUM!</v>
      </c>
      <c r="FB17" s="10" t="e">
        <f t="array" aca="1" ref="FB17" ca="1">-SUM(($EF17:$EI17)*($EB17:$EE17-OFFSET($C$6:$F$6,ER$5,0)))-SQRT(SUM(($EF17:$EI17)*($EB17:$EE17-OFFSET($C$6:$F$6,ER$5,0)))^2-SUM(($EB17:$EE17-OFFSET($C$6:$F$6,ER$5,0))*($EB17:$EE17-OFFSET($C$6:$F$6,ER$5,0)))+OFFSET($G$6,ER$5,0)^2)</f>
        <v>#NUM!</v>
      </c>
      <c r="FC17" s="10" t="e">
        <f t="array" aca="1" ref="FC17" ca="1">-SUM(($EF17:$EI17)*($EB17:$EE17-OFFSET($C$6:$F$6,ES$5,0)))-SQRT(SUM(($EF17:$EI17)*($EB17:$EE17-OFFSET($C$6:$F$6,ES$5,0)))^2-SUM(($EB17:$EE17-OFFSET($C$6:$F$6,ES$5,0))*($EB17:$EE17-OFFSET($C$6:$F$6,ES$5,0)))+OFFSET($G$6,ES$5,0)^2)</f>
        <v>#NUM!</v>
      </c>
      <c r="FD17" s="10" t="e">
        <f t="array" aca="1" ref="FD17" ca="1">-SUM(($EF17:$EI17)*($EB17:$EE17-OFFSET($C$6:$F$6,ET$5,0)))-SQRT(SUM(($EF17:$EI17)*($EB17:$EE17-OFFSET($C$6:$F$6,ET$5,0)))^2-SUM(($EB17:$EE17-OFFSET($C$6:$F$6,ET$5,0))*($EB17:$EE17-OFFSET($C$6:$F$6,ET$5,0)))+OFFSET($G$6,ET$5,0)^2)</f>
        <v>#NUM!</v>
      </c>
      <c r="FF17" s="10">
        <f t="array" aca="1" ref="FF17" ca="1">MIN(IF(IF(ISERROR(EK17:FD17),-1,EK17:FD17)&lt;0,9999999999,EK17:FD17))</f>
        <v>9999999999</v>
      </c>
      <c r="FH17">
        <f t="shared" ca="1" si="30"/>
        <v>-1</v>
      </c>
      <c r="FJ17" s="10">
        <f t="shared" ca="1" si="31"/>
        <v>-3488617159.6977391</v>
      </c>
      <c r="FK17" s="10">
        <f t="shared" ca="1" si="32"/>
        <v>2976802730.3967085</v>
      </c>
      <c r="FL17" s="10">
        <f t="shared" ca="1" si="33"/>
        <v>8886405101.3768902</v>
      </c>
      <c r="FM17" s="10">
        <f t="shared" ca="1" si="34"/>
        <v>1</v>
      </c>
      <c r="FN17" s="14">
        <f t="shared" ca="1" si="35"/>
        <v>0.34886171581257464</v>
      </c>
      <c r="FO17" s="14">
        <f t="shared" ca="1" si="0"/>
        <v>-0.29768027317368828</v>
      </c>
      <c r="FP17" s="14">
        <f t="shared" ca="1" si="1"/>
        <v>-0.88864051123249199</v>
      </c>
      <c r="FQ17" s="14">
        <f t="shared" ca="1" si="2"/>
        <v>0</v>
      </c>
      <c r="FR17" s="10" t="e">
        <f t="array" aca="1" ref="FR17" ca="1">(FJ17-OFFSET(C$6,$FH17,0))/SQRT(SUM(($FJ17:$FM17-OFFSET($C$6:$F$6,$FH17,0))*($FJ17:$FM17-OFFSET($C$6:$F$6,$FH17,0))))</f>
        <v>#VALUE!</v>
      </c>
      <c r="FS17" s="10" t="e">
        <f t="array" aca="1" ref="FS17" ca="1">(FK17-OFFSET(D$6,$FH17,0))/SQRT(SUM(($FJ17:$FM17-OFFSET($C$6:$F$6,$FH17,0))*($FJ17:$FM17-OFFSET($C$6:$F$6,$FH17,0))))</f>
        <v>#VALUE!</v>
      </c>
      <c r="FT17" s="10" t="e">
        <f t="array" aca="1" ref="FT17" ca="1">(FL17-OFFSET(E$6,$FH17,0))/SQRT(SUM(($FJ17:$FM17-OFFSET($C$6:$F$6,$FH17,0))*($FJ17:$FM17-OFFSET($C$6:$F$6,$FH17,0))))</f>
        <v>#VALUE!</v>
      </c>
      <c r="FU17" s="10" t="e">
        <f t="array" aca="1" ref="FU17" ca="1">(FM17-OFFSET(F$6,$FH17,0))/SQRT(SUM(($FJ17:$FM17-OFFSET($C$6:$F$6,$FH17,0))*($FJ17:$FM17-OFFSET($C$6:$F$6,$FH17,0))))</f>
        <v>#VALUE!</v>
      </c>
      <c r="FV17" s="14">
        <f t="array" aca="1" ref="FV17" ca="1">-(FJ17-O$6)/SQRT(SUM(($O$6:$R$6-$FJ17:$FM17)*($O$6:$R$6-$FJ17:$FM17)))</f>
        <v>0.34886171521950354</v>
      </c>
      <c r="FW17" s="14">
        <f t="array" aca="1" ref="FW17" ca="1">-(FK17-P$6)/SQRT(SUM(($O$6:$R$6-$FJ17:$FM17)*($O$6:$R$6-$FJ17:$FM17)))</f>
        <v>-0.29768027225276267</v>
      </c>
      <c r="FX17" s="14">
        <f t="array" aca="1" ref="FX17" ca="1">-(FL17-Q$6)/SQRT(SUM(($O$6:$R$6-$FJ17:$FM17)*($O$6:$R$6-$FJ17:$FM17)))</f>
        <v>-0.88864051177381465</v>
      </c>
      <c r="FY17" s="14">
        <f t="array" aca="1" ref="FY17" ca="1">-(FM17-R$6)/SQRT(SUM(($O$6:$R$6-$FJ17:$FM17)*($O$6:$R$6-$FJ17:$FM17)))</f>
        <v>0</v>
      </c>
      <c r="FZ17" s="14" t="e">
        <f t="array" aca="1" ref="FZ17:GC17" ca="1">-FN17:FQ17-FR17:FU17*2*SUM(-FN17:FQ17*FR17:FU17)</f>
        <v>#VALUE!</v>
      </c>
      <c r="GA17" s="14" t="e">
        <f ca="1"/>
        <v>#VALUE!</v>
      </c>
      <c r="GB17" s="14" t="e">
        <f ca="1"/>
        <v>#VALUE!</v>
      </c>
      <c r="GC17" s="14" t="e">
        <f ca="1"/>
        <v>#VALUE!</v>
      </c>
      <c r="GD17" s="14" t="e">
        <f t="array" aca="1" ref="GD17:GG17" ca="1">-FV17:FY17-FR17:FU17*2*SUM(-FV17:FY17*FR17:FU17)</f>
        <v>#VALUE!</v>
      </c>
      <c r="GE17" s="14" t="e">
        <f ca="1"/>
        <v>#VALUE!</v>
      </c>
      <c r="GF17" s="14" t="e">
        <f ca="1"/>
        <v>#VALUE!</v>
      </c>
      <c r="GG17" s="14" t="e">
        <f ca="1"/>
        <v>#VALUE!</v>
      </c>
      <c r="GH17" t="e">
        <f t="array" aca="1" ref="GH17" ca="1">SUM(FV17:FY17*FR17:FU17)</f>
        <v>#VALUE!</v>
      </c>
      <c r="GI17" t="e">
        <f t="array" aca="1" ref="GI17" ca="1">SUM(GD17:GG17*FN17:FQ17)</f>
        <v>#VALUE!</v>
      </c>
      <c r="GJ17" s="11" t="e">
        <f t="shared" ca="1" si="36"/>
        <v>#VALUE!</v>
      </c>
      <c r="GK17" s="11" t="e">
        <f t="shared" ca="1" si="37"/>
        <v>#VALUE!</v>
      </c>
      <c r="GL17" s="11" t="e">
        <f t="shared" ca="1" si="38"/>
        <v>#VALUE!</v>
      </c>
      <c r="GM17" s="11">
        <f t="shared" ca="1" si="39"/>
        <v>0</v>
      </c>
      <c r="GO17" s="10" t="e">
        <f t="array" aca="1" ref="GO17:GR17" ca="1">FJ17:FM17+FR17:FU17*0.001</f>
        <v>#VALUE!</v>
      </c>
      <c r="GP17" s="10" t="e">
        <f ca="1"/>
        <v>#VALUE!</v>
      </c>
      <c r="GQ17" s="10" t="e">
        <f ca="1"/>
        <v>#VALUE!</v>
      </c>
      <c r="GR17" s="10" t="e">
        <f ca="1"/>
        <v>#VALUE!</v>
      </c>
      <c r="GS17" s="10">
        <f t="shared" ca="1" si="40"/>
        <v>0.34886171521950354</v>
      </c>
      <c r="GT17" s="10">
        <f t="shared" ca="1" si="3"/>
        <v>-0.29768027225276267</v>
      </c>
      <c r="GU17" s="10">
        <f t="shared" ca="1" si="4"/>
        <v>-0.88864051177381465</v>
      </c>
      <c r="GV17" s="10">
        <f t="shared" ca="1" si="5"/>
        <v>0</v>
      </c>
      <c r="GX17" s="10" t="e">
        <f t="array" aca="1" ref="GX17" ca="1">-SUM(($GS17:$GV17)*($GO17:$GR17-OFFSET($C$6:$F$6,GX$5,0)))+SQRT(SUM(($GS17:$GV17)*($GO17:$GR17-OFFSET($C$6:$F$6,GX$5,0)))^2-SUM(($GO17:$GR17-OFFSET($C$6:$F$6,GX$5,0))*($GO17:$GR17-OFFSET($C$6:$F$6,GX$5,0)))+OFFSET($G$6,GX$5,0)^2)</f>
        <v>#VALUE!</v>
      </c>
      <c r="GY17" s="10" t="e">
        <f t="array" aca="1" ref="GY17" ca="1">-SUM(($GS17:$GV17)*($GO17:$GR17-OFFSET($C$6:$F$6,GY$5,0)))+SQRT(SUM(($GS17:$GV17)*($GO17:$GR17-OFFSET($C$6:$F$6,GY$5,0)))^2-SUM(($GO17:$GR17-OFFSET($C$6:$F$6,GY$5,0))*($GO17:$GR17-OFFSET($C$6:$F$6,GY$5,0)))+OFFSET($G$6,GY$5,0)^2)</f>
        <v>#VALUE!</v>
      </c>
      <c r="GZ17" s="10" t="e">
        <f t="array" aca="1" ref="GZ17" ca="1">-SUM(($GS17:$GV17)*($GO17:$GR17-OFFSET($C$6:$F$6,GZ$5,0)))+SQRT(SUM(($GS17:$GV17)*($GO17:$GR17-OFFSET($C$6:$F$6,GZ$5,0)))^2-SUM(($GO17:$GR17-OFFSET($C$6:$F$6,GZ$5,0))*($GO17:$GR17-OFFSET($C$6:$F$6,GZ$5,0)))+OFFSET($G$6,GZ$5,0)^2)</f>
        <v>#VALUE!</v>
      </c>
      <c r="HA17" s="10" t="e">
        <f t="array" aca="1" ref="HA17" ca="1">-SUM(($GS17:$GV17)*($GO17:$GR17-OFFSET($C$6:$F$6,HA$5,0)))+SQRT(SUM(($GS17:$GV17)*($GO17:$GR17-OFFSET($C$6:$F$6,HA$5,0)))^2-SUM(($GO17:$GR17-OFFSET($C$6:$F$6,HA$5,0))*($GO17:$GR17-OFFSET($C$6:$F$6,HA$5,0)))+OFFSET($G$6,HA$5,0)^2)</f>
        <v>#VALUE!</v>
      </c>
      <c r="HB17" s="10" t="e">
        <f t="array" aca="1" ref="HB17" ca="1">-SUM(($GS17:$GV17)*($GO17:$GR17-OFFSET($C$6:$F$6,HB$5,0)))+SQRT(SUM(($GS17:$GV17)*($GO17:$GR17-OFFSET($C$6:$F$6,HB$5,0)))^2-SUM(($GO17:$GR17-OFFSET($C$6:$F$6,HB$5,0))*($GO17:$GR17-OFFSET($C$6:$F$6,HB$5,0)))+OFFSET($G$6,HB$5,0)^2)</f>
        <v>#VALUE!</v>
      </c>
      <c r="HC17" s="10" t="e">
        <f t="array" aca="1" ref="HC17" ca="1">-SUM(($GS17:$GV17)*($GO17:$GR17-OFFSET($C$6:$F$6,HC$5,0)))+SQRT(SUM(($GS17:$GV17)*($GO17:$GR17-OFFSET($C$6:$F$6,HC$5,0)))^2-SUM(($GO17:$GR17-OFFSET($C$6:$F$6,HC$5,0))*($GO17:$GR17-OFFSET($C$6:$F$6,HC$5,0)))+OFFSET($G$6,HC$5,0)^2)</f>
        <v>#VALUE!</v>
      </c>
      <c r="HD17" s="10" t="e">
        <f t="array" aca="1" ref="HD17" ca="1">-SUM(($GS17:$GV17)*($GO17:$GR17-OFFSET($C$6:$F$6,HD$5,0)))+SQRT(SUM(($GS17:$GV17)*($GO17:$GR17-OFFSET($C$6:$F$6,HD$5,0)))^2-SUM(($GO17:$GR17-OFFSET($C$6:$F$6,HD$5,0))*($GO17:$GR17-OFFSET($C$6:$F$6,HD$5,0)))+OFFSET($G$6,HD$5,0)^2)</f>
        <v>#VALUE!</v>
      </c>
      <c r="HE17" s="10" t="e">
        <f t="array" aca="1" ref="HE17" ca="1">-SUM(($GS17:$GV17)*($GO17:$GR17-OFFSET($C$6:$F$6,HE$5,0)))+SQRT(SUM(($GS17:$GV17)*($GO17:$GR17-OFFSET($C$6:$F$6,HE$5,0)))^2-SUM(($GO17:$GR17-OFFSET($C$6:$F$6,HE$5,0))*($GO17:$GR17-OFFSET($C$6:$F$6,HE$5,0)))+OFFSET($G$6,HE$5,0)^2)</f>
        <v>#VALUE!</v>
      </c>
      <c r="HF17" s="10" t="e">
        <f t="array" aca="1" ref="HF17" ca="1">-SUM(($GS17:$GV17)*($GO17:$GR17-OFFSET($C$6:$F$6,HF$5,0)))+SQRT(SUM(($GS17:$GV17)*($GO17:$GR17-OFFSET($C$6:$F$6,HF$5,0)))^2-SUM(($GO17:$GR17-OFFSET($C$6:$F$6,HF$5,0))*($GO17:$GR17-OFFSET($C$6:$F$6,HF$5,0)))+OFFSET($G$6,HF$5,0)^2)</f>
        <v>#VALUE!</v>
      </c>
      <c r="HG17" s="10" t="e">
        <f t="array" aca="1" ref="HG17" ca="1">-SUM(($GS17:$GV17)*($GO17:$GR17-OFFSET($C$6:$F$6,HG$5,0)))+SQRT(SUM(($GS17:$GV17)*($GO17:$GR17-OFFSET($C$6:$F$6,HG$5,0)))^2-SUM(($GO17:$GR17-OFFSET($C$6:$F$6,HG$5,0))*($GO17:$GR17-OFFSET($C$6:$F$6,HG$5,0)))+OFFSET($G$6,HG$5,0)^2)</f>
        <v>#VALUE!</v>
      </c>
      <c r="HH17" s="10" t="e">
        <f t="array" aca="1" ref="HH17" ca="1">-SUM(($GS17:$GV17)*($GO17:$GR17-OFFSET($C$6:$F$6,GX$5,0)))-SQRT(SUM(($GS17:$GV17)*($GO17:$GR17-OFFSET($C$6:$F$6,GX$5,0)))^2-SUM(($GO17:$GR17-OFFSET($C$6:$F$6,GX$5,0))*($GO17:$GR17-OFFSET($C$6:$F$6,GX$5,0)))+OFFSET($G$6,GX$5,0)^2)</f>
        <v>#VALUE!</v>
      </c>
      <c r="HI17" s="10" t="e">
        <f t="array" aca="1" ref="HI17" ca="1">-SUM(($GS17:$GV17)*($GO17:$GR17-OFFSET($C$6:$F$6,GY$5,0)))-SQRT(SUM(($GS17:$GV17)*($GO17:$GR17-OFFSET($C$6:$F$6,GY$5,0)))^2-SUM(($GO17:$GR17-OFFSET($C$6:$F$6,GY$5,0))*($GO17:$GR17-OFFSET($C$6:$F$6,GY$5,0)))+OFFSET($G$6,GY$5,0)^2)</f>
        <v>#VALUE!</v>
      </c>
      <c r="HJ17" s="10" t="e">
        <f t="array" aca="1" ref="HJ17" ca="1">-SUM(($GS17:$GV17)*($GO17:$GR17-OFFSET($C$6:$F$6,GZ$5,0)))-SQRT(SUM(($GS17:$GV17)*($GO17:$GR17-OFFSET($C$6:$F$6,GZ$5,0)))^2-SUM(($GO17:$GR17-OFFSET($C$6:$F$6,GZ$5,0))*($GO17:$GR17-OFFSET($C$6:$F$6,GZ$5,0)))+OFFSET($G$6,GZ$5,0)^2)</f>
        <v>#VALUE!</v>
      </c>
      <c r="HK17" s="10" t="e">
        <f t="array" aca="1" ref="HK17" ca="1">-SUM(($GS17:$GV17)*($GO17:$GR17-OFFSET($C$6:$F$6,HA$5,0)))-SQRT(SUM(($GS17:$GV17)*($GO17:$GR17-OFFSET($C$6:$F$6,HA$5,0)))^2-SUM(($GO17:$GR17-OFFSET($C$6:$F$6,HA$5,0))*($GO17:$GR17-OFFSET($C$6:$F$6,HA$5,0)))+OFFSET($G$6,HA$5,0)^2)</f>
        <v>#VALUE!</v>
      </c>
      <c r="HL17" s="10" t="e">
        <f t="array" aca="1" ref="HL17" ca="1">-SUM(($GS17:$GV17)*($GO17:$GR17-OFFSET($C$6:$F$6,HB$5,0)))-SQRT(SUM(($GS17:$GV17)*($GO17:$GR17-OFFSET($C$6:$F$6,HB$5,0)))^2-SUM(($GO17:$GR17-OFFSET($C$6:$F$6,HB$5,0))*($GO17:$GR17-OFFSET($C$6:$F$6,HB$5,0)))+OFFSET($G$6,HB$5,0)^2)</f>
        <v>#VALUE!</v>
      </c>
      <c r="HM17" s="10" t="e">
        <f t="array" aca="1" ref="HM17" ca="1">-SUM(($GS17:$GV17)*($GO17:$GR17-OFFSET($C$6:$F$6,HC$5,0)))-SQRT(SUM(($GS17:$GV17)*($GO17:$GR17-OFFSET($C$6:$F$6,HC$5,0)))^2-SUM(($GO17:$GR17-OFFSET($C$6:$F$6,HC$5,0))*($GO17:$GR17-OFFSET($C$6:$F$6,HC$5,0)))+OFFSET($G$6,HC$5,0)^2)</f>
        <v>#VALUE!</v>
      </c>
      <c r="HN17" s="10" t="e">
        <f t="array" aca="1" ref="HN17" ca="1">-SUM(($GS17:$GV17)*($GO17:$GR17-OFFSET($C$6:$F$6,HD$5,0)))-SQRT(SUM(($GS17:$GV17)*($GO17:$GR17-OFFSET($C$6:$F$6,HD$5,0)))^2-SUM(($GO17:$GR17-OFFSET($C$6:$F$6,HD$5,0))*($GO17:$GR17-OFFSET($C$6:$F$6,HD$5,0)))+OFFSET($G$6,HD$5,0)^2)</f>
        <v>#VALUE!</v>
      </c>
      <c r="HO17" s="10" t="e">
        <f t="array" aca="1" ref="HO17" ca="1">-SUM(($GS17:$GV17)*($GO17:$GR17-OFFSET($C$6:$F$6,HE$5,0)))-SQRT(SUM(($GS17:$GV17)*($GO17:$GR17-OFFSET($C$6:$F$6,HE$5,0)))^2-SUM(($GO17:$GR17-OFFSET($C$6:$F$6,HE$5,0))*($GO17:$GR17-OFFSET($C$6:$F$6,HE$5,0)))+OFFSET($G$6,HE$5,0)^2)</f>
        <v>#VALUE!</v>
      </c>
      <c r="HP17" s="10" t="e">
        <f t="array" aca="1" ref="HP17" ca="1">-SUM(($GS17:$GV17)*($GO17:$GR17-OFFSET($C$6:$F$6,HF$5,0)))-SQRT(SUM(($GS17:$GV17)*($GO17:$GR17-OFFSET($C$6:$F$6,HF$5,0)))^2-SUM(($GO17:$GR17-OFFSET($C$6:$F$6,HF$5,0))*($GO17:$GR17-OFFSET($C$6:$F$6,HF$5,0)))+OFFSET($G$6,HF$5,0)^2)</f>
        <v>#VALUE!</v>
      </c>
      <c r="HQ17" s="10" t="e">
        <f t="array" aca="1" ref="HQ17" ca="1">-SUM(($GS17:$GV17)*($GO17:$GR17-OFFSET($C$6:$F$6,HG$5,0)))-SQRT(SUM(($GS17:$GV17)*($GO17:$GR17-OFFSET($C$6:$F$6,HG$5,0)))^2-SUM(($GO17:$GR17-OFFSET($C$6:$F$6,HG$5,0))*($GO17:$GR17-OFFSET($C$6:$F$6,HG$5,0)))+OFFSET($G$6,HG$5,0)^2)</f>
        <v>#VALUE!</v>
      </c>
      <c r="HS17" s="10">
        <f t="array" aca="1" ref="HS17" ca="1">MIN(IF(IF(ISERROR(GX17:HQ17),-1,GX17:HQ17)&lt;0,9999999999,GX17:HQ17))</f>
        <v>9999999999</v>
      </c>
      <c r="HU17" s="11">
        <f t="shared" ca="1" si="41"/>
        <v>0</v>
      </c>
      <c r="HW17" s="11">
        <f t="shared" ca="1" si="42"/>
        <v>0.72751560468627519</v>
      </c>
    </row>
    <row r="18" spans="16:231" x14ac:dyDescent="0.25">
      <c r="P18" s="140" t="s">
        <v>87</v>
      </c>
      <c r="X18" s="11">
        <f t="shared" si="6"/>
        <v>-1.5094339622641511</v>
      </c>
      <c r="Y18" s="11">
        <f t="shared" si="7"/>
        <v>-1</v>
      </c>
      <c r="Z18" s="11">
        <v>4</v>
      </c>
      <c r="AB18" s="10">
        <f t="array" aca="1" ref="AB18:AE18" ca="1">TRANSPOSE(Screen!$GL$98:$GL$101)</f>
        <v>0</v>
      </c>
      <c r="AC18" s="10">
        <f ca="1"/>
        <v>0.50000000000000033</v>
      </c>
      <c r="AD18" s="10">
        <f ca="1"/>
        <v>-15</v>
      </c>
      <c r="AE18" s="10">
        <f ca="1"/>
        <v>1</v>
      </c>
      <c r="AF18" s="10">
        <f t="array" aca="1" ref="AF18:AH18" ca="1">TRANSPOSE(MMULT(Screen!$GI$98:$GK$100,TRANSPOSE(X18:Z18)))</f>
        <v>-1.5094339622641511</v>
      </c>
      <c r="AG18" s="10">
        <f ca="1"/>
        <v>-1.2380565658529825</v>
      </c>
      <c r="AH18" s="10">
        <f ca="1"/>
        <v>3.9400359935205556</v>
      </c>
      <c r="AI18" s="10">
        <v>1</v>
      </c>
      <c r="AJ18" s="10">
        <f t="array" aca="1" ref="AJ18" ca="1">AF18/SQRT(SUM(($AF18:$AH18)*($AF18:$AH18)))</f>
        <v>-0.34327436411071538</v>
      </c>
      <c r="AK18" s="10">
        <f t="array" aca="1" ref="AK18" ca="1">AG18/SQRT(SUM(($AF18:$AH18)*($AF18:$AH18)))</f>
        <v>-0.28155791574928452</v>
      </c>
      <c r="AL18" s="10">
        <f t="array" aca="1" ref="AL18" ca="1">AH18/SQRT(SUM(($AF18:$AH18)*($AF18:$AH18)))</f>
        <v>0.89604009454002831</v>
      </c>
      <c r="AM18" s="10">
        <v>0</v>
      </c>
      <c r="AO18" s="10">
        <f t="array" aca="1" ref="AO18" ca="1">-SUM(($AJ18:$AM18)*($AB18:$AE18-OFFSET($C$6:$F$6,AO$5,0)))+SQRT(SUM(($AJ18:$AM18)*($AB18:$AE18-OFFSET($C$6:$F$6,AO$5,0)))^2-SUM(($AB18:$AE18-OFFSET($C$6:$F$6,AO$5,0))*($AB18:$AE18-OFFSET($C$6:$F$6,AO$5,0)))+OFFSET($G$6,AO$5,0)^2)</f>
        <v>584.7648373285756</v>
      </c>
      <c r="AP18" s="10" t="e">
        <f t="array" aca="1" ref="AP18" ca="1">-SUM(($AJ18:$AM18)*($AB18:$AE18-OFFSET($C$6:$F$6,AP$5,0)))+SQRT(SUM(($AJ18:$AM18)*($AB18:$AE18-OFFSET($C$6:$F$6,AP$5,0)))^2-SUM(($AB18:$AE18-OFFSET($C$6:$F$6,AP$5,0))*($AB18:$AE18-OFFSET($C$6:$F$6,AP$5,0)))+OFFSET($G$6,AP$5,0)^2)</f>
        <v>#NUM!</v>
      </c>
      <c r="AQ18" s="10" t="e">
        <f t="array" aca="1" ref="AQ18" ca="1">-SUM(($AJ18:$AM18)*($AB18:$AE18-OFFSET($C$6:$F$6,AQ$5,0)))+SQRT(SUM(($AJ18:$AM18)*($AB18:$AE18-OFFSET($C$6:$F$6,AQ$5,0)))^2-SUM(($AB18:$AE18-OFFSET($C$6:$F$6,AQ$5,0))*($AB18:$AE18-OFFSET($C$6:$F$6,AQ$5,0)))+OFFSET($G$6,AQ$5,0)^2)</f>
        <v>#NUM!</v>
      </c>
      <c r="AR18" s="10" t="e">
        <f t="array" aca="1" ref="AR18" ca="1">-SUM(($AJ18:$AM18)*($AB18:$AE18-OFFSET($C$6:$F$6,AR$5,0)))+SQRT(SUM(($AJ18:$AM18)*($AB18:$AE18-OFFSET($C$6:$F$6,AR$5,0)))^2-SUM(($AB18:$AE18-OFFSET($C$6:$F$6,AR$5,0))*($AB18:$AE18-OFFSET($C$6:$F$6,AR$5,0)))+OFFSET($G$6,AR$5,0)^2)</f>
        <v>#NUM!</v>
      </c>
      <c r="AS18" s="10" t="e">
        <f t="array" aca="1" ref="AS18" ca="1">-SUM(($AJ18:$AM18)*($AB18:$AE18-OFFSET($C$6:$F$6,AS$5,0)))+SQRT(SUM(($AJ18:$AM18)*($AB18:$AE18-OFFSET($C$6:$F$6,AS$5,0)))^2-SUM(($AB18:$AE18-OFFSET($C$6:$F$6,AS$5,0))*($AB18:$AE18-OFFSET($C$6:$F$6,AS$5,0)))+OFFSET($G$6,AS$5,0)^2)</f>
        <v>#NUM!</v>
      </c>
      <c r="AT18" s="10" t="e">
        <f t="array" aca="1" ref="AT18" ca="1">-SUM(($AJ18:$AM18)*($AB18:$AE18-OFFSET($C$6:$F$6,AT$5,0)))+SQRT(SUM(($AJ18:$AM18)*($AB18:$AE18-OFFSET($C$6:$F$6,AT$5,0)))^2-SUM(($AB18:$AE18-OFFSET($C$6:$F$6,AT$5,0))*($AB18:$AE18-OFFSET($C$6:$F$6,AT$5,0)))+OFFSET($G$6,AT$5,0)^2)</f>
        <v>#NUM!</v>
      </c>
      <c r="AU18" s="10" t="e">
        <f t="array" aca="1" ref="AU18" ca="1">-SUM(($AJ18:$AM18)*($AB18:$AE18-OFFSET($C$6:$F$6,AU$5,0)))+SQRT(SUM(($AJ18:$AM18)*($AB18:$AE18-OFFSET($C$6:$F$6,AU$5,0)))^2-SUM(($AB18:$AE18-OFFSET($C$6:$F$6,AU$5,0))*($AB18:$AE18-OFFSET($C$6:$F$6,AU$5,0)))+OFFSET($G$6,AU$5,0)^2)</f>
        <v>#NUM!</v>
      </c>
      <c r="AV18" s="10" t="e">
        <f t="array" aca="1" ref="AV18" ca="1">-SUM(($AJ18:$AM18)*($AB18:$AE18-OFFSET($C$6:$F$6,AV$5,0)))+SQRT(SUM(($AJ18:$AM18)*($AB18:$AE18-OFFSET($C$6:$F$6,AV$5,0)))^2-SUM(($AB18:$AE18-OFFSET($C$6:$F$6,AV$5,0))*($AB18:$AE18-OFFSET($C$6:$F$6,AV$5,0)))+OFFSET($G$6,AV$5,0)^2)</f>
        <v>#NUM!</v>
      </c>
      <c r="AW18" s="10" t="e">
        <f t="array" aca="1" ref="AW18" ca="1">-SUM(($AJ18:$AM18)*($AB18:$AE18-OFFSET($C$6:$F$6,AW$5,0)))+SQRT(SUM(($AJ18:$AM18)*($AB18:$AE18-OFFSET($C$6:$F$6,AW$5,0)))^2-SUM(($AB18:$AE18-OFFSET($C$6:$F$6,AW$5,0))*($AB18:$AE18-OFFSET($C$6:$F$6,AW$5,0)))+OFFSET($G$6,AW$5,0)^2)</f>
        <v>#NUM!</v>
      </c>
      <c r="AX18" s="10" t="e">
        <f t="array" aca="1" ref="AX18" ca="1">-SUM(($AJ18:$AM18)*($AB18:$AE18-OFFSET($C$6:$F$6,AX$5,0)))+SQRT(SUM(($AJ18:$AM18)*($AB18:$AE18-OFFSET($C$6:$F$6,AX$5,0)))^2-SUM(($AB18:$AE18-OFFSET($C$6:$F$6,AX$5,0))*($AB18:$AE18-OFFSET($C$6:$F$6,AX$5,0)))+OFFSET($G$6,AX$5,0)^2)</f>
        <v>#NUM!</v>
      </c>
      <c r="AY18" s="10">
        <f t="array" aca="1" ref="AY18" ca="1">-SUM(($AJ18:$AM18)*($AB18:$AE18-OFFSET($C$6:$F$6,AO$5,0)))-SQRT(SUM(($AJ18:$AM18)*($AB18:$AE18-OFFSET($C$6:$F$6,AO$5,0)))^2-SUM(($AB18:$AE18-OFFSET($C$6:$F$6,AO$5,0))*($AB18:$AE18-OFFSET($C$6:$F$6,AO$5,0)))+OFFSET($G$6,AO$5,0)^2)</f>
        <v>5.51375492194353</v>
      </c>
      <c r="AZ18" s="10" t="e">
        <f t="array" aca="1" ref="AZ18" ca="1">-SUM(($AJ18:$AM18)*($AB18:$AE18-OFFSET($C$6:$F$6,AP$5,0)))-SQRT(SUM(($AJ18:$AM18)*($AB18:$AE18-OFFSET($C$6:$F$6,AP$5,0)))^2-SUM(($AB18:$AE18-OFFSET($C$6:$F$6,AP$5,0))*($AB18:$AE18-OFFSET($C$6:$F$6,AP$5,0)))+OFFSET($G$6,AP$5,0)^2)</f>
        <v>#NUM!</v>
      </c>
      <c r="BA18" s="10" t="e">
        <f t="array" aca="1" ref="BA18" ca="1">-SUM(($AJ18:$AM18)*($AB18:$AE18-OFFSET($C$6:$F$6,AQ$5,0)))-SQRT(SUM(($AJ18:$AM18)*($AB18:$AE18-OFFSET($C$6:$F$6,AQ$5,0)))^2-SUM(($AB18:$AE18-OFFSET($C$6:$F$6,AQ$5,0))*($AB18:$AE18-OFFSET($C$6:$F$6,AQ$5,0)))+OFFSET($G$6,AQ$5,0)^2)</f>
        <v>#NUM!</v>
      </c>
      <c r="BB18" s="10" t="e">
        <f t="array" aca="1" ref="BB18" ca="1">-SUM(($AJ18:$AM18)*($AB18:$AE18-OFFSET($C$6:$F$6,AR$5,0)))-SQRT(SUM(($AJ18:$AM18)*($AB18:$AE18-OFFSET($C$6:$F$6,AR$5,0)))^2-SUM(($AB18:$AE18-OFFSET($C$6:$F$6,AR$5,0))*($AB18:$AE18-OFFSET($C$6:$F$6,AR$5,0)))+OFFSET($G$6,AR$5,0)^2)</f>
        <v>#NUM!</v>
      </c>
      <c r="BC18" s="10" t="e">
        <f t="array" aca="1" ref="BC18" ca="1">-SUM(($AJ18:$AM18)*($AB18:$AE18-OFFSET($C$6:$F$6,AS$5,0)))-SQRT(SUM(($AJ18:$AM18)*($AB18:$AE18-OFFSET($C$6:$F$6,AS$5,0)))^2-SUM(($AB18:$AE18-OFFSET($C$6:$F$6,AS$5,0))*($AB18:$AE18-OFFSET($C$6:$F$6,AS$5,0)))+OFFSET($G$6,AS$5,0)^2)</f>
        <v>#NUM!</v>
      </c>
      <c r="BD18" s="10" t="e">
        <f t="array" aca="1" ref="BD18" ca="1">-SUM(($AJ18:$AM18)*($AB18:$AE18-OFFSET($C$6:$F$6,AT$5,0)))-SQRT(SUM(($AJ18:$AM18)*($AB18:$AE18-OFFSET($C$6:$F$6,AT$5,0)))^2-SUM(($AB18:$AE18-OFFSET($C$6:$F$6,AT$5,0))*($AB18:$AE18-OFFSET($C$6:$F$6,AT$5,0)))+OFFSET($G$6,AT$5,0)^2)</f>
        <v>#NUM!</v>
      </c>
      <c r="BE18" s="10" t="e">
        <f t="array" aca="1" ref="BE18" ca="1">-SUM(($AJ18:$AM18)*($AB18:$AE18-OFFSET($C$6:$F$6,AU$5,0)))-SQRT(SUM(($AJ18:$AM18)*($AB18:$AE18-OFFSET($C$6:$F$6,AU$5,0)))^2-SUM(($AB18:$AE18-OFFSET($C$6:$F$6,AU$5,0))*($AB18:$AE18-OFFSET($C$6:$F$6,AU$5,0)))+OFFSET($G$6,AU$5,0)^2)</f>
        <v>#NUM!</v>
      </c>
      <c r="BF18" s="10" t="e">
        <f t="array" aca="1" ref="BF18" ca="1">-SUM(($AJ18:$AM18)*($AB18:$AE18-OFFSET($C$6:$F$6,AV$5,0)))-SQRT(SUM(($AJ18:$AM18)*($AB18:$AE18-OFFSET($C$6:$F$6,AV$5,0)))^2-SUM(($AB18:$AE18-OFFSET($C$6:$F$6,AV$5,0))*($AB18:$AE18-OFFSET($C$6:$F$6,AV$5,0)))+OFFSET($G$6,AV$5,0)^2)</f>
        <v>#NUM!</v>
      </c>
      <c r="BG18" s="10" t="e">
        <f t="array" aca="1" ref="BG18" ca="1">-SUM(($AJ18:$AM18)*($AB18:$AE18-OFFSET($C$6:$F$6,AW$5,0)))-SQRT(SUM(($AJ18:$AM18)*($AB18:$AE18-OFFSET($C$6:$F$6,AW$5,0)))^2-SUM(($AB18:$AE18-OFFSET($C$6:$F$6,AW$5,0))*($AB18:$AE18-OFFSET($C$6:$F$6,AW$5,0)))+OFFSET($G$6,AW$5,0)^2)</f>
        <v>#NUM!</v>
      </c>
      <c r="BH18" s="10" t="e">
        <f t="array" aca="1" ref="BH18" ca="1">-SUM(($AJ18:$AM18)*($AB18:$AE18-OFFSET($C$6:$F$6,AX$5,0)))-SQRT(SUM(($AJ18:$AM18)*($AB18:$AE18-OFFSET($C$6:$F$6,AX$5,0)))^2-SUM(($AB18:$AE18-OFFSET($C$6:$F$6,AX$5,0))*($AB18:$AE18-OFFSET($C$6:$F$6,AX$5,0)))+OFFSET($G$6,AX$5,0)^2)</f>
        <v>#NUM!</v>
      </c>
      <c r="BJ18" s="10">
        <f t="array" aca="1" ref="BJ18" ca="1">MIN(IF(IF(ISERROR(AO18:BH18),-1,AO18:BH18)&lt;0,9999999999,AO18:BH18))</f>
        <v>5.51375492194353</v>
      </c>
      <c r="BL18">
        <f t="shared" ca="1" si="8"/>
        <v>0</v>
      </c>
      <c r="BN18" s="10">
        <f t="shared" ca="1" si="43"/>
        <v>-1.8927307146924923</v>
      </c>
      <c r="BO18" s="10">
        <f t="shared" ca="1" si="44"/>
        <v>-1.0524413437747788</v>
      </c>
      <c r="BP18" s="10">
        <f t="shared" ca="1" si="45"/>
        <v>-10.059454518471174</v>
      </c>
      <c r="BQ18" s="10">
        <f t="shared" ca="1" si="46"/>
        <v>1</v>
      </c>
      <c r="BR18" s="14">
        <f t="shared" ca="1" si="47"/>
        <v>0.34327436411071538</v>
      </c>
      <c r="BS18" s="14">
        <f t="shared" ca="1" si="48"/>
        <v>0.28155791574928452</v>
      </c>
      <c r="BT18" s="14">
        <f t="shared" ca="1" si="49"/>
        <v>-0.89604009454002831</v>
      </c>
      <c r="BU18" s="14">
        <f t="shared" si="50"/>
        <v>0</v>
      </c>
      <c r="BV18" s="10">
        <f t="array" aca="1" ref="BV18" ca="1">(BN18-OFFSET(C$6,$BL18,0))/SQRT(SUM(($BN18:$BQ18-OFFSET($C$6:$F$6,$BL18,0))*($BN18:$BQ18-OFFSET($C$6:$F$6,$BL18,0))))</f>
        <v>-1.8946253400325247E-3</v>
      </c>
      <c r="BW18" s="10">
        <f t="array" aca="1" ref="BW18" ca="1">(BO18-OFFSET(D$6,$BL18,0))/SQRT(SUM(($BN18:$BQ18-OFFSET($C$6:$F$6,$BL18,0))*($BN18:$BQ18-OFFSET($C$6:$F$6,$BL18,0))))</f>
        <v>0.99994750616238759</v>
      </c>
      <c r="BX18" s="10">
        <f t="array" aca="1" ref="BX18" ca="1">(BP18-OFFSET(E$6,$BL18,0))/SQRT(SUM(($BN18:$BQ18-OFFSET($C$6:$F$6,$BL18,0))*($BN18:$BQ18-OFFSET($C$6:$F$6,$BL18,0))))</f>
        <v>-1.0069524042513689E-2</v>
      </c>
      <c r="BY18" s="10">
        <f t="array" aca="1" ref="BY18" ca="1">(BQ18-OFFSET(F$6,$BL18,0))/SQRT(SUM(($BN18:$BQ18-OFFSET($C$6:$F$6,$BL18,0))*($BN18:$BQ18-OFFSET($C$6:$F$6,$BL18,0))))</f>
        <v>0</v>
      </c>
      <c r="BZ18" s="14">
        <f t="array" aca="1" ref="BZ18" ca="1">-(BN18-O$6)/SQRT(SUM(($O$6:$R$6-$BN18:$BQ18)*($O$6:$R$6-$BN18:$BQ18)))</f>
        <v>-0.59145988781453251</v>
      </c>
      <c r="CA18" s="14">
        <f t="array" aca="1" ref="CA18" ca="1">-(BO18-P$6)/SQRT(SUM(($O$6:$R$6-$BN18:$BQ18)*($O$6:$R$6-$BN18:$BQ18)))</f>
        <v>0.80632275643201134</v>
      </c>
      <c r="CB18" s="14">
        <f t="array" aca="1" ref="CB18" ca="1">-(BP18-Q$6)/SQRT(SUM(($O$6:$R$6-$BN18:$BQ18)*($O$6:$R$6-$BN18:$BQ18)))</f>
        <v>4.3374608129466974E-3</v>
      </c>
      <c r="CC18" s="14">
        <f t="array" aca="1" ref="CC18" ca="1">-(BQ18-R$6)/SQRT(SUM(($O$6:$R$6-$BN18:$BQ18)*($O$6:$R$6-$BN18:$BQ18)))</f>
        <v>0</v>
      </c>
      <c r="CD18" s="14">
        <f t="array" aca="1" ref="CD18:CG18" ca="1">-BR18:BU18-BV18:BY18*2*SUM(-BR18:BU18*BV18:BY18)</f>
        <v>-0.34437292645202555</v>
      </c>
      <c r="CE18" s="14">
        <f ca="1"/>
        <v>0.29824256002086119</v>
      </c>
      <c r="CF18" s="14">
        <f ca="1"/>
        <v>0.89020147321776033</v>
      </c>
      <c r="CG18" s="14">
        <f ca="1"/>
        <v>0</v>
      </c>
      <c r="CH18" s="14">
        <f t="array" aca="1" ref="CH18:CK18" ca="1">-BZ18:CC18-BV18:BY18*2*SUM(-BZ18:CC18*BV18:BY18)</f>
        <v>0.58840060843388098</v>
      </c>
      <c r="CI18" s="14">
        <f ca="1"/>
        <v>0.80830717735952506</v>
      </c>
      <c r="CJ18" s="14">
        <f ca="1"/>
        <v>-2.0596869269770064E-2</v>
      </c>
      <c r="CK18" s="14">
        <f ca="1"/>
        <v>0</v>
      </c>
      <c r="CL18">
        <f t="array" aca="1" ref="CL18" ca="1">SUM(BZ18:CC18*BV18:BY18)</f>
        <v>0.80735734818129878</v>
      </c>
      <c r="CM18">
        <f t="array" aca="1" ref="CM18" ca="1">SUM(CH18:CK18*BR18:BU18)</f>
        <v>0.44802374953274704</v>
      </c>
      <c r="CN18" s="11">
        <f t="shared" ca="1" si="17"/>
        <v>0</v>
      </c>
      <c r="CO18" s="11">
        <f t="shared" ca="1" si="18"/>
        <v>0.72662161336316888</v>
      </c>
      <c r="CP18" s="11">
        <f t="shared" ca="1" si="19"/>
        <v>1.6385125842094409E-70</v>
      </c>
      <c r="CQ18" s="11">
        <f t="shared" ca="1" si="20"/>
        <v>0.72662161336316888</v>
      </c>
      <c r="CS18" s="10">
        <f t="array" aca="1" ref="CS18:CV18" ca="1">BN18:BQ18+BV18:BY18*0.001</f>
        <v>-1.8927326093178323</v>
      </c>
      <c r="CT18" s="10">
        <f ca="1"/>
        <v>-1.0514413962686164</v>
      </c>
      <c r="CU18" s="10">
        <f ca="1"/>
        <v>-10.059464587995217</v>
      </c>
      <c r="CV18" s="10">
        <f ca="1"/>
        <v>1</v>
      </c>
      <c r="CW18" s="10">
        <f t="shared" ca="1" si="21"/>
        <v>-0.59145988781453251</v>
      </c>
      <c r="CX18" s="10">
        <f t="shared" ca="1" si="22"/>
        <v>0.80632275643201134</v>
      </c>
      <c r="CY18" s="10">
        <f t="shared" ca="1" si="23"/>
        <v>4.3374608129466974E-3</v>
      </c>
      <c r="CZ18" s="10">
        <f t="shared" ca="1" si="24"/>
        <v>0</v>
      </c>
      <c r="DB18" s="10">
        <f t="array" aca="1" ref="DB18" ca="1">-SUM(($CW18:$CZ18)*($CS18:$CV18-OFFSET($C$6:$F$6,DB$5,0)))+SQRT(SUM(($CW18:$CZ18)*($CS18:$CV18-OFFSET($C$6:$F$6,DB$5,0)))^2-SUM(($CS18:$CV18-OFFSET($C$6:$F$6,DB$5,0))*($CS18:$CV18-OFFSET($C$6:$F$6,DB$5,0)))+OFFSET($G$6,DB$5,0)^2)</f>
        <v>-1.2386092350880062E-3</v>
      </c>
      <c r="DC18" s="10" t="e">
        <f t="array" aca="1" ref="DC18" ca="1">-SUM(($CW18:$CZ18)*($CS18:$CV18-OFFSET($C$6:$F$6,DC$5,0)))+SQRT(SUM(($CW18:$CZ18)*($CS18:$CV18-OFFSET($C$6:$F$6,DC$5,0)))^2-SUM(($CS18:$CV18-OFFSET($C$6:$F$6,DC$5,0))*($CS18:$CV18-OFFSET($C$6:$F$6,DC$5,0)))+OFFSET($G$6,DC$5,0)^2)</f>
        <v>#NUM!</v>
      </c>
      <c r="DD18" s="10" t="e">
        <f t="array" aca="1" ref="DD18" ca="1">-SUM(($CW18:$CZ18)*($CS18:$CV18-OFFSET($C$6:$F$6,DD$5,0)))+SQRT(SUM(($CW18:$CZ18)*($CS18:$CV18-OFFSET($C$6:$F$6,DD$5,0)))^2-SUM(($CS18:$CV18-OFFSET($C$6:$F$6,DD$5,0))*($CS18:$CV18-OFFSET($C$6:$F$6,DD$5,0)))+OFFSET($G$6,DD$5,0)^2)</f>
        <v>#NUM!</v>
      </c>
      <c r="DE18" s="10" t="e">
        <f t="array" aca="1" ref="DE18" ca="1">-SUM(($CW18:$CZ18)*($CS18:$CV18-OFFSET($C$6:$F$6,DE$5,0)))+SQRT(SUM(($CW18:$CZ18)*($CS18:$CV18-OFFSET($C$6:$F$6,DE$5,0)))^2-SUM(($CS18:$CV18-OFFSET($C$6:$F$6,DE$5,0))*($CS18:$CV18-OFFSET($C$6:$F$6,DE$5,0)))+OFFSET($G$6,DE$5,0)^2)</f>
        <v>#NUM!</v>
      </c>
      <c r="DF18" s="10" t="e">
        <f t="array" aca="1" ref="DF18" ca="1">-SUM(($CW18:$CZ18)*($CS18:$CV18-OFFSET($C$6:$F$6,DF$5,0)))+SQRT(SUM(($CW18:$CZ18)*($CS18:$CV18-OFFSET($C$6:$F$6,DF$5,0)))^2-SUM(($CS18:$CV18-OFFSET($C$6:$F$6,DF$5,0))*($CS18:$CV18-OFFSET($C$6:$F$6,DF$5,0)))+OFFSET($G$6,DF$5,0)^2)</f>
        <v>#NUM!</v>
      </c>
      <c r="DG18" s="10" t="e">
        <f t="array" aca="1" ref="DG18" ca="1">-SUM(($CW18:$CZ18)*($CS18:$CV18-OFFSET($C$6:$F$6,DG$5,0)))+SQRT(SUM(($CW18:$CZ18)*($CS18:$CV18-OFFSET($C$6:$F$6,DG$5,0)))^2-SUM(($CS18:$CV18-OFFSET($C$6:$F$6,DG$5,0))*($CS18:$CV18-OFFSET($C$6:$F$6,DG$5,0)))+OFFSET($G$6,DG$5,0)^2)</f>
        <v>#NUM!</v>
      </c>
      <c r="DH18" s="10" t="e">
        <f t="array" aca="1" ref="DH18" ca="1">-SUM(($CW18:$CZ18)*($CS18:$CV18-OFFSET($C$6:$F$6,DH$5,0)))+SQRT(SUM(($CW18:$CZ18)*($CS18:$CV18-OFFSET($C$6:$F$6,DH$5,0)))^2-SUM(($CS18:$CV18-OFFSET($C$6:$F$6,DH$5,0))*($CS18:$CV18-OFFSET($C$6:$F$6,DH$5,0)))+OFFSET($G$6,DH$5,0)^2)</f>
        <v>#NUM!</v>
      </c>
      <c r="DI18" s="10" t="e">
        <f t="array" aca="1" ref="DI18" ca="1">-SUM(($CW18:$CZ18)*($CS18:$CV18-OFFSET($C$6:$F$6,DI$5,0)))+SQRT(SUM(($CW18:$CZ18)*($CS18:$CV18-OFFSET($C$6:$F$6,DI$5,0)))^2-SUM(($CS18:$CV18-OFFSET($C$6:$F$6,DI$5,0))*($CS18:$CV18-OFFSET($C$6:$F$6,DI$5,0)))+OFFSET($G$6,DI$5,0)^2)</f>
        <v>#NUM!</v>
      </c>
      <c r="DJ18" s="10" t="e">
        <f t="array" aca="1" ref="DJ18" ca="1">-SUM(($CW18:$CZ18)*($CS18:$CV18-OFFSET($C$6:$F$6,DJ$5,0)))+SQRT(SUM(($CW18:$CZ18)*($CS18:$CV18-OFFSET($C$6:$F$6,DJ$5,0)))^2-SUM(($CS18:$CV18-OFFSET($C$6:$F$6,DJ$5,0))*($CS18:$CV18-OFFSET($C$6:$F$6,DJ$5,0)))+OFFSET($G$6,DJ$5,0)^2)</f>
        <v>#NUM!</v>
      </c>
      <c r="DK18" s="10" t="e">
        <f t="array" aca="1" ref="DK18" ca="1">-SUM(($CW18:$CZ18)*($CS18:$CV18-OFFSET($C$6:$F$6,DK$5,0)))+SQRT(SUM(($CW18:$CZ18)*($CS18:$CV18-OFFSET($C$6:$F$6,DK$5,0)))^2-SUM(($CS18:$CV18-OFFSET($C$6:$F$6,DK$5,0))*($CS18:$CV18-OFFSET($C$6:$F$6,DK$5,0)))+OFFSET($G$6,DK$5,0)^2)</f>
        <v>#NUM!</v>
      </c>
      <c r="DL18" s="10">
        <f t="array" aca="1" ref="DL18" ca="1">-SUM(($CW18:$CZ18)*($CS18:$CV18-OFFSET($C$6:$F$6,DB$5,0)))-SQRT(SUM(($CW18:$CZ18)*($CS18:$CV18-OFFSET($C$6:$F$6,DB$5,0)))^2-SUM(($CS18:$CV18-OFFSET($C$6:$F$6,DB$5,0))*($CS18:$CV18-OFFSET($C$6:$F$6,DB$5,0)))+OFFSET($G$6,DB$5,0)^2)</f>
        <v>-1613.1003577716963</v>
      </c>
      <c r="DM18" s="10" t="e">
        <f t="array" aca="1" ref="DM18" ca="1">-SUM(($CW18:$CZ18)*($CS18:$CV18-OFFSET($C$6:$F$6,DC$5,0)))-SQRT(SUM(($CW18:$CZ18)*($CS18:$CV18-OFFSET($C$6:$F$6,DC$5,0)))^2-SUM(($CS18:$CV18-OFFSET($C$6:$F$6,DC$5,0))*($CS18:$CV18-OFFSET($C$6:$F$6,DC$5,0)))+OFFSET($G$6,DC$5,0)^2)</f>
        <v>#NUM!</v>
      </c>
      <c r="DN18" s="10" t="e">
        <f t="array" aca="1" ref="DN18" ca="1">-SUM(($CW18:$CZ18)*($CS18:$CV18-OFFSET($C$6:$F$6,DD$5,0)))-SQRT(SUM(($CW18:$CZ18)*($CS18:$CV18-OFFSET($C$6:$F$6,DD$5,0)))^2-SUM(($CS18:$CV18-OFFSET($C$6:$F$6,DD$5,0))*($CS18:$CV18-OFFSET($C$6:$F$6,DD$5,0)))+OFFSET($G$6,DD$5,0)^2)</f>
        <v>#NUM!</v>
      </c>
      <c r="DO18" s="10" t="e">
        <f t="array" aca="1" ref="DO18" ca="1">-SUM(($CW18:$CZ18)*($CS18:$CV18-OFFSET($C$6:$F$6,DE$5,0)))-SQRT(SUM(($CW18:$CZ18)*($CS18:$CV18-OFFSET($C$6:$F$6,DE$5,0)))^2-SUM(($CS18:$CV18-OFFSET($C$6:$F$6,DE$5,0))*($CS18:$CV18-OFFSET($C$6:$F$6,DE$5,0)))+OFFSET($G$6,DE$5,0)^2)</f>
        <v>#NUM!</v>
      </c>
      <c r="DP18" s="10" t="e">
        <f t="array" aca="1" ref="DP18" ca="1">-SUM(($CW18:$CZ18)*($CS18:$CV18-OFFSET($C$6:$F$6,DF$5,0)))-SQRT(SUM(($CW18:$CZ18)*($CS18:$CV18-OFFSET($C$6:$F$6,DF$5,0)))^2-SUM(($CS18:$CV18-OFFSET($C$6:$F$6,DF$5,0))*($CS18:$CV18-OFFSET($C$6:$F$6,DF$5,0)))+OFFSET($G$6,DF$5,0)^2)</f>
        <v>#NUM!</v>
      </c>
      <c r="DQ18" s="10" t="e">
        <f t="array" aca="1" ref="DQ18" ca="1">-SUM(($CW18:$CZ18)*($CS18:$CV18-OFFSET($C$6:$F$6,DG$5,0)))-SQRT(SUM(($CW18:$CZ18)*($CS18:$CV18-OFFSET($C$6:$F$6,DG$5,0)))^2-SUM(($CS18:$CV18-OFFSET($C$6:$F$6,DG$5,0))*($CS18:$CV18-OFFSET($C$6:$F$6,DG$5,0)))+OFFSET($G$6,DG$5,0)^2)</f>
        <v>#NUM!</v>
      </c>
      <c r="DR18" s="10" t="e">
        <f t="array" aca="1" ref="DR18" ca="1">-SUM(($CW18:$CZ18)*($CS18:$CV18-OFFSET($C$6:$F$6,DH$5,0)))-SQRT(SUM(($CW18:$CZ18)*($CS18:$CV18-OFFSET($C$6:$F$6,DH$5,0)))^2-SUM(($CS18:$CV18-OFFSET($C$6:$F$6,DH$5,0))*($CS18:$CV18-OFFSET($C$6:$F$6,DH$5,0)))+OFFSET($G$6,DH$5,0)^2)</f>
        <v>#NUM!</v>
      </c>
      <c r="DS18" s="10" t="e">
        <f t="array" aca="1" ref="DS18" ca="1">-SUM(($CW18:$CZ18)*($CS18:$CV18-OFFSET($C$6:$F$6,DI$5,0)))-SQRT(SUM(($CW18:$CZ18)*($CS18:$CV18-OFFSET($C$6:$F$6,DI$5,0)))^2-SUM(($CS18:$CV18-OFFSET($C$6:$F$6,DI$5,0))*($CS18:$CV18-OFFSET($C$6:$F$6,DI$5,0)))+OFFSET($G$6,DI$5,0)^2)</f>
        <v>#NUM!</v>
      </c>
      <c r="DT18" s="10" t="e">
        <f t="array" aca="1" ref="DT18" ca="1">-SUM(($CW18:$CZ18)*($CS18:$CV18-OFFSET($C$6:$F$6,DJ$5,0)))-SQRT(SUM(($CW18:$CZ18)*($CS18:$CV18-OFFSET($C$6:$F$6,DJ$5,0)))^2-SUM(($CS18:$CV18-OFFSET($C$6:$F$6,DJ$5,0))*($CS18:$CV18-OFFSET($C$6:$F$6,DJ$5,0)))+OFFSET($G$6,DJ$5,0)^2)</f>
        <v>#NUM!</v>
      </c>
      <c r="DU18" s="10" t="e">
        <f t="array" aca="1" ref="DU18" ca="1">-SUM(($CW18:$CZ18)*($CS18:$CV18-OFFSET($C$6:$F$6,DK$5,0)))-SQRT(SUM(($CW18:$CZ18)*($CS18:$CV18-OFFSET($C$6:$F$6,DK$5,0)))^2-SUM(($CS18:$CV18-OFFSET($C$6:$F$6,DK$5,0))*($CS18:$CV18-OFFSET($C$6:$F$6,DK$5,0)))+OFFSET($G$6,DK$5,0)^2)</f>
        <v>#NUM!</v>
      </c>
      <c r="DW18" s="10">
        <f t="array" aca="1" ref="DW18" ca="1">MIN(IF(IF(ISERROR(DB18:DU18),-1,DB18:DU18)&lt;0,9999999999,DB18:DU18))</f>
        <v>9999999999</v>
      </c>
      <c r="DY18" s="11">
        <f t="shared" ca="1" si="25"/>
        <v>0.72662161336316888</v>
      </c>
      <c r="EB18" s="10">
        <f t="array" aca="1" ref="EB18:EE18" ca="1">BN18:BQ18+BV18:BY18*0.01</f>
        <v>-1.8927496609458927</v>
      </c>
      <c r="EC18" s="10">
        <f ca="1"/>
        <v>-1.0424418687131549</v>
      </c>
      <c r="ED18" s="10">
        <f ca="1"/>
        <v>-10.059555213711599</v>
      </c>
      <c r="EE18" s="10">
        <f ca="1"/>
        <v>1</v>
      </c>
      <c r="EF18" s="10">
        <f t="shared" ca="1" si="26"/>
        <v>-0.34437292645202555</v>
      </c>
      <c r="EG18" s="10">
        <f t="shared" ca="1" si="27"/>
        <v>0.29824256002086119</v>
      </c>
      <c r="EH18" s="10">
        <f t="shared" ca="1" si="28"/>
        <v>0.89020147321776033</v>
      </c>
      <c r="EI18" s="10">
        <f t="shared" ca="1" si="29"/>
        <v>0</v>
      </c>
      <c r="EK18" s="10">
        <f t="array" aca="1" ref="EK18" ca="1">-SUM(($EF18:$EI18)*($EB18:$EE18-OFFSET($C$6:$F$6,EK$5,0)))+SQRT(SUM(($EF18:$EI18)*($EB18:$EE18-OFFSET($C$6:$F$6,EK$5,0)))^2-SUM(($EB18:$EE18-OFFSET($C$6:$F$6,EK$5,0))*($EB18:$EE18-OFFSET($C$6:$F$6,EK$5,0)))+OFFSET($G$6,EK$5,0)^2)</f>
        <v>-3.4494695789419438E-2</v>
      </c>
      <c r="EL18" s="10" t="e">
        <f t="array" aca="1" ref="EL18" ca="1">-SUM(($EF18:$EI18)*($EB18:$EE18-OFFSET($C$6:$F$6,EL$5,0)))+SQRT(SUM(($EF18:$EI18)*($EB18:$EE18-OFFSET($C$6:$F$6,EL$5,0)))^2-SUM(($EB18:$EE18-OFFSET($C$6:$F$6,EL$5,0))*($EB18:$EE18-OFFSET($C$6:$F$6,EL$5,0)))+OFFSET($G$6,EL$5,0)^2)</f>
        <v>#NUM!</v>
      </c>
      <c r="EM18" s="10" t="e">
        <f t="array" aca="1" ref="EM18" ca="1">-SUM(($EF18:$EI18)*($EB18:$EE18-OFFSET($C$6:$F$6,EM$5,0)))+SQRT(SUM(($EF18:$EI18)*($EB18:$EE18-OFFSET($C$6:$F$6,EM$5,0)))^2-SUM(($EB18:$EE18-OFFSET($C$6:$F$6,EM$5,0))*($EB18:$EE18-OFFSET($C$6:$F$6,EM$5,0)))+OFFSET($G$6,EM$5,0)^2)</f>
        <v>#NUM!</v>
      </c>
      <c r="EN18" s="10" t="e">
        <f t="array" aca="1" ref="EN18" ca="1">-SUM(($EF18:$EI18)*($EB18:$EE18-OFFSET($C$6:$F$6,EN$5,0)))+SQRT(SUM(($EF18:$EI18)*($EB18:$EE18-OFFSET($C$6:$F$6,EN$5,0)))^2-SUM(($EB18:$EE18-OFFSET($C$6:$F$6,EN$5,0))*($EB18:$EE18-OFFSET($C$6:$F$6,EN$5,0)))+OFFSET($G$6,EN$5,0)^2)</f>
        <v>#NUM!</v>
      </c>
      <c r="EO18" s="10" t="e">
        <f t="array" aca="1" ref="EO18" ca="1">-SUM(($EF18:$EI18)*($EB18:$EE18-OFFSET($C$6:$F$6,EO$5,0)))+SQRT(SUM(($EF18:$EI18)*($EB18:$EE18-OFFSET($C$6:$F$6,EO$5,0)))^2-SUM(($EB18:$EE18-OFFSET($C$6:$F$6,EO$5,0))*($EB18:$EE18-OFFSET($C$6:$F$6,EO$5,0)))+OFFSET($G$6,EO$5,0)^2)</f>
        <v>#NUM!</v>
      </c>
      <c r="EP18" s="10" t="e">
        <f t="array" aca="1" ref="EP18" ca="1">-SUM(($EF18:$EI18)*($EB18:$EE18-OFFSET($C$6:$F$6,EP$5,0)))+SQRT(SUM(($EF18:$EI18)*($EB18:$EE18-OFFSET($C$6:$F$6,EP$5,0)))^2-SUM(($EB18:$EE18-OFFSET($C$6:$F$6,EP$5,0))*($EB18:$EE18-OFFSET($C$6:$F$6,EP$5,0)))+OFFSET($G$6,EP$5,0)^2)</f>
        <v>#NUM!</v>
      </c>
      <c r="EQ18" s="10" t="e">
        <f t="array" aca="1" ref="EQ18" ca="1">-SUM(($EF18:$EI18)*($EB18:$EE18-OFFSET($C$6:$F$6,EQ$5,0)))+SQRT(SUM(($EF18:$EI18)*($EB18:$EE18-OFFSET($C$6:$F$6,EQ$5,0)))^2-SUM(($EB18:$EE18-OFFSET($C$6:$F$6,EQ$5,0))*($EB18:$EE18-OFFSET($C$6:$F$6,EQ$5,0)))+OFFSET($G$6,EQ$5,0)^2)</f>
        <v>#NUM!</v>
      </c>
      <c r="ER18" s="10" t="e">
        <f t="array" aca="1" ref="ER18" ca="1">-SUM(($EF18:$EI18)*($EB18:$EE18-OFFSET($C$6:$F$6,ER$5,0)))+SQRT(SUM(($EF18:$EI18)*($EB18:$EE18-OFFSET($C$6:$F$6,ER$5,0)))^2-SUM(($EB18:$EE18-OFFSET($C$6:$F$6,ER$5,0))*($EB18:$EE18-OFFSET($C$6:$F$6,ER$5,0)))+OFFSET($G$6,ER$5,0)^2)</f>
        <v>#NUM!</v>
      </c>
      <c r="ES18" s="10" t="e">
        <f t="array" aca="1" ref="ES18" ca="1">-SUM(($EF18:$EI18)*($EB18:$EE18-OFFSET($C$6:$F$6,ES$5,0)))+SQRT(SUM(($EF18:$EI18)*($EB18:$EE18-OFFSET($C$6:$F$6,ES$5,0)))^2-SUM(($EB18:$EE18-OFFSET($C$6:$F$6,ES$5,0))*($EB18:$EE18-OFFSET($C$6:$F$6,ES$5,0)))+OFFSET($G$6,ES$5,0)^2)</f>
        <v>#NUM!</v>
      </c>
      <c r="ET18" s="10" t="e">
        <f t="array" aca="1" ref="ET18" ca="1">-SUM(($EF18:$EI18)*($EB18:$EE18-OFFSET($C$6:$F$6,ET$5,0)))+SQRT(SUM(($EF18:$EI18)*($EB18:$EE18-OFFSET($C$6:$F$6,ET$5,0)))^2-SUM(($EB18:$EE18-OFFSET($C$6:$F$6,ET$5,0))*($EB18:$EE18-OFFSET($C$6:$F$6,ET$5,0)))+OFFSET($G$6,ET$5,0)^2)</f>
        <v>#NUM!</v>
      </c>
      <c r="EU18" s="10">
        <f t="array" aca="1" ref="EU18" ca="1">-SUM(($EF18:$EI18)*($EB18:$EE18-OFFSET($C$6:$F$6,EK$5,0)))-SQRT(SUM(($EF18:$EI18)*($EB18:$EE18-OFFSET($C$6:$F$6,EK$5,0)))^2-SUM(($EB18:$EE18-OFFSET($C$6:$F$6,EK$5,0))*($EB18:$EE18-OFFSET($C$6:$F$6,EK$5,0)))+OFFSET($G$6,EK$5,0)^2)</f>
        <v>-579.22238601997628</v>
      </c>
      <c r="EV18" s="10" t="e">
        <f t="array" aca="1" ref="EV18" ca="1">-SUM(($EF18:$EI18)*($EB18:$EE18-OFFSET($C$6:$F$6,EL$5,0)))-SQRT(SUM(($EF18:$EI18)*($EB18:$EE18-OFFSET($C$6:$F$6,EL$5,0)))^2-SUM(($EB18:$EE18-OFFSET($C$6:$F$6,EL$5,0))*($EB18:$EE18-OFFSET($C$6:$F$6,EL$5,0)))+OFFSET($G$6,EL$5,0)^2)</f>
        <v>#NUM!</v>
      </c>
      <c r="EW18" s="10" t="e">
        <f t="array" aca="1" ref="EW18" ca="1">-SUM(($EF18:$EI18)*($EB18:$EE18-OFFSET($C$6:$F$6,EM$5,0)))-SQRT(SUM(($EF18:$EI18)*($EB18:$EE18-OFFSET($C$6:$F$6,EM$5,0)))^2-SUM(($EB18:$EE18-OFFSET($C$6:$F$6,EM$5,0))*($EB18:$EE18-OFFSET($C$6:$F$6,EM$5,0)))+OFFSET($G$6,EM$5,0)^2)</f>
        <v>#NUM!</v>
      </c>
      <c r="EX18" s="10" t="e">
        <f t="array" aca="1" ref="EX18" ca="1">-SUM(($EF18:$EI18)*($EB18:$EE18-OFFSET($C$6:$F$6,EN$5,0)))-SQRT(SUM(($EF18:$EI18)*($EB18:$EE18-OFFSET($C$6:$F$6,EN$5,0)))^2-SUM(($EB18:$EE18-OFFSET($C$6:$F$6,EN$5,0))*($EB18:$EE18-OFFSET($C$6:$F$6,EN$5,0)))+OFFSET($G$6,EN$5,0)^2)</f>
        <v>#NUM!</v>
      </c>
      <c r="EY18" s="10" t="e">
        <f t="array" aca="1" ref="EY18" ca="1">-SUM(($EF18:$EI18)*($EB18:$EE18-OFFSET($C$6:$F$6,EO$5,0)))-SQRT(SUM(($EF18:$EI18)*($EB18:$EE18-OFFSET($C$6:$F$6,EO$5,0)))^2-SUM(($EB18:$EE18-OFFSET($C$6:$F$6,EO$5,0))*($EB18:$EE18-OFFSET($C$6:$F$6,EO$5,0)))+OFFSET($G$6,EO$5,0)^2)</f>
        <v>#NUM!</v>
      </c>
      <c r="EZ18" s="10" t="e">
        <f t="array" aca="1" ref="EZ18" ca="1">-SUM(($EF18:$EI18)*($EB18:$EE18-OFFSET($C$6:$F$6,EP$5,0)))-SQRT(SUM(($EF18:$EI18)*($EB18:$EE18-OFFSET($C$6:$F$6,EP$5,0)))^2-SUM(($EB18:$EE18-OFFSET($C$6:$F$6,EP$5,0))*($EB18:$EE18-OFFSET($C$6:$F$6,EP$5,0)))+OFFSET($G$6,EP$5,0)^2)</f>
        <v>#NUM!</v>
      </c>
      <c r="FA18" s="10" t="e">
        <f t="array" aca="1" ref="FA18" ca="1">-SUM(($EF18:$EI18)*($EB18:$EE18-OFFSET($C$6:$F$6,EQ$5,0)))-SQRT(SUM(($EF18:$EI18)*($EB18:$EE18-OFFSET($C$6:$F$6,EQ$5,0)))^2-SUM(($EB18:$EE18-OFFSET($C$6:$F$6,EQ$5,0))*($EB18:$EE18-OFFSET($C$6:$F$6,EQ$5,0)))+OFFSET($G$6,EQ$5,0)^2)</f>
        <v>#NUM!</v>
      </c>
      <c r="FB18" s="10" t="e">
        <f t="array" aca="1" ref="FB18" ca="1">-SUM(($EF18:$EI18)*($EB18:$EE18-OFFSET($C$6:$F$6,ER$5,0)))-SQRT(SUM(($EF18:$EI18)*($EB18:$EE18-OFFSET($C$6:$F$6,ER$5,0)))^2-SUM(($EB18:$EE18-OFFSET($C$6:$F$6,ER$5,0))*($EB18:$EE18-OFFSET($C$6:$F$6,ER$5,0)))+OFFSET($G$6,ER$5,0)^2)</f>
        <v>#NUM!</v>
      </c>
      <c r="FC18" s="10" t="e">
        <f t="array" aca="1" ref="FC18" ca="1">-SUM(($EF18:$EI18)*($EB18:$EE18-OFFSET($C$6:$F$6,ES$5,0)))-SQRT(SUM(($EF18:$EI18)*($EB18:$EE18-OFFSET($C$6:$F$6,ES$5,0)))^2-SUM(($EB18:$EE18-OFFSET($C$6:$F$6,ES$5,0))*($EB18:$EE18-OFFSET($C$6:$F$6,ES$5,0)))+OFFSET($G$6,ES$5,0)^2)</f>
        <v>#NUM!</v>
      </c>
      <c r="FD18" s="10" t="e">
        <f t="array" aca="1" ref="FD18" ca="1">-SUM(($EF18:$EI18)*($EB18:$EE18-OFFSET($C$6:$F$6,ET$5,0)))-SQRT(SUM(($EF18:$EI18)*($EB18:$EE18-OFFSET($C$6:$F$6,ET$5,0)))^2-SUM(($EB18:$EE18-OFFSET($C$6:$F$6,ET$5,0))*($EB18:$EE18-OFFSET($C$6:$F$6,ET$5,0)))+OFFSET($G$6,ET$5,0)^2)</f>
        <v>#NUM!</v>
      </c>
      <c r="FF18" s="10">
        <f t="array" aca="1" ref="FF18" ca="1">MIN(IF(IF(ISERROR(EK18:FD18),-1,EK18:FD18)&lt;0,9999999999,EK18:FD18))</f>
        <v>9999999999</v>
      </c>
      <c r="FH18">
        <f t="shared" ca="1" si="30"/>
        <v>-1</v>
      </c>
      <c r="FJ18" s="10">
        <f t="shared" ca="1" si="31"/>
        <v>-3443729266.0686326</v>
      </c>
      <c r="FK18" s="10">
        <f t="shared" ca="1" si="32"/>
        <v>2982425598.8679276</v>
      </c>
      <c r="FL18" s="10">
        <f t="shared" ca="1" si="33"/>
        <v>8902014721.2278461</v>
      </c>
      <c r="FM18" s="10">
        <f t="shared" ca="1" si="34"/>
        <v>1</v>
      </c>
      <c r="FN18" s="14">
        <f t="shared" ca="1" si="35"/>
        <v>0.34437292645202555</v>
      </c>
      <c r="FO18" s="14">
        <f t="shared" ca="1" si="0"/>
        <v>-0.29824256002086119</v>
      </c>
      <c r="FP18" s="14">
        <f t="shared" ca="1" si="1"/>
        <v>-0.89020147321776033</v>
      </c>
      <c r="FQ18" s="14">
        <f t="shared" ca="1" si="2"/>
        <v>0</v>
      </c>
      <c r="FR18" s="10" t="e">
        <f t="array" aca="1" ref="FR18" ca="1">(FJ18-OFFSET(C$6,$FH18,0))/SQRT(SUM(($FJ18:$FM18-OFFSET($C$6:$F$6,$FH18,0))*($FJ18:$FM18-OFFSET($C$6:$F$6,$FH18,0))))</f>
        <v>#VALUE!</v>
      </c>
      <c r="FS18" s="10" t="e">
        <f t="array" aca="1" ref="FS18" ca="1">(FK18-OFFSET(D$6,$FH18,0))/SQRT(SUM(($FJ18:$FM18-OFFSET($C$6:$F$6,$FH18,0))*($FJ18:$FM18-OFFSET($C$6:$F$6,$FH18,0))))</f>
        <v>#VALUE!</v>
      </c>
      <c r="FT18" s="10" t="e">
        <f t="array" aca="1" ref="FT18" ca="1">(FL18-OFFSET(E$6,$FH18,0))/SQRT(SUM(($FJ18:$FM18-OFFSET($C$6:$F$6,$FH18,0))*($FJ18:$FM18-OFFSET($C$6:$F$6,$FH18,0))))</f>
        <v>#VALUE!</v>
      </c>
      <c r="FU18" s="10" t="e">
        <f t="array" aca="1" ref="FU18" ca="1">(FM18-OFFSET(F$6,$FH18,0))/SQRT(SUM(($FJ18:$FM18-OFFSET($C$6:$F$6,$FH18,0))*($FJ18:$FM18-OFFSET($C$6:$F$6,$FH18,0))))</f>
        <v>#VALUE!</v>
      </c>
      <c r="FV18" s="14">
        <f t="array" aca="1" ref="FV18" ca="1">-(FJ18-O$6)/SQRT(SUM(($O$6:$R$6-$FJ18:$FM18)*($O$6:$R$6-$FJ18:$FM18)))</f>
        <v>0.34437292585268559</v>
      </c>
      <c r="FW18" s="14">
        <f t="array" aca="1" ref="FW18" ca="1">-(FK18-P$6)/SQRT(SUM(($O$6:$R$6-$FJ18:$FM18)*($O$6:$R$6-$FJ18:$FM18)))</f>
        <v>-0.29824255909968606</v>
      </c>
      <c r="FX18" s="14">
        <f t="array" aca="1" ref="FX18" ca="1">-(FL18-Q$6)/SQRT(SUM(($O$6:$R$6-$FJ18:$FM18)*($O$6:$R$6-$FJ18:$FM18)))</f>
        <v>-0.89020147375823355</v>
      </c>
      <c r="FY18" s="14">
        <f t="array" aca="1" ref="FY18" ca="1">-(FM18-R$6)/SQRT(SUM(($O$6:$R$6-$FJ18:$FM18)*($O$6:$R$6-$FJ18:$FM18)))</f>
        <v>0</v>
      </c>
      <c r="FZ18" s="14" t="e">
        <f t="array" aca="1" ref="FZ18:GC18" ca="1">-FN18:FQ18-FR18:FU18*2*SUM(-FN18:FQ18*FR18:FU18)</f>
        <v>#VALUE!</v>
      </c>
      <c r="GA18" s="14" t="e">
        <f ca="1"/>
        <v>#VALUE!</v>
      </c>
      <c r="GB18" s="14" t="e">
        <f ca="1"/>
        <v>#VALUE!</v>
      </c>
      <c r="GC18" s="14" t="e">
        <f ca="1"/>
        <v>#VALUE!</v>
      </c>
      <c r="GD18" s="14" t="e">
        <f t="array" aca="1" ref="GD18:GG18" ca="1">-FV18:FY18-FR18:FU18*2*SUM(-FV18:FY18*FR18:FU18)</f>
        <v>#VALUE!</v>
      </c>
      <c r="GE18" s="14" t="e">
        <f ca="1"/>
        <v>#VALUE!</v>
      </c>
      <c r="GF18" s="14" t="e">
        <f ca="1"/>
        <v>#VALUE!</v>
      </c>
      <c r="GG18" s="14" t="e">
        <f ca="1"/>
        <v>#VALUE!</v>
      </c>
      <c r="GH18" t="e">
        <f t="array" aca="1" ref="GH18" ca="1">SUM(FV18:FY18*FR18:FU18)</f>
        <v>#VALUE!</v>
      </c>
      <c r="GI18" t="e">
        <f t="array" aca="1" ref="GI18" ca="1">SUM(GD18:GG18*FN18:FQ18)</f>
        <v>#VALUE!</v>
      </c>
      <c r="GJ18" s="11" t="e">
        <f t="shared" ca="1" si="36"/>
        <v>#VALUE!</v>
      </c>
      <c r="GK18" s="11" t="e">
        <f t="shared" ca="1" si="37"/>
        <v>#VALUE!</v>
      </c>
      <c r="GL18" s="11" t="e">
        <f t="shared" ca="1" si="38"/>
        <v>#VALUE!</v>
      </c>
      <c r="GM18" s="11">
        <f t="shared" ca="1" si="39"/>
        <v>0</v>
      </c>
      <c r="GO18" s="10" t="e">
        <f t="array" aca="1" ref="GO18:GR18" ca="1">FJ18:FM18+FR18:FU18*0.001</f>
        <v>#VALUE!</v>
      </c>
      <c r="GP18" s="10" t="e">
        <f ca="1"/>
        <v>#VALUE!</v>
      </c>
      <c r="GQ18" s="10" t="e">
        <f ca="1"/>
        <v>#VALUE!</v>
      </c>
      <c r="GR18" s="10" t="e">
        <f ca="1"/>
        <v>#VALUE!</v>
      </c>
      <c r="GS18" s="10">
        <f t="shared" ca="1" si="40"/>
        <v>0.34437292585268559</v>
      </c>
      <c r="GT18" s="10">
        <f t="shared" ca="1" si="3"/>
        <v>-0.29824255909968606</v>
      </c>
      <c r="GU18" s="10">
        <f t="shared" ca="1" si="4"/>
        <v>-0.89020147375823355</v>
      </c>
      <c r="GV18" s="10">
        <f t="shared" ca="1" si="5"/>
        <v>0</v>
      </c>
      <c r="GX18" s="10" t="e">
        <f t="array" aca="1" ref="GX18" ca="1">-SUM(($GS18:$GV18)*($GO18:$GR18-OFFSET($C$6:$F$6,GX$5,0)))+SQRT(SUM(($GS18:$GV18)*($GO18:$GR18-OFFSET($C$6:$F$6,GX$5,0)))^2-SUM(($GO18:$GR18-OFFSET($C$6:$F$6,GX$5,0))*($GO18:$GR18-OFFSET($C$6:$F$6,GX$5,0)))+OFFSET($G$6,GX$5,0)^2)</f>
        <v>#VALUE!</v>
      </c>
      <c r="GY18" s="10" t="e">
        <f t="array" aca="1" ref="GY18" ca="1">-SUM(($GS18:$GV18)*($GO18:$GR18-OFFSET($C$6:$F$6,GY$5,0)))+SQRT(SUM(($GS18:$GV18)*($GO18:$GR18-OFFSET($C$6:$F$6,GY$5,0)))^2-SUM(($GO18:$GR18-OFFSET($C$6:$F$6,GY$5,0))*($GO18:$GR18-OFFSET($C$6:$F$6,GY$5,0)))+OFFSET($G$6,GY$5,0)^2)</f>
        <v>#VALUE!</v>
      </c>
      <c r="GZ18" s="10" t="e">
        <f t="array" aca="1" ref="GZ18" ca="1">-SUM(($GS18:$GV18)*($GO18:$GR18-OFFSET($C$6:$F$6,GZ$5,0)))+SQRT(SUM(($GS18:$GV18)*($GO18:$GR18-OFFSET($C$6:$F$6,GZ$5,0)))^2-SUM(($GO18:$GR18-OFFSET($C$6:$F$6,GZ$5,0))*($GO18:$GR18-OFFSET($C$6:$F$6,GZ$5,0)))+OFFSET($G$6,GZ$5,0)^2)</f>
        <v>#VALUE!</v>
      </c>
      <c r="HA18" s="10" t="e">
        <f t="array" aca="1" ref="HA18" ca="1">-SUM(($GS18:$GV18)*($GO18:$GR18-OFFSET($C$6:$F$6,HA$5,0)))+SQRT(SUM(($GS18:$GV18)*($GO18:$GR18-OFFSET($C$6:$F$6,HA$5,0)))^2-SUM(($GO18:$GR18-OFFSET($C$6:$F$6,HA$5,0))*($GO18:$GR18-OFFSET($C$6:$F$6,HA$5,0)))+OFFSET($G$6,HA$5,0)^2)</f>
        <v>#VALUE!</v>
      </c>
      <c r="HB18" s="10" t="e">
        <f t="array" aca="1" ref="HB18" ca="1">-SUM(($GS18:$GV18)*($GO18:$GR18-OFFSET($C$6:$F$6,HB$5,0)))+SQRT(SUM(($GS18:$GV18)*($GO18:$GR18-OFFSET($C$6:$F$6,HB$5,0)))^2-SUM(($GO18:$GR18-OFFSET($C$6:$F$6,HB$5,0))*($GO18:$GR18-OFFSET($C$6:$F$6,HB$5,0)))+OFFSET($G$6,HB$5,0)^2)</f>
        <v>#VALUE!</v>
      </c>
      <c r="HC18" s="10" t="e">
        <f t="array" aca="1" ref="HC18" ca="1">-SUM(($GS18:$GV18)*($GO18:$GR18-OFFSET($C$6:$F$6,HC$5,0)))+SQRT(SUM(($GS18:$GV18)*($GO18:$GR18-OFFSET($C$6:$F$6,HC$5,0)))^2-SUM(($GO18:$GR18-OFFSET($C$6:$F$6,HC$5,0))*($GO18:$GR18-OFFSET($C$6:$F$6,HC$5,0)))+OFFSET($G$6,HC$5,0)^2)</f>
        <v>#VALUE!</v>
      </c>
      <c r="HD18" s="10" t="e">
        <f t="array" aca="1" ref="HD18" ca="1">-SUM(($GS18:$GV18)*($GO18:$GR18-OFFSET($C$6:$F$6,HD$5,0)))+SQRT(SUM(($GS18:$GV18)*($GO18:$GR18-OFFSET($C$6:$F$6,HD$5,0)))^2-SUM(($GO18:$GR18-OFFSET($C$6:$F$6,HD$5,0))*($GO18:$GR18-OFFSET($C$6:$F$6,HD$5,0)))+OFFSET($G$6,HD$5,0)^2)</f>
        <v>#VALUE!</v>
      </c>
      <c r="HE18" s="10" t="e">
        <f t="array" aca="1" ref="HE18" ca="1">-SUM(($GS18:$GV18)*($GO18:$GR18-OFFSET($C$6:$F$6,HE$5,0)))+SQRT(SUM(($GS18:$GV18)*($GO18:$GR18-OFFSET($C$6:$F$6,HE$5,0)))^2-SUM(($GO18:$GR18-OFFSET($C$6:$F$6,HE$5,0))*($GO18:$GR18-OFFSET($C$6:$F$6,HE$5,0)))+OFFSET($G$6,HE$5,0)^2)</f>
        <v>#VALUE!</v>
      </c>
      <c r="HF18" s="10" t="e">
        <f t="array" aca="1" ref="HF18" ca="1">-SUM(($GS18:$GV18)*($GO18:$GR18-OFFSET($C$6:$F$6,HF$5,0)))+SQRT(SUM(($GS18:$GV18)*($GO18:$GR18-OFFSET($C$6:$F$6,HF$5,0)))^2-SUM(($GO18:$GR18-OFFSET($C$6:$F$6,HF$5,0))*($GO18:$GR18-OFFSET($C$6:$F$6,HF$5,0)))+OFFSET($G$6,HF$5,0)^2)</f>
        <v>#VALUE!</v>
      </c>
      <c r="HG18" s="10" t="e">
        <f t="array" aca="1" ref="HG18" ca="1">-SUM(($GS18:$GV18)*($GO18:$GR18-OFFSET($C$6:$F$6,HG$5,0)))+SQRT(SUM(($GS18:$GV18)*($GO18:$GR18-OFFSET($C$6:$F$6,HG$5,0)))^2-SUM(($GO18:$GR18-OFFSET($C$6:$F$6,HG$5,0))*($GO18:$GR18-OFFSET($C$6:$F$6,HG$5,0)))+OFFSET($G$6,HG$5,0)^2)</f>
        <v>#VALUE!</v>
      </c>
      <c r="HH18" s="10" t="e">
        <f t="array" aca="1" ref="HH18" ca="1">-SUM(($GS18:$GV18)*($GO18:$GR18-OFFSET($C$6:$F$6,GX$5,0)))-SQRT(SUM(($GS18:$GV18)*($GO18:$GR18-OFFSET($C$6:$F$6,GX$5,0)))^2-SUM(($GO18:$GR18-OFFSET($C$6:$F$6,GX$5,0))*($GO18:$GR18-OFFSET($C$6:$F$6,GX$5,0)))+OFFSET($G$6,GX$5,0)^2)</f>
        <v>#VALUE!</v>
      </c>
      <c r="HI18" s="10" t="e">
        <f t="array" aca="1" ref="HI18" ca="1">-SUM(($GS18:$GV18)*($GO18:$GR18-OFFSET($C$6:$F$6,GY$5,0)))-SQRT(SUM(($GS18:$GV18)*($GO18:$GR18-OFFSET($C$6:$F$6,GY$5,0)))^2-SUM(($GO18:$GR18-OFFSET($C$6:$F$6,GY$5,0))*($GO18:$GR18-OFFSET($C$6:$F$6,GY$5,0)))+OFFSET($G$6,GY$5,0)^2)</f>
        <v>#VALUE!</v>
      </c>
      <c r="HJ18" s="10" t="e">
        <f t="array" aca="1" ref="HJ18" ca="1">-SUM(($GS18:$GV18)*($GO18:$GR18-OFFSET($C$6:$F$6,GZ$5,0)))-SQRT(SUM(($GS18:$GV18)*($GO18:$GR18-OFFSET($C$6:$F$6,GZ$5,0)))^2-SUM(($GO18:$GR18-OFFSET($C$6:$F$6,GZ$5,0))*($GO18:$GR18-OFFSET($C$6:$F$6,GZ$5,0)))+OFFSET($G$6,GZ$5,0)^2)</f>
        <v>#VALUE!</v>
      </c>
      <c r="HK18" s="10" t="e">
        <f t="array" aca="1" ref="HK18" ca="1">-SUM(($GS18:$GV18)*($GO18:$GR18-OFFSET($C$6:$F$6,HA$5,0)))-SQRT(SUM(($GS18:$GV18)*($GO18:$GR18-OFFSET($C$6:$F$6,HA$5,0)))^2-SUM(($GO18:$GR18-OFFSET($C$6:$F$6,HA$5,0))*($GO18:$GR18-OFFSET($C$6:$F$6,HA$5,0)))+OFFSET($G$6,HA$5,0)^2)</f>
        <v>#VALUE!</v>
      </c>
      <c r="HL18" s="10" t="e">
        <f t="array" aca="1" ref="HL18" ca="1">-SUM(($GS18:$GV18)*($GO18:$GR18-OFFSET($C$6:$F$6,HB$5,0)))-SQRT(SUM(($GS18:$GV18)*($GO18:$GR18-OFFSET($C$6:$F$6,HB$5,0)))^2-SUM(($GO18:$GR18-OFFSET($C$6:$F$6,HB$5,0))*($GO18:$GR18-OFFSET($C$6:$F$6,HB$5,0)))+OFFSET($G$6,HB$5,0)^2)</f>
        <v>#VALUE!</v>
      </c>
      <c r="HM18" s="10" t="e">
        <f t="array" aca="1" ref="HM18" ca="1">-SUM(($GS18:$GV18)*($GO18:$GR18-OFFSET($C$6:$F$6,HC$5,0)))-SQRT(SUM(($GS18:$GV18)*($GO18:$GR18-OFFSET($C$6:$F$6,HC$5,0)))^2-SUM(($GO18:$GR18-OFFSET($C$6:$F$6,HC$5,0))*($GO18:$GR18-OFFSET($C$6:$F$6,HC$5,0)))+OFFSET($G$6,HC$5,0)^2)</f>
        <v>#VALUE!</v>
      </c>
      <c r="HN18" s="10" t="e">
        <f t="array" aca="1" ref="HN18" ca="1">-SUM(($GS18:$GV18)*($GO18:$GR18-OFFSET($C$6:$F$6,HD$5,0)))-SQRT(SUM(($GS18:$GV18)*($GO18:$GR18-OFFSET($C$6:$F$6,HD$5,0)))^2-SUM(($GO18:$GR18-OFFSET($C$6:$F$6,HD$5,0))*($GO18:$GR18-OFFSET($C$6:$F$6,HD$5,0)))+OFFSET($G$6,HD$5,0)^2)</f>
        <v>#VALUE!</v>
      </c>
      <c r="HO18" s="10" t="e">
        <f t="array" aca="1" ref="HO18" ca="1">-SUM(($GS18:$GV18)*($GO18:$GR18-OFFSET($C$6:$F$6,HE$5,0)))-SQRT(SUM(($GS18:$GV18)*($GO18:$GR18-OFFSET($C$6:$F$6,HE$5,0)))^2-SUM(($GO18:$GR18-OFFSET($C$6:$F$6,HE$5,0))*($GO18:$GR18-OFFSET($C$6:$F$6,HE$5,0)))+OFFSET($G$6,HE$5,0)^2)</f>
        <v>#VALUE!</v>
      </c>
      <c r="HP18" s="10" t="e">
        <f t="array" aca="1" ref="HP18" ca="1">-SUM(($GS18:$GV18)*($GO18:$GR18-OFFSET($C$6:$F$6,HF$5,0)))-SQRT(SUM(($GS18:$GV18)*($GO18:$GR18-OFFSET($C$6:$F$6,HF$5,0)))^2-SUM(($GO18:$GR18-OFFSET($C$6:$F$6,HF$5,0))*($GO18:$GR18-OFFSET($C$6:$F$6,HF$5,0)))+OFFSET($G$6,HF$5,0)^2)</f>
        <v>#VALUE!</v>
      </c>
      <c r="HQ18" s="10" t="e">
        <f t="array" aca="1" ref="HQ18" ca="1">-SUM(($GS18:$GV18)*($GO18:$GR18-OFFSET($C$6:$F$6,HG$5,0)))-SQRT(SUM(($GS18:$GV18)*($GO18:$GR18-OFFSET($C$6:$F$6,HG$5,0)))^2-SUM(($GO18:$GR18-OFFSET($C$6:$F$6,HG$5,0))*($GO18:$GR18-OFFSET($C$6:$F$6,HG$5,0)))+OFFSET($G$6,HG$5,0)^2)</f>
        <v>#VALUE!</v>
      </c>
      <c r="HS18" s="10">
        <f t="array" aca="1" ref="HS18" ca="1">MIN(IF(IF(ISERROR(GX18:HQ18),-1,GX18:HQ18)&lt;0,9999999999,GX18:HQ18))</f>
        <v>9999999999</v>
      </c>
      <c r="HU18" s="11">
        <f t="shared" ca="1" si="41"/>
        <v>0</v>
      </c>
      <c r="HW18" s="11">
        <f t="shared" ca="1" si="42"/>
        <v>0.72662161336316888</v>
      </c>
    </row>
    <row r="19" spans="16:231" x14ac:dyDescent="0.25">
      <c r="P19" s="140" t="s">
        <v>88</v>
      </c>
      <c r="X19" s="11">
        <f t="shared" si="6"/>
        <v>-1.4870719776380157</v>
      </c>
      <c r="Y19" s="11">
        <f t="shared" si="7"/>
        <v>-1</v>
      </c>
      <c r="Z19" s="11">
        <v>4</v>
      </c>
      <c r="AB19" s="10">
        <f t="array" aca="1" ref="AB19:AE19" ca="1">TRANSPOSE(Screen!$GL$98:$GL$101)</f>
        <v>0</v>
      </c>
      <c r="AC19" s="10">
        <f ca="1"/>
        <v>0.50000000000000033</v>
      </c>
      <c r="AD19" s="10">
        <f ca="1"/>
        <v>-15</v>
      </c>
      <c r="AE19" s="10">
        <f ca="1"/>
        <v>1</v>
      </c>
      <c r="AF19" s="10">
        <f t="array" aca="1" ref="AF19:AH19" ca="1">TRANSPOSE(MMULT(Screen!$GI$98:$GK$100,TRANSPOSE(X19:Z19)))</f>
        <v>-1.4870719776380157</v>
      </c>
      <c r="AG19" s="10">
        <f ca="1"/>
        <v>-1.2380565658529825</v>
      </c>
      <c r="AH19" s="10">
        <f ca="1"/>
        <v>3.9400359935205556</v>
      </c>
      <c r="AI19" s="10">
        <v>1</v>
      </c>
      <c r="AJ19" s="10">
        <f t="array" aca="1" ref="AJ19" ca="1">AF19/SQRT(SUM(($AF19:$AH19)*($AF19:$AH19)))</f>
        <v>-0.33877636125484356</v>
      </c>
      <c r="AK19" s="10">
        <f t="array" aca="1" ref="AK19" ca="1">AG19/SQRT(SUM(($AF19:$AH19)*($AF19:$AH19)))</f>
        <v>-0.28204707284816954</v>
      </c>
      <c r="AL19" s="10">
        <f t="array" aca="1" ref="AL19" ca="1">AH19/SQRT(SUM(($AF19:$AH19)*($AF19:$AH19)))</f>
        <v>0.89759680578348044</v>
      </c>
      <c r="AM19" s="10">
        <v>0</v>
      </c>
      <c r="AO19" s="10">
        <f t="array" aca="1" ref="AO19" ca="1">-SUM(($AJ19:$AM19)*($AB19:$AE19-OFFSET($C$6:$F$6,AO$5,0)))+SQRT(SUM(($AJ19:$AM19)*($AB19:$AE19-OFFSET($C$6:$F$6,AO$5,0)))^2-SUM(($AB19:$AE19-OFFSET($C$6:$F$6,AO$5,0))*($AB19:$AE19-OFFSET($C$6:$F$6,AO$5,0)))+OFFSET($G$6,AO$5,0)^2)</f>
        <v>585.80008614401913</v>
      </c>
      <c r="AP19" s="10" t="e">
        <f t="array" aca="1" ref="AP19" ca="1">-SUM(($AJ19:$AM19)*($AB19:$AE19-OFFSET($C$6:$F$6,AP$5,0)))+SQRT(SUM(($AJ19:$AM19)*($AB19:$AE19-OFFSET($C$6:$F$6,AP$5,0)))^2-SUM(($AB19:$AE19-OFFSET($C$6:$F$6,AP$5,0))*($AB19:$AE19-OFFSET($C$6:$F$6,AP$5,0)))+OFFSET($G$6,AP$5,0)^2)</f>
        <v>#NUM!</v>
      </c>
      <c r="AQ19" s="10" t="e">
        <f t="array" aca="1" ref="AQ19" ca="1">-SUM(($AJ19:$AM19)*($AB19:$AE19-OFFSET($C$6:$F$6,AQ$5,0)))+SQRT(SUM(($AJ19:$AM19)*($AB19:$AE19-OFFSET($C$6:$F$6,AQ$5,0)))^2-SUM(($AB19:$AE19-OFFSET($C$6:$F$6,AQ$5,0))*($AB19:$AE19-OFFSET($C$6:$F$6,AQ$5,0)))+OFFSET($G$6,AQ$5,0)^2)</f>
        <v>#NUM!</v>
      </c>
      <c r="AR19" s="10" t="e">
        <f t="array" aca="1" ref="AR19" ca="1">-SUM(($AJ19:$AM19)*($AB19:$AE19-OFFSET($C$6:$F$6,AR$5,0)))+SQRT(SUM(($AJ19:$AM19)*($AB19:$AE19-OFFSET($C$6:$F$6,AR$5,0)))^2-SUM(($AB19:$AE19-OFFSET($C$6:$F$6,AR$5,0))*($AB19:$AE19-OFFSET($C$6:$F$6,AR$5,0)))+OFFSET($G$6,AR$5,0)^2)</f>
        <v>#NUM!</v>
      </c>
      <c r="AS19" s="10" t="e">
        <f t="array" aca="1" ref="AS19" ca="1">-SUM(($AJ19:$AM19)*($AB19:$AE19-OFFSET($C$6:$F$6,AS$5,0)))+SQRT(SUM(($AJ19:$AM19)*($AB19:$AE19-OFFSET($C$6:$F$6,AS$5,0)))^2-SUM(($AB19:$AE19-OFFSET($C$6:$F$6,AS$5,0))*($AB19:$AE19-OFFSET($C$6:$F$6,AS$5,0)))+OFFSET($G$6,AS$5,0)^2)</f>
        <v>#NUM!</v>
      </c>
      <c r="AT19" s="10" t="e">
        <f t="array" aca="1" ref="AT19" ca="1">-SUM(($AJ19:$AM19)*($AB19:$AE19-OFFSET($C$6:$F$6,AT$5,0)))+SQRT(SUM(($AJ19:$AM19)*($AB19:$AE19-OFFSET($C$6:$F$6,AT$5,0)))^2-SUM(($AB19:$AE19-OFFSET($C$6:$F$6,AT$5,0))*($AB19:$AE19-OFFSET($C$6:$F$6,AT$5,0)))+OFFSET($G$6,AT$5,0)^2)</f>
        <v>#NUM!</v>
      </c>
      <c r="AU19" s="10" t="e">
        <f t="array" aca="1" ref="AU19" ca="1">-SUM(($AJ19:$AM19)*($AB19:$AE19-OFFSET($C$6:$F$6,AU$5,0)))+SQRT(SUM(($AJ19:$AM19)*($AB19:$AE19-OFFSET($C$6:$F$6,AU$5,0)))^2-SUM(($AB19:$AE19-OFFSET($C$6:$F$6,AU$5,0))*($AB19:$AE19-OFFSET($C$6:$F$6,AU$5,0)))+OFFSET($G$6,AU$5,0)^2)</f>
        <v>#NUM!</v>
      </c>
      <c r="AV19" s="10" t="e">
        <f t="array" aca="1" ref="AV19" ca="1">-SUM(($AJ19:$AM19)*($AB19:$AE19-OFFSET($C$6:$F$6,AV$5,0)))+SQRT(SUM(($AJ19:$AM19)*($AB19:$AE19-OFFSET($C$6:$F$6,AV$5,0)))^2-SUM(($AB19:$AE19-OFFSET($C$6:$F$6,AV$5,0))*($AB19:$AE19-OFFSET($C$6:$F$6,AV$5,0)))+OFFSET($G$6,AV$5,0)^2)</f>
        <v>#NUM!</v>
      </c>
      <c r="AW19" s="10" t="e">
        <f t="array" aca="1" ref="AW19" ca="1">-SUM(($AJ19:$AM19)*($AB19:$AE19-OFFSET($C$6:$F$6,AW$5,0)))+SQRT(SUM(($AJ19:$AM19)*($AB19:$AE19-OFFSET($C$6:$F$6,AW$5,0)))^2-SUM(($AB19:$AE19-OFFSET($C$6:$F$6,AW$5,0))*($AB19:$AE19-OFFSET($C$6:$F$6,AW$5,0)))+OFFSET($G$6,AW$5,0)^2)</f>
        <v>#NUM!</v>
      </c>
      <c r="AX19" s="10" t="e">
        <f t="array" aca="1" ref="AX19" ca="1">-SUM(($AJ19:$AM19)*($AB19:$AE19-OFFSET($C$6:$F$6,AX$5,0)))+SQRT(SUM(($AJ19:$AM19)*($AB19:$AE19-OFFSET($C$6:$F$6,AX$5,0)))^2-SUM(($AB19:$AE19-OFFSET($C$6:$F$6,AX$5,0))*($AB19:$AE19-OFFSET($C$6:$F$6,AX$5,0)))+OFFSET($G$6,AX$5,0)^2)</f>
        <v>#NUM!</v>
      </c>
      <c r="AY19" s="10">
        <f t="array" aca="1" ref="AY19" ca="1">-SUM(($AJ19:$AM19)*($AB19:$AE19-OFFSET($C$6:$F$6,AO$5,0)))-SQRT(SUM(($AJ19:$AM19)*($AB19:$AE19-OFFSET($C$6:$F$6,AO$5,0)))^2-SUM(($AB19:$AE19-OFFSET($C$6:$F$6,AO$5,0))*($AB19:$AE19-OFFSET($C$6:$F$6,AO$5,0)))+OFFSET($G$6,AO$5,0)^2)</f>
        <v>5.504010798672482</v>
      </c>
      <c r="AZ19" s="10" t="e">
        <f t="array" aca="1" ref="AZ19" ca="1">-SUM(($AJ19:$AM19)*($AB19:$AE19-OFFSET($C$6:$F$6,AP$5,0)))-SQRT(SUM(($AJ19:$AM19)*($AB19:$AE19-OFFSET($C$6:$F$6,AP$5,0)))^2-SUM(($AB19:$AE19-OFFSET($C$6:$F$6,AP$5,0))*($AB19:$AE19-OFFSET($C$6:$F$6,AP$5,0)))+OFFSET($G$6,AP$5,0)^2)</f>
        <v>#NUM!</v>
      </c>
      <c r="BA19" s="10" t="e">
        <f t="array" aca="1" ref="BA19" ca="1">-SUM(($AJ19:$AM19)*($AB19:$AE19-OFFSET($C$6:$F$6,AQ$5,0)))-SQRT(SUM(($AJ19:$AM19)*($AB19:$AE19-OFFSET($C$6:$F$6,AQ$5,0)))^2-SUM(($AB19:$AE19-OFFSET($C$6:$F$6,AQ$5,0))*($AB19:$AE19-OFFSET($C$6:$F$6,AQ$5,0)))+OFFSET($G$6,AQ$5,0)^2)</f>
        <v>#NUM!</v>
      </c>
      <c r="BB19" s="10" t="e">
        <f t="array" aca="1" ref="BB19" ca="1">-SUM(($AJ19:$AM19)*($AB19:$AE19-OFFSET($C$6:$F$6,AR$5,0)))-SQRT(SUM(($AJ19:$AM19)*($AB19:$AE19-OFFSET($C$6:$F$6,AR$5,0)))^2-SUM(($AB19:$AE19-OFFSET($C$6:$F$6,AR$5,0))*($AB19:$AE19-OFFSET($C$6:$F$6,AR$5,0)))+OFFSET($G$6,AR$5,0)^2)</f>
        <v>#NUM!</v>
      </c>
      <c r="BC19" s="10" t="e">
        <f t="array" aca="1" ref="BC19" ca="1">-SUM(($AJ19:$AM19)*($AB19:$AE19-OFFSET($C$6:$F$6,AS$5,0)))-SQRT(SUM(($AJ19:$AM19)*($AB19:$AE19-OFFSET($C$6:$F$6,AS$5,0)))^2-SUM(($AB19:$AE19-OFFSET($C$6:$F$6,AS$5,0))*($AB19:$AE19-OFFSET($C$6:$F$6,AS$5,0)))+OFFSET($G$6,AS$5,0)^2)</f>
        <v>#NUM!</v>
      </c>
      <c r="BD19" s="10" t="e">
        <f t="array" aca="1" ref="BD19" ca="1">-SUM(($AJ19:$AM19)*($AB19:$AE19-OFFSET($C$6:$F$6,AT$5,0)))-SQRT(SUM(($AJ19:$AM19)*($AB19:$AE19-OFFSET($C$6:$F$6,AT$5,0)))^2-SUM(($AB19:$AE19-OFFSET($C$6:$F$6,AT$5,0))*($AB19:$AE19-OFFSET($C$6:$F$6,AT$5,0)))+OFFSET($G$6,AT$5,0)^2)</f>
        <v>#NUM!</v>
      </c>
      <c r="BE19" s="10" t="e">
        <f t="array" aca="1" ref="BE19" ca="1">-SUM(($AJ19:$AM19)*($AB19:$AE19-OFFSET($C$6:$F$6,AU$5,0)))-SQRT(SUM(($AJ19:$AM19)*($AB19:$AE19-OFFSET($C$6:$F$6,AU$5,0)))^2-SUM(($AB19:$AE19-OFFSET($C$6:$F$6,AU$5,0))*($AB19:$AE19-OFFSET($C$6:$F$6,AU$5,0)))+OFFSET($G$6,AU$5,0)^2)</f>
        <v>#NUM!</v>
      </c>
      <c r="BF19" s="10" t="e">
        <f t="array" aca="1" ref="BF19" ca="1">-SUM(($AJ19:$AM19)*($AB19:$AE19-OFFSET($C$6:$F$6,AV$5,0)))-SQRT(SUM(($AJ19:$AM19)*($AB19:$AE19-OFFSET($C$6:$F$6,AV$5,0)))^2-SUM(($AB19:$AE19-OFFSET($C$6:$F$6,AV$5,0))*($AB19:$AE19-OFFSET($C$6:$F$6,AV$5,0)))+OFFSET($G$6,AV$5,0)^2)</f>
        <v>#NUM!</v>
      </c>
      <c r="BG19" s="10" t="e">
        <f t="array" aca="1" ref="BG19" ca="1">-SUM(($AJ19:$AM19)*($AB19:$AE19-OFFSET($C$6:$F$6,AW$5,0)))-SQRT(SUM(($AJ19:$AM19)*($AB19:$AE19-OFFSET($C$6:$F$6,AW$5,0)))^2-SUM(($AB19:$AE19-OFFSET($C$6:$F$6,AW$5,0))*($AB19:$AE19-OFFSET($C$6:$F$6,AW$5,0)))+OFFSET($G$6,AW$5,0)^2)</f>
        <v>#NUM!</v>
      </c>
      <c r="BH19" s="10" t="e">
        <f t="array" aca="1" ref="BH19" ca="1">-SUM(($AJ19:$AM19)*($AB19:$AE19-OFFSET($C$6:$F$6,AX$5,0)))-SQRT(SUM(($AJ19:$AM19)*($AB19:$AE19-OFFSET($C$6:$F$6,AX$5,0)))^2-SUM(($AB19:$AE19-OFFSET($C$6:$F$6,AX$5,0))*($AB19:$AE19-OFFSET($C$6:$F$6,AX$5,0)))+OFFSET($G$6,AX$5,0)^2)</f>
        <v>#NUM!</v>
      </c>
      <c r="BJ19" s="10">
        <f t="array" aca="1" ref="BJ19" ca="1">MIN(IF(IF(ISERROR(AO19:BH19),-1,AO19:BH19)&lt;0,9999999999,AO19:BH19))</f>
        <v>5.504010798672482</v>
      </c>
      <c r="BL19">
        <f t="shared" ca="1" si="8"/>
        <v>0</v>
      </c>
      <c r="BN19" s="10">
        <f t="shared" ca="1" si="43"/>
        <v>-1.8646287506816288</v>
      </c>
      <c r="BO19" s="10">
        <f t="shared" ca="1" si="44"/>
        <v>-1.0523901346902891</v>
      </c>
      <c r="BP19" s="10">
        <f t="shared" ca="1" si="45"/>
        <v>-10.059617488113798</v>
      </c>
      <c r="BQ19" s="10">
        <f t="shared" ca="1" si="46"/>
        <v>1</v>
      </c>
      <c r="BR19" s="14">
        <f t="shared" ca="1" si="47"/>
        <v>0.33877636125484356</v>
      </c>
      <c r="BS19" s="14">
        <f t="shared" ca="1" si="48"/>
        <v>0.28204707284816954</v>
      </c>
      <c r="BT19" s="14">
        <f t="shared" ca="1" si="49"/>
        <v>-0.89759680578348044</v>
      </c>
      <c r="BU19" s="14">
        <f t="shared" si="50"/>
        <v>0</v>
      </c>
      <c r="BV19" s="10">
        <f t="array" aca="1" ref="BV19" ca="1">(BN19-OFFSET(C$6,$BL19,0))/SQRT(SUM(($BN19:$BQ19-OFFSET($C$6:$F$6,$BL19,0))*($BN19:$BQ19-OFFSET($C$6:$F$6,$BL19,0))))</f>
        <v>-1.8664952459275564E-3</v>
      </c>
      <c r="BW19" s="10">
        <f t="array" aca="1" ref="BW19" ca="1">(BO19-OFFSET(D$6,$BL19,0))/SQRT(SUM(($BN19:$BQ19-OFFSET($C$6:$F$6,$BL19,0))*($BN19:$BQ19-OFFSET($C$6:$F$6,$BL19,0))))</f>
        <v>0.99994755742273245</v>
      </c>
      <c r="BX19" s="10">
        <f t="array" aca="1" ref="BX19" ca="1">(BP19-OFFSET(E$6,$BL19,0))/SQRT(SUM(($BN19:$BQ19-OFFSET($C$6:$F$6,$BL19,0))*($BN19:$BQ19-OFFSET($C$6:$F$6,$BL19,0))))</f>
        <v>-1.0069687175289086E-2</v>
      </c>
      <c r="BY19" s="10">
        <f t="array" aca="1" ref="BY19" ca="1">(BQ19-OFFSET(F$6,$BL19,0))/SQRT(SUM(($BN19:$BQ19-OFFSET($C$6:$F$6,$BL19,0))*($BN19:$BQ19-OFFSET($C$6:$F$6,$BL19,0))))</f>
        <v>0</v>
      </c>
      <c r="BZ19" s="14">
        <f t="array" aca="1" ref="BZ19" ca="1">-(BN19-O$6)/SQRT(SUM(($O$6:$R$6-$BN19:$BQ19)*($O$6:$R$6-$BN19:$BQ19)))</f>
        <v>-0.59279217826375419</v>
      </c>
      <c r="CA19" s="14">
        <f t="array" aca="1" ref="CA19" ca="1">-(BO19-P$6)/SQRT(SUM(($O$6:$R$6-$BN19:$BQ19)*($O$6:$R$6-$BN19:$BQ19)))</f>
        <v>0.80534375410499282</v>
      </c>
      <c r="CB19" s="14">
        <f t="array" aca="1" ref="CB19" ca="1">-(BP19-Q$6)/SQRT(SUM(($O$6:$R$6-$BN19:$BQ19)*($O$6:$R$6-$BN19:$BQ19)))</f>
        <v>4.3440894777300575E-3</v>
      </c>
      <c r="CC19" s="14">
        <f t="array" aca="1" ref="CC19" ca="1">-(BQ19-R$6)/SQRT(SUM(($O$6:$R$6-$BN19:$BQ19)*($O$6:$R$6-$BN19:$BQ19)))</f>
        <v>0</v>
      </c>
      <c r="CD19" s="14">
        <f t="array" aca="1" ref="CD19:CG19" ca="1">-BR19:BU19-BV19:BY19*2*SUM(-BR19:BU19*BV19:BY19)</f>
        <v>-0.33986056532477599</v>
      </c>
      <c r="CE19" s="14">
        <f ca="1"/>
        <v>0.29879941676502086</v>
      </c>
      <c r="CF19" s="14">
        <f ca="1"/>
        <v>0.89174755658650784</v>
      </c>
      <c r="CG19" s="14">
        <f ca="1"/>
        <v>0</v>
      </c>
      <c r="CH19" s="14">
        <f t="array" aca="1" ref="CH19:CK19" ca="1">-BZ19:CC19-BV19:BY19*2*SUM(-BZ19:CC19*BV19:BY19)</f>
        <v>0.58978202829765869</v>
      </c>
      <c r="CI19" s="14">
        <f ca="1"/>
        <v>0.80730011018596715</v>
      </c>
      <c r="CJ19" s="14">
        <f ca="1"/>
        <v>-2.0583760366484752E-2</v>
      </c>
      <c r="CK19" s="14">
        <f ca="1"/>
        <v>0</v>
      </c>
      <c r="CL19">
        <f t="array" aca="1" ref="CL19" ca="1">SUM(BZ19:CC19*BV19:BY19)</f>
        <v>0.80636421996339125</v>
      </c>
      <c r="CM19">
        <f t="array" aca="1" ref="CM19" ca="1">SUM(CH19:CK19*BR19:BU19)</f>
        <v>0.44597676002410813</v>
      </c>
      <c r="CN19" s="11">
        <f t="shared" ca="1" si="17"/>
        <v>0</v>
      </c>
      <c r="CO19" s="11">
        <f t="shared" ca="1" si="18"/>
        <v>0.72572779796705211</v>
      </c>
      <c r="CP19" s="11">
        <f t="shared" ca="1" si="19"/>
        <v>6.5567424975109687E-71</v>
      </c>
      <c r="CQ19" s="11">
        <f t="shared" ca="1" si="20"/>
        <v>0.72572779796705211</v>
      </c>
      <c r="CS19" s="10">
        <f t="array" aca="1" ref="CS19:CV19" ca="1">BN19:BQ19+BV19:BY19*0.001</f>
        <v>-1.8646306171768747</v>
      </c>
      <c r="CT19" s="10">
        <f ca="1"/>
        <v>-1.0513901871328664</v>
      </c>
      <c r="CU19" s="10">
        <f ca="1"/>
        <v>-10.059627557800972</v>
      </c>
      <c r="CV19" s="10">
        <f ca="1"/>
        <v>1</v>
      </c>
      <c r="CW19" s="10">
        <f t="shared" ca="1" si="21"/>
        <v>-0.59279217826375419</v>
      </c>
      <c r="CX19" s="10">
        <f t="shared" ca="1" si="22"/>
        <v>0.80534375410499282</v>
      </c>
      <c r="CY19" s="10">
        <f t="shared" ca="1" si="23"/>
        <v>4.3440894777300575E-3</v>
      </c>
      <c r="CZ19" s="10">
        <f t="shared" ca="1" si="24"/>
        <v>0</v>
      </c>
      <c r="DB19" s="10">
        <f t="array" aca="1" ref="DB19" ca="1">-SUM(($CW19:$CZ19)*($CS19:$CV19-OFFSET($C$6:$F$6,DB$5,0)))+SQRT(SUM(($CW19:$CZ19)*($CS19:$CV19-OFFSET($C$6:$F$6,DB$5,0)))^2-SUM(($CS19:$CV19-OFFSET($C$6:$F$6,DB$5,0))*($CS19:$CV19-OFFSET($C$6:$F$6,DB$5,0)))+OFFSET($G$6,DB$5,0)^2)</f>
        <v>-1.2401347238437666E-3</v>
      </c>
      <c r="DC19" s="10" t="e">
        <f t="array" aca="1" ref="DC19" ca="1">-SUM(($CW19:$CZ19)*($CS19:$CV19-OFFSET($C$6:$F$6,DC$5,0)))+SQRT(SUM(($CW19:$CZ19)*($CS19:$CV19-OFFSET($C$6:$F$6,DC$5,0)))^2-SUM(($CS19:$CV19-OFFSET($C$6:$F$6,DC$5,0))*($CS19:$CV19-OFFSET($C$6:$F$6,DC$5,0)))+OFFSET($G$6,DC$5,0)^2)</f>
        <v>#NUM!</v>
      </c>
      <c r="DD19" s="10" t="e">
        <f t="array" aca="1" ref="DD19" ca="1">-SUM(($CW19:$CZ19)*($CS19:$CV19-OFFSET($C$6:$F$6,DD$5,0)))+SQRT(SUM(($CW19:$CZ19)*($CS19:$CV19-OFFSET($C$6:$F$6,DD$5,0)))^2-SUM(($CS19:$CV19-OFFSET($C$6:$F$6,DD$5,0))*($CS19:$CV19-OFFSET($C$6:$F$6,DD$5,0)))+OFFSET($G$6,DD$5,0)^2)</f>
        <v>#NUM!</v>
      </c>
      <c r="DE19" s="10" t="e">
        <f t="array" aca="1" ref="DE19" ca="1">-SUM(($CW19:$CZ19)*($CS19:$CV19-OFFSET($C$6:$F$6,DE$5,0)))+SQRT(SUM(($CW19:$CZ19)*($CS19:$CV19-OFFSET($C$6:$F$6,DE$5,0)))^2-SUM(($CS19:$CV19-OFFSET($C$6:$F$6,DE$5,0))*($CS19:$CV19-OFFSET($C$6:$F$6,DE$5,0)))+OFFSET($G$6,DE$5,0)^2)</f>
        <v>#NUM!</v>
      </c>
      <c r="DF19" s="10" t="e">
        <f t="array" aca="1" ref="DF19" ca="1">-SUM(($CW19:$CZ19)*($CS19:$CV19-OFFSET($C$6:$F$6,DF$5,0)))+SQRT(SUM(($CW19:$CZ19)*($CS19:$CV19-OFFSET($C$6:$F$6,DF$5,0)))^2-SUM(($CS19:$CV19-OFFSET($C$6:$F$6,DF$5,0))*($CS19:$CV19-OFFSET($C$6:$F$6,DF$5,0)))+OFFSET($G$6,DF$5,0)^2)</f>
        <v>#NUM!</v>
      </c>
      <c r="DG19" s="10" t="e">
        <f t="array" aca="1" ref="DG19" ca="1">-SUM(($CW19:$CZ19)*($CS19:$CV19-OFFSET($C$6:$F$6,DG$5,0)))+SQRT(SUM(($CW19:$CZ19)*($CS19:$CV19-OFFSET($C$6:$F$6,DG$5,0)))^2-SUM(($CS19:$CV19-OFFSET($C$6:$F$6,DG$5,0))*($CS19:$CV19-OFFSET($C$6:$F$6,DG$5,0)))+OFFSET($G$6,DG$5,0)^2)</f>
        <v>#NUM!</v>
      </c>
      <c r="DH19" s="10" t="e">
        <f t="array" aca="1" ref="DH19" ca="1">-SUM(($CW19:$CZ19)*($CS19:$CV19-OFFSET($C$6:$F$6,DH$5,0)))+SQRT(SUM(($CW19:$CZ19)*($CS19:$CV19-OFFSET($C$6:$F$6,DH$5,0)))^2-SUM(($CS19:$CV19-OFFSET($C$6:$F$6,DH$5,0))*($CS19:$CV19-OFFSET($C$6:$F$6,DH$5,0)))+OFFSET($G$6,DH$5,0)^2)</f>
        <v>#NUM!</v>
      </c>
      <c r="DI19" s="10" t="e">
        <f t="array" aca="1" ref="DI19" ca="1">-SUM(($CW19:$CZ19)*($CS19:$CV19-OFFSET($C$6:$F$6,DI$5,0)))+SQRT(SUM(($CW19:$CZ19)*($CS19:$CV19-OFFSET($C$6:$F$6,DI$5,0)))^2-SUM(($CS19:$CV19-OFFSET($C$6:$F$6,DI$5,0))*($CS19:$CV19-OFFSET($C$6:$F$6,DI$5,0)))+OFFSET($G$6,DI$5,0)^2)</f>
        <v>#NUM!</v>
      </c>
      <c r="DJ19" s="10" t="e">
        <f t="array" aca="1" ref="DJ19" ca="1">-SUM(($CW19:$CZ19)*($CS19:$CV19-OFFSET($C$6:$F$6,DJ$5,0)))+SQRT(SUM(($CW19:$CZ19)*($CS19:$CV19-OFFSET($C$6:$F$6,DJ$5,0)))^2-SUM(($CS19:$CV19-OFFSET($C$6:$F$6,DJ$5,0))*($CS19:$CV19-OFFSET($C$6:$F$6,DJ$5,0)))+OFFSET($G$6,DJ$5,0)^2)</f>
        <v>#NUM!</v>
      </c>
      <c r="DK19" s="10" t="e">
        <f t="array" aca="1" ref="DK19" ca="1">-SUM(($CW19:$CZ19)*($CS19:$CV19-OFFSET($C$6:$F$6,DK$5,0)))+SQRT(SUM(($CW19:$CZ19)*($CS19:$CV19-OFFSET($C$6:$F$6,DK$5,0)))^2-SUM(($CS19:$CV19-OFFSET($C$6:$F$6,DK$5,0))*($CS19:$CV19-OFFSET($C$6:$F$6,DK$5,0)))+OFFSET($G$6,DK$5,0)^2)</f>
        <v>#NUM!</v>
      </c>
      <c r="DL19" s="10">
        <f t="array" aca="1" ref="DL19" ca="1">-SUM(($CW19:$CZ19)*($CS19:$CV19-OFFSET($C$6:$F$6,DB$5,0)))-SQRT(SUM(($CW19:$CZ19)*($CS19:$CV19-OFFSET($C$6:$F$6,DB$5,0)))^2-SUM(($CS19:$CV19-OFFSET($C$6:$F$6,DB$5,0))*($CS19:$CV19-OFFSET($C$6:$F$6,DB$5,0)))+OFFSET($G$6,DB$5,0)^2)</f>
        <v>-1611.1160840805719</v>
      </c>
      <c r="DM19" s="10" t="e">
        <f t="array" aca="1" ref="DM19" ca="1">-SUM(($CW19:$CZ19)*($CS19:$CV19-OFFSET($C$6:$F$6,DC$5,0)))-SQRT(SUM(($CW19:$CZ19)*($CS19:$CV19-OFFSET($C$6:$F$6,DC$5,0)))^2-SUM(($CS19:$CV19-OFFSET($C$6:$F$6,DC$5,0))*($CS19:$CV19-OFFSET($C$6:$F$6,DC$5,0)))+OFFSET($G$6,DC$5,0)^2)</f>
        <v>#NUM!</v>
      </c>
      <c r="DN19" s="10" t="e">
        <f t="array" aca="1" ref="DN19" ca="1">-SUM(($CW19:$CZ19)*($CS19:$CV19-OFFSET($C$6:$F$6,DD$5,0)))-SQRT(SUM(($CW19:$CZ19)*($CS19:$CV19-OFFSET($C$6:$F$6,DD$5,0)))^2-SUM(($CS19:$CV19-OFFSET($C$6:$F$6,DD$5,0))*($CS19:$CV19-OFFSET($C$6:$F$6,DD$5,0)))+OFFSET($G$6,DD$5,0)^2)</f>
        <v>#NUM!</v>
      </c>
      <c r="DO19" s="10" t="e">
        <f t="array" aca="1" ref="DO19" ca="1">-SUM(($CW19:$CZ19)*($CS19:$CV19-OFFSET($C$6:$F$6,DE$5,0)))-SQRT(SUM(($CW19:$CZ19)*($CS19:$CV19-OFFSET($C$6:$F$6,DE$5,0)))^2-SUM(($CS19:$CV19-OFFSET($C$6:$F$6,DE$5,0))*($CS19:$CV19-OFFSET($C$6:$F$6,DE$5,0)))+OFFSET($G$6,DE$5,0)^2)</f>
        <v>#NUM!</v>
      </c>
      <c r="DP19" s="10" t="e">
        <f t="array" aca="1" ref="DP19" ca="1">-SUM(($CW19:$CZ19)*($CS19:$CV19-OFFSET($C$6:$F$6,DF$5,0)))-SQRT(SUM(($CW19:$CZ19)*($CS19:$CV19-OFFSET($C$6:$F$6,DF$5,0)))^2-SUM(($CS19:$CV19-OFFSET($C$6:$F$6,DF$5,0))*($CS19:$CV19-OFFSET($C$6:$F$6,DF$5,0)))+OFFSET($G$6,DF$5,0)^2)</f>
        <v>#NUM!</v>
      </c>
      <c r="DQ19" s="10" t="e">
        <f t="array" aca="1" ref="DQ19" ca="1">-SUM(($CW19:$CZ19)*($CS19:$CV19-OFFSET($C$6:$F$6,DG$5,0)))-SQRT(SUM(($CW19:$CZ19)*($CS19:$CV19-OFFSET($C$6:$F$6,DG$5,0)))^2-SUM(($CS19:$CV19-OFFSET($C$6:$F$6,DG$5,0))*($CS19:$CV19-OFFSET($C$6:$F$6,DG$5,0)))+OFFSET($G$6,DG$5,0)^2)</f>
        <v>#NUM!</v>
      </c>
      <c r="DR19" s="10" t="e">
        <f t="array" aca="1" ref="DR19" ca="1">-SUM(($CW19:$CZ19)*($CS19:$CV19-OFFSET($C$6:$F$6,DH$5,0)))-SQRT(SUM(($CW19:$CZ19)*($CS19:$CV19-OFFSET($C$6:$F$6,DH$5,0)))^2-SUM(($CS19:$CV19-OFFSET($C$6:$F$6,DH$5,0))*($CS19:$CV19-OFFSET($C$6:$F$6,DH$5,0)))+OFFSET($G$6,DH$5,0)^2)</f>
        <v>#NUM!</v>
      </c>
      <c r="DS19" s="10" t="e">
        <f t="array" aca="1" ref="DS19" ca="1">-SUM(($CW19:$CZ19)*($CS19:$CV19-OFFSET($C$6:$F$6,DI$5,0)))-SQRT(SUM(($CW19:$CZ19)*($CS19:$CV19-OFFSET($C$6:$F$6,DI$5,0)))^2-SUM(($CS19:$CV19-OFFSET($C$6:$F$6,DI$5,0))*($CS19:$CV19-OFFSET($C$6:$F$6,DI$5,0)))+OFFSET($G$6,DI$5,0)^2)</f>
        <v>#NUM!</v>
      </c>
      <c r="DT19" s="10" t="e">
        <f t="array" aca="1" ref="DT19" ca="1">-SUM(($CW19:$CZ19)*($CS19:$CV19-OFFSET($C$6:$F$6,DJ$5,0)))-SQRT(SUM(($CW19:$CZ19)*($CS19:$CV19-OFFSET($C$6:$F$6,DJ$5,0)))^2-SUM(($CS19:$CV19-OFFSET($C$6:$F$6,DJ$5,0))*($CS19:$CV19-OFFSET($C$6:$F$6,DJ$5,0)))+OFFSET($G$6,DJ$5,0)^2)</f>
        <v>#NUM!</v>
      </c>
      <c r="DU19" s="10" t="e">
        <f t="array" aca="1" ref="DU19" ca="1">-SUM(($CW19:$CZ19)*($CS19:$CV19-OFFSET($C$6:$F$6,DK$5,0)))-SQRT(SUM(($CW19:$CZ19)*($CS19:$CV19-OFFSET($C$6:$F$6,DK$5,0)))^2-SUM(($CS19:$CV19-OFFSET($C$6:$F$6,DK$5,0))*($CS19:$CV19-OFFSET($C$6:$F$6,DK$5,0)))+OFFSET($G$6,DK$5,0)^2)</f>
        <v>#NUM!</v>
      </c>
      <c r="DW19" s="10">
        <f t="array" aca="1" ref="DW19" ca="1">MIN(IF(IF(ISERROR(DB19:DU19),-1,DB19:DU19)&lt;0,9999999999,DB19:DU19))</f>
        <v>9999999999</v>
      </c>
      <c r="DY19" s="11">
        <f t="shared" ca="1" si="25"/>
        <v>0.72572779796705211</v>
      </c>
      <c r="EB19" s="10">
        <f t="array" aca="1" ref="EB19:EE19" ca="1">BN19:BQ19+BV19:BY19*0.01</f>
        <v>-1.864647415634088</v>
      </c>
      <c r="EC19" s="10">
        <f ca="1"/>
        <v>-1.0423906591160617</v>
      </c>
      <c r="ED19" s="10">
        <f ca="1"/>
        <v>-10.059718184985551</v>
      </c>
      <c r="EE19" s="10">
        <f ca="1"/>
        <v>1</v>
      </c>
      <c r="EF19" s="10">
        <f t="shared" ca="1" si="26"/>
        <v>-0.33986056532477599</v>
      </c>
      <c r="EG19" s="10">
        <f t="shared" ca="1" si="27"/>
        <v>0.29879941676502086</v>
      </c>
      <c r="EH19" s="10">
        <f t="shared" ca="1" si="28"/>
        <v>0.89174755658650784</v>
      </c>
      <c r="EI19" s="10">
        <f t="shared" ca="1" si="29"/>
        <v>0</v>
      </c>
      <c r="EK19" s="10">
        <f t="array" aca="1" ref="EK19" ca="1">-SUM(($EF19:$EI19)*($EB19:$EE19-OFFSET($C$6:$F$6,EK$5,0)))+SQRT(SUM(($EF19:$EI19)*($EB19:$EE19-OFFSET($C$6:$F$6,EK$5,0)))^2-SUM(($EB19:$EE19-OFFSET($C$6:$F$6,EK$5,0))*($EB19:$EE19-OFFSET($C$6:$F$6,EK$5,0)))+OFFSET($G$6,EK$5,0)^2)</f>
        <v>-3.4432570613319058E-2</v>
      </c>
      <c r="EL19" s="10" t="e">
        <f t="array" aca="1" ref="EL19" ca="1">-SUM(($EF19:$EI19)*($EB19:$EE19-OFFSET($C$6:$F$6,EL$5,0)))+SQRT(SUM(($EF19:$EI19)*($EB19:$EE19-OFFSET($C$6:$F$6,EL$5,0)))^2-SUM(($EB19:$EE19-OFFSET($C$6:$F$6,EL$5,0))*($EB19:$EE19-OFFSET($C$6:$F$6,EL$5,0)))+OFFSET($G$6,EL$5,0)^2)</f>
        <v>#NUM!</v>
      </c>
      <c r="EM19" s="10" t="e">
        <f t="array" aca="1" ref="EM19" ca="1">-SUM(($EF19:$EI19)*($EB19:$EE19-OFFSET($C$6:$F$6,EM$5,0)))+SQRT(SUM(($EF19:$EI19)*($EB19:$EE19-OFFSET($C$6:$F$6,EM$5,0)))^2-SUM(($EB19:$EE19-OFFSET($C$6:$F$6,EM$5,0))*($EB19:$EE19-OFFSET($C$6:$F$6,EM$5,0)))+OFFSET($G$6,EM$5,0)^2)</f>
        <v>#NUM!</v>
      </c>
      <c r="EN19" s="10" t="e">
        <f t="array" aca="1" ref="EN19" ca="1">-SUM(($EF19:$EI19)*($EB19:$EE19-OFFSET($C$6:$F$6,EN$5,0)))+SQRT(SUM(($EF19:$EI19)*($EB19:$EE19-OFFSET($C$6:$F$6,EN$5,0)))^2-SUM(($EB19:$EE19-OFFSET($C$6:$F$6,EN$5,0))*($EB19:$EE19-OFFSET($C$6:$F$6,EN$5,0)))+OFFSET($G$6,EN$5,0)^2)</f>
        <v>#NUM!</v>
      </c>
      <c r="EO19" s="10" t="e">
        <f t="array" aca="1" ref="EO19" ca="1">-SUM(($EF19:$EI19)*($EB19:$EE19-OFFSET($C$6:$F$6,EO$5,0)))+SQRT(SUM(($EF19:$EI19)*($EB19:$EE19-OFFSET($C$6:$F$6,EO$5,0)))^2-SUM(($EB19:$EE19-OFFSET($C$6:$F$6,EO$5,0))*($EB19:$EE19-OFFSET($C$6:$F$6,EO$5,0)))+OFFSET($G$6,EO$5,0)^2)</f>
        <v>#NUM!</v>
      </c>
      <c r="EP19" s="10" t="e">
        <f t="array" aca="1" ref="EP19" ca="1">-SUM(($EF19:$EI19)*($EB19:$EE19-OFFSET($C$6:$F$6,EP$5,0)))+SQRT(SUM(($EF19:$EI19)*($EB19:$EE19-OFFSET($C$6:$F$6,EP$5,0)))^2-SUM(($EB19:$EE19-OFFSET($C$6:$F$6,EP$5,0))*($EB19:$EE19-OFFSET($C$6:$F$6,EP$5,0)))+OFFSET($G$6,EP$5,0)^2)</f>
        <v>#NUM!</v>
      </c>
      <c r="EQ19" s="10" t="e">
        <f t="array" aca="1" ref="EQ19" ca="1">-SUM(($EF19:$EI19)*($EB19:$EE19-OFFSET($C$6:$F$6,EQ$5,0)))+SQRT(SUM(($EF19:$EI19)*($EB19:$EE19-OFFSET($C$6:$F$6,EQ$5,0)))^2-SUM(($EB19:$EE19-OFFSET($C$6:$F$6,EQ$5,0))*($EB19:$EE19-OFFSET($C$6:$F$6,EQ$5,0)))+OFFSET($G$6,EQ$5,0)^2)</f>
        <v>#NUM!</v>
      </c>
      <c r="ER19" s="10" t="e">
        <f t="array" aca="1" ref="ER19" ca="1">-SUM(($EF19:$EI19)*($EB19:$EE19-OFFSET($C$6:$F$6,ER$5,0)))+SQRT(SUM(($EF19:$EI19)*($EB19:$EE19-OFFSET($C$6:$F$6,ER$5,0)))^2-SUM(($EB19:$EE19-OFFSET($C$6:$F$6,ER$5,0))*($EB19:$EE19-OFFSET($C$6:$F$6,ER$5,0)))+OFFSET($G$6,ER$5,0)^2)</f>
        <v>#NUM!</v>
      </c>
      <c r="ES19" s="10" t="e">
        <f t="array" aca="1" ref="ES19" ca="1">-SUM(($EF19:$EI19)*($EB19:$EE19-OFFSET($C$6:$F$6,ES$5,0)))+SQRT(SUM(($EF19:$EI19)*($EB19:$EE19-OFFSET($C$6:$F$6,ES$5,0)))^2-SUM(($EB19:$EE19-OFFSET($C$6:$F$6,ES$5,0))*($EB19:$EE19-OFFSET($C$6:$F$6,ES$5,0)))+OFFSET($G$6,ES$5,0)^2)</f>
        <v>#NUM!</v>
      </c>
      <c r="ET19" s="10" t="e">
        <f t="array" aca="1" ref="ET19" ca="1">-SUM(($EF19:$EI19)*($EB19:$EE19-OFFSET($C$6:$F$6,ET$5,0)))+SQRT(SUM(($EF19:$EI19)*($EB19:$EE19-OFFSET($C$6:$F$6,ET$5,0)))^2-SUM(($EB19:$EE19-OFFSET($C$6:$F$6,ET$5,0))*($EB19:$EE19-OFFSET($C$6:$F$6,ET$5,0)))+OFFSET($G$6,ET$5,0)^2)</f>
        <v>#NUM!</v>
      </c>
      <c r="EU19" s="10">
        <f t="array" aca="1" ref="EU19" ca="1">-SUM(($EF19:$EI19)*($EB19:$EE19-OFFSET($C$6:$F$6,EK$5,0)))-SQRT(SUM(($EF19:$EI19)*($EB19:$EE19-OFFSET($C$6:$F$6,EK$5,0)))^2-SUM(($EB19:$EE19-OFFSET($C$6:$F$6,EK$5,0))*($EB19:$EE19-OFFSET($C$6:$F$6,EK$5,0)))+OFFSET($G$6,EK$5,0)^2)</f>
        <v>-580.26745154425612</v>
      </c>
      <c r="EV19" s="10" t="e">
        <f t="array" aca="1" ref="EV19" ca="1">-SUM(($EF19:$EI19)*($EB19:$EE19-OFFSET($C$6:$F$6,EL$5,0)))-SQRT(SUM(($EF19:$EI19)*($EB19:$EE19-OFFSET($C$6:$F$6,EL$5,0)))^2-SUM(($EB19:$EE19-OFFSET($C$6:$F$6,EL$5,0))*($EB19:$EE19-OFFSET($C$6:$F$6,EL$5,0)))+OFFSET($G$6,EL$5,0)^2)</f>
        <v>#NUM!</v>
      </c>
      <c r="EW19" s="10" t="e">
        <f t="array" aca="1" ref="EW19" ca="1">-SUM(($EF19:$EI19)*($EB19:$EE19-OFFSET($C$6:$F$6,EM$5,0)))-SQRT(SUM(($EF19:$EI19)*($EB19:$EE19-OFFSET($C$6:$F$6,EM$5,0)))^2-SUM(($EB19:$EE19-OFFSET($C$6:$F$6,EM$5,0))*($EB19:$EE19-OFFSET($C$6:$F$6,EM$5,0)))+OFFSET($G$6,EM$5,0)^2)</f>
        <v>#NUM!</v>
      </c>
      <c r="EX19" s="10" t="e">
        <f t="array" aca="1" ref="EX19" ca="1">-SUM(($EF19:$EI19)*($EB19:$EE19-OFFSET($C$6:$F$6,EN$5,0)))-SQRT(SUM(($EF19:$EI19)*($EB19:$EE19-OFFSET($C$6:$F$6,EN$5,0)))^2-SUM(($EB19:$EE19-OFFSET($C$6:$F$6,EN$5,0))*($EB19:$EE19-OFFSET($C$6:$F$6,EN$5,0)))+OFFSET($G$6,EN$5,0)^2)</f>
        <v>#NUM!</v>
      </c>
      <c r="EY19" s="10" t="e">
        <f t="array" aca="1" ref="EY19" ca="1">-SUM(($EF19:$EI19)*($EB19:$EE19-OFFSET($C$6:$F$6,EO$5,0)))-SQRT(SUM(($EF19:$EI19)*($EB19:$EE19-OFFSET($C$6:$F$6,EO$5,0)))^2-SUM(($EB19:$EE19-OFFSET($C$6:$F$6,EO$5,0))*($EB19:$EE19-OFFSET($C$6:$F$6,EO$5,0)))+OFFSET($G$6,EO$5,0)^2)</f>
        <v>#NUM!</v>
      </c>
      <c r="EZ19" s="10" t="e">
        <f t="array" aca="1" ref="EZ19" ca="1">-SUM(($EF19:$EI19)*($EB19:$EE19-OFFSET($C$6:$F$6,EP$5,0)))-SQRT(SUM(($EF19:$EI19)*($EB19:$EE19-OFFSET($C$6:$F$6,EP$5,0)))^2-SUM(($EB19:$EE19-OFFSET($C$6:$F$6,EP$5,0))*($EB19:$EE19-OFFSET($C$6:$F$6,EP$5,0)))+OFFSET($G$6,EP$5,0)^2)</f>
        <v>#NUM!</v>
      </c>
      <c r="FA19" s="10" t="e">
        <f t="array" aca="1" ref="FA19" ca="1">-SUM(($EF19:$EI19)*($EB19:$EE19-OFFSET($C$6:$F$6,EQ$5,0)))-SQRT(SUM(($EF19:$EI19)*($EB19:$EE19-OFFSET($C$6:$F$6,EQ$5,0)))^2-SUM(($EB19:$EE19-OFFSET($C$6:$F$6,EQ$5,0))*($EB19:$EE19-OFFSET($C$6:$F$6,EQ$5,0)))+OFFSET($G$6,EQ$5,0)^2)</f>
        <v>#NUM!</v>
      </c>
      <c r="FB19" s="10" t="e">
        <f t="array" aca="1" ref="FB19" ca="1">-SUM(($EF19:$EI19)*($EB19:$EE19-OFFSET($C$6:$F$6,ER$5,0)))-SQRT(SUM(($EF19:$EI19)*($EB19:$EE19-OFFSET($C$6:$F$6,ER$5,0)))^2-SUM(($EB19:$EE19-OFFSET($C$6:$F$6,ER$5,0))*($EB19:$EE19-OFFSET($C$6:$F$6,ER$5,0)))+OFFSET($G$6,ER$5,0)^2)</f>
        <v>#NUM!</v>
      </c>
      <c r="FC19" s="10" t="e">
        <f t="array" aca="1" ref="FC19" ca="1">-SUM(($EF19:$EI19)*($EB19:$EE19-OFFSET($C$6:$F$6,ES$5,0)))-SQRT(SUM(($EF19:$EI19)*($EB19:$EE19-OFFSET($C$6:$F$6,ES$5,0)))^2-SUM(($EB19:$EE19-OFFSET($C$6:$F$6,ES$5,0))*($EB19:$EE19-OFFSET($C$6:$F$6,ES$5,0)))+OFFSET($G$6,ES$5,0)^2)</f>
        <v>#NUM!</v>
      </c>
      <c r="FD19" s="10" t="e">
        <f t="array" aca="1" ref="FD19" ca="1">-SUM(($EF19:$EI19)*($EB19:$EE19-OFFSET($C$6:$F$6,ET$5,0)))-SQRT(SUM(($EF19:$EI19)*($EB19:$EE19-OFFSET($C$6:$F$6,ET$5,0)))^2-SUM(($EB19:$EE19-OFFSET($C$6:$F$6,ET$5,0))*($EB19:$EE19-OFFSET($C$6:$F$6,ET$5,0)))+OFFSET($G$6,ET$5,0)^2)</f>
        <v>#NUM!</v>
      </c>
      <c r="FF19" s="10">
        <f t="array" aca="1" ref="FF19" ca="1">MIN(IF(IF(ISERROR(EK19:FD19),-1,EK19:FD19)&lt;0,9999999999,EK19:FD19))</f>
        <v>9999999999</v>
      </c>
      <c r="FH19">
        <f t="shared" ca="1" si="30"/>
        <v>-1</v>
      </c>
      <c r="FJ19" s="10">
        <f t="shared" ca="1" si="31"/>
        <v>-3398605654.7725468</v>
      </c>
      <c r="FK19" s="10">
        <f t="shared" ca="1" si="32"/>
        <v>2987994166.3090186</v>
      </c>
      <c r="FL19" s="10">
        <f t="shared" ca="1" si="33"/>
        <v>8917475554.9136124</v>
      </c>
      <c r="FM19" s="10">
        <f t="shared" ca="1" si="34"/>
        <v>1</v>
      </c>
      <c r="FN19" s="14">
        <f t="shared" ca="1" si="35"/>
        <v>0.33986056532477599</v>
      </c>
      <c r="FO19" s="14">
        <f t="shared" ca="1" si="0"/>
        <v>-0.29879941676502086</v>
      </c>
      <c r="FP19" s="14">
        <f t="shared" ca="1" si="1"/>
        <v>-0.89174755658650784</v>
      </c>
      <c r="FQ19" s="14">
        <f t="shared" ca="1" si="2"/>
        <v>0</v>
      </c>
      <c r="FR19" s="10" t="e">
        <f t="array" aca="1" ref="FR19" ca="1">(FJ19-OFFSET(C$6,$FH19,0))/SQRT(SUM(($FJ19:$FM19-OFFSET($C$6:$F$6,$FH19,0))*($FJ19:$FM19-OFFSET($C$6:$F$6,$FH19,0))))</f>
        <v>#VALUE!</v>
      </c>
      <c r="FS19" s="10" t="e">
        <f t="array" aca="1" ref="FS19" ca="1">(FK19-OFFSET(D$6,$FH19,0))/SQRT(SUM(($FJ19:$FM19-OFFSET($C$6:$F$6,$FH19,0))*($FJ19:$FM19-OFFSET($C$6:$F$6,$FH19,0))))</f>
        <v>#VALUE!</v>
      </c>
      <c r="FT19" s="10" t="e">
        <f t="array" aca="1" ref="FT19" ca="1">(FL19-OFFSET(E$6,$FH19,0))/SQRT(SUM(($FJ19:$FM19-OFFSET($C$6:$F$6,$FH19,0))*($FJ19:$FM19-OFFSET($C$6:$F$6,$FH19,0))))</f>
        <v>#VALUE!</v>
      </c>
      <c r="FU19" s="10" t="e">
        <f t="array" aca="1" ref="FU19" ca="1">(FM19-OFFSET(F$6,$FH19,0))/SQRT(SUM(($FJ19:$FM19-OFFSET($C$6:$F$6,$FH19,0))*($FJ19:$FM19-OFFSET($C$6:$F$6,$FH19,0))))</f>
        <v>#VALUE!</v>
      </c>
      <c r="FV19" s="14">
        <f t="array" aca="1" ref="FV19" ca="1">-(FJ19-O$6)/SQRT(SUM(($O$6:$R$6-$FJ19:$FM19)*($O$6:$R$6-$FJ19:$FM19)))</f>
        <v>0.33986056471915382</v>
      </c>
      <c r="FW19" s="14">
        <f t="array" aca="1" ref="FW19" ca="1">-(FK19-P$6)/SQRT(SUM(($O$6:$R$6-$FJ19:$FM19)*($O$6:$R$6-$FJ19:$FM19)))</f>
        <v>-0.29879941584357533</v>
      </c>
      <c r="FX19" s="14">
        <f t="array" aca="1" ref="FX19" ca="1">-(FL19-Q$6)/SQRT(SUM(($O$6:$R$6-$FJ19:$FM19)*($O$6:$R$6-$FJ19:$FM19)))</f>
        <v>-0.89174755712607146</v>
      </c>
      <c r="FY19" s="14">
        <f t="array" aca="1" ref="FY19" ca="1">-(FM19-R$6)/SQRT(SUM(($O$6:$R$6-$FJ19:$FM19)*($O$6:$R$6-$FJ19:$FM19)))</f>
        <v>0</v>
      </c>
      <c r="FZ19" s="14" t="e">
        <f t="array" aca="1" ref="FZ19:GC19" ca="1">-FN19:FQ19-FR19:FU19*2*SUM(-FN19:FQ19*FR19:FU19)</f>
        <v>#VALUE!</v>
      </c>
      <c r="GA19" s="14" t="e">
        <f ca="1"/>
        <v>#VALUE!</v>
      </c>
      <c r="GB19" s="14" t="e">
        <f ca="1"/>
        <v>#VALUE!</v>
      </c>
      <c r="GC19" s="14" t="e">
        <f ca="1"/>
        <v>#VALUE!</v>
      </c>
      <c r="GD19" s="14" t="e">
        <f t="array" aca="1" ref="GD19:GG19" ca="1">-FV19:FY19-FR19:FU19*2*SUM(-FV19:FY19*FR19:FU19)</f>
        <v>#VALUE!</v>
      </c>
      <c r="GE19" s="14" t="e">
        <f ca="1"/>
        <v>#VALUE!</v>
      </c>
      <c r="GF19" s="14" t="e">
        <f ca="1"/>
        <v>#VALUE!</v>
      </c>
      <c r="GG19" s="14" t="e">
        <f ca="1"/>
        <v>#VALUE!</v>
      </c>
      <c r="GH19" t="e">
        <f t="array" aca="1" ref="GH19" ca="1">SUM(FV19:FY19*FR19:FU19)</f>
        <v>#VALUE!</v>
      </c>
      <c r="GI19" t="e">
        <f t="array" aca="1" ref="GI19" ca="1">SUM(GD19:GG19*FN19:FQ19)</f>
        <v>#VALUE!</v>
      </c>
      <c r="GJ19" s="11" t="e">
        <f t="shared" ca="1" si="36"/>
        <v>#VALUE!</v>
      </c>
      <c r="GK19" s="11" t="e">
        <f t="shared" ca="1" si="37"/>
        <v>#VALUE!</v>
      </c>
      <c r="GL19" s="11" t="e">
        <f t="shared" ca="1" si="38"/>
        <v>#VALUE!</v>
      </c>
      <c r="GM19" s="11">
        <f t="shared" ca="1" si="39"/>
        <v>0</v>
      </c>
      <c r="GO19" s="10" t="e">
        <f t="array" aca="1" ref="GO19:GR19" ca="1">FJ19:FM19+FR19:FU19*0.001</f>
        <v>#VALUE!</v>
      </c>
      <c r="GP19" s="10" t="e">
        <f ca="1"/>
        <v>#VALUE!</v>
      </c>
      <c r="GQ19" s="10" t="e">
        <f ca="1"/>
        <v>#VALUE!</v>
      </c>
      <c r="GR19" s="10" t="e">
        <f ca="1"/>
        <v>#VALUE!</v>
      </c>
      <c r="GS19" s="10">
        <f t="shared" ca="1" si="40"/>
        <v>0.33986056471915382</v>
      </c>
      <c r="GT19" s="10">
        <f t="shared" ca="1" si="3"/>
        <v>-0.29879941584357533</v>
      </c>
      <c r="GU19" s="10">
        <f t="shared" ca="1" si="4"/>
        <v>-0.89174755712607146</v>
      </c>
      <c r="GV19" s="10">
        <f t="shared" ca="1" si="5"/>
        <v>0</v>
      </c>
      <c r="GX19" s="10" t="e">
        <f t="array" aca="1" ref="GX19" ca="1">-SUM(($GS19:$GV19)*($GO19:$GR19-OFFSET($C$6:$F$6,GX$5,0)))+SQRT(SUM(($GS19:$GV19)*($GO19:$GR19-OFFSET($C$6:$F$6,GX$5,0)))^2-SUM(($GO19:$GR19-OFFSET($C$6:$F$6,GX$5,0))*($GO19:$GR19-OFFSET($C$6:$F$6,GX$5,0)))+OFFSET($G$6,GX$5,0)^2)</f>
        <v>#VALUE!</v>
      </c>
      <c r="GY19" s="10" t="e">
        <f t="array" aca="1" ref="GY19" ca="1">-SUM(($GS19:$GV19)*($GO19:$GR19-OFFSET($C$6:$F$6,GY$5,0)))+SQRT(SUM(($GS19:$GV19)*($GO19:$GR19-OFFSET($C$6:$F$6,GY$5,0)))^2-SUM(($GO19:$GR19-OFFSET($C$6:$F$6,GY$5,0))*($GO19:$GR19-OFFSET($C$6:$F$6,GY$5,0)))+OFFSET($G$6,GY$5,0)^2)</f>
        <v>#VALUE!</v>
      </c>
      <c r="GZ19" s="10" t="e">
        <f t="array" aca="1" ref="GZ19" ca="1">-SUM(($GS19:$GV19)*($GO19:$GR19-OFFSET($C$6:$F$6,GZ$5,0)))+SQRT(SUM(($GS19:$GV19)*($GO19:$GR19-OFFSET($C$6:$F$6,GZ$5,0)))^2-SUM(($GO19:$GR19-OFFSET($C$6:$F$6,GZ$5,0))*($GO19:$GR19-OFFSET($C$6:$F$6,GZ$5,0)))+OFFSET($G$6,GZ$5,0)^2)</f>
        <v>#VALUE!</v>
      </c>
      <c r="HA19" s="10" t="e">
        <f t="array" aca="1" ref="HA19" ca="1">-SUM(($GS19:$GV19)*($GO19:$GR19-OFFSET($C$6:$F$6,HA$5,0)))+SQRT(SUM(($GS19:$GV19)*($GO19:$GR19-OFFSET($C$6:$F$6,HA$5,0)))^2-SUM(($GO19:$GR19-OFFSET($C$6:$F$6,HA$5,0))*($GO19:$GR19-OFFSET($C$6:$F$6,HA$5,0)))+OFFSET($G$6,HA$5,0)^2)</f>
        <v>#VALUE!</v>
      </c>
      <c r="HB19" s="10" t="e">
        <f t="array" aca="1" ref="HB19" ca="1">-SUM(($GS19:$GV19)*($GO19:$GR19-OFFSET($C$6:$F$6,HB$5,0)))+SQRT(SUM(($GS19:$GV19)*($GO19:$GR19-OFFSET($C$6:$F$6,HB$5,0)))^2-SUM(($GO19:$GR19-OFFSET($C$6:$F$6,HB$5,0))*($GO19:$GR19-OFFSET($C$6:$F$6,HB$5,0)))+OFFSET($G$6,HB$5,0)^2)</f>
        <v>#VALUE!</v>
      </c>
      <c r="HC19" s="10" t="e">
        <f t="array" aca="1" ref="HC19" ca="1">-SUM(($GS19:$GV19)*($GO19:$GR19-OFFSET($C$6:$F$6,HC$5,0)))+SQRT(SUM(($GS19:$GV19)*($GO19:$GR19-OFFSET($C$6:$F$6,HC$5,0)))^2-SUM(($GO19:$GR19-OFFSET($C$6:$F$6,HC$5,0))*($GO19:$GR19-OFFSET($C$6:$F$6,HC$5,0)))+OFFSET($G$6,HC$5,0)^2)</f>
        <v>#VALUE!</v>
      </c>
      <c r="HD19" s="10" t="e">
        <f t="array" aca="1" ref="HD19" ca="1">-SUM(($GS19:$GV19)*($GO19:$GR19-OFFSET($C$6:$F$6,HD$5,0)))+SQRT(SUM(($GS19:$GV19)*($GO19:$GR19-OFFSET($C$6:$F$6,HD$5,0)))^2-SUM(($GO19:$GR19-OFFSET($C$6:$F$6,HD$5,0))*($GO19:$GR19-OFFSET($C$6:$F$6,HD$5,0)))+OFFSET($G$6,HD$5,0)^2)</f>
        <v>#VALUE!</v>
      </c>
      <c r="HE19" s="10" t="e">
        <f t="array" aca="1" ref="HE19" ca="1">-SUM(($GS19:$GV19)*($GO19:$GR19-OFFSET($C$6:$F$6,HE$5,0)))+SQRT(SUM(($GS19:$GV19)*($GO19:$GR19-OFFSET($C$6:$F$6,HE$5,0)))^2-SUM(($GO19:$GR19-OFFSET($C$6:$F$6,HE$5,0))*($GO19:$GR19-OFFSET($C$6:$F$6,HE$5,0)))+OFFSET($G$6,HE$5,0)^2)</f>
        <v>#VALUE!</v>
      </c>
      <c r="HF19" s="10" t="e">
        <f t="array" aca="1" ref="HF19" ca="1">-SUM(($GS19:$GV19)*($GO19:$GR19-OFFSET($C$6:$F$6,HF$5,0)))+SQRT(SUM(($GS19:$GV19)*($GO19:$GR19-OFFSET($C$6:$F$6,HF$5,0)))^2-SUM(($GO19:$GR19-OFFSET($C$6:$F$6,HF$5,0))*($GO19:$GR19-OFFSET($C$6:$F$6,HF$5,0)))+OFFSET($G$6,HF$5,0)^2)</f>
        <v>#VALUE!</v>
      </c>
      <c r="HG19" s="10" t="e">
        <f t="array" aca="1" ref="HG19" ca="1">-SUM(($GS19:$GV19)*($GO19:$GR19-OFFSET($C$6:$F$6,HG$5,0)))+SQRT(SUM(($GS19:$GV19)*($GO19:$GR19-OFFSET($C$6:$F$6,HG$5,0)))^2-SUM(($GO19:$GR19-OFFSET($C$6:$F$6,HG$5,0))*($GO19:$GR19-OFFSET($C$6:$F$6,HG$5,0)))+OFFSET($G$6,HG$5,0)^2)</f>
        <v>#VALUE!</v>
      </c>
      <c r="HH19" s="10" t="e">
        <f t="array" aca="1" ref="HH19" ca="1">-SUM(($GS19:$GV19)*($GO19:$GR19-OFFSET($C$6:$F$6,GX$5,0)))-SQRT(SUM(($GS19:$GV19)*($GO19:$GR19-OFFSET($C$6:$F$6,GX$5,0)))^2-SUM(($GO19:$GR19-OFFSET($C$6:$F$6,GX$5,0))*($GO19:$GR19-OFFSET($C$6:$F$6,GX$5,0)))+OFFSET($G$6,GX$5,0)^2)</f>
        <v>#VALUE!</v>
      </c>
      <c r="HI19" s="10" t="e">
        <f t="array" aca="1" ref="HI19" ca="1">-SUM(($GS19:$GV19)*($GO19:$GR19-OFFSET($C$6:$F$6,GY$5,0)))-SQRT(SUM(($GS19:$GV19)*($GO19:$GR19-OFFSET($C$6:$F$6,GY$5,0)))^2-SUM(($GO19:$GR19-OFFSET($C$6:$F$6,GY$5,0))*($GO19:$GR19-OFFSET($C$6:$F$6,GY$5,0)))+OFFSET($G$6,GY$5,0)^2)</f>
        <v>#VALUE!</v>
      </c>
      <c r="HJ19" s="10" t="e">
        <f t="array" aca="1" ref="HJ19" ca="1">-SUM(($GS19:$GV19)*($GO19:$GR19-OFFSET($C$6:$F$6,GZ$5,0)))-SQRT(SUM(($GS19:$GV19)*($GO19:$GR19-OFFSET($C$6:$F$6,GZ$5,0)))^2-SUM(($GO19:$GR19-OFFSET($C$6:$F$6,GZ$5,0))*($GO19:$GR19-OFFSET($C$6:$F$6,GZ$5,0)))+OFFSET($G$6,GZ$5,0)^2)</f>
        <v>#VALUE!</v>
      </c>
      <c r="HK19" s="10" t="e">
        <f t="array" aca="1" ref="HK19" ca="1">-SUM(($GS19:$GV19)*($GO19:$GR19-OFFSET($C$6:$F$6,HA$5,0)))-SQRT(SUM(($GS19:$GV19)*($GO19:$GR19-OFFSET($C$6:$F$6,HA$5,0)))^2-SUM(($GO19:$GR19-OFFSET($C$6:$F$6,HA$5,0))*($GO19:$GR19-OFFSET($C$6:$F$6,HA$5,0)))+OFFSET($G$6,HA$5,0)^2)</f>
        <v>#VALUE!</v>
      </c>
      <c r="HL19" s="10" t="e">
        <f t="array" aca="1" ref="HL19" ca="1">-SUM(($GS19:$GV19)*($GO19:$GR19-OFFSET($C$6:$F$6,HB$5,0)))-SQRT(SUM(($GS19:$GV19)*($GO19:$GR19-OFFSET($C$6:$F$6,HB$5,0)))^2-SUM(($GO19:$GR19-OFFSET($C$6:$F$6,HB$5,0))*($GO19:$GR19-OFFSET($C$6:$F$6,HB$5,0)))+OFFSET($G$6,HB$5,0)^2)</f>
        <v>#VALUE!</v>
      </c>
      <c r="HM19" s="10" t="e">
        <f t="array" aca="1" ref="HM19" ca="1">-SUM(($GS19:$GV19)*($GO19:$GR19-OFFSET($C$6:$F$6,HC$5,0)))-SQRT(SUM(($GS19:$GV19)*($GO19:$GR19-OFFSET($C$6:$F$6,HC$5,0)))^2-SUM(($GO19:$GR19-OFFSET($C$6:$F$6,HC$5,0))*($GO19:$GR19-OFFSET($C$6:$F$6,HC$5,0)))+OFFSET($G$6,HC$5,0)^2)</f>
        <v>#VALUE!</v>
      </c>
      <c r="HN19" s="10" t="e">
        <f t="array" aca="1" ref="HN19" ca="1">-SUM(($GS19:$GV19)*($GO19:$GR19-OFFSET($C$6:$F$6,HD$5,0)))-SQRT(SUM(($GS19:$GV19)*($GO19:$GR19-OFFSET($C$6:$F$6,HD$5,0)))^2-SUM(($GO19:$GR19-OFFSET($C$6:$F$6,HD$5,0))*($GO19:$GR19-OFFSET($C$6:$F$6,HD$5,0)))+OFFSET($G$6,HD$5,0)^2)</f>
        <v>#VALUE!</v>
      </c>
      <c r="HO19" s="10" t="e">
        <f t="array" aca="1" ref="HO19" ca="1">-SUM(($GS19:$GV19)*($GO19:$GR19-OFFSET($C$6:$F$6,HE$5,0)))-SQRT(SUM(($GS19:$GV19)*($GO19:$GR19-OFFSET($C$6:$F$6,HE$5,0)))^2-SUM(($GO19:$GR19-OFFSET($C$6:$F$6,HE$5,0))*($GO19:$GR19-OFFSET($C$6:$F$6,HE$5,0)))+OFFSET($G$6,HE$5,0)^2)</f>
        <v>#VALUE!</v>
      </c>
      <c r="HP19" s="10" t="e">
        <f t="array" aca="1" ref="HP19" ca="1">-SUM(($GS19:$GV19)*($GO19:$GR19-OFFSET($C$6:$F$6,HF$5,0)))-SQRT(SUM(($GS19:$GV19)*($GO19:$GR19-OFFSET($C$6:$F$6,HF$5,0)))^2-SUM(($GO19:$GR19-OFFSET($C$6:$F$6,HF$5,0))*($GO19:$GR19-OFFSET($C$6:$F$6,HF$5,0)))+OFFSET($G$6,HF$5,0)^2)</f>
        <v>#VALUE!</v>
      </c>
      <c r="HQ19" s="10" t="e">
        <f t="array" aca="1" ref="HQ19" ca="1">-SUM(($GS19:$GV19)*($GO19:$GR19-OFFSET($C$6:$F$6,HG$5,0)))-SQRT(SUM(($GS19:$GV19)*($GO19:$GR19-OFFSET($C$6:$F$6,HG$5,0)))^2-SUM(($GO19:$GR19-OFFSET($C$6:$F$6,HG$5,0))*($GO19:$GR19-OFFSET($C$6:$F$6,HG$5,0)))+OFFSET($G$6,HG$5,0)^2)</f>
        <v>#VALUE!</v>
      </c>
      <c r="HS19" s="10">
        <f t="array" aca="1" ref="HS19" ca="1">MIN(IF(IF(ISERROR(GX19:HQ19),-1,GX19:HQ19)&lt;0,9999999999,GX19:HQ19))</f>
        <v>9999999999</v>
      </c>
      <c r="HU19" s="11">
        <f t="shared" ca="1" si="41"/>
        <v>0</v>
      </c>
      <c r="HW19" s="11">
        <f t="shared" ca="1" si="42"/>
        <v>0.72572779796705211</v>
      </c>
    </row>
    <row r="20" spans="16:231" x14ac:dyDescent="0.25">
      <c r="P20" s="140" t="s">
        <v>86</v>
      </c>
      <c r="X20" s="11">
        <f t="shared" si="6"/>
        <v>-1.4647099930118799</v>
      </c>
      <c r="Y20" s="11">
        <f t="shared" si="7"/>
        <v>-1</v>
      </c>
      <c r="Z20" s="11">
        <v>4</v>
      </c>
      <c r="AB20" s="10">
        <f t="array" aca="1" ref="AB20:AE20" ca="1">TRANSPOSE(Screen!$GL$98:$GL$101)</f>
        <v>0</v>
      </c>
      <c r="AC20" s="10">
        <f ca="1"/>
        <v>0.50000000000000033</v>
      </c>
      <c r="AD20" s="10">
        <f ca="1"/>
        <v>-15</v>
      </c>
      <c r="AE20" s="10">
        <f ca="1"/>
        <v>1</v>
      </c>
      <c r="AF20" s="10">
        <f t="array" aca="1" ref="AF20:AH20" ca="1">TRANSPOSE(MMULT(Screen!$GI$98:$GK$100,TRANSPOSE(X20:Z20)))</f>
        <v>-1.4647099930118799</v>
      </c>
      <c r="AG20" s="10">
        <f ca="1"/>
        <v>-1.2380565658529825</v>
      </c>
      <c r="AH20" s="10">
        <f ca="1"/>
        <v>3.9400359935205556</v>
      </c>
      <c r="AI20" s="10">
        <v>1</v>
      </c>
      <c r="AJ20" s="10">
        <f t="array" aca="1" ref="AJ20" ca="1">AF20/SQRT(SUM(($AF20:$AH20)*($AF20:$AH20)))</f>
        <v>-0.33425500966419869</v>
      </c>
      <c r="AK20" s="10">
        <f t="array" aca="1" ref="AK20" ca="1">AG20/SQRT(SUM(($AF20:$AH20)*($AF20:$AH20)))</f>
        <v>-0.28253143035711975</v>
      </c>
      <c r="AL20" s="10">
        <f t="array" aca="1" ref="AL20" ca="1">AH20/SQRT(SUM(($AF20:$AH20)*($AF20:$AH20)))</f>
        <v>0.8991382426383312</v>
      </c>
      <c r="AM20" s="10">
        <v>0</v>
      </c>
      <c r="AO20" s="10">
        <f t="array" aca="1" ref="AO20" ca="1">-SUM(($AJ20:$AM20)*($AB20:$AE20-OFFSET($C$6:$F$6,AO$5,0)))+SQRT(SUM(($AJ20:$AM20)*($AB20:$AE20-OFFSET($C$6:$F$6,AO$5,0)))^2-SUM(($AB20:$AE20-OFFSET($C$6:$F$6,AO$5,0))*($AB20:$AE20-OFFSET($C$6:$F$6,AO$5,0)))+OFFSET($G$6,AO$5,0)^2)</f>
        <v>586.82514294334328</v>
      </c>
      <c r="AP20" s="10" t="e">
        <f t="array" aca="1" ref="AP20" ca="1">-SUM(($AJ20:$AM20)*($AB20:$AE20-OFFSET($C$6:$F$6,AP$5,0)))+SQRT(SUM(($AJ20:$AM20)*($AB20:$AE20-OFFSET($C$6:$F$6,AP$5,0)))^2-SUM(($AB20:$AE20-OFFSET($C$6:$F$6,AP$5,0))*($AB20:$AE20-OFFSET($C$6:$F$6,AP$5,0)))+OFFSET($G$6,AP$5,0)^2)</f>
        <v>#NUM!</v>
      </c>
      <c r="AQ20" s="10" t="e">
        <f t="array" aca="1" ref="AQ20" ca="1">-SUM(($AJ20:$AM20)*($AB20:$AE20-OFFSET($C$6:$F$6,AQ$5,0)))+SQRT(SUM(($AJ20:$AM20)*($AB20:$AE20-OFFSET($C$6:$F$6,AQ$5,0)))^2-SUM(($AB20:$AE20-OFFSET($C$6:$F$6,AQ$5,0))*($AB20:$AE20-OFFSET($C$6:$F$6,AQ$5,0)))+OFFSET($G$6,AQ$5,0)^2)</f>
        <v>#NUM!</v>
      </c>
      <c r="AR20" s="10" t="e">
        <f t="array" aca="1" ref="AR20" ca="1">-SUM(($AJ20:$AM20)*($AB20:$AE20-OFFSET($C$6:$F$6,AR$5,0)))+SQRT(SUM(($AJ20:$AM20)*($AB20:$AE20-OFFSET($C$6:$F$6,AR$5,0)))^2-SUM(($AB20:$AE20-OFFSET($C$6:$F$6,AR$5,0))*($AB20:$AE20-OFFSET($C$6:$F$6,AR$5,0)))+OFFSET($G$6,AR$5,0)^2)</f>
        <v>#NUM!</v>
      </c>
      <c r="AS20" s="10" t="e">
        <f t="array" aca="1" ref="AS20" ca="1">-SUM(($AJ20:$AM20)*($AB20:$AE20-OFFSET($C$6:$F$6,AS$5,0)))+SQRT(SUM(($AJ20:$AM20)*($AB20:$AE20-OFFSET($C$6:$F$6,AS$5,0)))^2-SUM(($AB20:$AE20-OFFSET($C$6:$F$6,AS$5,0))*($AB20:$AE20-OFFSET($C$6:$F$6,AS$5,0)))+OFFSET($G$6,AS$5,0)^2)</f>
        <v>#NUM!</v>
      </c>
      <c r="AT20" s="10" t="e">
        <f t="array" aca="1" ref="AT20" ca="1">-SUM(($AJ20:$AM20)*($AB20:$AE20-OFFSET($C$6:$F$6,AT$5,0)))+SQRT(SUM(($AJ20:$AM20)*($AB20:$AE20-OFFSET($C$6:$F$6,AT$5,0)))^2-SUM(($AB20:$AE20-OFFSET($C$6:$F$6,AT$5,0))*($AB20:$AE20-OFFSET($C$6:$F$6,AT$5,0)))+OFFSET($G$6,AT$5,0)^2)</f>
        <v>#NUM!</v>
      </c>
      <c r="AU20" s="10" t="e">
        <f t="array" aca="1" ref="AU20" ca="1">-SUM(($AJ20:$AM20)*($AB20:$AE20-OFFSET($C$6:$F$6,AU$5,0)))+SQRT(SUM(($AJ20:$AM20)*($AB20:$AE20-OFFSET($C$6:$F$6,AU$5,0)))^2-SUM(($AB20:$AE20-OFFSET($C$6:$F$6,AU$5,0))*($AB20:$AE20-OFFSET($C$6:$F$6,AU$5,0)))+OFFSET($G$6,AU$5,0)^2)</f>
        <v>#NUM!</v>
      </c>
      <c r="AV20" s="10" t="e">
        <f t="array" aca="1" ref="AV20" ca="1">-SUM(($AJ20:$AM20)*($AB20:$AE20-OFFSET($C$6:$F$6,AV$5,0)))+SQRT(SUM(($AJ20:$AM20)*($AB20:$AE20-OFFSET($C$6:$F$6,AV$5,0)))^2-SUM(($AB20:$AE20-OFFSET($C$6:$F$6,AV$5,0))*($AB20:$AE20-OFFSET($C$6:$F$6,AV$5,0)))+OFFSET($G$6,AV$5,0)^2)</f>
        <v>#NUM!</v>
      </c>
      <c r="AW20" s="10" t="e">
        <f t="array" aca="1" ref="AW20" ca="1">-SUM(($AJ20:$AM20)*($AB20:$AE20-OFFSET($C$6:$F$6,AW$5,0)))+SQRT(SUM(($AJ20:$AM20)*($AB20:$AE20-OFFSET($C$6:$F$6,AW$5,0)))^2-SUM(($AB20:$AE20-OFFSET($C$6:$F$6,AW$5,0))*($AB20:$AE20-OFFSET($C$6:$F$6,AW$5,0)))+OFFSET($G$6,AW$5,0)^2)</f>
        <v>#NUM!</v>
      </c>
      <c r="AX20" s="10" t="e">
        <f t="array" aca="1" ref="AX20" ca="1">-SUM(($AJ20:$AM20)*($AB20:$AE20-OFFSET($C$6:$F$6,AX$5,0)))+SQRT(SUM(($AJ20:$AM20)*($AB20:$AE20-OFFSET($C$6:$F$6,AX$5,0)))^2-SUM(($AB20:$AE20-OFFSET($C$6:$F$6,AX$5,0))*($AB20:$AE20-OFFSET($C$6:$F$6,AX$5,0)))+OFFSET($G$6,AX$5,0)^2)</f>
        <v>#NUM!</v>
      </c>
      <c r="AY20" s="10">
        <f t="array" aca="1" ref="AY20" ca="1">-SUM(($AJ20:$AM20)*($AB20:$AE20-OFFSET($C$6:$F$6,AO$5,0)))-SQRT(SUM(($AJ20:$AM20)*($AB20:$AE20-OFFSET($C$6:$F$6,AO$5,0)))^2-SUM(($AB20:$AE20-OFFSET($C$6:$F$6,AO$5,0))*($AB20:$AE20-OFFSET($C$6:$F$6,AO$5,0)))+OFFSET($G$6,AO$5,0)^2)</f>
        <v>5.4943964804032817</v>
      </c>
      <c r="AZ20" s="10" t="e">
        <f t="array" aca="1" ref="AZ20" ca="1">-SUM(($AJ20:$AM20)*($AB20:$AE20-OFFSET($C$6:$F$6,AP$5,0)))-SQRT(SUM(($AJ20:$AM20)*($AB20:$AE20-OFFSET($C$6:$F$6,AP$5,0)))^2-SUM(($AB20:$AE20-OFFSET($C$6:$F$6,AP$5,0))*($AB20:$AE20-OFFSET($C$6:$F$6,AP$5,0)))+OFFSET($G$6,AP$5,0)^2)</f>
        <v>#NUM!</v>
      </c>
      <c r="BA20" s="10" t="e">
        <f t="array" aca="1" ref="BA20" ca="1">-SUM(($AJ20:$AM20)*($AB20:$AE20-OFFSET($C$6:$F$6,AQ$5,0)))-SQRT(SUM(($AJ20:$AM20)*($AB20:$AE20-OFFSET($C$6:$F$6,AQ$5,0)))^2-SUM(($AB20:$AE20-OFFSET($C$6:$F$6,AQ$5,0))*($AB20:$AE20-OFFSET($C$6:$F$6,AQ$5,0)))+OFFSET($G$6,AQ$5,0)^2)</f>
        <v>#NUM!</v>
      </c>
      <c r="BB20" s="10" t="e">
        <f t="array" aca="1" ref="BB20" ca="1">-SUM(($AJ20:$AM20)*($AB20:$AE20-OFFSET($C$6:$F$6,AR$5,0)))-SQRT(SUM(($AJ20:$AM20)*($AB20:$AE20-OFFSET($C$6:$F$6,AR$5,0)))^2-SUM(($AB20:$AE20-OFFSET($C$6:$F$6,AR$5,0))*($AB20:$AE20-OFFSET($C$6:$F$6,AR$5,0)))+OFFSET($G$6,AR$5,0)^2)</f>
        <v>#NUM!</v>
      </c>
      <c r="BC20" s="10" t="e">
        <f t="array" aca="1" ref="BC20" ca="1">-SUM(($AJ20:$AM20)*($AB20:$AE20-OFFSET($C$6:$F$6,AS$5,0)))-SQRT(SUM(($AJ20:$AM20)*($AB20:$AE20-OFFSET($C$6:$F$6,AS$5,0)))^2-SUM(($AB20:$AE20-OFFSET($C$6:$F$6,AS$5,0))*($AB20:$AE20-OFFSET($C$6:$F$6,AS$5,0)))+OFFSET($G$6,AS$5,0)^2)</f>
        <v>#NUM!</v>
      </c>
      <c r="BD20" s="10" t="e">
        <f t="array" aca="1" ref="BD20" ca="1">-SUM(($AJ20:$AM20)*($AB20:$AE20-OFFSET($C$6:$F$6,AT$5,0)))-SQRT(SUM(($AJ20:$AM20)*($AB20:$AE20-OFFSET($C$6:$F$6,AT$5,0)))^2-SUM(($AB20:$AE20-OFFSET($C$6:$F$6,AT$5,0))*($AB20:$AE20-OFFSET($C$6:$F$6,AT$5,0)))+OFFSET($G$6,AT$5,0)^2)</f>
        <v>#NUM!</v>
      </c>
      <c r="BE20" s="10" t="e">
        <f t="array" aca="1" ref="BE20" ca="1">-SUM(($AJ20:$AM20)*($AB20:$AE20-OFFSET($C$6:$F$6,AU$5,0)))-SQRT(SUM(($AJ20:$AM20)*($AB20:$AE20-OFFSET($C$6:$F$6,AU$5,0)))^2-SUM(($AB20:$AE20-OFFSET($C$6:$F$6,AU$5,0))*($AB20:$AE20-OFFSET($C$6:$F$6,AU$5,0)))+OFFSET($G$6,AU$5,0)^2)</f>
        <v>#NUM!</v>
      </c>
      <c r="BF20" s="10" t="e">
        <f t="array" aca="1" ref="BF20" ca="1">-SUM(($AJ20:$AM20)*($AB20:$AE20-OFFSET($C$6:$F$6,AV$5,0)))-SQRT(SUM(($AJ20:$AM20)*($AB20:$AE20-OFFSET($C$6:$F$6,AV$5,0)))^2-SUM(($AB20:$AE20-OFFSET($C$6:$F$6,AV$5,0))*($AB20:$AE20-OFFSET($C$6:$F$6,AV$5,0)))+OFFSET($G$6,AV$5,0)^2)</f>
        <v>#NUM!</v>
      </c>
      <c r="BG20" s="10" t="e">
        <f t="array" aca="1" ref="BG20" ca="1">-SUM(($AJ20:$AM20)*($AB20:$AE20-OFFSET($C$6:$F$6,AW$5,0)))-SQRT(SUM(($AJ20:$AM20)*($AB20:$AE20-OFFSET($C$6:$F$6,AW$5,0)))^2-SUM(($AB20:$AE20-OFFSET($C$6:$F$6,AW$5,0))*($AB20:$AE20-OFFSET($C$6:$F$6,AW$5,0)))+OFFSET($G$6,AW$5,0)^2)</f>
        <v>#NUM!</v>
      </c>
      <c r="BH20" s="10" t="e">
        <f t="array" aca="1" ref="BH20" ca="1">-SUM(($AJ20:$AM20)*($AB20:$AE20-OFFSET($C$6:$F$6,AX$5,0)))-SQRT(SUM(($AJ20:$AM20)*($AB20:$AE20-OFFSET($C$6:$F$6,AX$5,0)))^2-SUM(($AB20:$AE20-OFFSET($C$6:$F$6,AX$5,0))*($AB20:$AE20-OFFSET($C$6:$F$6,AX$5,0)))+OFFSET($G$6,AX$5,0)^2)</f>
        <v>#NUM!</v>
      </c>
      <c r="BJ20" s="10">
        <f t="array" aca="1" ref="BJ20" ca="1">MIN(IF(IF(ISERROR(AO20:BH20),-1,AO20:BH20)&lt;0,9999999999,AO20:BH20))</f>
        <v>5.4943964804032817</v>
      </c>
      <c r="BL20">
        <f t="shared" ca="1" si="8"/>
        <v>0</v>
      </c>
      <c r="BN20" s="10">
        <f t="shared" ca="1" si="43"/>
        <v>-1.8365295486561382</v>
      </c>
      <c r="BO20" s="10">
        <f t="shared" ca="1" si="44"/>
        <v>-1.0523396965574632</v>
      </c>
      <c r="BP20" s="10">
        <f t="shared" ca="1" si="45"/>
        <v>-10.05977800425196</v>
      </c>
      <c r="BQ20" s="10">
        <f t="shared" ca="1" si="46"/>
        <v>1</v>
      </c>
      <c r="BR20" s="14">
        <f t="shared" ca="1" si="47"/>
        <v>0.33425500966419869</v>
      </c>
      <c r="BS20" s="14">
        <f t="shared" ca="1" si="48"/>
        <v>0.28253143035711975</v>
      </c>
      <c r="BT20" s="14">
        <f t="shared" ca="1" si="49"/>
        <v>-0.8991382426383312</v>
      </c>
      <c r="BU20" s="14">
        <f t="shared" si="50"/>
        <v>0</v>
      </c>
      <c r="BV20" s="10">
        <f t="array" aca="1" ref="BV20" ca="1">(BN20-OFFSET(C$6,$BL20,0))/SQRT(SUM(($BN20:$BQ20-OFFSET($C$6:$F$6,$BL20,0))*($BN20:$BQ20-OFFSET($C$6:$F$6,$BL20,0))))</f>
        <v>-1.838367916572711E-3</v>
      </c>
      <c r="BW20" s="10">
        <f t="array" aca="1" ref="BW20" ca="1">(BO20-OFFSET(D$6,$BL20,0))/SQRT(SUM(($BN20:$BQ20-OFFSET($C$6:$F$6,$BL20,0))*($BN20:$BQ20-OFFSET($C$6:$F$6,$BL20,0))))</f>
        <v>0.99994760791135395</v>
      </c>
      <c r="BX20" s="10">
        <f t="array" aca="1" ref="BX20" ca="1">(BP20-OFFSET(E$6,$BL20,0))/SQRT(SUM(($BN20:$BQ20-OFFSET($C$6:$F$6,$BL20,0))*($BN20:$BQ20-OFFSET($C$6:$F$6,$BL20,0))))</f>
        <v>-1.0069847852104066E-2</v>
      </c>
      <c r="BY20" s="10">
        <f t="array" aca="1" ref="BY20" ca="1">(BQ20-OFFSET(F$6,$BL20,0))/SQRT(SUM(($BN20:$BQ20-OFFSET($C$6:$F$6,$BL20,0))*($BN20:$BQ20-OFFSET($C$6:$F$6,$BL20,0))))</f>
        <v>0</v>
      </c>
      <c r="BZ20" s="14">
        <f t="array" aca="1" ref="BZ20" ca="1">-(BN20-O$6)/SQRT(SUM(($O$6:$R$6-$BN20:$BQ20)*($O$6:$R$6-$BN20:$BQ20)))</f>
        <v>-0.59411947517215524</v>
      </c>
      <c r="CA20" s="14">
        <f t="array" aca="1" ref="CA20" ca="1">-(BO20-P$6)/SQRT(SUM(($O$6:$R$6-$BN20:$BQ20)*($O$6:$R$6-$BN20:$BQ20)))</f>
        <v>0.80436504291653832</v>
      </c>
      <c r="CB20" s="14">
        <f t="array" aca="1" ref="CB20" ca="1">-(BP20-Q$6)/SQRT(SUM(($O$6:$R$6-$BN20:$BQ20)*($O$6:$R$6-$BN20:$BQ20)))</f>
        <v>4.3505120432164963E-3</v>
      </c>
      <c r="CC20" s="14">
        <f t="array" aca="1" ref="CC20" ca="1">-(BQ20-R$6)/SQRT(SUM(($O$6:$R$6-$BN20:$BQ20)*($O$6:$R$6-$BN20:$BQ20)))</f>
        <v>0</v>
      </c>
      <c r="CD20" s="14">
        <f t="array" aca="1" ref="CD20:CG20" ca="1">-BR20:BU20-BV20:BY20*2*SUM(-BR20:BU20*BV20:BY20)</f>
        <v>-0.33532477922697618</v>
      </c>
      <c r="CE20" s="14">
        <f ca="1"/>
        <v>0.2993507411453214</v>
      </c>
      <c r="CF20" s="14">
        <f ca="1"/>
        <v>0.89327847069775879</v>
      </c>
      <c r="CG20" s="14">
        <f ca="1"/>
        <v>0</v>
      </c>
      <c r="CH20" s="14">
        <f t="array" aca="1" ref="CH20:CK20" ca="1">-BZ20:CC20-BV20:BY20*2*SUM(-BZ20:CC20*BV20:BY20)</f>
        <v>0.59115833764806336</v>
      </c>
      <c r="CI20" s="14">
        <f ca="1"/>
        <v>0.80629317039283355</v>
      </c>
      <c r="CJ20" s="14">
        <f ca="1"/>
        <v>-2.0570444989148381E-2</v>
      </c>
      <c r="CK20" s="14">
        <f ca="1"/>
        <v>0</v>
      </c>
      <c r="CL20">
        <f t="array" aca="1" ref="CL20" ca="1">SUM(BZ20:CC20*BV20:BY20)</f>
        <v>0.80537130173931959</v>
      </c>
      <c r="CM20">
        <f t="array" aca="1" ref="CM20" ca="1">SUM(CH20:CK20*BR20:BU20)</f>
        <v>0.44389647233972052</v>
      </c>
      <c r="CN20" s="11">
        <f t="shared" ca="1" si="17"/>
        <v>0</v>
      </c>
      <c r="CO20" s="11">
        <f t="shared" ca="1" si="18"/>
        <v>0.72483417156538765</v>
      </c>
      <c r="CP20" s="11">
        <f t="shared" ca="1" si="19"/>
        <v>2.5738382262673684E-71</v>
      </c>
      <c r="CQ20" s="11">
        <f t="shared" ca="1" si="20"/>
        <v>0.72483417156538765</v>
      </c>
      <c r="CS20" s="10">
        <f t="array" aca="1" ref="CS20:CV20" ca="1">BN20:BQ20+BV20:BY20*0.001</f>
        <v>-1.8365313870240547</v>
      </c>
      <c r="CT20" s="10">
        <f ca="1"/>
        <v>-1.0513397489495517</v>
      </c>
      <c r="CU20" s="10">
        <f ca="1"/>
        <v>-10.059788074099812</v>
      </c>
      <c r="CV20" s="10">
        <f ca="1"/>
        <v>1</v>
      </c>
      <c r="CW20" s="10">
        <f t="shared" ca="1" si="21"/>
        <v>-0.59411947517215524</v>
      </c>
      <c r="CX20" s="10">
        <f t="shared" ca="1" si="22"/>
        <v>0.80436504291653832</v>
      </c>
      <c r="CY20" s="10">
        <f t="shared" ca="1" si="23"/>
        <v>4.3505120432164963E-3</v>
      </c>
      <c r="CZ20" s="10">
        <f t="shared" ca="1" si="24"/>
        <v>0</v>
      </c>
      <c r="DB20" s="10">
        <f t="array" aca="1" ref="DB20" ca="1">-SUM(($CW20:$CZ20)*($CS20:$CV20-OFFSET($C$6:$F$6,DB$5,0)))+SQRT(SUM(($CW20:$CZ20)*($CS20:$CV20-OFFSET($C$6:$F$6,DB$5,0)))^2-SUM(($CS20:$CV20-OFFSET($C$6:$F$6,DB$5,0))*($CS20:$CV20-OFFSET($C$6:$F$6,DB$5,0)))+OFFSET($G$6,DB$5,0)^2)</f>
        <v>-1.2416636512853074E-3</v>
      </c>
      <c r="DC20" s="10" t="e">
        <f t="array" aca="1" ref="DC20" ca="1">-SUM(($CW20:$CZ20)*($CS20:$CV20-OFFSET($C$6:$F$6,DC$5,0)))+SQRT(SUM(($CW20:$CZ20)*($CS20:$CV20-OFFSET($C$6:$F$6,DC$5,0)))^2-SUM(($CS20:$CV20-OFFSET($C$6:$F$6,DC$5,0))*($CS20:$CV20-OFFSET($C$6:$F$6,DC$5,0)))+OFFSET($G$6,DC$5,0)^2)</f>
        <v>#NUM!</v>
      </c>
      <c r="DD20" s="10" t="e">
        <f t="array" aca="1" ref="DD20" ca="1">-SUM(($CW20:$CZ20)*($CS20:$CV20-OFFSET($C$6:$F$6,DD$5,0)))+SQRT(SUM(($CW20:$CZ20)*($CS20:$CV20-OFFSET($C$6:$F$6,DD$5,0)))^2-SUM(($CS20:$CV20-OFFSET($C$6:$F$6,DD$5,0))*($CS20:$CV20-OFFSET($C$6:$F$6,DD$5,0)))+OFFSET($G$6,DD$5,0)^2)</f>
        <v>#NUM!</v>
      </c>
      <c r="DE20" s="10" t="e">
        <f t="array" aca="1" ref="DE20" ca="1">-SUM(($CW20:$CZ20)*($CS20:$CV20-OFFSET($C$6:$F$6,DE$5,0)))+SQRT(SUM(($CW20:$CZ20)*($CS20:$CV20-OFFSET($C$6:$F$6,DE$5,0)))^2-SUM(($CS20:$CV20-OFFSET($C$6:$F$6,DE$5,0))*($CS20:$CV20-OFFSET($C$6:$F$6,DE$5,0)))+OFFSET($G$6,DE$5,0)^2)</f>
        <v>#NUM!</v>
      </c>
      <c r="DF20" s="10" t="e">
        <f t="array" aca="1" ref="DF20" ca="1">-SUM(($CW20:$CZ20)*($CS20:$CV20-OFFSET($C$6:$F$6,DF$5,0)))+SQRT(SUM(($CW20:$CZ20)*($CS20:$CV20-OFFSET($C$6:$F$6,DF$5,0)))^2-SUM(($CS20:$CV20-OFFSET($C$6:$F$6,DF$5,0))*($CS20:$CV20-OFFSET($C$6:$F$6,DF$5,0)))+OFFSET($G$6,DF$5,0)^2)</f>
        <v>#NUM!</v>
      </c>
      <c r="DG20" s="10" t="e">
        <f t="array" aca="1" ref="DG20" ca="1">-SUM(($CW20:$CZ20)*($CS20:$CV20-OFFSET($C$6:$F$6,DG$5,0)))+SQRT(SUM(($CW20:$CZ20)*($CS20:$CV20-OFFSET($C$6:$F$6,DG$5,0)))^2-SUM(($CS20:$CV20-OFFSET($C$6:$F$6,DG$5,0))*($CS20:$CV20-OFFSET($C$6:$F$6,DG$5,0)))+OFFSET($G$6,DG$5,0)^2)</f>
        <v>#NUM!</v>
      </c>
      <c r="DH20" s="10" t="e">
        <f t="array" aca="1" ref="DH20" ca="1">-SUM(($CW20:$CZ20)*($CS20:$CV20-OFFSET($C$6:$F$6,DH$5,0)))+SQRT(SUM(($CW20:$CZ20)*($CS20:$CV20-OFFSET($C$6:$F$6,DH$5,0)))^2-SUM(($CS20:$CV20-OFFSET($C$6:$F$6,DH$5,0))*($CS20:$CV20-OFFSET($C$6:$F$6,DH$5,0)))+OFFSET($G$6,DH$5,0)^2)</f>
        <v>#NUM!</v>
      </c>
      <c r="DI20" s="10" t="e">
        <f t="array" aca="1" ref="DI20" ca="1">-SUM(($CW20:$CZ20)*($CS20:$CV20-OFFSET($C$6:$F$6,DI$5,0)))+SQRT(SUM(($CW20:$CZ20)*($CS20:$CV20-OFFSET($C$6:$F$6,DI$5,0)))^2-SUM(($CS20:$CV20-OFFSET($C$6:$F$6,DI$5,0))*($CS20:$CV20-OFFSET($C$6:$F$6,DI$5,0)))+OFFSET($G$6,DI$5,0)^2)</f>
        <v>#NUM!</v>
      </c>
      <c r="DJ20" s="10" t="e">
        <f t="array" aca="1" ref="DJ20" ca="1">-SUM(($CW20:$CZ20)*($CS20:$CV20-OFFSET($C$6:$F$6,DJ$5,0)))+SQRT(SUM(($CW20:$CZ20)*($CS20:$CV20-OFFSET($C$6:$F$6,DJ$5,0)))^2-SUM(($CS20:$CV20-OFFSET($C$6:$F$6,DJ$5,0))*($CS20:$CV20-OFFSET($C$6:$F$6,DJ$5,0)))+OFFSET($G$6,DJ$5,0)^2)</f>
        <v>#NUM!</v>
      </c>
      <c r="DK20" s="10" t="e">
        <f t="array" aca="1" ref="DK20" ca="1">-SUM(($CW20:$CZ20)*($CS20:$CV20-OFFSET($C$6:$F$6,DK$5,0)))+SQRT(SUM(($CW20:$CZ20)*($CS20:$CV20-OFFSET($C$6:$F$6,DK$5,0)))^2-SUM(($CS20:$CV20-OFFSET($C$6:$F$6,DK$5,0))*($CS20:$CV20-OFFSET($C$6:$F$6,DK$5,0)))+OFFSET($G$6,DK$5,0)^2)</f>
        <v>#NUM!</v>
      </c>
      <c r="DL20" s="10">
        <f t="array" aca="1" ref="DL20" ca="1">-SUM(($CW20:$CZ20)*($CS20:$CV20-OFFSET($C$6:$F$6,DB$5,0)))-SQRT(SUM(($CW20:$CZ20)*($CS20:$CV20-OFFSET($C$6:$F$6,DB$5,0)))^2-SUM(($CS20:$CV20-OFFSET($C$6:$F$6,DB$5,0))*($CS20:$CV20-OFFSET($C$6:$F$6,DB$5,0)))+OFFSET($G$6,DB$5,0)^2)</f>
        <v>-1609.1322299541125</v>
      </c>
      <c r="DM20" s="10" t="e">
        <f t="array" aca="1" ref="DM20" ca="1">-SUM(($CW20:$CZ20)*($CS20:$CV20-OFFSET($C$6:$F$6,DC$5,0)))-SQRT(SUM(($CW20:$CZ20)*($CS20:$CV20-OFFSET($C$6:$F$6,DC$5,0)))^2-SUM(($CS20:$CV20-OFFSET($C$6:$F$6,DC$5,0))*($CS20:$CV20-OFFSET($C$6:$F$6,DC$5,0)))+OFFSET($G$6,DC$5,0)^2)</f>
        <v>#NUM!</v>
      </c>
      <c r="DN20" s="10" t="e">
        <f t="array" aca="1" ref="DN20" ca="1">-SUM(($CW20:$CZ20)*($CS20:$CV20-OFFSET($C$6:$F$6,DD$5,0)))-SQRT(SUM(($CW20:$CZ20)*($CS20:$CV20-OFFSET($C$6:$F$6,DD$5,0)))^2-SUM(($CS20:$CV20-OFFSET($C$6:$F$6,DD$5,0))*($CS20:$CV20-OFFSET($C$6:$F$6,DD$5,0)))+OFFSET($G$6,DD$5,0)^2)</f>
        <v>#NUM!</v>
      </c>
      <c r="DO20" s="10" t="e">
        <f t="array" aca="1" ref="DO20" ca="1">-SUM(($CW20:$CZ20)*($CS20:$CV20-OFFSET($C$6:$F$6,DE$5,0)))-SQRT(SUM(($CW20:$CZ20)*($CS20:$CV20-OFFSET($C$6:$F$6,DE$5,0)))^2-SUM(($CS20:$CV20-OFFSET($C$6:$F$6,DE$5,0))*($CS20:$CV20-OFFSET($C$6:$F$6,DE$5,0)))+OFFSET($G$6,DE$5,0)^2)</f>
        <v>#NUM!</v>
      </c>
      <c r="DP20" s="10" t="e">
        <f t="array" aca="1" ref="DP20" ca="1">-SUM(($CW20:$CZ20)*($CS20:$CV20-OFFSET($C$6:$F$6,DF$5,0)))-SQRT(SUM(($CW20:$CZ20)*($CS20:$CV20-OFFSET($C$6:$F$6,DF$5,0)))^2-SUM(($CS20:$CV20-OFFSET($C$6:$F$6,DF$5,0))*($CS20:$CV20-OFFSET($C$6:$F$6,DF$5,0)))+OFFSET($G$6,DF$5,0)^2)</f>
        <v>#NUM!</v>
      </c>
      <c r="DQ20" s="10" t="e">
        <f t="array" aca="1" ref="DQ20" ca="1">-SUM(($CW20:$CZ20)*($CS20:$CV20-OFFSET($C$6:$F$6,DG$5,0)))-SQRT(SUM(($CW20:$CZ20)*($CS20:$CV20-OFFSET($C$6:$F$6,DG$5,0)))^2-SUM(($CS20:$CV20-OFFSET($C$6:$F$6,DG$5,0))*($CS20:$CV20-OFFSET($C$6:$F$6,DG$5,0)))+OFFSET($G$6,DG$5,0)^2)</f>
        <v>#NUM!</v>
      </c>
      <c r="DR20" s="10" t="e">
        <f t="array" aca="1" ref="DR20" ca="1">-SUM(($CW20:$CZ20)*($CS20:$CV20-OFFSET($C$6:$F$6,DH$5,0)))-SQRT(SUM(($CW20:$CZ20)*($CS20:$CV20-OFFSET($C$6:$F$6,DH$5,0)))^2-SUM(($CS20:$CV20-OFFSET($C$6:$F$6,DH$5,0))*($CS20:$CV20-OFFSET($C$6:$F$6,DH$5,0)))+OFFSET($G$6,DH$5,0)^2)</f>
        <v>#NUM!</v>
      </c>
      <c r="DS20" s="10" t="e">
        <f t="array" aca="1" ref="DS20" ca="1">-SUM(($CW20:$CZ20)*($CS20:$CV20-OFFSET($C$6:$F$6,DI$5,0)))-SQRT(SUM(($CW20:$CZ20)*($CS20:$CV20-OFFSET($C$6:$F$6,DI$5,0)))^2-SUM(($CS20:$CV20-OFFSET($C$6:$F$6,DI$5,0))*($CS20:$CV20-OFFSET($C$6:$F$6,DI$5,0)))+OFFSET($G$6,DI$5,0)^2)</f>
        <v>#NUM!</v>
      </c>
      <c r="DT20" s="10" t="e">
        <f t="array" aca="1" ref="DT20" ca="1">-SUM(($CW20:$CZ20)*($CS20:$CV20-OFFSET($C$6:$F$6,DJ$5,0)))-SQRT(SUM(($CW20:$CZ20)*($CS20:$CV20-OFFSET($C$6:$F$6,DJ$5,0)))^2-SUM(($CS20:$CV20-OFFSET($C$6:$F$6,DJ$5,0))*($CS20:$CV20-OFFSET($C$6:$F$6,DJ$5,0)))+OFFSET($G$6,DJ$5,0)^2)</f>
        <v>#NUM!</v>
      </c>
      <c r="DU20" s="10" t="e">
        <f t="array" aca="1" ref="DU20" ca="1">-SUM(($CW20:$CZ20)*($CS20:$CV20-OFFSET($C$6:$F$6,DK$5,0)))-SQRT(SUM(($CW20:$CZ20)*($CS20:$CV20-OFFSET($C$6:$F$6,DK$5,0)))^2-SUM(($CS20:$CV20-OFFSET($C$6:$F$6,DK$5,0))*($CS20:$CV20-OFFSET($C$6:$F$6,DK$5,0)))+OFFSET($G$6,DK$5,0)^2)</f>
        <v>#NUM!</v>
      </c>
      <c r="DW20" s="10">
        <f t="array" aca="1" ref="DW20" ca="1">MIN(IF(IF(ISERROR(DB20:DU20),-1,DB20:DU20)&lt;0,9999999999,DB20:DU20))</f>
        <v>9999999999</v>
      </c>
      <c r="DY20" s="11">
        <f t="shared" ca="1" si="25"/>
        <v>0.72483417156538765</v>
      </c>
      <c r="EB20" s="10">
        <f t="array" aca="1" ref="EB20:EE20" ca="1">BN20:BQ20+BV20:BY20*0.01</f>
        <v>-1.8365479323353038</v>
      </c>
      <c r="EC20" s="10">
        <f ca="1"/>
        <v>-1.0423402204783496</v>
      </c>
      <c r="ED20" s="10">
        <f ca="1"/>
        <v>-10.059878702730481</v>
      </c>
      <c r="EE20" s="10">
        <f ca="1"/>
        <v>1</v>
      </c>
      <c r="EF20" s="10">
        <f t="shared" ca="1" si="26"/>
        <v>-0.33532477922697618</v>
      </c>
      <c r="EG20" s="10">
        <f t="shared" ca="1" si="27"/>
        <v>0.2993507411453214</v>
      </c>
      <c r="EH20" s="10">
        <f t="shared" ca="1" si="28"/>
        <v>0.89327847069775879</v>
      </c>
      <c r="EI20" s="10">
        <f t="shared" ca="1" si="29"/>
        <v>0</v>
      </c>
      <c r="EK20" s="10">
        <f t="array" aca="1" ref="EK20" ca="1">-SUM(($EF20:$EI20)*($EB20:$EE20-OFFSET($C$6:$F$6,EK$5,0)))+SQRT(SUM(($EF20:$EI20)*($EB20:$EE20-OFFSET($C$6:$F$6,EK$5,0)))^2-SUM(($EB20:$EE20-OFFSET($C$6:$F$6,EK$5,0))*($EB20:$EE20-OFFSET($C$6:$F$6,EK$5,0)))+OFFSET($G$6,EK$5,0)^2)</f>
        <v>-3.4371279165497981E-2</v>
      </c>
      <c r="EL20" s="10" t="e">
        <f t="array" aca="1" ref="EL20" ca="1">-SUM(($EF20:$EI20)*($EB20:$EE20-OFFSET($C$6:$F$6,EL$5,0)))+SQRT(SUM(($EF20:$EI20)*($EB20:$EE20-OFFSET($C$6:$F$6,EL$5,0)))^2-SUM(($EB20:$EE20-OFFSET($C$6:$F$6,EL$5,0))*($EB20:$EE20-OFFSET($C$6:$F$6,EL$5,0)))+OFFSET($G$6,EL$5,0)^2)</f>
        <v>#NUM!</v>
      </c>
      <c r="EM20" s="10" t="e">
        <f t="array" aca="1" ref="EM20" ca="1">-SUM(($EF20:$EI20)*($EB20:$EE20-OFFSET($C$6:$F$6,EM$5,0)))+SQRT(SUM(($EF20:$EI20)*($EB20:$EE20-OFFSET($C$6:$F$6,EM$5,0)))^2-SUM(($EB20:$EE20-OFFSET($C$6:$F$6,EM$5,0))*($EB20:$EE20-OFFSET($C$6:$F$6,EM$5,0)))+OFFSET($G$6,EM$5,0)^2)</f>
        <v>#NUM!</v>
      </c>
      <c r="EN20" s="10" t="e">
        <f t="array" aca="1" ref="EN20" ca="1">-SUM(($EF20:$EI20)*($EB20:$EE20-OFFSET($C$6:$F$6,EN$5,0)))+SQRT(SUM(($EF20:$EI20)*($EB20:$EE20-OFFSET($C$6:$F$6,EN$5,0)))^2-SUM(($EB20:$EE20-OFFSET($C$6:$F$6,EN$5,0))*($EB20:$EE20-OFFSET($C$6:$F$6,EN$5,0)))+OFFSET($G$6,EN$5,0)^2)</f>
        <v>#NUM!</v>
      </c>
      <c r="EO20" s="10" t="e">
        <f t="array" aca="1" ref="EO20" ca="1">-SUM(($EF20:$EI20)*($EB20:$EE20-OFFSET($C$6:$F$6,EO$5,0)))+SQRT(SUM(($EF20:$EI20)*($EB20:$EE20-OFFSET($C$6:$F$6,EO$5,0)))^2-SUM(($EB20:$EE20-OFFSET($C$6:$F$6,EO$5,0))*($EB20:$EE20-OFFSET($C$6:$F$6,EO$5,0)))+OFFSET($G$6,EO$5,0)^2)</f>
        <v>#NUM!</v>
      </c>
      <c r="EP20" s="10" t="e">
        <f t="array" aca="1" ref="EP20" ca="1">-SUM(($EF20:$EI20)*($EB20:$EE20-OFFSET($C$6:$F$6,EP$5,0)))+SQRT(SUM(($EF20:$EI20)*($EB20:$EE20-OFFSET($C$6:$F$6,EP$5,0)))^2-SUM(($EB20:$EE20-OFFSET($C$6:$F$6,EP$5,0))*($EB20:$EE20-OFFSET($C$6:$F$6,EP$5,0)))+OFFSET($G$6,EP$5,0)^2)</f>
        <v>#NUM!</v>
      </c>
      <c r="EQ20" s="10" t="e">
        <f t="array" aca="1" ref="EQ20" ca="1">-SUM(($EF20:$EI20)*($EB20:$EE20-OFFSET($C$6:$F$6,EQ$5,0)))+SQRT(SUM(($EF20:$EI20)*($EB20:$EE20-OFFSET($C$6:$F$6,EQ$5,0)))^2-SUM(($EB20:$EE20-OFFSET($C$6:$F$6,EQ$5,0))*($EB20:$EE20-OFFSET($C$6:$F$6,EQ$5,0)))+OFFSET($G$6,EQ$5,0)^2)</f>
        <v>#NUM!</v>
      </c>
      <c r="ER20" s="10" t="e">
        <f t="array" aca="1" ref="ER20" ca="1">-SUM(($EF20:$EI20)*($EB20:$EE20-OFFSET($C$6:$F$6,ER$5,0)))+SQRT(SUM(($EF20:$EI20)*($EB20:$EE20-OFFSET($C$6:$F$6,ER$5,0)))^2-SUM(($EB20:$EE20-OFFSET($C$6:$F$6,ER$5,0))*($EB20:$EE20-OFFSET($C$6:$F$6,ER$5,0)))+OFFSET($G$6,ER$5,0)^2)</f>
        <v>#NUM!</v>
      </c>
      <c r="ES20" s="10" t="e">
        <f t="array" aca="1" ref="ES20" ca="1">-SUM(($EF20:$EI20)*($EB20:$EE20-OFFSET($C$6:$F$6,ES$5,0)))+SQRT(SUM(($EF20:$EI20)*($EB20:$EE20-OFFSET($C$6:$F$6,ES$5,0)))^2-SUM(($EB20:$EE20-OFFSET($C$6:$F$6,ES$5,0))*($EB20:$EE20-OFFSET($C$6:$F$6,ES$5,0)))+OFFSET($G$6,ES$5,0)^2)</f>
        <v>#NUM!</v>
      </c>
      <c r="ET20" s="10" t="e">
        <f t="array" aca="1" ref="ET20" ca="1">-SUM(($EF20:$EI20)*($EB20:$EE20-OFFSET($C$6:$F$6,ET$5,0)))+SQRT(SUM(($EF20:$EI20)*($EB20:$EE20-OFFSET($C$6:$F$6,ET$5,0)))^2-SUM(($EB20:$EE20-OFFSET($C$6:$F$6,ET$5,0))*($EB20:$EE20-OFFSET($C$6:$F$6,ET$5,0)))+OFFSET($G$6,ET$5,0)^2)</f>
        <v>#NUM!</v>
      </c>
      <c r="EU20" s="10">
        <f t="array" aca="1" ref="EU20" ca="1">-SUM(($EF20:$EI20)*($EB20:$EE20-OFFSET($C$6:$F$6,EK$5,0)))-SQRT(SUM(($EF20:$EI20)*($EB20:$EE20-OFFSET($C$6:$F$6,EK$5,0)))^2-SUM(($EB20:$EE20-OFFSET($C$6:$F$6,EK$5,0))*($EB20:$EE20-OFFSET($C$6:$F$6,EK$5,0)))+OFFSET($G$6,EK$5,0)^2)</f>
        <v>-581.30219431036585</v>
      </c>
      <c r="EV20" s="10" t="e">
        <f t="array" aca="1" ref="EV20" ca="1">-SUM(($EF20:$EI20)*($EB20:$EE20-OFFSET($C$6:$F$6,EL$5,0)))-SQRT(SUM(($EF20:$EI20)*($EB20:$EE20-OFFSET($C$6:$F$6,EL$5,0)))^2-SUM(($EB20:$EE20-OFFSET($C$6:$F$6,EL$5,0))*($EB20:$EE20-OFFSET($C$6:$F$6,EL$5,0)))+OFFSET($G$6,EL$5,0)^2)</f>
        <v>#NUM!</v>
      </c>
      <c r="EW20" s="10" t="e">
        <f t="array" aca="1" ref="EW20" ca="1">-SUM(($EF20:$EI20)*($EB20:$EE20-OFFSET($C$6:$F$6,EM$5,0)))-SQRT(SUM(($EF20:$EI20)*($EB20:$EE20-OFFSET($C$6:$F$6,EM$5,0)))^2-SUM(($EB20:$EE20-OFFSET($C$6:$F$6,EM$5,0))*($EB20:$EE20-OFFSET($C$6:$F$6,EM$5,0)))+OFFSET($G$6,EM$5,0)^2)</f>
        <v>#NUM!</v>
      </c>
      <c r="EX20" s="10" t="e">
        <f t="array" aca="1" ref="EX20" ca="1">-SUM(($EF20:$EI20)*($EB20:$EE20-OFFSET($C$6:$F$6,EN$5,0)))-SQRT(SUM(($EF20:$EI20)*($EB20:$EE20-OFFSET($C$6:$F$6,EN$5,0)))^2-SUM(($EB20:$EE20-OFFSET($C$6:$F$6,EN$5,0))*($EB20:$EE20-OFFSET($C$6:$F$6,EN$5,0)))+OFFSET($G$6,EN$5,0)^2)</f>
        <v>#NUM!</v>
      </c>
      <c r="EY20" s="10" t="e">
        <f t="array" aca="1" ref="EY20" ca="1">-SUM(($EF20:$EI20)*($EB20:$EE20-OFFSET($C$6:$F$6,EO$5,0)))-SQRT(SUM(($EF20:$EI20)*($EB20:$EE20-OFFSET($C$6:$F$6,EO$5,0)))^2-SUM(($EB20:$EE20-OFFSET($C$6:$F$6,EO$5,0))*($EB20:$EE20-OFFSET($C$6:$F$6,EO$5,0)))+OFFSET($G$6,EO$5,0)^2)</f>
        <v>#NUM!</v>
      </c>
      <c r="EZ20" s="10" t="e">
        <f t="array" aca="1" ref="EZ20" ca="1">-SUM(($EF20:$EI20)*($EB20:$EE20-OFFSET($C$6:$F$6,EP$5,0)))-SQRT(SUM(($EF20:$EI20)*($EB20:$EE20-OFFSET($C$6:$F$6,EP$5,0)))^2-SUM(($EB20:$EE20-OFFSET($C$6:$F$6,EP$5,0))*($EB20:$EE20-OFFSET($C$6:$F$6,EP$5,0)))+OFFSET($G$6,EP$5,0)^2)</f>
        <v>#NUM!</v>
      </c>
      <c r="FA20" s="10" t="e">
        <f t="array" aca="1" ref="FA20" ca="1">-SUM(($EF20:$EI20)*($EB20:$EE20-OFFSET($C$6:$F$6,EQ$5,0)))-SQRT(SUM(($EF20:$EI20)*($EB20:$EE20-OFFSET($C$6:$F$6,EQ$5,0)))^2-SUM(($EB20:$EE20-OFFSET($C$6:$F$6,EQ$5,0))*($EB20:$EE20-OFFSET($C$6:$F$6,EQ$5,0)))+OFFSET($G$6,EQ$5,0)^2)</f>
        <v>#NUM!</v>
      </c>
      <c r="FB20" s="10" t="e">
        <f t="array" aca="1" ref="FB20" ca="1">-SUM(($EF20:$EI20)*($EB20:$EE20-OFFSET($C$6:$F$6,ER$5,0)))-SQRT(SUM(($EF20:$EI20)*($EB20:$EE20-OFFSET($C$6:$F$6,ER$5,0)))^2-SUM(($EB20:$EE20-OFFSET($C$6:$F$6,ER$5,0))*($EB20:$EE20-OFFSET($C$6:$F$6,ER$5,0)))+OFFSET($G$6,ER$5,0)^2)</f>
        <v>#NUM!</v>
      </c>
      <c r="FC20" s="10" t="e">
        <f t="array" aca="1" ref="FC20" ca="1">-SUM(($EF20:$EI20)*($EB20:$EE20-OFFSET($C$6:$F$6,ES$5,0)))-SQRT(SUM(($EF20:$EI20)*($EB20:$EE20-OFFSET($C$6:$F$6,ES$5,0)))^2-SUM(($EB20:$EE20-OFFSET($C$6:$F$6,ES$5,0))*($EB20:$EE20-OFFSET($C$6:$F$6,ES$5,0)))+OFFSET($G$6,ES$5,0)^2)</f>
        <v>#NUM!</v>
      </c>
      <c r="FD20" s="10" t="e">
        <f t="array" aca="1" ref="FD20" ca="1">-SUM(($EF20:$EI20)*($EB20:$EE20-OFFSET($C$6:$F$6,ET$5,0)))-SQRT(SUM(($EF20:$EI20)*($EB20:$EE20-OFFSET($C$6:$F$6,ET$5,0)))^2-SUM(($EB20:$EE20-OFFSET($C$6:$F$6,ET$5,0))*($EB20:$EE20-OFFSET($C$6:$F$6,ET$5,0)))+OFFSET($G$6,ET$5,0)^2)</f>
        <v>#NUM!</v>
      </c>
      <c r="FF20" s="10">
        <f t="array" aca="1" ref="FF20" ca="1">MIN(IF(IF(ISERROR(EK20:FD20),-1,EK20:FD20)&lt;0,9999999999,EK20:FD20))</f>
        <v>9999999999</v>
      </c>
      <c r="FH20">
        <f t="shared" ca="1" si="30"/>
        <v>-1</v>
      </c>
      <c r="FJ20" s="10">
        <f t="shared" ca="1" si="31"/>
        <v>-3353247793.7709846</v>
      </c>
      <c r="FK20" s="10">
        <f t="shared" ca="1" si="32"/>
        <v>2993507410.1115232</v>
      </c>
      <c r="FL20" s="10">
        <f t="shared" ca="1" si="33"/>
        <v>8932784696.0244293</v>
      </c>
      <c r="FM20" s="10">
        <f t="shared" ca="1" si="34"/>
        <v>1</v>
      </c>
      <c r="FN20" s="14">
        <f t="shared" ca="1" si="35"/>
        <v>0.33532477922697618</v>
      </c>
      <c r="FO20" s="14">
        <f t="shared" ca="1" si="0"/>
        <v>-0.2993507411453214</v>
      </c>
      <c r="FP20" s="14">
        <f t="shared" ca="1" si="1"/>
        <v>-0.89327847069775879</v>
      </c>
      <c r="FQ20" s="14">
        <f t="shared" ca="1" si="2"/>
        <v>0</v>
      </c>
      <c r="FR20" s="10" t="e">
        <f t="array" aca="1" ref="FR20" ca="1">(FJ20-OFFSET(C$6,$FH20,0))/SQRT(SUM(($FJ20:$FM20-OFFSET($C$6:$F$6,$FH20,0))*($FJ20:$FM20-OFFSET($C$6:$F$6,$FH20,0))))</f>
        <v>#VALUE!</v>
      </c>
      <c r="FS20" s="10" t="e">
        <f t="array" aca="1" ref="FS20" ca="1">(FK20-OFFSET(D$6,$FH20,0))/SQRT(SUM(($FJ20:$FM20-OFFSET($C$6:$F$6,$FH20,0))*($FJ20:$FM20-OFFSET($C$6:$F$6,$FH20,0))))</f>
        <v>#VALUE!</v>
      </c>
      <c r="FT20" s="10" t="e">
        <f t="array" aca="1" ref="FT20" ca="1">(FL20-OFFSET(E$6,$FH20,0))/SQRT(SUM(($FJ20:$FM20-OFFSET($C$6:$F$6,$FH20,0))*($FJ20:$FM20-OFFSET($C$6:$F$6,$FH20,0))))</f>
        <v>#VALUE!</v>
      </c>
      <c r="FU20" s="10" t="e">
        <f t="array" aca="1" ref="FU20" ca="1">(FM20-OFFSET(F$6,$FH20,0))/SQRT(SUM(($FJ20:$FM20-OFFSET($C$6:$F$6,$FH20,0))*($FJ20:$FM20-OFFSET($C$6:$F$6,$FH20,0))))</f>
        <v>#VALUE!</v>
      </c>
      <c r="FV20" s="14">
        <f t="array" aca="1" ref="FV20" ca="1">-(FJ20-O$6)/SQRT(SUM(($O$6:$R$6-$FJ20:$FM20)*($O$6:$R$6-$FJ20:$FM20)))</f>
        <v>0.33532477861505933</v>
      </c>
      <c r="FW20" s="14">
        <f t="array" aca="1" ref="FW20" ca="1">-(FK20-P$6)/SQRT(SUM(($O$6:$R$6-$FJ20:$FM20)*($O$6:$R$6-$FJ20:$FM20)))</f>
        <v>-0.29935074022358449</v>
      </c>
      <c r="FX20" s="14">
        <f t="array" aca="1" ref="FX20" ca="1">-(FL20-Q$6)/SQRT(SUM(($O$6:$R$6-$FJ20:$FM20)*($O$6:$R$6-$FJ20:$FM20)))</f>
        <v>-0.89327847123635173</v>
      </c>
      <c r="FY20" s="14">
        <f t="array" aca="1" ref="FY20" ca="1">-(FM20-R$6)/SQRT(SUM(($O$6:$R$6-$FJ20:$FM20)*($O$6:$R$6-$FJ20:$FM20)))</f>
        <v>0</v>
      </c>
      <c r="FZ20" s="14" t="e">
        <f t="array" aca="1" ref="FZ20:GC20" ca="1">-FN20:FQ20-FR20:FU20*2*SUM(-FN20:FQ20*FR20:FU20)</f>
        <v>#VALUE!</v>
      </c>
      <c r="GA20" s="14" t="e">
        <f ca="1"/>
        <v>#VALUE!</v>
      </c>
      <c r="GB20" s="14" t="e">
        <f ca="1"/>
        <v>#VALUE!</v>
      </c>
      <c r="GC20" s="14" t="e">
        <f ca="1"/>
        <v>#VALUE!</v>
      </c>
      <c r="GD20" s="14" t="e">
        <f t="array" aca="1" ref="GD20:GG20" ca="1">-FV20:FY20-FR20:FU20*2*SUM(-FV20:FY20*FR20:FU20)</f>
        <v>#VALUE!</v>
      </c>
      <c r="GE20" s="14" t="e">
        <f ca="1"/>
        <v>#VALUE!</v>
      </c>
      <c r="GF20" s="14" t="e">
        <f ca="1"/>
        <v>#VALUE!</v>
      </c>
      <c r="GG20" s="14" t="e">
        <f ca="1"/>
        <v>#VALUE!</v>
      </c>
      <c r="GH20" t="e">
        <f t="array" aca="1" ref="GH20" ca="1">SUM(FV20:FY20*FR20:FU20)</f>
        <v>#VALUE!</v>
      </c>
      <c r="GI20" t="e">
        <f t="array" aca="1" ref="GI20" ca="1">SUM(GD20:GG20*FN20:FQ20)</f>
        <v>#VALUE!</v>
      </c>
      <c r="GJ20" s="11" t="e">
        <f t="shared" ca="1" si="36"/>
        <v>#VALUE!</v>
      </c>
      <c r="GK20" s="11" t="e">
        <f t="shared" ca="1" si="37"/>
        <v>#VALUE!</v>
      </c>
      <c r="GL20" s="11" t="e">
        <f t="shared" ca="1" si="38"/>
        <v>#VALUE!</v>
      </c>
      <c r="GM20" s="11">
        <f t="shared" ca="1" si="39"/>
        <v>0</v>
      </c>
      <c r="GO20" s="10" t="e">
        <f t="array" aca="1" ref="GO20:GR20" ca="1">FJ20:FM20+FR20:FU20*0.001</f>
        <v>#VALUE!</v>
      </c>
      <c r="GP20" s="10" t="e">
        <f ca="1"/>
        <v>#VALUE!</v>
      </c>
      <c r="GQ20" s="10" t="e">
        <f ca="1"/>
        <v>#VALUE!</v>
      </c>
      <c r="GR20" s="10" t="e">
        <f ca="1"/>
        <v>#VALUE!</v>
      </c>
      <c r="GS20" s="10">
        <f t="shared" ca="1" si="40"/>
        <v>0.33532477861505933</v>
      </c>
      <c r="GT20" s="10">
        <f t="shared" ca="1" si="3"/>
        <v>-0.29935074022358449</v>
      </c>
      <c r="GU20" s="10">
        <f t="shared" ca="1" si="4"/>
        <v>-0.89327847123635173</v>
      </c>
      <c r="GV20" s="10">
        <f t="shared" ca="1" si="5"/>
        <v>0</v>
      </c>
      <c r="GX20" s="10" t="e">
        <f t="array" aca="1" ref="GX20" ca="1">-SUM(($GS20:$GV20)*($GO20:$GR20-OFFSET($C$6:$F$6,GX$5,0)))+SQRT(SUM(($GS20:$GV20)*($GO20:$GR20-OFFSET($C$6:$F$6,GX$5,0)))^2-SUM(($GO20:$GR20-OFFSET($C$6:$F$6,GX$5,0))*($GO20:$GR20-OFFSET($C$6:$F$6,GX$5,0)))+OFFSET($G$6,GX$5,0)^2)</f>
        <v>#VALUE!</v>
      </c>
      <c r="GY20" s="10" t="e">
        <f t="array" aca="1" ref="GY20" ca="1">-SUM(($GS20:$GV20)*($GO20:$GR20-OFFSET($C$6:$F$6,GY$5,0)))+SQRT(SUM(($GS20:$GV20)*($GO20:$GR20-OFFSET($C$6:$F$6,GY$5,0)))^2-SUM(($GO20:$GR20-OFFSET($C$6:$F$6,GY$5,0))*($GO20:$GR20-OFFSET($C$6:$F$6,GY$5,0)))+OFFSET($G$6,GY$5,0)^2)</f>
        <v>#VALUE!</v>
      </c>
      <c r="GZ20" s="10" t="e">
        <f t="array" aca="1" ref="GZ20" ca="1">-SUM(($GS20:$GV20)*($GO20:$GR20-OFFSET($C$6:$F$6,GZ$5,0)))+SQRT(SUM(($GS20:$GV20)*($GO20:$GR20-OFFSET($C$6:$F$6,GZ$5,0)))^2-SUM(($GO20:$GR20-OFFSET($C$6:$F$6,GZ$5,0))*($GO20:$GR20-OFFSET($C$6:$F$6,GZ$5,0)))+OFFSET($G$6,GZ$5,0)^2)</f>
        <v>#VALUE!</v>
      </c>
      <c r="HA20" s="10" t="e">
        <f t="array" aca="1" ref="HA20" ca="1">-SUM(($GS20:$GV20)*($GO20:$GR20-OFFSET($C$6:$F$6,HA$5,0)))+SQRT(SUM(($GS20:$GV20)*($GO20:$GR20-OFFSET($C$6:$F$6,HA$5,0)))^2-SUM(($GO20:$GR20-OFFSET($C$6:$F$6,HA$5,0))*($GO20:$GR20-OFFSET($C$6:$F$6,HA$5,0)))+OFFSET($G$6,HA$5,0)^2)</f>
        <v>#VALUE!</v>
      </c>
      <c r="HB20" s="10" t="e">
        <f t="array" aca="1" ref="HB20" ca="1">-SUM(($GS20:$GV20)*($GO20:$GR20-OFFSET($C$6:$F$6,HB$5,0)))+SQRT(SUM(($GS20:$GV20)*($GO20:$GR20-OFFSET($C$6:$F$6,HB$5,0)))^2-SUM(($GO20:$GR20-OFFSET($C$6:$F$6,HB$5,0))*($GO20:$GR20-OFFSET($C$6:$F$6,HB$5,0)))+OFFSET($G$6,HB$5,0)^2)</f>
        <v>#VALUE!</v>
      </c>
      <c r="HC20" s="10" t="e">
        <f t="array" aca="1" ref="HC20" ca="1">-SUM(($GS20:$GV20)*($GO20:$GR20-OFFSET($C$6:$F$6,HC$5,0)))+SQRT(SUM(($GS20:$GV20)*($GO20:$GR20-OFFSET($C$6:$F$6,HC$5,0)))^2-SUM(($GO20:$GR20-OFFSET($C$6:$F$6,HC$5,0))*($GO20:$GR20-OFFSET($C$6:$F$6,HC$5,0)))+OFFSET($G$6,HC$5,0)^2)</f>
        <v>#VALUE!</v>
      </c>
      <c r="HD20" s="10" t="e">
        <f t="array" aca="1" ref="HD20" ca="1">-SUM(($GS20:$GV20)*($GO20:$GR20-OFFSET($C$6:$F$6,HD$5,0)))+SQRT(SUM(($GS20:$GV20)*($GO20:$GR20-OFFSET($C$6:$F$6,HD$5,0)))^2-SUM(($GO20:$GR20-OFFSET($C$6:$F$6,HD$5,0))*($GO20:$GR20-OFFSET($C$6:$F$6,HD$5,0)))+OFFSET($G$6,HD$5,0)^2)</f>
        <v>#VALUE!</v>
      </c>
      <c r="HE20" s="10" t="e">
        <f t="array" aca="1" ref="HE20" ca="1">-SUM(($GS20:$GV20)*($GO20:$GR20-OFFSET($C$6:$F$6,HE$5,0)))+SQRT(SUM(($GS20:$GV20)*($GO20:$GR20-OFFSET($C$6:$F$6,HE$5,0)))^2-SUM(($GO20:$GR20-OFFSET($C$6:$F$6,HE$5,0))*($GO20:$GR20-OFFSET($C$6:$F$6,HE$5,0)))+OFFSET($G$6,HE$5,0)^2)</f>
        <v>#VALUE!</v>
      </c>
      <c r="HF20" s="10" t="e">
        <f t="array" aca="1" ref="HF20" ca="1">-SUM(($GS20:$GV20)*($GO20:$GR20-OFFSET($C$6:$F$6,HF$5,0)))+SQRT(SUM(($GS20:$GV20)*($GO20:$GR20-OFFSET($C$6:$F$6,HF$5,0)))^2-SUM(($GO20:$GR20-OFFSET($C$6:$F$6,HF$5,0))*($GO20:$GR20-OFFSET($C$6:$F$6,HF$5,0)))+OFFSET($G$6,HF$5,0)^2)</f>
        <v>#VALUE!</v>
      </c>
      <c r="HG20" s="10" t="e">
        <f t="array" aca="1" ref="HG20" ca="1">-SUM(($GS20:$GV20)*($GO20:$GR20-OFFSET($C$6:$F$6,HG$5,0)))+SQRT(SUM(($GS20:$GV20)*($GO20:$GR20-OFFSET($C$6:$F$6,HG$5,0)))^2-SUM(($GO20:$GR20-OFFSET($C$6:$F$6,HG$5,0))*($GO20:$GR20-OFFSET($C$6:$F$6,HG$5,0)))+OFFSET($G$6,HG$5,0)^2)</f>
        <v>#VALUE!</v>
      </c>
      <c r="HH20" s="10" t="e">
        <f t="array" aca="1" ref="HH20" ca="1">-SUM(($GS20:$GV20)*($GO20:$GR20-OFFSET($C$6:$F$6,GX$5,0)))-SQRT(SUM(($GS20:$GV20)*($GO20:$GR20-OFFSET($C$6:$F$6,GX$5,0)))^2-SUM(($GO20:$GR20-OFFSET($C$6:$F$6,GX$5,0))*($GO20:$GR20-OFFSET($C$6:$F$6,GX$5,0)))+OFFSET($G$6,GX$5,0)^2)</f>
        <v>#VALUE!</v>
      </c>
      <c r="HI20" s="10" t="e">
        <f t="array" aca="1" ref="HI20" ca="1">-SUM(($GS20:$GV20)*($GO20:$GR20-OFFSET($C$6:$F$6,GY$5,0)))-SQRT(SUM(($GS20:$GV20)*($GO20:$GR20-OFFSET($C$6:$F$6,GY$5,0)))^2-SUM(($GO20:$GR20-OFFSET($C$6:$F$6,GY$5,0))*($GO20:$GR20-OFFSET($C$6:$F$6,GY$5,0)))+OFFSET($G$6,GY$5,0)^2)</f>
        <v>#VALUE!</v>
      </c>
      <c r="HJ20" s="10" t="e">
        <f t="array" aca="1" ref="HJ20" ca="1">-SUM(($GS20:$GV20)*($GO20:$GR20-OFFSET($C$6:$F$6,GZ$5,0)))-SQRT(SUM(($GS20:$GV20)*($GO20:$GR20-OFFSET($C$6:$F$6,GZ$5,0)))^2-SUM(($GO20:$GR20-OFFSET($C$6:$F$6,GZ$5,0))*($GO20:$GR20-OFFSET($C$6:$F$6,GZ$5,0)))+OFFSET($G$6,GZ$5,0)^2)</f>
        <v>#VALUE!</v>
      </c>
      <c r="HK20" s="10" t="e">
        <f t="array" aca="1" ref="HK20" ca="1">-SUM(($GS20:$GV20)*($GO20:$GR20-OFFSET($C$6:$F$6,HA$5,0)))-SQRT(SUM(($GS20:$GV20)*($GO20:$GR20-OFFSET($C$6:$F$6,HA$5,0)))^2-SUM(($GO20:$GR20-OFFSET($C$6:$F$6,HA$5,0))*($GO20:$GR20-OFFSET($C$6:$F$6,HA$5,0)))+OFFSET($G$6,HA$5,0)^2)</f>
        <v>#VALUE!</v>
      </c>
      <c r="HL20" s="10" t="e">
        <f t="array" aca="1" ref="HL20" ca="1">-SUM(($GS20:$GV20)*($GO20:$GR20-OFFSET($C$6:$F$6,HB$5,0)))-SQRT(SUM(($GS20:$GV20)*($GO20:$GR20-OFFSET($C$6:$F$6,HB$5,0)))^2-SUM(($GO20:$GR20-OFFSET($C$6:$F$6,HB$5,0))*($GO20:$GR20-OFFSET($C$6:$F$6,HB$5,0)))+OFFSET($G$6,HB$5,0)^2)</f>
        <v>#VALUE!</v>
      </c>
      <c r="HM20" s="10" t="e">
        <f t="array" aca="1" ref="HM20" ca="1">-SUM(($GS20:$GV20)*($GO20:$GR20-OFFSET($C$6:$F$6,HC$5,0)))-SQRT(SUM(($GS20:$GV20)*($GO20:$GR20-OFFSET($C$6:$F$6,HC$5,0)))^2-SUM(($GO20:$GR20-OFFSET($C$6:$F$6,HC$5,0))*($GO20:$GR20-OFFSET($C$6:$F$6,HC$5,0)))+OFFSET($G$6,HC$5,0)^2)</f>
        <v>#VALUE!</v>
      </c>
      <c r="HN20" s="10" t="e">
        <f t="array" aca="1" ref="HN20" ca="1">-SUM(($GS20:$GV20)*($GO20:$GR20-OFFSET($C$6:$F$6,HD$5,0)))-SQRT(SUM(($GS20:$GV20)*($GO20:$GR20-OFFSET($C$6:$F$6,HD$5,0)))^2-SUM(($GO20:$GR20-OFFSET($C$6:$F$6,HD$5,0))*($GO20:$GR20-OFFSET($C$6:$F$6,HD$5,0)))+OFFSET($G$6,HD$5,0)^2)</f>
        <v>#VALUE!</v>
      </c>
      <c r="HO20" s="10" t="e">
        <f t="array" aca="1" ref="HO20" ca="1">-SUM(($GS20:$GV20)*($GO20:$GR20-OFFSET($C$6:$F$6,HE$5,0)))-SQRT(SUM(($GS20:$GV20)*($GO20:$GR20-OFFSET($C$6:$F$6,HE$5,0)))^2-SUM(($GO20:$GR20-OFFSET($C$6:$F$6,HE$5,0))*($GO20:$GR20-OFFSET($C$6:$F$6,HE$5,0)))+OFFSET($G$6,HE$5,0)^2)</f>
        <v>#VALUE!</v>
      </c>
      <c r="HP20" s="10" t="e">
        <f t="array" aca="1" ref="HP20" ca="1">-SUM(($GS20:$GV20)*($GO20:$GR20-OFFSET($C$6:$F$6,HF$5,0)))-SQRT(SUM(($GS20:$GV20)*($GO20:$GR20-OFFSET($C$6:$F$6,HF$5,0)))^2-SUM(($GO20:$GR20-OFFSET($C$6:$F$6,HF$5,0))*($GO20:$GR20-OFFSET($C$6:$F$6,HF$5,0)))+OFFSET($G$6,HF$5,0)^2)</f>
        <v>#VALUE!</v>
      </c>
      <c r="HQ20" s="10" t="e">
        <f t="array" aca="1" ref="HQ20" ca="1">-SUM(($GS20:$GV20)*($GO20:$GR20-OFFSET($C$6:$F$6,HG$5,0)))-SQRT(SUM(($GS20:$GV20)*($GO20:$GR20-OFFSET($C$6:$F$6,HG$5,0)))^2-SUM(($GO20:$GR20-OFFSET($C$6:$F$6,HG$5,0))*($GO20:$GR20-OFFSET($C$6:$F$6,HG$5,0)))+OFFSET($G$6,HG$5,0)^2)</f>
        <v>#VALUE!</v>
      </c>
      <c r="HS20" s="10">
        <f t="array" aca="1" ref="HS20" ca="1">MIN(IF(IF(ISERROR(GX20:HQ20),-1,GX20:HQ20)&lt;0,9999999999,GX20:HQ20))</f>
        <v>9999999999</v>
      </c>
      <c r="HU20" s="11">
        <f t="shared" ca="1" si="41"/>
        <v>0</v>
      </c>
      <c r="HW20" s="11">
        <f t="shared" ca="1" si="42"/>
        <v>0.72483417156538765</v>
      </c>
    </row>
    <row r="21" spans="16:231" x14ac:dyDescent="0.25">
      <c r="X21" s="11">
        <f t="shared" si="6"/>
        <v>-1.4423480083857441</v>
      </c>
      <c r="Y21" s="11">
        <f t="shared" si="7"/>
        <v>-1</v>
      </c>
      <c r="Z21" s="11">
        <v>4</v>
      </c>
      <c r="AB21" s="10">
        <f t="array" aca="1" ref="AB21:AE21" ca="1">TRANSPOSE(Screen!$GL$98:$GL$101)</f>
        <v>0</v>
      </c>
      <c r="AC21" s="10">
        <f ca="1"/>
        <v>0.50000000000000033</v>
      </c>
      <c r="AD21" s="10">
        <f ca="1"/>
        <v>-15</v>
      </c>
      <c r="AE21" s="10">
        <f ca="1"/>
        <v>1</v>
      </c>
      <c r="AF21" s="10">
        <f t="array" aca="1" ref="AF21:AH21" ca="1">TRANSPOSE(MMULT(Screen!$GI$98:$GK$100,TRANSPOSE(X21:Z21)))</f>
        <v>-1.4423480083857441</v>
      </c>
      <c r="AG21" s="10">
        <f ca="1"/>
        <v>-1.2380565658529825</v>
      </c>
      <c r="AH21" s="10">
        <f ca="1"/>
        <v>3.9400359935205556</v>
      </c>
      <c r="AI21" s="10">
        <v>1</v>
      </c>
      <c r="AJ21" s="10">
        <f t="array" aca="1" ref="AJ21" ca="1">AF21/SQRT(SUM(($AF21:$AH21)*($AF21:$AH21)))</f>
        <v>-0.32971046230711287</v>
      </c>
      <c r="AK21" s="10">
        <f t="array" aca="1" ref="AK21" ca="1">AG21/SQRT(SUM(($AF21:$AH21)*($AF21:$AH21)))</f>
        <v>-0.28301089634158089</v>
      </c>
      <c r="AL21" s="10">
        <f t="array" aca="1" ref="AL21" ca="1">AH21/SQRT(SUM(($AF21:$AH21)*($AF21:$AH21)))</f>
        <v>0.90066411252872991</v>
      </c>
      <c r="AM21" s="10">
        <v>0</v>
      </c>
      <c r="AO21" s="10">
        <f t="array" aca="1" ref="AO21" ca="1">-SUM(($AJ21:$AM21)*($AB21:$AE21-OFFSET($C$6:$F$6,AO$5,0)))+SQRT(SUM(($AJ21:$AM21)*($AB21:$AE21-OFFSET($C$6:$F$6,AO$5,0)))^2-SUM(($AB21:$AE21-OFFSET($C$6:$F$6,AO$5,0))*($AB21:$AE21-OFFSET($C$6:$F$6,AO$5,0)))+OFFSET($G$6,AO$5,0)^2)</f>
        <v>587.83981436316003</v>
      </c>
      <c r="AP21" s="10" t="e">
        <f t="array" aca="1" ref="AP21" ca="1">-SUM(($AJ21:$AM21)*($AB21:$AE21-OFFSET($C$6:$F$6,AP$5,0)))+SQRT(SUM(($AJ21:$AM21)*($AB21:$AE21-OFFSET($C$6:$F$6,AP$5,0)))^2-SUM(($AB21:$AE21-OFFSET($C$6:$F$6,AP$5,0))*($AB21:$AE21-OFFSET($C$6:$F$6,AP$5,0)))+OFFSET($G$6,AP$5,0)^2)</f>
        <v>#NUM!</v>
      </c>
      <c r="AQ21" s="10" t="e">
        <f t="array" aca="1" ref="AQ21" ca="1">-SUM(($AJ21:$AM21)*($AB21:$AE21-OFFSET($C$6:$F$6,AQ$5,0)))+SQRT(SUM(($AJ21:$AM21)*($AB21:$AE21-OFFSET($C$6:$F$6,AQ$5,0)))^2-SUM(($AB21:$AE21-OFFSET($C$6:$F$6,AQ$5,0))*($AB21:$AE21-OFFSET($C$6:$F$6,AQ$5,0)))+OFFSET($G$6,AQ$5,0)^2)</f>
        <v>#NUM!</v>
      </c>
      <c r="AR21" s="10" t="e">
        <f t="array" aca="1" ref="AR21" ca="1">-SUM(($AJ21:$AM21)*($AB21:$AE21-OFFSET($C$6:$F$6,AR$5,0)))+SQRT(SUM(($AJ21:$AM21)*($AB21:$AE21-OFFSET($C$6:$F$6,AR$5,0)))^2-SUM(($AB21:$AE21-OFFSET($C$6:$F$6,AR$5,0))*($AB21:$AE21-OFFSET($C$6:$F$6,AR$5,0)))+OFFSET($G$6,AR$5,0)^2)</f>
        <v>#NUM!</v>
      </c>
      <c r="AS21" s="10" t="e">
        <f t="array" aca="1" ref="AS21" ca="1">-SUM(($AJ21:$AM21)*($AB21:$AE21-OFFSET($C$6:$F$6,AS$5,0)))+SQRT(SUM(($AJ21:$AM21)*($AB21:$AE21-OFFSET($C$6:$F$6,AS$5,0)))^2-SUM(($AB21:$AE21-OFFSET($C$6:$F$6,AS$5,0))*($AB21:$AE21-OFFSET($C$6:$F$6,AS$5,0)))+OFFSET($G$6,AS$5,0)^2)</f>
        <v>#NUM!</v>
      </c>
      <c r="AT21" s="10" t="e">
        <f t="array" aca="1" ref="AT21" ca="1">-SUM(($AJ21:$AM21)*($AB21:$AE21-OFFSET($C$6:$F$6,AT$5,0)))+SQRT(SUM(($AJ21:$AM21)*($AB21:$AE21-OFFSET($C$6:$F$6,AT$5,0)))^2-SUM(($AB21:$AE21-OFFSET($C$6:$F$6,AT$5,0))*($AB21:$AE21-OFFSET($C$6:$F$6,AT$5,0)))+OFFSET($G$6,AT$5,0)^2)</f>
        <v>#NUM!</v>
      </c>
      <c r="AU21" s="10" t="e">
        <f t="array" aca="1" ref="AU21" ca="1">-SUM(($AJ21:$AM21)*($AB21:$AE21-OFFSET($C$6:$F$6,AU$5,0)))+SQRT(SUM(($AJ21:$AM21)*($AB21:$AE21-OFFSET($C$6:$F$6,AU$5,0)))^2-SUM(($AB21:$AE21-OFFSET($C$6:$F$6,AU$5,0))*($AB21:$AE21-OFFSET($C$6:$F$6,AU$5,0)))+OFFSET($G$6,AU$5,0)^2)</f>
        <v>#NUM!</v>
      </c>
      <c r="AV21" s="10" t="e">
        <f t="array" aca="1" ref="AV21" ca="1">-SUM(($AJ21:$AM21)*($AB21:$AE21-OFFSET($C$6:$F$6,AV$5,0)))+SQRT(SUM(($AJ21:$AM21)*($AB21:$AE21-OFFSET($C$6:$F$6,AV$5,0)))^2-SUM(($AB21:$AE21-OFFSET($C$6:$F$6,AV$5,0))*($AB21:$AE21-OFFSET($C$6:$F$6,AV$5,0)))+OFFSET($G$6,AV$5,0)^2)</f>
        <v>#NUM!</v>
      </c>
      <c r="AW21" s="10" t="e">
        <f t="array" aca="1" ref="AW21" ca="1">-SUM(($AJ21:$AM21)*($AB21:$AE21-OFFSET($C$6:$F$6,AW$5,0)))+SQRT(SUM(($AJ21:$AM21)*($AB21:$AE21-OFFSET($C$6:$F$6,AW$5,0)))^2-SUM(($AB21:$AE21-OFFSET($C$6:$F$6,AW$5,0))*($AB21:$AE21-OFFSET($C$6:$F$6,AW$5,0)))+OFFSET($G$6,AW$5,0)^2)</f>
        <v>#NUM!</v>
      </c>
      <c r="AX21" s="10" t="e">
        <f t="array" aca="1" ref="AX21" ca="1">-SUM(($AJ21:$AM21)*($AB21:$AE21-OFFSET($C$6:$F$6,AX$5,0)))+SQRT(SUM(($AJ21:$AM21)*($AB21:$AE21-OFFSET($C$6:$F$6,AX$5,0)))^2-SUM(($AB21:$AE21-OFFSET($C$6:$F$6,AX$5,0))*($AB21:$AE21-OFFSET($C$6:$F$6,AX$5,0)))+OFFSET($G$6,AX$5,0)^2)</f>
        <v>#NUM!</v>
      </c>
      <c r="AY21" s="10">
        <f t="array" aca="1" ref="AY21" ca="1">-SUM(($AJ21:$AM21)*($AB21:$AE21-OFFSET($C$6:$F$6,AO$5,0)))-SQRT(SUM(($AJ21:$AM21)*($AB21:$AE21-OFFSET($C$6:$F$6,AO$5,0)))^2-SUM(($AB21:$AE21-OFFSET($C$6:$F$6,AO$5,0))*($AB21:$AE21-OFFSET($C$6:$F$6,AO$5,0)))+OFFSET($G$6,AO$5,0)^2)</f>
        <v>5.4849125922051485</v>
      </c>
      <c r="AZ21" s="10" t="e">
        <f t="array" aca="1" ref="AZ21" ca="1">-SUM(($AJ21:$AM21)*($AB21:$AE21-OFFSET($C$6:$F$6,AP$5,0)))-SQRT(SUM(($AJ21:$AM21)*($AB21:$AE21-OFFSET($C$6:$F$6,AP$5,0)))^2-SUM(($AB21:$AE21-OFFSET($C$6:$F$6,AP$5,0))*($AB21:$AE21-OFFSET($C$6:$F$6,AP$5,0)))+OFFSET($G$6,AP$5,0)^2)</f>
        <v>#NUM!</v>
      </c>
      <c r="BA21" s="10" t="e">
        <f t="array" aca="1" ref="BA21" ca="1">-SUM(($AJ21:$AM21)*($AB21:$AE21-OFFSET($C$6:$F$6,AQ$5,0)))-SQRT(SUM(($AJ21:$AM21)*($AB21:$AE21-OFFSET($C$6:$F$6,AQ$5,0)))^2-SUM(($AB21:$AE21-OFFSET($C$6:$F$6,AQ$5,0))*($AB21:$AE21-OFFSET($C$6:$F$6,AQ$5,0)))+OFFSET($G$6,AQ$5,0)^2)</f>
        <v>#NUM!</v>
      </c>
      <c r="BB21" s="10" t="e">
        <f t="array" aca="1" ref="BB21" ca="1">-SUM(($AJ21:$AM21)*($AB21:$AE21-OFFSET($C$6:$F$6,AR$5,0)))-SQRT(SUM(($AJ21:$AM21)*($AB21:$AE21-OFFSET($C$6:$F$6,AR$5,0)))^2-SUM(($AB21:$AE21-OFFSET($C$6:$F$6,AR$5,0))*($AB21:$AE21-OFFSET($C$6:$F$6,AR$5,0)))+OFFSET($G$6,AR$5,0)^2)</f>
        <v>#NUM!</v>
      </c>
      <c r="BC21" s="10" t="e">
        <f t="array" aca="1" ref="BC21" ca="1">-SUM(($AJ21:$AM21)*($AB21:$AE21-OFFSET($C$6:$F$6,AS$5,0)))-SQRT(SUM(($AJ21:$AM21)*($AB21:$AE21-OFFSET($C$6:$F$6,AS$5,0)))^2-SUM(($AB21:$AE21-OFFSET($C$6:$F$6,AS$5,0))*($AB21:$AE21-OFFSET($C$6:$F$6,AS$5,0)))+OFFSET($G$6,AS$5,0)^2)</f>
        <v>#NUM!</v>
      </c>
      <c r="BD21" s="10" t="e">
        <f t="array" aca="1" ref="BD21" ca="1">-SUM(($AJ21:$AM21)*($AB21:$AE21-OFFSET($C$6:$F$6,AT$5,0)))-SQRT(SUM(($AJ21:$AM21)*($AB21:$AE21-OFFSET($C$6:$F$6,AT$5,0)))^2-SUM(($AB21:$AE21-OFFSET($C$6:$F$6,AT$5,0))*($AB21:$AE21-OFFSET($C$6:$F$6,AT$5,0)))+OFFSET($G$6,AT$5,0)^2)</f>
        <v>#NUM!</v>
      </c>
      <c r="BE21" s="10" t="e">
        <f t="array" aca="1" ref="BE21" ca="1">-SUM(($AJ21:$AM21)*($AB21:$AE21-OFFSET($C$6:$F$6,AU$5,0)))-SQRT(SUM(($AJ21:$AM21)*($AB21:$AE21-OFFSET($C$6:$F$6,AU$5,0)))^2-SUM(($AB21:$AE21-OFFSET($C$6:$F$6,AU$5,0))*($AB21:$AE21-OFFSET($C$6:$F$6,AU$5,0)))+OFFSET($G$6,AU$5,0)^2)</f>
        <v>#NUM!</v>
      </c>
      <c r="BF21" s="10" t="e">
        <f t="array" aca="1" ref="BF21" ca="1">-SUM(($AJ21:$AM21)*($AB21:$AE21-OFFSET($C$6:$F$6,AV$5,0)))-SQRT(SUM(($AJ21:$AM21)*($AB21:$AE21-OFFSET($C$6:$F$6,AV$5,0)))^2-SUM(($AB21:$AE21-OFFSET($C$6:$F$6,AV$5,0))*($AB21:$AE21-OFFSET($C$6:$F$6,AV$5,0)))+OFFSET($G$6,AV$5,0)^2)</f>
        <v>#NUM!</v>
      </c>
      <c r="BG21" s="10" t="e">
        <f t="array" aca="1" ref="BG21" ca="1">-SUM(($AJ21:$AM21)*($AB21:$AE21-OFFSET($C$6:$F$6,AW$5,0)))-SQRT(SUM(($AJ21:$AM21)*($AB21:$AE21-OFFSET($C$6:$F$6,AW$5,0)))^2-SUM(($AB21:$AE21-OFFSET($C$6:$F$6,AW$5,0))*($AB21:$AE21-OFFSET($C$6:$F$6,AW$5,0)))+OFFSET($G$6,AW$5,0)^2)</f>
        <v>#NUM!</v>
      </c>
      <c r="BH21" s="10" t="e">
        <f t="array" aca="1" ref="BH21" ca="1">-SUM(($AJ21:$AM21)*($AB21:$AE21-OFFSET($C$6:$F$6,AX$5,0)))-SQRT(SUM(($AJ21:$AM21)*($AB21:$AE21-OFFSET($C$6:$F$6,AX$5,0)))^2-SUM(($AB21:$AE21-OFFSET($C$6:$F$6,AX$5,0))*($AB21:$AE21-OFFSET($C$6:$F$6,AX$5,0)))+OFFSET($G$6,AX$5,0)^2)</f>
        <v>#NUM!</v>
      </c>
      <c r="BJ21" s="10">
        <f t="array" aca="1" ref="BJ21" ca="1">MIN(IF(IF(ISERROR(AO21:BH21),-1,AO21:BH21)&lt;0,9999999999,AO21:BH21))</f>
        <v>5.4849125922051485</v>
      </c>
      <c r="BL21">
        <f t="shared" ca="1" si="8"/>
        <v>0</v>
      </c>
      <c r="BN21" s="10">
        <f t="shared" ca="1" si="43"/>
        <v>-1.8084330664900643</v>
      </c>
      <c r="BO21" s="10">
        <f t="shared" ca="1" si="44"/>
        <v>-1.0522900290752029</v>
      </c>
      <c r="BP21" s="10">
        <f t="shared" ca="1" si="45"/>
        <v>-10.059936067843894</v>
      </c>
      <c r="BQ21" s="10">
        <f t="shared" ca="1" si="46"/>
        <v>1</v>
      </c>
      <c r="BR21" s="14">
        <f t="shared" ca="1" si="47"/>
        <v>0.32971046230711287</v>
      </c>
      <c r="BS21" s="14">
        <f t="shared" ca="1" si="48"/>
        <v>0.28301089634158089</v>
      </c>
      <c r="BT21" s="14">
        <f t="shared" ca="1" si="49"/>
        <v>-0.90066411252872991</v>
      </c>
      <c r="BU21" s="14">
        <f t="shared" si="50"/>
        <v>0</v>
      </c>
      <c r="BV21" s="10">
        <f t="array" aca="1" ref="BV21" ca="1">(BN21-OFFSET(C$6,$BL21,0))/SQRT(SUM(($BN21:$BQ21-OFFSET($C$6:$F$6,$BL21,0))*($BN21:$BQ21-OFFSET($C$6:$F$6,$BL21,0))))</f>
        <v>-1.8102433097998639E-3</v>
      </c>
      <c r="BW21" s="10">
        <f t="array" aca="1" ref="BW21" ca="1">(BO21-OFFSET(D$6,$BL21,0))/SQRT(SUM(($BN21:$BQ21-OFFSET($C$6:$F$6,$BL21,0))*($BN21:$BQ21-OFFSET($C$6:$F$6,$BL21,0))))</f>
        <v>0.99994765762855331</v>
      </c>
      <c r="BX21" s="10">
        <f t="array" aca="1" ref="BX21" ca="1">(BP21-OFFSET(E$6,$BL21,0))/SQRT(SUM(($BN21:$BQ21-OFFSET($C$6:$F$6,$BL21,0))*($BN21:$BQ21-OFFSET($C$6:$F$6,$BL21,0))))</f>
        <v>-1.0070006073917811E-2</v>
      </c>
      <c r="BY21" s="10">
        <f t="array" aca="1" ref="BY21" ca="1">(BQ21-OFFSET(F$6,$BL21,0))/SQRT(SUM(($BN21:$BQ21-OFFSET($C$6:$F$6,$BL21,0))*($BN21:$BQ21-OFFSET($C$6:$F$6,$BL21,0))))</f>
        <v>0</v>
      </c>
      <c r="BZ21" s="14">
        <f t="array" aca="1" ref="BZ21" ca="1">-(BN21-O$6)/SQRT(SUM(($O$6:$R$6-$BN21:$BQ21)*($O$6:$R$6-$BN21:$BQ21)))</f>
        <v>-0.59544179455917179</v>
      </c>
      <c r="CA21" s="14">
        <f t="array" aca="1" ref="CA21" ca="1">-(BO21-P$6)/SQRT(SUM(($O$6:$R$6-$BN21:$BQ21)*($O$6:$R$6-$BN21:$BQ21)))</f>
        <v>0.80338663680809885</v>
      </c>
      <c r="CB21" s="14">
        <f t="array" aca="1" ref="CB21" ca="1">-(BP21-Q$6)/SQRT(SUM(($O$6:$R$6-$BN21:$BQ21)*($O$6:$R$6-$BN21:$BQ21)))</f>
        <v>4.3567293150953926E-3</v>
      </c>
      <c r="CC21" s="14">
        <f t="array" aca="1" ref="CC21" ca="1">-(BQ21-R$6)/SQRT(SUM(($O$6:$R$6-$BN21:$BQ21)*($O$6:$R$6-$BN21:$BQ21)))</f>
        <v>0</v>
      </c>
      <c r="CD21" s="14">
        <f t="array" aca="1" ref="CD21:CG21" ca="1">-BR21:BU21-BV21:BY21*2*SUM(-BR21:BU21*BV21:BY21)</f>
        <v>-0.33076572163129708</v>
      </c>
      <c r="CE21" s="14">
        <f ca="1"/>
        <v>0.29989643092005341</v>
      </c>
      <c r="CF21" s="14">
        <f ca="1"/>
        <v>0.89479392494313503</v>
      </c>
      <c r="CG21" s="14">
        <f ca="1"/>
        <v>0</v>
      </c>
      <c r="CH21" s="14">
        <f t="array" aca="1" ref="CH21:CK21" ca="1">-BZ21:CC21-BV21:BY21*2*SUM(-BZ21:CC21*BV21:BY21)</f>
        <v>0.5925295525722476</v>
      </c>
      <c r="CI21" s="14">
        <f ca="1"/>
        <v>0.8052863727854469</v>
      </c>
      <c r="CJ21" s="14">
        <f ca="1"/>
        <v>-2.0556924249270796E-2</v>
      </c>
      <c r="CK21" s="14">
        <f ca="1"/>
        <v>0</v>
      </c>
      <c r="CL21">
        <f t="array" aca="1" ref="CL21" ca="1">SUM(BZ21:CC21*BV21:BY21)</f>
        <v>0.8043786078806503</v>
      </c>
      <c r="CM21">
        <f t="array" aca="1" ref="CM21" ca="1">SUM(CH21:CK21*BR21:BU21)</f>
        <v>0.44178289481818211</v>
      </c>
      <c r="CN21" s="11">
        <f t="shared" ca="1" si="17"/>
        <v>0</v>
      </c>
      <c r="CO21" s="11">
        <f t="shared" ca="1" si="18"/>
        <v>0.72394074709258527</v>
      </c>
      <c r="CP21" s="11">
        <f t="shared" ca="1" si="19"/>
        <v>9.9088175832287995E-72</v>
      </c>
      <c r="CQ21" s="11">
        <f t="shared" ca="1" si="20"/>
        <v>0.72394074709258527</v>
      </c>
      <c r="CS21" s="10">
        <f t="array" aca="1" ref="CS21:CV21" ca="1">BN21:BQ21+BV21:BY21*0.001</f>
        <v>-1.808434876733374</v>
      </c>
      <c r="CT21" s="10">
        <f ca="1"/>
        <v>-1.0512900814175743</v>
      </c>
      <c r="CU21" s="10">
        <f ca="1"/>
        <v>-10.059946137849968</v>
      </c>
      <c r="CV21" s="10">
        <f ca="1"/>
        <v>1</v>
      </c>
      <c r="CW21" s="10">
        <f t="shared" ca="1" si="21"/>
        <v>-0.59544179455917179</v>
      </c>
      <c r="CX21" s="10">
        <f t="shared" ca="1" si="22"/>
        <v>0.80338663680809885</v>
      </c>
      <c r="CY21" s="10">
        <f t="shared" ca="1" si="23"/>
        <v>4.3567293150953926E-3</v>
      </c>
      <c r="CZ21" s="10">
        <f t="shared" ca="1" si="24"/>
        <v>0</v>
      </c>
      <c r="DB21" s="10">
        <f t="array" aca="1" ref="DB21" ca="1">-SUM(($CW21:$CZ21)*($CS21:$CV21-OFFSET($C$6:$F$6,DB$5,0)))+SQRT(SUM(($CW21:$CZ21)*($CS21:$CV21-OFFSET($C$6:$F$6,DB$5,0)))^2-SUM(($CS21:$CV21-OFFSET($C$6:$F$6,DB$5,0))*($CS21:$CV21-OFFSET($C$6:$F$6,DB$5,0)))+OFFSET($G$6,DB$5,0)^2)</f>
        <v>-1.2431960063850056E-3</v>
      </c>
      <c r="DC21" s="10" t="e">
        <f t="array" aca="1" ref="DC21" ca="1">-SUM(($CW21:$CZ21)*($CS21:$CV21-OFFSET($C$6:$F$6,DC$5,0)))+SQRT(SUM(($CW21:$CZ21)*($CS21:$CV21-OFFSET($C$6:$F$6,DC$5,0)))^2-SUM(($CS21:$CV21-OFFSET($C$6:$F$6,DC$5,0))*($CS21:$CV21-OFFSET($C$6:$F$6,DC$5,0)))+OFFSET($G$6,DC$5,0)^2)</f>
        <v>#NUM!</v>
      </c>
      <c r="DD21" s="10" t="e">
        <f t="array" aca="1" ref="DD21" ca="1">-SUM(($CW21:$CZ21)*($CS21:$CV21-OFFSET($C$6:$F$6,DD$5,0)))+SQRT(SUM(($CW21:$CZ21)*($CS21:$CV21-OFFSET($C$6:$F$6,DD$5,0)))^2-SUM(($CS21:$CV21-OFFSET($C$6:$F$6,DD$5,0))*($CS21:$CV21-OFFSET($C$6:$F$6,DD$5,0)))+OFFSET($G$6,DD$5,0)^2)</f>
        <v>#NUM!</v>
      </c>
      <c r="DE21" s="10" t="e">
        <f t="array" aca="1" ref="DE21" ca="1">-SUM(($CW21:$CZ21)*($CS21:$CV21-OFFSET($C$6:$F$6,DE$5,0)))+SQRT(SUM(($CW21:$CZ21)*($CS21:$CV21-OFFSET($C$6:$F$6,DE$5,0)))^2-SUM(($CS21:$CV21-OFFSET($C$6:$F$6,DE$5,0))*($CS21:$CV21-OFFSET($C$6:$F$6,DE$5,0)))+OFFSET($G$6,DE$5,0)^2)</f>
        <v>#NUM!</v>
      </c>
      <c r="DF21" s="10" t="e">
        <f t="array" aca="1" ref="DF21" ca="1">-SUM(($CW21:$CZ21)*($CS21:$CV21-OFFSET($C$6:$F$6,DF$5,0)))+SQRT(SUM(($CW21:$CZ21)*($CS21:$CV21-OFFSET($C$6:$F$6,DF$5,0)))^2-SUM(($CS21:$CV21-OFFSET($C$6:$F$6,DF$5,0))*($CS21:$CV21-OFFSET($C$6:$F$6,DF$5,0)))+OFFSET($G$6,DF$5,0)^2)</f>
        <v>#NUM!</v>
      </c>
      <c r="DG21" s="10" t="e">
        <f t="array" aca="1" ref="DG21" ca="1">-SUM(($CW21:$CZ21)*($CS21:$CV21-OFFSET($C$6:$F$6,DG$5,0)))+SQRT(SUM(($CW21:$CZ21)*($CS21:$CV21-OFFSET($C$6:$F$6,DG$5,0)))^2-SUM(($CS21:$CV21-OFFSET($C$6:$F$6,DG$5,0))*($CS21:$CV21-OFFSET($C$6:$F$6,DG$5,0)))+OFFSET($G$6,DG$5,0)^2)</f>
        <v>#NUM!</v>
      </c>
      <c r="DH21" s="10" t="e">
        <f t="array" aca="1" ref="DH21" ca="1">-SUM(($CW21:$CZ21)*($CS21:$CV21-OFFSET($C$6:$F$6,DH$5,0)))+SQRT(SUM(($CW21:$CZ21)*($CS21:$CV21-OFFSET($C$6:$F$6,DH$5,0)))^2-SUM(($CS21:$CV21-OFFSET($C$6:$F$6,DH$5,0))*($CS21:$CV21-OFFSET($C$6:$F$6,DH$5,0)))+OFFSET($G$6,DH$5,0)^2)</f>
        <v>#NUM!</v>
      </c>
      <c r="DI21" s="10" t="e">
        <f t="array" aca="1" ref="DI21" ca="1">-SUM(($CW21:$CZ21)*($CS21:$CV21-OFFSET($C$6:$F$6,DI$5,0)))+SQRT(SUM(($CW21:$CZ21)*($CS21:$CV21-OFFSET($C$6:$F$6,DI$5,0)))^2-SUM(($CS21:$CV21-OFFSET($C$6:$F$6,DI$5,0))*($CS21:$CV21-OFFSET($C$6:$F$6,DI$5,0)))+OFFSET($G$6,DI$5,0)^2)</f>
        <v>#NUM!</v>
      </c>
      <c r="DJ21" s="10" t="e">
        <f t="array" aca="1" ref="DJ21" ca="1">-SUM(($CW21:$CZ21)*($CS21:$CV21-OFFSET($C$6:$F$6,DJ$5,0)))+SQRT(SUM(($CW21:$CZ21)*($CS21:$CV21-OFFSET($C$6:$F$6,DJ$5,0)))^2-SUM(($CS21:$CV21-OFFSET($C$6:$F$6,DJ$5,0))*($CS21:$CV21-OFFSET($C$6:$F$6,DJ$5,0)))+OFFSET($G$6,DJ$5,0)^2)</f>
        <v>#NUM!</v>
      </c>
      <c r="DK21" s="10" t="e">
        <f t="array" aca="1" ref="DK21" ca="1">-SUM(($CW21:$CZ21)*($CS21:$CV21-OFFSET($C$6:$F$6,DK$5,0)))+SQRT(SUM(($CW21:$CZ21)*($CS21:$CV21-OFFSET($C$6:$F$6,DK$5,0)))^2-SUM(($CS21:$CV21-OFFSET($C$6:$F$6,DK$5,0))*($CS21:$CV21-OFFSET($C$6:$F$6,DK$5,0)))+OFFSET($G$6,DK$5,0)^2)</f>
        <v>#NUM!</v>
      </c>
      <c r="DL21" s="10">
        <f t="array" aca="1" ref="DL21" ca="1">-SUM(($CW21:$CZ21)*($CS21:$CV21-OFFSET($C$6:$F$6,DB$5,0)))-SQRT(SUM(($CW21:$CZ21)*($CS21:$CV21-OFFSET($C$6:$F$6,DB$5,0)))^2-SUM(($CS21:$CV21-OFFSET($C$6:$F$6,DB$5,0))*($CS21:$CV21-OFFSET($C$6:$F$6,DB$5,0)))+OFFSET($G$6,DB$5,0)^2)</f>
        <v>-1607.1488241067486</v>
      </c>
      <c r="DM21" s="10" t="e">
        <f t="array" aca="1" ref="DM21" ca="1">-SUM(($CW21:$CZ21)*($CS21:$CV21-OFFSET($C$6:$F$6,DC$5,0)))-SQRT(SUM(($CW21:$CZ21)*($CS21:$CV21-OFFSET($C$6:$F$6,DC$5,0)))^2-SUM(($CS21:$CV21-OFFSET($C$6:$F$6,DC$5,0))*($CS21:$CV21-OFFSET($C$6:$F$6,DC$5,0)))+OFFSET($G$6,DC$5,0)^2)</f>
        <v>#NUM!</v>
      </c>
      <c r="DN21" s="10" t="e">
        <f t="array" aca="1" ref="DN21" ca="1">-SUM(($CW21:$CZ21)*($CS21:$CV21-OFFSET($C$6:$F$6,DD$5,0)))-SQRT(SUM(($CW21:$CZ21)*($CS21:$CV21-OFFSET($C$6:$F$6,DD$5,0)))^2-SUM(($CS21:$CV21-OFFSET($C$6:$F$6,DD$5,0))*($CS21:$CV21-OFFSET($C$6:$F$6,DD$5,0)))+OFFSET($G$6,DD$5,0)^2)</f>
        <v>#NUM!</v>
      </c>
      <c r="DO21" s="10" t="e">
        <f t="array" aca="1" ref="DO21" ca="1">-SUM(($CW21:$CZ21)*($CS21:$CV21-OFFSET($C$6:$F$6,DE$5,0)))-SQRT(SUM(($CW21:$CZ21)*($CS21:$CV21-OFFSET($C$6:$F$6,DE$5,0)))^2-SUM(($CS21:$CV21-OFFSET($C$6:$F$6,DE$5,0))*($CS21:$CV21-OFFSET($C$6:$F$6,DE$5,0)))+OFFSET($G$6,DE$5,0)^2)</f>
        <v>#NUM!</v>
      </c>
      <c r="DP21" s="10" t="e">
        <f t="array" aca="1" ref="DP21" ca="1">-SUM(($CW21:$CZ21)*($CS21:$CV21-OFFSET($C$6:$F$6,DF$5,0)))-SQRT(SUM(($CW21:$CZ21)*($CS21:$CV21-OFFSET($C$6:$F$6,DF$5,0)))^2-SUM(($CS21:$CV21-OFFSET($C$6:$F$6,DF$5,0))*($CS21:$CV21-OFFSET($C$6:$F$6,DF$5,0)))+OFFSET($G$6,DF$5,0)^2)</f>
        <v>#NUM!</v>
      </c>
      <c r="DQ21" s="10" t="e">
        <f t="array" aca="1" ref="DQ21" ca="1">-SUM(($CW21:$CZ21)*($CS21:$CV21-OFFSET($C$6:$F$6,DG$5,0)))-SQRT(SUM(($CW21:$CZ21)*($CS21:$CV21-OFFSET($C$6:$F$6,DG$5,0)))^2-SUM(($CS21:$CV21-OFFSET($C$6:$F$6,DG$5,0))*($CS21:$CV21-OFFSET($C$6:$F$6,DG$5,0)))+OFFSET($G$6,DG$5,0)^2)</f>
        <v>#NUM!</v>
      </c>
      <c r="DR21" s="10" t="e">
        <f t="array" aca="1" ref="DR21" ca="1">-SUM(($CW21:$CZ21)*($CS21:$CV21-OFFSET($C$6:$F$6,DH$5,0)))-SQRT(SUM(($CW21:$CZ21)*($CS21:$CV21-OFFSET($C$6:$F$6,DH$5,0)))^2-SUM(($CS21:$CV21-OFFSET($C$6:$F$6,DH$5,0))*($CS21:$CV21-OFFSET($C$6:$F$6,DH$5,0)))+OFFSET($G$6,DH$5,0)^2)</f>
        <v>#NUM!</v>
      </c>
      <c r="DS21" s="10" t="e">
        <f t="array" aca="1" ref="DS21" ca="1">-SUM(($CW21:$CZ21)*($CS21:$CV21-OFFSET($C$6:$F$6,DI$5,0)))-SQRT(SUM(($CW21:$CZ21)*($CS21:$CV21-OFFSET($C$6:$F$6,DI$5,0)))^2-SUM(($CS21:$CV21-OFFSET($C$6:$F$6,DI$5,0))*($CS21:$CV21-OFFSET($C$6:$F$6,DI$5,0)))+OFFSET($G$6,DI$5,0)^2)</f>
        <v>#NUM!</v>
      </c>
      <c r="DT21" s="10" t="e">
        <f t="array" aca="1" ref="DT21" ca="1">-SUM(($CW21:$CZ21)*($CS21:$CV21-OFFSET($C$6:$F$6,DJ$5,0)))-SQRT(SUM(($CW21:$CZ21)*($CS21:$CV21-OFFSET($C$6:$F$6,DJ$5,0)))^2-SUM(($CS21:$CV21-OFFSET($C$6:$F$6,DJ$5,0))*($CS21:$CV21-OFFSET($C$6:$F$6,DJ$5,0)))+OFFSET($G$6,DJ$5,0)^2)</f>
        <v>#NUM!</v>
      </c>
      <c r="DU21" s="10" t="e">
        <f t="array" aca="1" ref="DU21" ca="1">-SUM(($CW21:$CZ21)*($CS21:$CV21-OFFSET($C$6:$F$6,DK$5,0)))-SQRT(SUM(($CW21:$CZ21)*($CS21:$CV21-OFFSET($C$6:$F$6,DK$5,0)))^2-SUM(($CS21:$CV21-OFFSET($C$6:$F$6,DK$5,0))*($CS21:$CV21-OFFSET($C$6:$F$6,DK$5,0)))+OFFSET($G$6,DK$5,0)^2)</f>
        <v>#NUM!</v>
      </c>
      <c r="DW21" s="10">
        <f t="array" aca="1" ref="DW21" ca="1">MIN(IF(IF(ISERROR(DB21:DU21),-1,DB21:DU21)&lt;0,9999999999,DB21:DU21))</f>
        <v>9999999999</v>
      </c>
      <c r="DY21" s="11">
        <f t="shared" ca="1" si="25"/>
        <v>0.72394074709258527</v>
      </c>
      <c r="EB21" s="10">
        <f t="array" aca="1" ref="EB21:EE21" ca="1">BN21:BQ21+BV21:BY21*0.01</f>
        <v>-1.8084511689231624</v>
      </c>
      <c r="EC21" s="10">
        <f ca="1"/>
        <v>-1.0422905524989172</v>
      </c>
      <c r="ED21" s="10">
        <f ca="1"/>
        <v>-10.060036767904634</v>
      </c>
      <c r="EE21" s="10">
        <f ca="1"/>
        <v>1</v>
      </c>
      <c r="EF21" s="10">
        <f t="shared" ca="1" si="26"/>
        <v>-0.33076572163129708</v>
      </c>
      <c r="EG21" s="10">
        <f t="shared" ca="1" si="27"/>
        <v>0.29989643092005341</v>
      </c>
      <c r="EH21" s="10">
        <f t="shared" ca="1" si="28"/>
        <v>0.89479392494313503</v>
      </c>
      <c r="EI21" s="10">
        <f t="shared" ca="1" si="29"/>
        <v>0</v>
      </c>
      <c r="EK21" s="10">
        <f t="array" aca="1" ref="EK21" ca="1">-SUM(($EF21:$EI21)*($EB21:$EE21-OFFSET($C$6:$F$6,EK$5,0)))+SQRT(SUM(($EF21:$EI21)*($EB21:$EE21-OFFSET($C$6:$F$6,EK$5,0)))^2-SUM(($EB21:$EE21-OFFSET($C$6:$F$6,EK$5,0))*($EB21:$EE21-OFFSET($C$6:$F$6,EK$5,0)))+OFFSET($G$6,EK$5,0)^2)</f>
        <v>-3.4310825170734915E-2</v>
      </c>
      <c r="EL21" s="10" t="e">
        <f t="array" aca="1" ref="EL21" ca="1">-SUM(($EF21:$EI21)*($EB21:$EE21-OFFSET($C$6:$F$6,EL$5,0)))+SQRT(SUM(($EF21:$EI21)*($EB21:$EE21-OFFSET($C$6:$F$6,EL$5,0)))^2-SUM(($EB21:$EE21-OFFSET($C$6:$F$6,EL$5,0))*($EB21:$EE21-OFFSET($C$6:$F$6,EL$5,0)))+OFFSET($G$6,EL$5,0)^2)</f>
        <v>#NUM!</v>
      </c>
      <c r="EM21" s="10" t="e">
        <f t="array" aca="1" ref="EM21" ca="1">-SUM(($EF21:$EI21)*($EB21:$EE21-OFFSET($C$6:$F$6,EM$5,0)))+SQRT(SUM(($EF21:$EI21)*($EB21:$EE21-OFFSET($C$6:$F$6,EM$5,0)))^2-SUM(($EB21:$EE21-OFFSET($C$6:$F$6,EM$5,0))*($EB21:$EE21-OFFSET($C$6:$F$6,EM$5,0)))+OFFSET($G$6,EM$5,0)^2)</f>
        <v>#NUM!</v>
      </c>
      <c r="EN21" s="10" t="e">
        <f t="array" aca="1" ref="EN21" ca="1">-SUM(($EF21:$EI21)*($EB21:$EE21-OFFSET($C$6:$F$6,EN$5,0)))+SQRT(SUM(($EF21:$EI21)*($EB21:$EE21-OFFSET($C$6:$F$6,EN$5,0)))^2-SUM(($EB21:$EE21-OFFSET($C$6:$F$6,EN$5,0))*($EB21:$EE21-OFFSET($C$6:$F$6,EN$5,0)))+OFFSET($G$6,EN$5,0)^2)</f>
        <v>#NUM!</v>
      </c>
      <c r="EO21" s="10" t="e">
        <f t="array" aca="1" ref="EO21" ca="1">-SUM(($EF21:$EI21)*($EB21:$EE21-OFFSET($C$6:$F$6,EO$5,0)))+SQRT(SUM(($EF21:$EI21)*($EB21:$EE21-OFFSET($C$6:$F$6,EO$5,0)))^2-SUM(($EB21:$EE21-OFFSET($C$6:$F$6,EO$5,0))*($EB21:$EE21-OFFSET($C$6:$F$6,EO$5,0)))+OFFSET($G$6,EO$5,0)^2)</f>
        <v>#NUM!</v>
      </c>
      <c r="EP21" s="10" t="e">
        <f t="array" aca="1" ref="EP21" ca="1">-SUM(($EF21:$EI21)*($EB21:$EE21-OFFSET($C$6:$F$6,EP$5,0)))+SQRT(SUM(($EF21:$EI21)*($EB21:$EE21-OFFSET($C$6:$F$6,EP$5,0)))^2-SUM(($EB21:$EE21-OFFSET($C$6:$F$6,EP$5,0))*($EB21:$EE21-OFFSET($C$6:$F$6,EP$5,0)))+OFFSET($G$6,EP$5,0)^2)</f>
        <v>#NUM!</v>
      </c>
      <c r="EQ21" s="10" t="e">
        <f t="array" aca="1" ref="EQ21" ca="1">-SUM(($EF21:$EI21)*($EB21:$EE21-OFFSET($C$6:$F$6,EQ$5,0)))+SQRT(SUM(($EF21:$EI21)*($EB21:$EE21-OFFSET($C$6:$F$6,EQ$5,0)))^2-SUM(($EB21:$EE21-OFFSET($C$6:$F$6,EQ$5,0))*($EB21:$EE21-OFFSET($C$6:$F$6,EQ$5,0)))+OFFSET($G$6,EQ$5,0)^2)</f>
        <v>#NUM!</v>
      </c>
      <c r="ER21" s="10" t="e">
        <f t="array" aca="1" ref="ER21" ca="1">-SUM(($EF21:$EI21)*($EB21:$EE21-OFFSET($C$6:$F$6,ER$5,0)))+SQRT(SUM(($EF21:$EI21)*($EB21:$EE21-OFFSET($C$6:$F$6,ER$5,0)))^2-SUM(($EB21:$EE21-OFFSET($C$6:$F$6,ER$5,0))*($EB21:$EE21-OFFSET($C$6:$F$6,ER$5,0)))+OFFSET($G$6,ER$5,0)^2)</f>
        <v>#NUM!</v>
      </c>
      <c r="ES21" s="10" t="e">
        <f t="array" aca="1" ref="ES21" ca="1">-SUM(($EF21:$EI21)*($EB21:$EE21-OFFSET($C$6:$F$6,ES$5,0)))+SQRT(SUM(($EF21:$EI21)*($EB21:$EE21-OFFSET($C$6:$F$6,ES$5,0)))^2-SUM(($EB21:$EE21-OFFSET($C$6:$F$6,ES$5,0))*($EB21:$EE21-OFFSET($C$6:$F$6,ES$5,0)))+OFFSET($G$6,ES$5,0)^2)</f>
        <v>#NUM!</v>
      </c>
      <c r="ET21" s="10" t="e">
        <f t="array" aca="1" ref="ET21" ca="1">-SUM(($EF21:$EI21)*($EB21:$EE21-OFFSET($C$6:$F$6,ET$5,0)))+SQRT(SUM(($EF21:$EI21)*($EB21:$EE21-OFFSET($C$6:$F$6,ET$5,0)))^2-SUM(($EB21:$EE21-OFFSET($C$6:$F$6,ET$5,0))*($EB21:$EE21-OFFSET($C$6:$F$6,ET$5,0)))+OFFSET($G$6,ET$5,0)^2)</f>
        <v>#NUM!</v>
      </c>
      <c r="EU21" s="10">
        <f t="array" aca="1" ref="EU21" ca="1">-SUM(($EF21:$EI21)*($EB21:$EE21-OFFSET($C$6:$F$6,EK$5,0)))-SQRT(SUM(($EF21:$EI21)*($EB21:$EE21-OFFSET($C$6:$F$6,EK$5,0)))^2-SUM(($EB21:$EE21-OFFSET($C$6:$F$6,EK$5,0))*($EB21:$EE21-OFFSET($C$6:$F$6,EK$5,0)))+OFFSET($G$6,EK$5,0)^2)</f>
        <v>-582.32642032418039</v>
      </c>
      <c r="EV21" s="10" t="e">
        <f t="array" aca="1" ref="EV21" ca="1">-SUM(($EF21:$EI21)*($EB21:$EE21-OFFSET($C$6:$F$6,EL$5,0)))-SQRT(SUM(($EF21:$EI21)*($EB21:$EE21-OFFSET($C$6:$F$6,EL$5,0)))^2-SUM(($EB21:$EE21-OFFSET($C$6:$F$6,EL$5,0))*($EB21:$EE21-OFFSET($C$6:$F$6,EL$5,0)))+OFFSET($G$6,EL$5,0)^2)</f>
        <v>#NUM!</v>
      </c>
      <c r="EW21" s="10" t="e">
        <f t="array" aca="1" ref="EW21" ca="1">-SUM(($EF21:$EI21)*($EB21:$EE21-OFFSET($C$6:$F$6,EM$5,0)))-SQRT(SUM(($EF21:$EI21)*($EB21:$EE21-OFFSET($C$6:$F$6,EM$5,0)))^2-SUM(($EB21:$EE21-OFFSET($C$6:$F$6,EM$5,0))*($EB21:$EE21-OFFSET($C$6:$F$6,EM$5,0)))+OFFSET($G$6,EM$5,0)^2)</f>
        <v>#NUM!</v>
      </c>
      <c r="EX21" s="10" t="e">
        <f t="array" aca="1" ref="EX21" ca="1">-SUM(($EF21:$EI21)*($EB21:$EE21-OFFSET($C$6:$F$6,EN$5,0)))-SQRT(SUM(($EF21:$EI21)*($EB21:$EE21-OFFSET($C$6:$F$6,EN$5,0)))^2-SUM(($EB21:$EE21-OFFSET($C$6:$F$6,EN$5,0))*($EB21:$EE21-OFFSET($C$6:$F$6,EN$5,0)))+OFFSET($G$6,EN$5,0)^2)</f>
        <v>#NUM!</v>
      </c>
      <c r="EY21" s="10" t="e">
        <f t="array" aca="1" ref="EY21" ca="1">-SUM(($EF21:$EI21)*($EB21:$EE21-OFFSET($C$6:$F$6,EO$5,0)))-SQRT(SUM(($EF21:$EI21)*($EB21:$EE21-OFFSET($C$6:$F$6,EO$5,0)))^2-SUM(($EB21:$EE21-OFFSET($C$6:$F$6,EO$5,0))*($EB21:$EE21-OFFSET($C$6:$F$6,EO$5,0)))+OFFSET($G$6,EO$5,0)^2)</f>
        <v>#NUM!</v>
      </c>
      <c r="EZ21" s="10" t="e">
        <f t="array" aca="1" ref="EZ21" ca="1">-SUM(($EF21:$EI21)*($EB21:$EE21-OFFSET($C$6:$F$6,EP$5,0)))-SQRT(SUM(($EF21:$EI21)*($EB21:$EE21-OFFSET($C$6:$F$6,EP$5,0)))^2-SUM(($EB21:$EE21-OFFSET($C$6:$F$6,EP$5,0))*($EB21:$EE21-OFFSET($C$6:$F$6,EP$5,0)))+OFFSET($G$6,EP$5,0)^2)</f>
        <v>#NUM!</v>
      </c>
      <c r="FA21" s="10" t="e">
        <f t="array" aca="1" ref="FA21" ca="1">-SUM(($EF21:$EI21)*($EB21:$EE21-OFFSET($C$6:$F$6,EQ$5,0)))-SQRT(SUM(($EF21:$EI21)*($EB21:$EE21-OFFSET($C$6:$F$6,EQ$5,0)))^2-SUM(($EB21:$EE21-OFFSET($C$6:$F$6,EQ$5,0))*($EB21:$EE21-OFFSET($C$6:$F$6,EQ$5,0)))+OFFSET($G$6,EQ$5,0)^2)</f>
        <v>#NUM!</v>
      </c>
      <c r="FB21" s="10" t="e">
        <f t="array" aca="1" ref="FB21" ca="1">-SUM(($EF21:$EI21)*($EB21:$EE21-OFFSET($C$6:$F$6,ER$5,0)))-SQRT(SUM(($EF21:$EI21)*($EB21:$EE21-OFFSET($C$6:$F$6,ER$5,0)))^2-SUM(($EB21:$EE21-OFFSET($C$6:$F$6,ER$5,0))*($EB21:$EE21-OFFSET($C$6:$F$6,ER$5,0)))+OFFSET($G$6,ER$5,0)^2)</f>
        <v>#NUM!</v>
      </c>
      <c r="FC21" s="10" t="e">
        <f t="array" aca="1" ref="FC21" ca="1">-SUM(($EF21:$EI21)*($EB21:$EE21-OFFSET($C$6:$F$6,ES$5,0)))-SQRT(SUM(($EF21:$EI21)*($EB21:$EE21-OFFSET($C$6:$F$6,ES$5,0)))^2-SUM(($EB21:$EE21-OFFSET($C$6:$F$6,ES$5,0))*($EB21:$EE21-OFFSET($C$6:$F$6,ES$5,0)))+OFFSET($G$6,ES$5,0)^2)</f>
        <v>#NUM!</v>
      </c>
      <c r="FD21" s="10" t="e">
        <f t="array" aca="1" ref="FD21" ca="1">-SUM(($EF21:$EI21)*($EB21:$EE21-OFFSET($C$6:$F$6,ET$5,0)))-SQRT(SUM(($EF21:$EI21)*($EB21:$EE21-OFFSET($C$6:$F$6,ET$5,0)))^2-SUM(($EB21:$EE21-OFFSET($C$6:$F$6,ET$5,0))*($EB21:$EE21-OFFSET($C$6:$F$6,ET$5,0)))+OFFSET($G$6,ET$5,0)^2)</f>
        <v>#NUM!</v>
      </c>
      <c r="FF21" s="10">
        <f t="array" aca="1" ref="FF21" ca="1">MIN(IF(IF(ISERROR(EK21:FD21),-1,EK21:FD21)&lt;0,9999999999,EK21:FD21))</f>
        <v>9999999999</v>
      </c>
      <c r="FH21">
        <f t="shared" ca="1" si="30"/>
        <v>-1</v>
      </c>
      <c r="FJ21" s="10">
        <f t="shared" ca="1" si="31"/>
        <v>-3307657217.7906561</v>
      </c>
      <c r="FK21" s="10">
        <f t="shared" ca="1" si="32"/>
        <v>2998964307.8583469</v>
      </c>
      <c r="FL21" s="10">
        <f t="shared" ca="1" si="33"/>
        <v>8947939238.4765186</v>
      </c>
      <c r="FM21" s="10">
        <f t="shared" ca="1" si="34"/>
        <v>1</v>
      </c>
      <c r="FN21" s="14">
        <f t="shared" ca="1" si="35"/>
        <v>0.33076572163129708</v>
      </c>
      <c r="FO21" s="14">
        <f t="shared" ca="1" si="0"/>
        <v>-0.29989643092005341</v>
      </c>
      <c r="FP21" s="14">
        <f t="shared" ca="1" si="1"/>
        <v>-0.89479392494313503</v>
      </c>
      <c r="FQ21" s="14">
        <f t="shared" ca="1" si="2"/>
        <v>0</v>
      </c>
      <c r="FR21" s="10" t="e">
        <f t="array" aca="1" ref="FR21" ca="1">(FJ21-OFFSET(C$6,$FH21,0))/SQRT(SUM(($FJ21:$FM21-OFFSET($C$6:$F$6,$FH21,0))*($FJ21:$FM21-OFFSET($C$6:$F$6,$FH21,0))))</f>
        <v>#VALUE!</v>
      </c>
      <c r="FS21" s="10" t="e">
        <f t="array" aca="1" ref="FS21" ca="1">(FK21-OFFSET(D$6,$FH21,0))/SQRT(SUM(($FJ21:$FM21-OFFSET($C$6:$F$6,$FH21,0))*($FJ21:$FM21-OFFSET($C$6:$F$6,$FH21,0))))</f>
        <v>#VALUE!</v>
      </c>
      <c r="FT21" s="10" t="e">
        <f t="array" aca="1" ref="FT21" ca="1">(FL21-OFFSET(E$6,$FH21,0))/SQRT(SUM(($FJ21:$FM21-OFFSET($C$6:$F$6,$FH21,0))*($FJ21:$FM21-OFFSET($C$6:$F$6,$FH21,0))))</f>
        <v>#VALUE!</v>
      </c>
      <c r="FU21" s="10" t="e">
        <f t="array" aca="1" ref="FU21" ca="1">(FM21-OFFSET(F$6,$FH21,0))/SQRT(SUM(($FJ21:$FM21-OFFSET($C$6:$F$6,$FH21,0))*($FJ21:$FM21-OFFSET($C$6:$F$6,$FH21,0))))</f>
        <v>#VALUE!</v>
      </c>
      <c r="FV21" s="14">
        <f t="array" aca="1" ref="FV21" ca="1">-(FJ21-O$6)/SQRT(SUM(($O$6:$R$6-$FJ21:$FM21)*($O$6:$R$6-$FJ21:$FM21)))</f>
        <v>0.33076572101307405</v>
      </c>
      <c r="FW21" s="14">
        <f t="array" aca="1" ref="FW21" ca="1">-(FK21-P$6)/SQRT(SUM(($O$6:$R$6-$FJ21:$FM21)*($O$6:$R$6-$FJ21:$FM21)))</f>
        <v>-0.29989642999800387</v>
      </c>
      <c r="FX21" s="14">
        <f t="array" aca="1" ref="FX21" ca="1">-(FL21-Q$6)/SQRT(SUM(($O$6:$R$6-$FJ21:$FM21)*($O$6:$R$6-$FJ21:$FM21)))</f>
        <v>-0.89479392548069614</v>
      </c>
      <c r="FY21" s="14">
        <f t="array" aca="1" ref="FY21" ca="1">-(FM21-R$6)/SQRT(SUM(($O$6:$R$6-$FJ21:$FM21)*($O$6:$R$6-$FJ21:$FM21)))</f>
        <v>0</v>
      </c>
      <c r="FZ21" s="14" t="e">
        <f t="array" aca="1" ref="FZ21:GC21" ca="1">-FN21:FQ21-FR21:FU21*2*SUM(-FN21:FQ21*FR21:FU21)</f>
        <v>#VALUE!</v>
      </c>
      <c r="GA21" s="14" t="e">
        <f ca="1"/>
        <v>#VALUE!</v>
      </c>
      <c r="GB21" s="14" t="e">
        <f ca="1"/>
        <v>#VALUE!</v>
      </c>
      <c r="GC21" s="14" t="e">
        <f ca="1"/>
        <v>#VALUE!</v>
      </c>
      <c r="GD21" s="14" t="e">
        <f t="array" aca="1" ref="GD21:GG21" ca="1">-FV21:FY21-FR21:FU21*2*SUM(-FV21:FY21*FR21:FU21)</f>
        <v>#VALUE!</v>
      </c>
      <c r="GE21" s="14" t="e">
        <f ca="1"/>
        <v>#VALUE!</v>
      </c>
      <c r="GF21" s="14" t="e">
        <f ca="1"/>
        <v>#VALUE!</v>
      </c>
      <c r="GG21" s="14" t="e">
        <f ca="1"/>
        <v>#VALUE!</v>
      </c>
      <c r="GH21" t="e">
        <f t="array" aca="1" ref="GH21" ca="1">SUM(FV21:FY21*FR21:FU21)</f>
        <v>#VALUE!</v>
      </c>
      <c r="GI21" t="e">
        <f t="array" aca="1" ref="GI21" ca="1">SUM(GD21:GG21*FN21:FQ21)</f>
        <v>#VALUE!</v>
      </c>
      <c r="GJ21" s="11" t="e">
        <f t="shared" ca="1" si="36"/>
        <v>#VALUE!</v>
      </c>
      <c r="GK21" s="11" t="e">
        <f t="shared" ca="1" si="37"/>
        <v>#VALUE!</v>
      </c>
      <c r="GL21" s="11" t="e">
        <f t="shared" ca="1" si="38"/>
        <v>#VALUE!</v>
      </c>
      <c r="GM21" s="11">
        <f t="shared" ca="1" si="39"/>
        <v>0</v>
      </c>
      <c r="GO21" s="10" t="e">
        <f t="array" aca="1" ref="GO21:GR21" ca="1">FJ21:FM21+FR21:FU21*0.001</f>
        <v>#VALUE!</v>
      </c>
      <c r="GP21" s="10" t="e">
        <f ca="1"/>
        <v>#VALUE!</v>
      </c>
      <c r="GQ21" s="10" t="e">
        <f ca="1"/>
        <v>#VALUE!</v>
      </c>
      <c r="GR21" s="10" t="e">
        <f ca="1"/>
        <v>#VALUE!</v>
      </c>
      <c r="GS21" s="10">
        <f t="shared" ca="1" si="40"/>
        <v>0.33076572101307405</v>
      </c>
      <c r="GT21" s="10">
        <f t="shared" ca="1" si="3"/>
        <v>-0.29989642999800387</v>
      </c>
      <c r="GU21" s="10">
        <f t="shared" ca="1" si="4"/>
        <v>-0.89479392548069614</v>
      </c>
      <c r="GV21" s="10">
        <f t="shared" ca="1" si="5"/>
        <v>0</v>
      </c>
      <c r="GX21" s="10" t="e">
        <f t="array" aca="1" ref="GX21" ca="1">-SUM(($GS21:$GV21)*($GO21:$GR21-OFFSET($C$6:$F$6,GX$5,0)))+SQRT(SUM(($GS21:$GV21)*($GO21:$GR21-OFFSET($C$6:$F$6,GX$5,0)))^2-SUM(($GO21:$GR21-OFFSET($C$6:$F$6,GX$5,0))*($GO21:$GR21-OFFSET($C$6:$F$6,GX$5,0)))+OFFSET($G$6,GX$5,0)^2)</f>
        <v>#VALUE!</v>
      </c>
      <c r="GY21" s="10" t="e">
        <f t="array" aca="1" ref="GY21" ca="1">-SUM(($GS21:$GV21)*($GO21:$GR21-OFFSET($C$6:$F$6,GY$5,0)))+SQRT(SUM(($GS21:$GV21)*($GO21:$GR21-OFFSET($C$6:$F$6,GY$5,0)))^2-SUM(($GO21:$GR21-OFFSET($C$6:$F$6,GY$5,0))*($GO21:$GR21-OFFSET($C$6:$F$6,GY$5,0)))+OFFSET($G$6,GY$5,0)^2)</f>
        <v>#VALUE!</v>
      </c>
      <c r="GZ21" s="10" t="e">
        <f t="array" aca="1" ref="GZ21" ca="1">-SUM(($GS21:$GV21)*($GO21:$GR21-OFFSET($C$6:$F$6,GZ$5,0)))+SQRT(SUM(($GS21:$GV21)*($GO21:$GR21-OFFSET($C$6:$F$6,GZ$5,0)))^2-SUM(($GO21:$GR21-OFFSET($C$6:$F$6,GZ$5,0))*($GO21:$GR21-OFFSET($C$6:$F$6,GZ$5,0)))+OFFSET($G$6,GZ$5,0)^2)</f>
        <v>#VALUE!</v>
      </c>
      <c r="HA21" s="10" t="e">
        <f t="array" aca="1" ref="HA21" ca="1">-SUM(($GS21:$GV21)*($GO21:$GR21-OFFSET($C$6:$F$6,HA$5,0)))+SQRT(SUM(($GS21:$GV21)*($GO21:$GR21-OFFSET($C$6:$F$6,HA$5,0)))^2-SUM(($GO21:$GR21-OFFSET($C$6:$F$6,HA$5,0))*($GO21:$GR21-OFFSET($C$6:$F$6,HA$5,0)))+OFFSET($G$6,HA$5,0)^2)</f>
        <v>#VALUE!</v>
      </c>
      <c r="HB21" s="10" t="e">
        <f t="array" aca="1" ref="HB21" ca="1">-SUM(($GS21:$GV21)*($GO21:$GR21-OFFSET($C$6:$F$6,HB$5,0)))+SQRT(SUM(($GS21:$GV21)*($GO21:$GR21-OFFSET($C$6:$F$6,HB$5,0)))^2-SUM(($GO21:$GR21-OFFSET($C$6:$F$6,HB$5,0))*($GO21:$GR21-OFFSET($C$6:$F$6,HB$5,0)))+OFFSET($G$6,HB$5,0)^2)</f>
        <v>#VALUE!</v>
      </c>
      <c r="HC21" s="10" t="e">
        <f t="array" aca="1" ref="HC21" ca="1">-SUM(($GS21:$GV21)*($GO21:$GR21-OFFSET($C$6:$F$6,HC$5,0)))+SQRT(SUM(($GS21:$GV21)*($GO21:$GR21-OFFSET($C$6:$F$6,HC$5,0)))^2-SUM(($GO21:$GR21-OFFSET($C$6:$F$6,HC$5,0))*($GO21:$GR21-OFFSET($C$6:$F$6,HC$5,0)))+OFFSET($G$6,HC$5,0)^2)</f>
        <v>#VALUE!</v>
      </c>
      <c r="HD21" s="10" t="e">
        <f t="array" aca="1" ref="HD21" ca="1">-SUM(($GS21:$GV21)*($GO21:$GR21-OFFSET($C$6:$F$6,HD$5,0)))+SQRT(SUM(($GS21:$GV21)*($GO21:$GR21-OFFSET($C$6:$F$6,HD$5,0)))^2-SUM(($GO21:$GR21-OFFSET($C$6:$F$6,HD$5,0))*($GO21:$GR21-OFFSET($C$6:$F$6,HD$5,0)))+OFFSET($G$6,HD$5,0)^2)</f>
        <v>#VALUE!</v>
      </c>
      <c r="HE21" s="10" t="e">
        <f t="array" aca="1" ref="HE21" ca="1">-SUM(($GS21:$GV21)*($GO21:$GR21-OFFSET($C$6:$F$6,HE$5,0)))+SQRT(SUM(($GS21:$GV21)*($GO21:$GR21-OFFSET($C$6:$F$6,HE$5,0)))^2-SUM(($GO21:$GR21-OFFSET($C$6:$F$6,HE$5,0))*($GO21:$GR21-OFFSET($C$6:$F$6,HE$5,0)))+OFFSET($G$6,HE$5,0)^2)</f>
        <v>#VALUE!</v>
      </c>
      <c r="HF21" s="10" t="e">
        <f t="array" aca="1" ref="HF21" ca="1">-SUM(($GS21:$GV21)*($GO21:$GR21-OFFSET($C$6:$F$6,HF$5,0)))+SQRT(SUM(($GS21:$GV21)*($GO21:$GR21-OFFSET($C$6:$F$6,HF$5,0)))^2-SUM(($GO21:$GR21-OFFSET($C$6:$F$6,HF$5,0))*($GO21:$GR21-OFFSET($C$6:$F$6,HF$5,0)))+OFFSET($G$6,HF$5,0)^2)</f>
        <v>#VALUE!</v>
      </c>
      <c r="HG21" s="10" t="e">
        <f t="array" aca="1" ref="HG21" ca="1">-SUM(($GS21:$GV21)*($GO21:$GR21-OFFSET($C$6:$F$6,HG$5,0)))+SQRT(SUM(($GS21:$GV21)*($GO21:$GR21-OFFSET($C$6:$F$6,HG$5,0)))^2-SUM(($GO21:$GR21-OFFSET($C$6:$F$6,HG$5,0))*($GO21:$GR21-OFFSET($C$6:$F$6,HG$5,0)))+OFFSET($G$6,HG$5,0)^2)</f>
        <v>#VALUE!</v>
      </c>
      <c r="HH21" s="10" t="e">
        <f t="array" aca="1" ref="HH21" ca="1">-SUM(($GS21:$GV21)*($GO21:$GR21-OFFSET($C$6:$F$6,GX$5,0)))-SQRT(SUM(($GS21:$GV21)*($GO21:$GR21-OFFSET($C$6:$F$6,GX$5,0)))^2-SUM(($GO21:$GR21-OFFSET($C$6:$F$6,GX$5,0))*($GO21:$GR21-OFFSET($C$6:$F$6,GX$5,0)))+OFFSET($G$6,GX$5,0)^2)</f>
        <v>#VALUE!</v>
      </c>
      <c r="HI21" s="10" t="e">
        <f t="array" aca="1" ref="HI21" ca="1">-SUM(($GS21:$GV21)*($GO21:$GR21-OFFSET($C$6:$F$6,GY$5,0)))-SQRT(SUM(($GS21:$GV21)*($GO21:$GR21-OFFSET($C$6:$F$6,GY$5,0)))^2-SUM(($GO21:$GR21-OFFSET($C$6:$F$6,GY$5,0))*($GO21:$GR21-OFFSET($C$6:$F$6,GY$5,0)))+OFFSET($G$6,GY$5,0)^2)</f>
        <v>#VALUE!</v>
      </c>
      <c r="HJ21" s="10" t="e">
        <f t="array" aca="1" ref="HJ21" ca="1">-SUM(($GS21:$GV21)*($GO21:$GR21-OFFSET($C$6:$F$6,GZ$5,0)))-SQRT(SUM(($GS21:$GV21)*($GO21:$GR21-OFFSET($C$6:$F$6,GZ$5,0)))^2-SUM(($GO21:$GR21-OFFSET($C$6:$F$6,GZ$5,0))*($GO21:$GR21-OFFSET($C$6:$F$6,GZ$5,0)))+OFFSET($G$6,GZ$5,0)^2)</f>
        <v>#VALUE!</v>
      </c>
      <c r="HK21" s="10" t="e">
        <f t="array" aca="1" ref="HK21" ca="1">-SUM(($GS21:$GV21)*($GO21:$GR21-OFFSET($C$6:$F$6,HA$5,0)))-SQRT(SUM(($GS21:$GV21)*($GO21:$GR21-OFFSET($C$6:$F$6,HA$5,0)))^2-SUM(($GO21:$GR21-OFFSET($C$6:$F$6,HA$5,0))*($GO21:$GR21-OFFSET($C$6:$F$6,HA$5,0)))+OFFSET($G$6,HA$5,0)^2)</f>
        <v>#VALUE!</v>
      </c>
      <c r="HL21" s="10" t="e">
        <f t="array" aca="1" ref="HL21" ca="1">-SUM(($GS21:$GV21)*($GO21:$GR21-OFFSET($C$6:$F$6,HB$5,0)))-SQRT(SUM(($GS21:$GV21)*($GO21:$GR21-OFFSET($C$6:$F$6,HB$5,0)))^2-SUM(($GO21:$GR21-OFFSET($C$6:$F$6,HB$5,0))*($GO21:$GR21-OFFSET($C$6:$F$6,HB$5,0)))+OFFSET($G$6,HB$5,0)^2)</f>
        <v>#VALUE!</v>
      </c>
      <c r="HM21" s="10" t="e">
        <f t="array" aca="1" ref="HM21" ca="1">-SUM(($GS21:$GV21)*($GO21:$GR21-OFFSET($C$6:$F$6,HC$5,0)))-SQRT(SUM(($GS21:$GV21)*($GO21:$GR21-OFFSET($C$6:$F$6,HC$5,0)))^2-SUM(($GO21:$GR21-OFFSET($C$6:$F$6,HC$5,0))*($GO21:$GR21-OFFSET($C$6:$F$6,HC$5,0)))+OFFSET($G$6,HC$5,0)^2)</f>
        <v>#VALUE!</v>
      </c>
      <c r="HN21" s="10" t="e">
        <f t="array" aca="1" ref="HN21" ca="1">-SUM(($GS21:$GV21)*($GO21:$GR21-OFFSET($C$6:$F$6,HD$5,0)))-SQRT(SUM(($GS21:$GV21)*($GO21:$GR21-OFFSET($C$6:$F$6,HD$5,0)))^2-SUM(($GO21:$GR21-OFFSET($C$6:$F$6,HD$5,0))*($GO21:$GR21-OFFSET($C$6:$F$6,HD$5,0)))+OFFSET($G$6,HD$5,0)^2)</f>
        <v>#VALUE!</v>
      </c>
      <c r="HO21" s="10" t="e">
        <f t="array" aca="1" ref="HO21" ca="1">-SUM(($GS21:$GV21)*($GO21:$GR21-OFFSET($C$6:$F$6,HE$5,0)))-SQRT(SUM(($GS21:$GV21)*($GO21:$GR21-OFFSET($C$6:$F$6,HE$5,0)))^2-SUM(($GO21:$GR21-OFFSET($C$6:$F$6,HE$5,0))*($GO21:$GR21-OFFSET($C$6:$F$6,HE$5,0)))+OFFSET($G$6,HE$5,0)^2)</f>
        <v>#VALUE!</v>
      </c>
      <c r="HP21" s="10" t="e">
        <f t="array" aca="1" ref="HP21" ca="1">-SUM(($GS21:$GV21)*($GO21:$GR21-OFFSET($C$6:$F$6,HF$5,0)))-SQRT(SUM(($GS21:$GV21)*($GO21:$GR21-OFFSET($C$6:$F$6,HF$5,0)))^2-SUM(($GO21:$GR21-OFFSET($C$6:$F$6,HF$5,0))*($GO21:$GR21-OFFSET($C$6:$F$6,HF$5,0)))+OFFSET($G$6,HF$5,0)^2)</f>
        <v>#VALUE!</v>
      </c>
      <c r="HQ21" s="10" t="e">
        <f t="array" aca="1" ref="HQ21" ca="1">-SUM(($GS21:$GV21)*($GO21:$GR21-OFFSET($C$6:$F$6,HG$5,0)))-SQRT(SUM(($GS21:$GV21)*($GO21:$GR21-OFFSET($C$6:$F$6,HG$5,0)))^2-SUM(($GO21:$GR21-OFFSET($C$6:$F$6,HG$5,0))*($GO21:$GR21-OFFSET($C$6:$F$6,HG$5,0)))+OFFSET($G$6,HG$5,0)^2)</f>
        <v>#VALUE!</v>
      </c>
      <c r="HS21" s="10">
        <f t="array" aca="1" ref="HS21" ca="1">MIN(IF(IF(ISERROR(GX21:HQ21),-1,GX21:HQ21)&lt;0,9999999999,GX21:HQ21))</f>
        <v>9999999999</v>
      </c>
      <c r="HU21" s="11">
        <f t="shared" ca="1" si="41"/>
        <v>0</v>
      </c>
      <c r="HW21" s="11">
        <f t="shared" ca="1" si="42"/>
        <v>0.72394074709258527</v>
      </c>
    </row>
    <row r="22" spans="16:231" x14ac:dyDescent="0.25">
      <c r="X22" s="11">
        <f t="shared" si="6"/>
        <v>-1.4199860237596087</v>
      </c>
      <c r="Y22" s="11">
        <f t="shared" si="7"/>
        <v>-1</v>
      </c>
      <c r="Z22" s="11">
        <v>4</v>
      </c>
      <c r="AB22" s="10">
        <f t="array" aca="1" ref="AB22:AE22" ca="1">TRANSPOSE(Screen!$GL$98:$GL$101)</f>
        <v>0</v>
      </c>
      <c r="AC22" s="10">
        <f ca="1"/>
        <v>0.50000000000000033</v>
      </c>
      <c r="AD22" s="10">
        <f ca="1"/>
        <v>-15</v>
      </c>
      <c r="AE22" s="10">
        <f ca="1"/>
        <v>1</v>
      </c>
      <c r="AF22" s="10">
        <f t="array" aca="1" ref="AF22:AH22" ca="1">TRANSPOSE(MMULT(Screen!$GI$98:$GK$100,TRANSPOSE(X22:Z22)))</f>
        <v>-1.4199860237596087</v>
      </c>
      <c r="AG22" s="10">
        <f ca="1"/>
        <v>-1.2380565658529825</v>
      </c>
      <c r="AH22" s="10">
        <f ca="1"/>
        <v>3.9400359935205556</v>
      </c>
      <c r="AI22" s="10">
        <v>1</v>
      </c>
      <c r="AJ22" s="10">
        <f t="array" aca="1" ref="AJ22" ca="1">AF22/SQRT(SUM(($AF22:$AH22)*($AF22:$AH22)))</f>
        <v>-0.32514287885031085</v>
      </c>
      <c r="AK22" s="10">
        <f t="array" aca="1" ref="AK22" ca="1">AG22/SQRT(SUM(($AF22:$AH22)*($AF22:$AH22)))</f>
        <v>-0.28348537891603615</v>
      </c>
      <c r="AL22" s="10">
        <f t="array" aca="1" ref="AL22" ca="1">AH22/SQRT(SUM(($AF22:$AH22)*($AF22:$AH22)))</f>
        <v>0.90217412303488476</v>
      </c>
      <c r="AM22" s="10">
        <v>0</v>
      </c>
      <c r="AO22" s="10">
        <f t="array" aca="1" ref="AO22" ca="1">-SUM(($AJ22:$AM22)*($AB22:$AE22-OFFSET($C$6:$F$6,AO$5,0)))+SQRT(SUM(($AJ22:$AM22)*($AB22:$AE22-OFFSET($C$6:$F$6,AO$5,0)))^2-SUM(($AB22:$AE22-OFFSET($C$6:$F$6,AO$5,0))*($AB22:$AE22-OFFSET($C$6:$F$6,AO$5,0)))+OFFSET($G$6,AO$5,0)^2)</f>
        <v>588.84390714695132</v>
      </c>
      <c r="AP22" s="10" t="e">
        <f t="array" aca="1" ref="AP22" ca="1">-SUM(($AJ22:$AM22)*($AB22:$AE22-OFFSET($C$6:$F$6,AP$5,0)))+SQRT(SUM(($AJ22:$AM22)*($AB22:$AE22-OFFSET($C$6:$F$6,AP$5,0)))^2-SUM(($AB22:$AE22-OFFSET($C$6:$F$6,AP$5,0))*($AB22:$AE22-OFFSET($C$6:$F$6,AP$5,0)))+OFFSET($G$6,AP$5,0)^2)</f>
        <v>#NUM!</v>
      </c>
      <c r="AQ22" s="10" t="e">
        <f t="array" aca="1" ref="AQ22" ca="1">-SUM(($AJ22:$AM22)*($AB22:$AE22-OFFSET($C$6:$F$6,AQ$5,0)))+SQRT(SUM(($AJ22:$AM22)*($AB22:$AE22-OFFSET($C$6:$F$6,AQ$5,0)))^2-SUM(($AB22:$AE22-OFFSET($C$6:$F$6,AQ$5,0))*($AB22:$AE22-OFFSET($C$6:$F$6,AQ$5,0)))+OFFSET($G$6,AQ$5,0)^2)</f>
        <v>#NUM!</v>
      </c>
      <c r="AR22" s="10" t="e">
        <f t="array" aca="1" ref="AR22" ca="1">-SUM(($AJ22:$AM22)*($AB22:$AE22-OFFSET($C$6:$F$6,AR$5,0)))+SQRT(SUM(($AJ22:$AM22)*($AB22:$AE22-OFFSET($C$6:$F$6,AR$5,0)))^2-SUM(($AB22:$AE22-OFFSET($C$6:$F$6,AR$5,0))*($AB22:$AE22-OFFSET($C$6:$F$6,AR$5,0)))+OFFSET($G$6,AR$5,0)^2)</f>
        <v>#NUM!</v>
      </c>
      <c r="AS22" s="10" t="e">
        <f t="array" aca="1" ref="AS22" ca="1">-SUM(($AJ22:$AM22)*($AB22:$AE22-OFFSET($C$6:$F$6,AS$5,0)))+SQRT(SUM(($AJ22:$AM22)*($AB22:$AE22-OFFSET($C$6:$F$6,AS$5,0)))^2-SUM(($AB22:$AE22-OFFSET($C$6:$F$6,AS$5,0))*($AB22:$AE22-OFFSET($C$6:$F$6,AS$5,0)))+OFFSET($G$6,AS$5,0)^2)</f>
        <v>#NUM!</v>
      </c>
      <c r="AT22" s="10" t="e">
        <f t="array" aca="1" ref="AT22" ca="1">-SUM(($AJ22:$AM22)*($AB22:$AE22-OFFSET($C$6:$F$6,AT$5,0)))+SQRT(SUM(($AJ22:$AM22)*($AB22:$AE22-OFFSET($C$6:$F$6,AT$5,0)))^2-SUM(($AB22:$AE22-OFFSET($C$6:$F$6,AT$5,0))*($AB22:$AE22-OFFSET($C$6:$F$6,AT$5,0)))+OFFSET($G$6,AT$5,0)^2)</f>
        <v>#NUM!</v>
      </c>
      <c r="AU22" s="10" t="e">
        <f t="array" aca="1" ref="AU22" ca="1">-SUM(($AJ22:$AM22)*($AB22:$AE22-OFFSET($C$6:$F$6,AU$5,0)))+SQRT(SUM(($AJ22:$AM22)*($AB22:$AE22-OFFSET($C$6:$F$6,AU$5,0)))^2-SUM(($AB22:$AE22-OFFSET($C$6:$F$6,AU$5,0))*($AB22:$AE22-OFFSET($C$6:$F$6,AU$5,0)))+OFFSET($G$6,AU$5,0)^2)</f>
        <v>#NUM!</v>
      </c>
      <c r="AV22" s="10" t="e">
        <f t="array" aca="1" ref="AV22" ca="1">-SUM(($AJ22:$AM22)*($AB22:$AE22-OFFSET($C$6:$F$6,AV$5,0)))+SQRT(SUM(($AJ22:$AM22)*($AB22:$AE22-OFFSET($C$6:$F$6,AV$5,0)))^2-SUM(($AB22:$AE22-OFFSET($C$6:$F$6,AV$5,0))*($AB22:$AE22-OFFSET($C$6:$F$6,AV$5,0)))+OFFSET($G$6,AV$5,0)^2)</f>
        <v>#NUM!</v>
      </c>
      <c r="AW22" s="10" t="e">
        <f t="array" aca="1" ref="AW22" ca="1">-SUM(($AJ22:$AM22)*($AB22:$AE22-OFFSET($C$6:$F$6,AW$5,0)))+SQRT(SUM(($AJ22:$AM22)*($AB22:$AE22-OFFSET($C$6:$F$6,AW$5,0)))^2-SUM(($AB22:$AE22-OFFSET($C$6:$F$6,AW$5,0))*($AB22:$AE22-OFFSET($C$6:$F$6,AW$5,0)))+OFFSET($G$6,AW$5,0)^2)</f>
        <v>#NUM!</v>
      </c>
      <c r="AX22" s="10" t="e">
        <f t="array" aca="1" ref="AX22" ca="1">-SUM(($AJ22:$AM22)*($AB22:$AE22-OFFSET($C$6:$F$6,AX$5,0)))+SQRT(SUM(($AJ22:$AM22)*($AB22:$AE22-OFFSET($C$6:$F$6,AX$5,0)))^2-SUM(($AB22:$AE22-OFFSET($C$6:$F$6,AX$5,0))*($AB22:$AE22-OFFSET($C$6:$F$6,AX$5,0)))+OFFSET($G$6,AX$5,0)^2)</f>
        <v>#NUM!</v>
      </c>
      <c r="AY22" s="10">
        <f t="array" aca="1" ref="AY22" ca="1">-SUM(($AJ22:$AM22)*($AB22:$AE22-OFFSET($C$6:$F$6,AO$5,0)))-SQRT(SUM(($AJ22:$AM22)*($AB22:$AE22-OFFSET($C$6:$F$6,AO$5,0)))^2-SUM(($AB22:$AE22-OFFSET($C$6:$F$6,AO$5,0))*($AB22:$AE22-OFFSET($C$6:$F$6,AO$5,0)))+OFFSET($G$6,AO$5,0)^2)</f>
        <v>5.4755597550834523</v>
      </c>
      <c r="AZ22" s="10" t="e">
        <f t="array" aca="1" ref="AZ22" ca="1">-SUM(($AJ22:$AM22)*($AB22:$AE22-OFFSET($C$6:$F$6,AP$5,0)))-SQRT(SUM(($AJ22:$AM22)*($AB22:$AE22-OFFSET($C$6:$F$6,AP$5,0)))^2-SUM(($AB22:$AE22-OFFSET($C$6:$F$6,AP$5,0))*($AB22:$AE22-OFFSET($C$6:$F$6,AP$5,0)))+OFFSET($G$6,AP$5,0)^2)</f>
        <v>#NUM!</v>
      </c>
      <c r="BA22" s="10" t="e">
        <f t="array" aca="1" ref="BA22" ca="1">-SUM(($AJ22:$AM22)*($AB22:$AE22-OFFSET($C$6:$F$6,AQ$5,0)))-SQRT(SUM(($AJ22:$AM22)*($AB22:$AE22-OFFSET($C$6:$F$6,AQ$5,0)))^2-SUM(($AB22:$AE22-OFFSET($C$6:$F$6,AQ$5,0))*($AB22:$AE22-OFFSET($C$6:$F$6,AQ$5,0)))+OFFSET($G$6,AQ$5,0)^2)</f>
        <v>#NUM!</v>
      </c>
      <c r="BB22" s="10" t="e">
        <f t="array" aca="1" ref="BB22" ca="1">-SUM(($AJ22:$AM22)*($AB22:$AE22-OFFSET($C$6:$F$6,AR$5,0)))-SQRT(SUM(($AJ22:$AM22)*($AB22:$AE22-OFFSET($C$6:$F$6,AR$5,0)))^2-SUM(($AB22:$AE22-OFFSET($C$6:$F$6,AR$5,0))*($AB22:$AE22-OFFSET($C$6:$F$6,AR$5,0)))+OFFSET($G$6,AR$5,0)^2)</f>
        <v>#NUM!</v>
      </c>
      <c r="BC22" s="10" t="e">
        <f t="array" aca="1" ref="BC22" ca="1">-SUM(($AJ22:$AM22)*($AB22:$AE22-OFFSET($C$6:$F$6,AS$5,0)))-SQRT(SUM(($AJ22:$AM22)*($AB22:$AE22-OFFSET($C$6:$F$6,AS$5,0)))^2-SUM(($AB22:$AE22-OFFSET($C$6:$F$6,AS$5,0))*($AB22:$AE22-OFFSET($C$6:$F$6,AS$5,0)))+OFFSET($G$6,AS$5,0)^2)</f>
        <v>#NUM!</v>
      </c>
      <c r="BD22" s="10" t="e">
        <f t="array" aca="1" ref="BD22" ca="1">-SUM(($AJ22:$AM22)*($AB22:$AE22-OFFSET($C$6:$F$6,AT$5,0)))-SQRT(SUM(($AJ22:$AM22)*($AB22:$AE22-OFFSET($C$6:$F$6,AT$5,0)))^2-SUM(($AB22:$AE22-OFFSET($C$6:$F$6,AT$5,0))*($AB22:$AE22-OFFSET($C$6:$F$6,AT$5,0)))+OFFSET($G$6,AT$5,0)^2)</f>
        <v>#NUM!</v>
      </c>
      <c r="BE22" s="10" t="e">
        <f t="array" aca="1" ref="BE22" ca="1">-SUM(($AJ22:$AM22)*($AB22:$AE22-OFFSET($C$6:$F$6,AU$5,0)))-SQRT(SUM(($AJ22:$AM22)*($AB22:$AE22-OFFSET($C$6:$F$6,AU$5,0)))^2-SUM(($AB22:$AE22-OFFSET($C$6:$F$6,AU$5,0))*($AB22:$AE22-OFFSET($C$6:$F$6,AU$5,0)))+OFFSET($G$6,AU$5,0)^2)</f>
        <v>#NUM!</v>
      </c>
      <c r="BF22" s="10" t="e">
        <f t="array" aca="1" ref="BF22" ca="1">-SUM(($AJ22:$AM22)*($AB22:$AE22-OFFSET($C$6:$F$6,AV$5,0)))-SQRT(SUM(($AJ22:$AM22)*($AB22:$AE22-OFFSET($C$6:$F$6,AV$5,0)))^2-SUM(($AB22:$AE22-OFFSET($C$6:$F$6,AV$5,0))*($AB22:$AE22-OFFSET($C$6:$F$6,AV$5,0)))+OFFSET($G$6,AV$5,0)^2)</f>
        <v>#NUM!</v>
      </c>
      <c r="BG22" s="10" t="e">
        <f t="array" aca="1" ref="BG22" ca="1">-SUM(($AJ22:$AM22)*($AB22:$AE22-OFFSET($C$6:$F$6,AW$5,0)))-SQRT(SUM(($AJ22:$AM22)*($AB22:$AE22-OFFSET($C$6:$F$6,AW$5,0)))^2-SUM(($AB22:$AE22-OFFSET($C$6:$F$6,AW$5,0))*($AB22:$AE22-OFFSET($C$6:$F$6,AW$5,0)))+OFFSET($G$6,AW$5,0)^2)</f>
        <v>#NUM!</v>
      </c>
      <c r="BH22" s="10" t="e">
        <f t="array" aca="1" ref="BH22" ca="1">-SUM(($AJ22:$AM22)*($AB22:$AE22-OFFSET($C$6:$F$6,AX$5,0)))-SQRT(SUM(($AJ22:$AM22)*($AB22:$AE22-OFFSET($C$6:$F$6,AX$5,0)))^2-SUM(($AB22:$AE22-OFFSET($C$6:$F$6,AX$5,0))*($AB22:$AE22-OFFSET($C$6:$F$6,AX$5,0)))+OFFSET($G$6,AX$5,0)^2)</f>
        <v>#NUM!</v>
      </c>
      <c r="BJ22" s="10">
        <f t="array" aca="1" ref="BJ22" ca="1">MIN(IF(IF(ISERROR(AO22:BH22),-1,AO22:BH22)&lt;0,9999999999,AO22:BH22))</f>
        <v>5.4755597550834523</v>
      </c>
      <c r="BL22">
        <f t="shared" ca="1" si="8"/>
        <v>0</v>
      </c>
      <c r="BN22" s="10">
        <f t="shared" ca="1" si="43"/>
        <v>-1.7803392620847367</v>
      </c>
      <c r="BO22" s="10">
        <f t="shared" ca="1" si="44"/>
        <v>-1.05224113194723</v>
      </c>
      <c r="BP22" s="10">
        <f t="shared" ca="1" si="45"/>
        <v>-10.060091679832478</v>
      </c>
      <c r="BQ22" s="10">
        <f t="shared" ca="1" si="46"/>
        <v>1</v>
      </c>
      <c r="BR22" s="14">
        <f t="shared" ca="1" si="47"/>
        <v>0.32514287885031085</v>
      </c>
      <c r="BS22" s="14">
        <f t="shared" ca="1" si="48"/>
        <v>0.28348537891603615</v>
      </c>
      <c r="BT22" s="14">
        <f t="shared" ca="1" si="49"/>
        <v>-0.90217412303488476</v>
      </c>
      <c r="BU22" s="14">
        <f t="shared" si="50"/>
        <v>0</v>
      </c>
      <c r="BV22" s="10">
        <f t="array" aca="1" ref="BV22" ca="1">(BN22-OFFSET(C$6,$BL22,0))/SQRT(SUM(($BN22:$BQ22-OFFSET($C$6:$F$6,$BL22,0))*($BN22:$BQ22-OFFSET($C$6:$F$6,$BL22,0))))</f>
        <v>-1.7821213834682047E-3</v>
      </c>
      <c r="BW22" s="10">
        <f t="array" aca="1" ref="BW22" ca="1">(BO22-OFFSET(D$6,$BL22,0))/SQRT(SUM(($BN22:$BQ22-OFFSET($C$6:$F$6,$BL22,0))*($BN22:$BQ22-OFFSET($C$6:$F$6,$BL22,0))))</f>
        <v>0.99994770657462728</v>
      </c>
      <c r="BX22" s="10">
        <f t="array" aca="1" ref="BX22" ca="1">(BP22-OFFSET(E$6,$BL22,0))/SQRT(SUM(($BN22:$BQ22-OFFSET($C$6:$F$6,$BL22,0))*($BN22:$BQ22-OFFSET($C$6:$F$6,$BL22,0))))</f>
        <v>-1.0070161841674152E-2</v>
      </c>
      <c r="BY22" s="10">
        <f t="array" aca="1" ref="BY22" ca="1">(BQ22-OFFSET(F$6,$BL22,0))/SQRT(SUM(($BN22:$BQ22-OFFSET($C$6:$F$6,$BL22,0))*($BN22:$BQ22-OFFSET($C$6:$F$6,$BL22,0))))</f>
        <v>0</v>
      </c>
      <c r="BZ22" s="14">
        <f t="array" aca="1" ref="BZ22" ca="1">-(BN22-O$6)/SQRT(SUM(($O$6:$R$6-$BN22:$BQ22)*($O$6:$R$6-$BN22:$BQ22)))</f>
        <v>-0.59675915246310252</v>
      </c>
      <c r="CA22" s="14">
        <f t="array" aca="1" ref="CA22" ca="1">-(BO22-P$6)/SQRT(SUM(($O$6:$R$6-$BN22:$BQ22)*($O$6:$R$6-$BN22:$BQ22)))</f>
        <v>0.80240854957615693</v>
      </c>
      <c r="CB22" s="14">
        <f t="array" aca="1" ref="CB22" ca="1">-(BP22-Q$6)/SQRT(SUM(($O$6:$R$6-$BN22:$BQ22)*($O$6:$R$6-$BN22:$BQ22)))</f>
        <v>4.362742097310573E-3</v>
      </c>
      <c r="CC22" s="14">
        <f t="array" aca="1" ref="CC22" ca="1">-(BQ22-R$6)/SQRT(SUM(($O$6:$R$6-$BN22:$BQ22)*($O$6:$R$6-$BN22:$BQ22)))</f>
        <v>0</v>
      </c>
      <c r="CD22" s="14">
        <f t="array" aca="1" ref="CD22:CG22" ca="1">-BR22:BU22-BV22:BY22*2*SUM(-BR22:BU22*BV22:BY22)</f>
        <v>-0.32618355273051663</v>
      </c>
      <c r="CE22" s="14">
        <f ca="1"/>
        <v>0.30043638390951816</v>
      </c>
      <c r="CF22" s="14">
        <f ca="1"/>
        <v>0.89629362886917296</v>
      </c>
      <c r="CG22" s="14">
        <f ca="1"/>
        <v>0</v>
      </c>
      <c r="CH22" s="14">
        <f t="array" aca="1" ref="CH22:CK22" ca="1">-BZ22:CC22-BV22:BY22*2*SUM(-BZ22:CC22*BV22:BY22)</f>
        <v>0.59389568917959856</v>
      </c>
      <c r="CI22" s="14">
        <f ca="1"/>
        <v>0.80427973202009417</v>
      </c>
      <c r="CJ22" s="14">
        <f ca="1"/>
        <v>-2.0543199253634955E-2</v>
      </c>
      <c r="CK22" s="14">
        <f ca="1"/>
        <v>0</v>
      </c>
      <c r="CL22">
        <f t="array" aca="1" ref="CL22" ca="1">SUM(BZ22:CC22*BV22:BY22)</f>
        <v>0.80338615261194268</v>
      </c>
      <c r="CM22">
        <f t="array" aca="1" ref="CM22" ca="1">SUM(CH22:CK22*BR22:BU22)</f>
        <v>0.43963604147382751</v>
      </c>
      <c r="CN22" s="11">
        <f t="shared" ca="1" si="17"/>
        <v>0</v>
      </c>
      <c r="CO22" s="11">
        <f t="shared" ca="1" si="18"/>
        <v>0.72304753735074845</v>
      </c>
      <c r="CP22" s="11">
        <f t="shared" ca="1" si="19"/>
        <v>3.7402468504992416E-72</v>
      </c>
      <c r="CQ22" s="11">
        <f t="shared" ca="1" si="20"/>
        <v>0.72304753735074845</v>
      </c>
      <c r="CS22" s="10">
        <f t="array" aca="1" ref="CS22:CV22" ca="1">BN22:BQ22+BV22:BY22*0.001</f>
        <v>-1.7803410442061203</v>
      </c>
      <c r="CT22" s="10">
        <f ca="1"/>
        <v>-1.0512411842406555</v>
      </c>
      <c r="CU22" s="10">
        <f ca="1"/>
        <v>-10.06010174999432</v>
      </c>
      <c r="CV22" s="10">
        <f ca="1"/>
        <v>1</v>
      </c>
      <c r="CW22" s="10">
        <f t="shared" ca="1" si="21"/>
        <v>-0.59675915246310252</v>
      </c>
      <c r="CX22" s="10">
        <f t="shared" ca="1" si="22"/>
        <v>0.80240854957615693</v>
      </c>
      <c r="CY22" s="10">
        <f t="shared" ca="1" si="23"/>
        <v>4.362742097310573E-3</v>
      </c>
      <c r="CZ22" s="10">
        <f t="shared" ca="1" si="24"/>
        <v>0</v>
      </c>
      <c r="DB22" s="10">
        <f t="array" aca="1" ref="DB22" ca="1">-SUM(($CW22:$CZ22)*($CS22:$CV22-OFFSET($C$6:$F$6,DB$5,0)))+SQRT(SUM(($CW22:$CZ22)*($CS22:$CV22-OFFSET($C$6:$F$6,DB$5,0)))^2-SUM(($CS22:$CV22-OFFSET($C$6:$F$6,DB$5,0))*($CS22:$CV22-OFFSET($C$6:$F$6,DB$5,0)))+OFFSET($G$6,DB$5,0)^2)</f>
        <v>-1.2447317790247325E-3</v>
      </c>
      <c r="DC22" s="10" t="e">
        <f t="array" aca="1" ref="DC22" ca="1">-SUM(($CW22:$CZ22)*($CS22:$CV22-OFFSET($C$6:$F$6,DC$5,0)))+SQRT(SUM(($CW22:$CZ22)*($CS22:$CV22-OFFSET($C$6:$F$6,DC$5,0)))^2-SUM(($CS22:$CV22-OFFSET($C$6:$F$6,DC$5,0))*($CS22:$CV22-OFFSET($C$6:$F$6,DC$5,0)))+OFFSET($G$6,DC$5,0)^2)</f>
        <v>#NUM!</v>
      </c>
      <c r="DD22" s="10" t="e">
        <f t="array" aca="1" ref="DD22" ca="1">-SUM(($CW22:$CZ22)*($CS22:$CV22-OFFSET($C$6:$F$6,DD$5,0)))+SQRT(SUM(($CW22:$CZ22)*($CS22:$CV22-OFFSET($C$6:$F$6,DD$5,0)))^2-SUM(($CS22:$CV22-OFFSET($C$6:$F$6,DD$5,0))*($CS22:$CV22-OFFSET($C$6:$F$6,DD$5,0)))+OFFSET($G$6,DD$5,0)^2)</f>
        <v>#NUM!</v>
      </c>
      <c r="DE22" s="10" t="e">
        <f t="array" aca="1" ref="DE22" ca="1">-SUM(($CW22:$CZ22)*($CS22:$CV22-OFFSET($C$6:$F$6,DE$5,0)))+SQRT(SUM(($CW22:$CZ22)*($CS22:$CV22-OFFSET($C$6:$F$6,DE$5,0)))^2-SUM(($CS22:$CV22-OFFSET($C$6:$F$6,DE$5,0))*($CS22:$CV22-OFFSET($C$6:$F$6,DE$5,0)))+OFFSET($G$6,DE$5,0)^2)</f>
        <v>#NUM!</v>
      </c>
      <c r="DF22" s="10" t="e">
        <f t="array" aca="1" ref="DF22" ca="1">-SUM(($CW22:$CZ22)*($CS22:$CV22-OFFSET($C$6:$F$6,DF$5,0)))+SQRT(SUM(($CW22:$CZ22)*($CS22:$CV22-OFFSET($C$6:$F$6,DF$5,0)))^2-SUM(($CS22:$CV22-OFFSET($C$6:$F$6,DF$5,0))*($CS22:$CV22-OFFSET($C$6:$F$6,DF$5,0)))+OFFSET($G$6,DF$5,0)^2)</f>
        <v>#NUM!</v>
      </c>
      <c r="DG22" s="10" t="e">
        <f t="array" aca="1" ref="DG22" ca="1">-SUM(($CW22:$CZ22)*($CS22:$CV22-OFFSET($C$6:$F$6,DG$5,0)))+SQRT(SUM(($CW22:$CZ22)*($CS22:$CV22-OFFSET($C$6:$F$6,DG$5,0)))^2-SUM(($CS22:$CV22-OFFSET($C$6:$F$6,DG$5,0))*($CS22:$CV22-OFFSET($C$6:$F$6,DG$5,0)))+OFFSET($G$6,DG$5,0)^2)</f>
        <v>#NUM!</v>
      </c>
      <c r="DH22" s="10" t="e">
        <f t="array" aca="1" ref="DH22" ca="1">-SUM(($CW22:$CZ22)*($CS22:$CV22-OFFSET($C$6:$F$6,DH$5,0)))+SQRT(SUM(($CW22:$CZ22)*($CS22:$CV22-OFFSET($C$6:$F$6,DH$5,0)))^2-SUM(($CS22:$CV22-OFFSET($C$6:$F$6,DH$5,0))*($CS22:$CV22-OFFSET($C$6:$F$6,DH$5,0)))+OFFSET($G$6,DH$5,0)^2)</f>
        <v>#NUM!</v>
      </c>
      <c r="DI22" s="10" t="e">
        <f t="array" aca="1" ref="DI22" ca="1">-SUM(($CW22:$CZ22)*($CS22:$CV22-OFFSET($C$6:$F$6,DI$5,0)))+SQRT(SUM(($CW22:$CZ22)*($CS22:$CV22-OFFSET($C$6:$F$6,DI$5,0)))^2-SUM(($CS22:$CV22-OFFSET($C$6:$F$6,DI$5,0))*($CS22:$CV22-OFFSET($C$6:$F$6,DI$5,0)))+OFFSET($G$6,DI$5,0)^2)</f>
        <v>#NUM!</v>
      </c>
      <c r="DJ22" s="10" t="e">
        <f t="array" aca="1" ref="DJ22" ca="1">-SUM(($CW22:$CZ22)*($CS22:$CV22-OFFSET($C$6:$F$6,DJ$5,0)))+SQRT(SUM(($CW22:$CZ22)*($CS22:$CV22-OFFSET($C$6:$F$6,DJ$5,0)))^2-SUM(($CS22:$CV22-OFFSET($C$6:$F$6,DJ$5,0))*($CS22:$CV22-OFFSET($C$6:$F$6,DJ$5,0)))+OFFSET($G$6,DJ$5,0)^2)</f>
        <v>#NUM!</v>
      </c>
      <c r="DK22" s="10" t="e">
        <f t="array" aca="1" ref="DK22" ca="1">-SUM(($CW22:$CZ22)*($CS22:$CV22-OFFSET($C$6:$F$6,DK$5,0)))+SQRT(SUM(($CW22:$CZ22)*($CS22:$CV22-OFFSET($C$6:$F$6,DK$5,0)))^2-SUM(($CS22:$CV22-OFFSET($C$6:$F$6,DK$5,0))*($CS22:$CV22-OFFSET($C$6:$F$6,DK$5,0)))+OFFSET($G$6,DK$5,0)^2)</f>
        <v>#NUM!</v>
      </c>
      <c r="DL22" s="10">
        <f t="array" aca="1" ref="DL22" ca="1">-SUM(($CW22:$CZ22)*($CS22:$CV22-OFFSET($C$6:$F$6,DB$5,0)))-SQRT(SUM(($CW22:$CZ22)*($CS22:$CV22-OFFSET($C$6:$F$6,DB$5,0)))^2-SUM(($CS22:$CV22-OFFSET($C$6:$F$6,DB$5,0))*($CS22:$CV22-OFFSET($C$6:$F$6,DB$5,0)))+OFFSET($G$6,DB$5,0)^2)</f>
        <v>-1605.1658949591879</v>
      </c>
      <c r="DM22" s="10" t="e">
        <f t="array" aca="1" ref="DM22" ca="1">-SUM(($CW22:$CZ22)*($CS22:$CV22-OFFSET($C$6:$F$6,DC$5,0)))-SQRT(SUM(($CW22:$CZ22)*($CS22:$CV22-OFFSET($C$6:$F$6,DC$5,0)))^2-SUM(($CS22:$CV22-OFFSET($C$6:$F$6,DC$5,0))*($CS22:$CV22-OFFSET($C$6:$F$6,DC$5,0)))+OFFSET($G$6,DC$5,0)^2)</f>
        <v>#NUM!</v>
      </c>
      <c r="DN22" s="10" t="e">
        <f t="array" aca="1" ref="DN22" ca="1">-SUM(($CW22:$CZ22)*($CS22:$CV22-OFFSET($C$6:$F$6,DD$5,0)))-SQRT(SUM(($CW22:$CZ22)*($CS22:$CV22-OFFSET($C$6:$F$6,DD$5,0)))^2-SUM(($CS22:$CV22-OFFSET($C$6:$F$6,DD$5,0))*($CS22:$CV22-OFFSET($C$6:$F$6,DD$5,0)))+OFFSET($G$6,DD$5,0)^2)</f>
        <v>#NUM!</v>
      </c>
      <c r="DO22" s="10" t="e">
        <f t="array" aca="1" ref="DO22" ca="1">-SUM(($CW22:$CZ22)*($CS22:$CV22-OFFSET($C$6:$F$6,DE$5,0)))-SQRT(SUM(($CW22:$CZ22)*($CS22:$CV22-OFFSET($C$6:$F$6,DE$5,0)))^2-SUM(($CS22:$CV22-OFFSET($C$6:$F$6,DE$5,0))*($CS22:$CV22-OFFSET($C$6:$F$6,DE$5,0)))+OFFSET($G$6,DE$5,0)^2)</f>
        <v>#NUM!</v>
      </c>
      <c r="DP22" s="10" t="e">
        <f t="array" aca="1" ref="DP22" ca="1">-SUM(($CW22:$CZ22)*($CS22:$CV22-OFFSET($C$6:$F$6,DF$5,0)))-SQRT(SUM(($CW22:$CZ22)*($CS22:$CV22-OFFSET($C$6:$F$6,DF$5,0)))^2-SUM(($CS22:$CV22-OFFSET($C$6:$F$6,DF$5,0))*($CS22:$CV22-OFFSET($C$6:$F$6,DF$5,0)))+OFFSET($G$6,DF$5,0)^2)</f>
        <v>#NUM!</v>
      </c>
      <c r="DQ22" s="10" t="e">
        <f t="array" aca="1" ref="DQ22" ca="1">-SUM(($CW22:$CZ22)*($CS22:$CV22-OFFSET($C$6:$F$6,DG$5,0)))-SQRT(SUM(($CW22:$CZ22)*($CS22:$CV22-OFFSET($C$6:$F$6,DG$5,0)))^2-SUM(($CS22:$CV22-OFFSET($C$6:$F$6,DG$5,0))*($CS22:$CV22-OFFSET($C$6:$F$6,DG$5,0)))+OFFSET($G$6,DG$5,0)^2)</f>
        <v>#NUM!</v>
      </c>
      <c r="DR22" s="10" t="e">
        <f t="array" aca="1" ref="DR22" ca="1">-SUM(($CW22:$CZ22)*($CS22:$CV22-OFFSET($C$6:$F$6,DH$5,0)))-SQRT(SUM(($CW22:$CZ22)*($CS22:$CV22-OFFSET($C$6:$F$6,DH$5,0)))^2-SUM(($CS22:$CV22-OFFSET($C$6:$F$6,DH$5,0))*($CS22:$CV22-OFFSET($C$6:$F$6,DH$5,0)))+OFFSET($G$6,DH$5,0)^2)</f>
        <v>#NUM!</v>
      </c>
      <c r="DS22" s="10" t="e">
        <f t="array" aca="1" ref="DS22" ca="1">-SUM(($CW22:$CZ22)*($CS22:$CV22-OFFSET($C$6:$F$6,DI$5,0)))-SQRT(SUM(($CW22:$CZ22)*($CS22:$CV22-OFFSET($C$6:$F$6,DI$5,0)))^2-SUM(($CS22:$CV22-OFFSET($C$6:$F$6,DI$5,0))*($CS22:$CV22-OFFSET($C$6:$F$6,DI$5,0)))+OFFSET($G$6,DI$5,0)^2)</f>
        <v>#NUM!</v>
      </c>
      <c r="DT22" s="10" t="e">
        <f t="array" aca="1" ref="DT22" ca="1">-SUM(($CW22:$CZ22)*($CS22:$CV22-OFFSET($C$6:$F$6,DJ$5,0)))-SQRT(SUM(($CW22:$CZ22)*($CS22:$CV22-OFFSET($C$6:$F$6,DJ$5,0)))^2-SUM(($CS22:$CV22-OFFSET($C$6:$F$6,DJ$5,0))*($CS22:$CV22-OFFSET($C$6:$F$6,DJ$5,0)))+OFFSET($G$6,DJ$5,0)^2)</f>
        <v>#NUM!</v>
      </c>
      <c r="DU22" s="10" t="e">
        <f t="array" aca="1" ref="DU22" ca="1">-SUM(($CW22:$CZ22)*($CS22:$CV22-OFFSET($C$6:$F$6,DK$5,0)))-SQRT(SUM(($CW22:$CZ22)*($CS22:$CV22-OFFSET($C$6:$F$6,DK$5,0)))^2-SUM(($CS22:$CV22-OFFSET($C$6:$F$6,DK$5,0))*($CS22:$CV22-OFFSET($C$6:$F$6,DK$5,0)))+OFFSET($G$6,DK$5,0)^2)</f>
        <v>#NUM!</v>
      </c>
      <c r="DW22" s="10">
        <f t="array" aca="1" ref="DW22" ca="1">MIN(IF(IF(ISERROR(DB22:DU22),-1,DB22:DU22)&lt;0,9999999999,DB22:DU22))</f>
        <v>9999999999</v>
      </c>
      <c r="DY22" s="11">
        <f t="shared" ca="1" si="25"/>
        <v>0.72304753735074845</v>
      </c>
      <c r="EB22" s="10">
        <f t="array" aca="1" ref="EB22:EE22" ca="1">BN22:BQ22+BV22:BY22*0.01</f>
        <v>-1.7803570832985713</v>
      </c>
      <c r="EC22" s="10">
        <f ca="1"/>
        <v>-1.0422416548814837</v>
      </c>
      <c r="ED22" s="10">
        <f ca="1"/>
        <v>-10.060192381450895</v>
      </c>
      <c r="EE22" s="10">
        <f ca="1"/>
        <v>1</v>
      </c>
      <c r="EF22" s="10">
        <f t="shared" ca="1" si="26"/>
        <v>-0.32618355273051663</v>
      </c>
      <c r="EG22" s="10">
        <f t="shared" ca="1" si="27"/>
        <v>0.30043638390951816</v>
      </c>
      <c r="EH22" s="10">
        <f t="shared" ca="1" si="28"/>
        <v>0.89629362886917296</v>
      </c>
      <c r="EI22" s="10">
        <f t="shared" ca="1" si="29"/>
        <v>0</v>
      </c>
      <c r="EK22" s="10">
        <f t="array" aca="1" ref="EK22" ca="1">-SUM(($EF22:$EI22)*($EB22:$EE22-OFFSET($C$6:$F$6,EK$5,0)))+SQRT(SUM(($EF22:$EI22)*($EB22:$EE22-OFFSET($C$6:$F$6,EK$5,0)))^2-SUM(($EB22:$EE22-OFFSET($C$6:$F$6,EK$5,0))*($EB22:$EE22-OFFSET($C$6:$F$6,EK$5,0)))+OFFSET($G$6,EK$5,0)^2)</f>
        <v>-3.4251212332890191E-2</v>
      </c>
      <c r="EL22" s="10" t="e">
        <f t="array" aca="1" ref="EL22" ca="1">-SUM(($EF22:$EI22)*($EB22:$EE22-OFFSET($C$6:$F$6,EL$5,0)))+SQRT(SUM(($EF22:$EI22)*($EB22:$EE22-OFFSET($C$6:$F$6,EL$5,0)))^2-SUM(($EB22:$EE22-OFFSET($C$6:$F$6,EL$5,0))*($EB22:$EE22-OFFSET($C$6:$F$6,EL$5,0)))+OFFSET($G$6,EL$5,0)^2)</f>
        <v>#NUM!</v>
      </c>
      <c r="EM22" s="10" t="e">
        <f t="array" aca="1" ref="EM22" ca="1">-SUM(($EF22:$EI22)*($EB22:$EE22-OFFSET($C$6:$F$6,EM$5,0)))+SQRT(SUM(($EF22:$EI22)*($EB22:$EE22-OFFSET($C$6:$F$6,EM$5,0)))^2-SUM(($EB22:$EE22-OFFSET($C$6:$F$6,EM$5,0))*($EB22:$EE22-OFFSET($C$6:$F$6,EM$5,0)))+OFFSET($G$6,EM$5,0)^2)</f>
        <v>#NUM!</v>
      </c>
      <c r="EN22" s="10" t="e">
        <f t="array" aca="1" ref="EN22" ca="1">-SUM(($EF22:$EI22)*($EB22:$EE22-OFFSET($C$6:$F$6,EN$5,0)))+SQRT(SUM(($EF22:$EI22)*($EB22:$EE22-OFFSET($C$6:$F$6,EN$5,0)))^2-SUM(($EB22:$EE22-OFFSET($C$6:$F$6,EN$5,0))*($EB22:$EE22-OFFSET($C$6:$F$6,EN$5,0)))+OFFSET($G$6,EN$5,0)^2)</f>
        <v>#NUM!</v>
      </c>
      <c r="EO22" s="10" t="e">
        <f t="array" aca="1" ref="EO22" ca="1">-SUM(($EF22:$EI22)*($EB22:$EE22-OFFSET($C$6:$F$6,EO$5,0)))+SQRT(SUM(($EF22:$EI22)*($EB22:$EE22-OFFSET($C$6:$F$6,EO$5,0)))^2-SUM(($EB22:$EE22-OFFSET($C$6:$F$6,EO$5,0))*($EB22:$EE22-OFFSET($C$6:$F$6,EO$5,0)))+OFFSET($G$6,EO$5,0)^2)</f>
        <v>#NUM!</v>
      </c>
      <c r="EP22" s="10" t="e">
        <f t="array" aca="1" ref="EP22" ca="1">-SUM(($EF22:$EI22)*($EB22:$EE22-OFFSET($C$6:$F$6,EP$5,0)))+SQRT(SUM(($EF22:$EI22)*($EB22:$EE22-OFFSET($C$6:$F$6,EP$5,0)))^2-SUM(($EB22:$EE22-OFFSET($C$6:$F$6,EP$5,0))*($EB22:$EE22-OFFSET($C$6:$F$6,EP$5,0)))+OFFSET($G$6,EP$5,0)^2)</f>
        <v>#NUM!</v>
      </c>
      <c r="EQ22" s="10" t="e">
        <f t="array" aca="1" ref="EQ22" ca="1">-SUM(($EF22:$EI22)*($EB22:$EE22-OFFSET($C$6:$F$6,EQ$5,0)))+SQRT(SUM(($EF22:$EI22)*($EB22:$EE22-OFFSET($C$6:$F$6,EQ$5,0)))^2-SUM(($EB22:$EE22-OFFSET($C$6:$F$6,EQ$5,0))*($EB22:$EE22-OFFSET($C$6:$F$6,EQ$5,0)))+OFFSET($G$6,EQ$5,0)^2)</f>
        <v>#NUM!</v>
      </c>
      <c r="ER22" s="10" t="e">
        <f t="array" aca="1" ref="ER22" ca="1">-SUM(($EF22:$EI22)*($EB22:$EE22-OFFSET($C$6:$F$6,ER$5,0)))+SQRT(SUM(($EF22:$EI22)*($EB22:$EE22-OFFSET($C$6:$F$6,ER$5,0)))^2-SUM(($EB22:$EE22-OFFSET($C$6:$F$6,ER$5,0))*($EB22:$EE22-OFFSET($C$6:$F$6,ER$5,0)))+OFFSET($G$6,ER$5,0)^2)</f>
        <v>#NUM!</v>
      </c>
      <c r="ES22" s="10" t="e">
        <f t="array" aca="1" ref="ES22" ca="1">-SUM(($EF22:$EI22)*($EB22:$EE22-OFFSET($C$6:$F$6,ES$5,0)))+SQRT(SUM(($EF22:$EI22)*($EB22:$EE22-OFFSET($C$6:$F$6,ES$5,0)))^2-SUM(($EB22:$EE22-OFFSET($C$6:$F$6,ES$5,0))*($EB22:$EE22-OFFSET($C$6:$F$6,ES$5,0)))+OFFSET($G$6,ES$5,0)^2)</f>
        <v>#NUM!</v>
      </c>
      <c r="ET22" s="10" t="e">
        <f t="array" aca="1" ref="ET22" ca="1">-SUM(($EF22:$EI22)*($EB22:$EE22-OFFSET($C$6:$F$6,ET$5,0)))+SQRT(SUM(($EF22:$EI22)*($EB22:$EE22-OFFSET($C$6:$F$6,ET$5,0)))^2-SUM(($EB22:$EE22-OFFSET($C$6:$F$6,ET$5,0))*($EB22:$EE22-OFFSET($C$6:$F$6,ET$5,0)))+OFFSET($G$6,ET$5,0)^2)</f>
        <v>#NUM!</v>
      </c>
      <c r="EU22" s="10">
        <f t="array" aca="1" ref="EU22" ca="1">-SUM(($EF22:$EI22)*($EB22:$EE22-OFFSET($C$6:$F$6,EK$5,0)))-SQRT(SUM(($EF22:$EI22)*($EB22:$EE22-OFFSET($C$6:$F$6,EK$5,0)))^2-SUM(($EB22:$EE22-OFFSET($C$6:$F$6,EK$5,0))*($EB22:$EE22-OFFSET($C$6:$F$6,EK$5,0)))+OFFSET($G$6,EK$5,0)^2)</f>
        <v>-583.33993570253187</v>
      </c>
      <c r="EV22" s="10" t="e">
        <f t="array" aca="1" ref="EV22" ca="1">-SUM(($EF22:$EI22)*($EB22:$EE22-OFFSET($C$6:$F$6,EL$5,0)))-SQRT(SUM(($EF22:$EI22)*($EB22:$EE22-OFFSET($C$6:$F$6,EL$5,0)))^2-SUM(($EB22:$EE22-OFFSET($C$6:$F$6,EL$5,0))*($EB22:$EE22-OFFSET($C$6:$F$6,EL$5,0)))+OFFSET($G$6,EL$5,0)^2)</f>
        <v>#NUM!</v>
      </c>
      <c r="EW22" s="10" t="e">
        <f t="array" aca="1" ref="EW22" ca="1">-SUM(($EF22:$EI22)*($EB22:$EE22-OFFSET($C$6:$F$6,EM$5,0)))-SQRT(SUM(($EF22:$EI22)*($EB22:$EE22-OFFSET($C$6:$F$6,EM$5,0)))^2-SUM(($EB22:$EE22-OFFSET($C$6:$F$6,EM$5,0))*($EB22:$EE22-OFFSET($C$6:$F$6,EM$5,0)))+OFFSET($G$6,EM$5,0)^2)</f>
        <v>#NUM!</v>
      </c>
      <c r="EX22" s="10" t="e">
        <f t="array" aca="1" ref="EX22" ca="1">-SUM(($EF22:$EI22)*($EB22:$EE22-OFFSET($C$6:$F$6,EN$5,0)))-SQRT(SUM(($EF22:$EI22)*($EB22:$EE22-OFFSET($C$6:$F$6,EN$5,0)))^2-SUM(($EB22:$EE22-OFFSET($C$6:$F$6,EN$5,0))*($EB22:$EE22-OFFSET($C$6:$F$6,EN$5,0)))+OFFSET($G$6,EN$5,0)^2)</f>
        <v>#NUM!</v>
      </c>
      <c r="EY22" s="10" t="e">
        <f t="array" aca="1" ref="EY22" ca="1">-SUM(($EF22:$EI22)*($EB22:$EE22-OFFSET($C$6:$F$6,EO$5,0)))-SQRT(SUM(($EF22:$EI22)*($EB22:$EE22-OFFSET($C$6:$F$6,EO$5,0)))^2-SUM(($EB22:$EE22-OFFSET($C$6:$F$6,EO$5,0))*($EB22:$EE22-OFFSET($C$6:$F$6,EO$5,0)))+OFFSET($G$6,EO$5,0)^2)</f>
        <v>#NUM!</v>
      </c>
      <c r="EZ22" s="10" t="e">
        <f t="array" aca="1" ref="EZ22" ca="1">-SUM(($EF22:$EI22)*($EB22:$EE22-OFFSET($C$6:$F$6,EP$5,0)))-SQRT(SUM(($EF22:$EI22)*($EB22:$EE22-OFFSET($C$6:$F$6,EP$5,0)))^2-SUM(($EB22:$EE22-OFFSET($C$6:$F$6,EP$5,0))*($EB22:$EE22-OFFSET($C$6:$F$6,EP$5,0)))+OFFSET($G$6,EP$5,0)^2)</f>
        <v>#NUM!</v>
      </c>
      <c r="FA22" s="10" t="e">
        <f t="array" aca="1" ref="FA22" ca="1">-SUM(($EF22:$EI22)*($EB22:$EE22-OFFSET($C$6:$F$6,EQ$5,0)))-SQRT(SUM(($EF22:$EI22)*($EB22:$EE22-OFFSET($C$6:$F$6,EQ$5,0)))^2-SUM(($EB22:$EE22-OFFSET($C$6:$F$6,EQ$5,0))*($EB22:$EE22-OFFSET($C$6:$F$6,EQ$5,0)))+OFFSET($G$6,EQ$5,0)^2)</f>
        <v>#NUM!</v>
      </c>
      <c r="FB22" s="10" t="e">
        <f t="array" aca="1" ref="FB22" ca="1">-SUM(($EF22:$EI22)*($EB22:$EE22-OFFSET($C$6:$F$6,ER$5,0)))-SQRT(SUM(($EF22:$EI22)*($EB22:$EE22-OFFSET($C$6:$F$6,ER$5,0)))^2-SUM(($EB22:$EE22-OFFSET($C$6:$F$6,ER$5,0))*($EB22:$EE22-OFFSET($C$6:$F$6,ER$5,0)))+OFFSET($G$6,ER$5,0)^2)</f>
        <v>#NUM!</v>
      </c>
      <c r="FC22" s="10" t="e">
        <f t="array" aca="1" ref="FC22" ca="1">-SUM(($EF22:$EI22)*($EB22:$EE22-OFFSET($C$6:$F$6,ES$5,0)))-SQRT(SUM(($EF22:$EI22)*($EB22:$EE22-OFFSET($C$6:$F$6,ES$5,0)))^2-SUM(($EB22:$EE22-OFFSET($C$6:$F$6,ES$5,0))*($EB22:$EE22-OFFSET($C$6:$F$6,ES$5,0)))+OFFSET($G$6,ES$5,0)^2)</f>
        <v>#NUM!</v>
      </c>
      <c r="FD22" s="10" t="e">
        <f t="array" aca="1" ref="FD22" ca="1">-SUM(($EF22:$EI22)*($EB22:$EE22-OFFSET($C$6:$F$6,ET$5,0)))-SQRT(SUM(($EF22:$EI22)*($EB22:$EE22-OFFSET($C$6:$F$6,ET$5,0)))^2-SUM(($EB22:$EE22-OFFSET($C$6:$F$6,ET$5,0))*($EB22:$EE22-OFFSET($C$6:$F$6,ET$5,0)))+OFFSET($G$6,ET$5,0)^2)</f>
        <v>#NUM!</v>
      </c>
      <c r="FF22" s="10">
        <f t="array" aca="1" ref="FF22" ca="1">MIN(IF(IF(ISERROR(EK22:FD22),-1,EK22:FD22)&lt;0,9999999999,EK22:FD22))</f>
        <v>9999999999</v>
      </c>
      <c r="FH22">
        <f t="shared" ca="1" si="30"/>
        <v>-1</v>
      </c>
      <c r="FJ22" s="10">
        <f t="shared" ca="1" si="31"/>
        <v>-3261835528.7593398</v>
      </c>
      <c r="FK22" s="10">
        <f t="shared" ca="1" si="32"/>
        <v>3004363837.7525034</v>
      </c>
      <c r="FL22" s="10">
        <f t="shared" ca="1" si="33"/>
        <v>8962936277.7352448</v>
      </c>
      <c r="FM22" s="10">
        <f t="shared" ca="1" si="34"/>
        <v>1</v>
      </c>
      <c r="FN22" s="14">
        <f t="shared" ca="1" si="35"/>
        <v>0.32618355273051663</v>
      </c>
      <c r="FO22" s="14">
        <f t="shared" ca="1" si="0"/>
        <v>-0.30043638390951816</v>
      </c>
      <c r="FP22" s="14">
        <f t="shared" ca="1" si="1"/>
        <v>-0.89629362886917296</v>
      </c>
      <c r="FQ22" s="14">
        <f t="shared" ca="1" si="2"/>
        <v>0</v>
      </c>
      <c r="FR22" s="10" t="e">
        <f t="array" aca="1" ref="FR22" ca="1">(FJ22-OFFSET(C$6,$FH22,0))/SQRT(SUM(($FJ22:$FM22-OFFSET($C$6:$F$6,$FH22,0))*($FJ22:$FM22-OFFSET($C$6:$F$6,$FH22,0))))</f>
        <v>#VALUE!</v>
      </c>
      <c r="FS22" s="10" t="e">
        <f t="array" aca="1" ref="FS22" ca="1">(FK22-OFFSET(D$6,$FH22,0))/SQRT(SUM(($FJ22:$FM22-OFFSET($C$6:$F$6,$FH22,0))*($FJ22:$FM22-OFFSET($C$6:$F$6,$FH22,0))))</f>
        <v>#VALUE!</v>
      </c>
      <c r="FT22" s="10" t="e">
        <f t="array" aca="1" ref="FT22" ca="1">(FL22-OFFSET(E$6,$FH22,0))/SQRT(SUM(($FJ22:$FM22-OFFSET($C$6:$F$6,$FH22,0))*($FJ22:$FM22-OFFSET($C$6:$F$6,$FH22,0))))</f>
        <v>#VALUE!</v>
      </c>
      <c r="FU22" s="10" t="e">
        <f t="array" aca="1" ref="FU22" ca="1">(FM22-OFFSET(F$6,$FH22,0))/SQRT(SUM(($FJ22:$FM22-OFFSET($C$6:$F$6,$FH22,0))*($FJ22:$FM22-OFFSET($C$6:$F$6,$FH22,0))))</f>
        <v>#VALUE!</v>
      </c>
      <c r="FV22" s="14">
        <f t="array" aca="1" ref="FV22" ca="1">-(FJ22-O$6)/SQRT(SUM(($O$6:$R$6-$FJ22:$FM22)*($O$6:$R$6-$FJ22:$FM22)))</f>
        <v>0.32618355210597666</v>
      </c>
      <c r="FW22" s="14">
        <f t="array" aca="1" ref="FW22" ca="1">-(FK22-P$6)/SQRT(SUM(($O$6:$R$6-$FJ22:$FM22)*($O$6:$R$6-$FJ22:$FM22)))</f>
        <v>-0.30043638298713471</v>
      </c>
      <c r="FX22" s="14">
        <f t="array" aca="1" ref="FX22" ca="1">-(FL22-Q$6)/SQRT(SUM(($O$6:$R$6-$FJ22:$FM22)*($O$6:$R$6-$FJ22:$FM22)))</f>
        <v>-0.89629362940564028</v>
      </c>
      <c r="FY22" s="14">
        <f t="array" aca="1" ref="FY22" ca="1">-(FM22-R$6)/SQRT(SUM(($O$6:$R$6-$FJ22:$FM22)*($O$6:$R$6-$FJ22:$FM22)))</f>
        <v>0</v>
      </c>
      <c r="FZ22" s="14" t="e">
        <f t="array" aca="1" ref="FZ22:GC22" ca="1">-FN22:FQ22-FR22:FU22*2*SUM(-FN22:FQ22*FR22:FU22)</f>
        <v>#VALUE!</v>
      </c>
      <c r="GA22" s="14" t="e">
        <f ca="1"/>
        <v>#VALUE!</v>
      </c>
      <c r="GB22" s="14" t="e">
        <f ca="1"/>
        <v>#VALUE!</v>
      </c>
      <c r="GC22" s="14" t="e">
        <f ca="1"/>
        <v>#VALUE!</v>
      </c>
      <c r="GD22" s="14" t="e">
        <f t="array" aca="1" ref="GD22:GG22" ca="1">-FV22:FY22-FR22:FU22*2*SUM(-FV22:FY22*FR22:FU22)</f>
        <v>#VALUE!</v>
      </c>
      <c r="GE22" s="14" t="e">
        <f ca="1"/>
        <v>#VALUE!</v>
      </c>
      <c r="GF22" s="14" t="e">
        <f ca="1"/>
        <v>#VALUE!</v>
      </c>
      <c r="GG22" s="14" t="e">
        <f ca="1"/>
        <v>#VALUE!</v>
      </c>
      <c r="GH22" t="e">
        <f t="array" aca="1" ref="GH22" ca="1">SUM(FV22:FY22*FR22:FU22)</f>
        <v>#VALUE!</v>
      </c>
      <c r="GI22" t="e">
        <f t="array" aca="1" ref="GI22" ca="1">SUM(GD22:GG22*FN22:FQ22)</f>
        <v>#VALUE!</v>
      </c>
      <c r="GJ22" s="11" t="e">
        <f t="shared" ca="1" si="36"/>
        <v>#VALUE!</v>
      </c>
      <c r="GK22" s="11" t="e">
        <f t="shared" ca="1" si="37"/>
        <v>#VALUE!</v>
      </c>
      <c r="GL22" s="11" t="e">
        <f t="shared" ca="1" si="38"/>
        <v>#VALUE!</v>
      </c>
      <c r="GM22" s="11">
        <f t="shared" ca="1" si="39"/>
        <v>0</v>
      </c>
      <c r="GO22" s="10" t="e">
        <f t="array" aca="1" ref="GO22:GR22" ca="1">FJ22:FM22+FR22:FU22*0.001</f>
        <v>#VALUE!</v>
      </c>
      <c r="GP22" s="10" t="e">
        <f ca="1"/>
        <v>#VALUE!</v>
      </c>
      <c r="GQ22" s="10" t="e">
        <f ca="1"/>
        <v>#VALUE!</v>
      </c>
      <c r="GR22" s="10" t="e">
        <f ca="1"/>
        <v>#VALUE!</v>
      </c>
      <c r="GS22" s="10">
        <f t="shared" ca="1" si="40"/>
        <v>0.32618355210597666</v>
      </c>
      <c r="GT22" s="10">
        <f t="shared" ca="1" si="3"/>
        <v>-0.30043638298713471</v>
      </c>
      <c r="GU22" s="10">
        <f t="shared" ca="1" si="4"/>
        <v>-0.89629362940564028</v>
      </c>
      <c r="GV22" s="10">
        <f t="shared" ca="1" si="5"/>
        <v>0</v>
      </c>
      <c r="GX22" s="10" t="e">
        <f t="array" aca="1" ref="GX22" ca="1">-SUM(($GS22:$GV22)*($GO22:$GR22-OFFSET($C$6:$F$6,GX$5,0)))+SQRT(SUM(($GS22:$GV22)*($GO22:$GR22-OFFSET($C$6:$F$6,GX$5,0)))^2-SUM(($GO22:$GR22-OFFSET($C$6:$F$6,GX$5,0))*($GO22:$GR22-OFFSET($C$6:$F$6,GX$5,0)))+OFFSET($G$6,GX$5,0)^2)</f>
        <v>#VALUE!</v>
      </c>
      <c r="GY22" s="10" t="e">
        <f t="array" aca="1" ref="GY22" ca="1">-SUM(($GS22:$GV22)*($GO22:$GR22-OFFSET($C$6:$F$6,GY$5,0)))+SQRT(SUM(($GS22:$GV22)*($GO22:$GR22-OFFSET($C$6:$F$6,GY$5,0)))^2-SUM(($GO22:$GR22-OFFSET($C$6:$F$6,GY$5,0))*($GO22:$GR22-OFFSET($C$6:$F$6,GY$5,0)))+OFFSET($G$6,GY$5,0)^2)</f>
        <v>#VALUE!</v>
      </c>
      <c r="GZ22" s="10" t="e">
        <f t="array" aca="1" ref="GZ22" ca="1">-SUM(($GS22:$GV22)*($GO22:$GR22-OFFSET($C$6:$F$6,GZ$5,0)))+SQRT(SUM(($GS22:$GV22)*($GO22:$GR22-OFFSET($C$6:$F$6,GZ$5,0)))^2-SUM(($GO22:$GR22-OFFSET($C$6:$F$6,GZ$5,0))*($GO22:$GR22-OFFSET($C$6:$F$6,GZ$5,0)))+OFFSET($G$6,GZ$5,0)^2)</f>
        <v>#VALUE!</v>
      </c>
      <c r="HA22" s="10" t="e">
        <f t="array" aca="1" ref="HA22" ca="1">-SUM(($GS22:$GV22)*($GO22:$GR22-OFFSET($C$6:$F$6,HA$5,0)))+SQRT(SUM(($GS22:$GV22)*($GO22:$GR22-OFFSET($C$6:$F$6,HA$5,0)))^2-SUM(($GO22:$GR22-OFFSET($C$6:$F$6,HA$5,0))*($GO22:$GR22-OFFSET($C$6:$F$6,HA$5,0)))+OFFSET($G$6,HA$5,0)^2)</f>
        <v>#VALUE!</v>
      </c>
      <c r="HB22" s="10" t="e">
        <f t="array" aca="1" ref="HB22" ca="1">-SUM(($GS22:$GV22)*($GO22:$GR22-OFFSET($C$6:$F$6,HB$5,0)))+SQRT(SUM(($GS22:$GV22)*($GO22:$GR22-OFFSET($C$6:$F$6,HB$5,0)))^2-SUM(($GO22:$GR22-OFFSET($C$6:$F$6,HB$5,0))*($GO22:$GR22-OFFSET($C$6:$F$6,HB$5,0)))+OFFSET($G$6,HB$5,0)^2)</f>
        <v>#VALUE!</v>
      </c>
      <c r="HC22" s="10" t="e">
        <f t="array" aca="1" ref="HC22" ca="1">-SUM(($GS22:$GV22)*($GO22:$GR22-OFFSET($C$6:$F$6,HC$5,0)))+SQRT(SUM(($GS22:$GV22)*($GO22:$GR22-OFFSET($C$6:$F$6,HC$5,0)))^2-SUM(($GO22:$GR22-OFFSET($C$6:$F$6,HC$5,0))*($GO22:$GR22-OFFSET($C$6:$F$6,HC$5,0)))+OFFSET($G$6,HC$5,0)^2)</f>
        <v>#VALUE!</v>
      </c>
      <c r="HD22" s="10" t="e">
        <f t="array" aca="1" ref="HD22" ca="1">-SUM(($GS22:$GV22)*($GO22:$GR22-OFFSET($C$6:$F$6,HD$5,0)))+SQRT(SUM(($GS22:$GV22)*($GO22:$GR22-OFFSET($C$6:$F$6,HD$5,0)))^2-SUM(($GO22:$GR22-OFFSET($C$6:$F$6,HD$5,0))*($GO22:$GR22-OFFSET($C$6:$F$6,HD$5,0)))+OFFSET($G$6,HD$5,0)^2)</f>
        <v>#VALUE!</v>
      </c>
      <c r="HE22" s="10" t="e">
        <f t="array" aca="1" ref="HE22" ca="1">-SUM(($GS22:$GV22)*($GO22:$GR22-OFFSET($C$6:$F$6,HE$5,0)))+SQRT(SUM(($GS22:$GV22)*($GO22:$GR22-OFFSET($C$6:$F$6,HE$5,0)))^2-SUM(($GO22:$GR22-OFFSET($C$6:$F$6,HE$5,0))*($GO22:$GR22-OFFSET($C$6:$F$6,HE$5,0)))+OFFSET($G$6,HE$5,0)^2)</f>
        <v>#VALUE!</v>
      </c>
      <c r="HF22" s="10" t="e">
        <f t="array" aca="1" ref="HF22" ca="1">-SUM(($GS22:$GV22)*($GO22:$GR22-OFFSET($C$6:$F$6,HF$5,0)))+SQRT(SUM(($GS22:$GV22)*($GO22:$GR22-OFFSET($C$6:$F$6,HF$5,0)))^2-SUM(($GO22:$GR22-OFFSET($C$6:$F$6,HF$5,0))*($GO22:$GR22-OFFSET($C$6:$F$6,HF$5,0)))+OFFSET($G$6,HF$5,0)^2)</f>
        <v>#VALUE!</v>
      </c>
      <c r="HG22" s="10" t="e">
        <f t="array" aca="1" ref="HG22" ca="1">-SUM(($GS22:$GV22)*($GO22:$GR22-OFFSET($C$6:$F$6,HG$5,0)))+SQRT(SUM(($GS22:$GV22)*($GO22:$GR22-OFFSET($C$6:$F$6,HG$5,0)))^2-SUM(($GO22:$GR22-OFFSET($C$6:$F$6,HG$5,0))*($GO22:$GR22-OFFSET($C$6:$F$6,HG$5,0)))+OFFSET($G$6,HG$5,0)^2)</f>
        <v>#VALUE!</v>
      </c>
      <c r="HH22" s="10" t="e">
        <f t="array" aca="1" ref="HH22" ca="1">-SUM(($GS22:$GV22)*($GO22:$GR22-OFFSET($C$6:$F$6,GX$5,0)))-SQRT(SUM(($GS22:$GV22)*($GO22:$GR22-OFFSET($C$6:$F$6,GX$5,0)))^2-SUM(($GO22:$GR22-OFFSET($C$6:$F$6,GX$5,0))*($GO22:$GR22-OFFSET($C$6:$F$6,GX$5,0)))+OFFSET($G$6,GX$5,0)^2)</f>
        <v>#VALUE!</v>
      </c>
      <c r="HI22" s="10" t="e">
        <f t="array" aca="1" ref="HI22" ca="1">-SUM(($GS22:$GV22)*($GO22:$GR22-OFFSET($C$6:$F$6,GY$5,0)))-SQRT(SUM(($GS22:$GV22)*($GO22:$GR22-OFFSET($C$6:$F$6,GY$5,0)))^2-SUM(($GO22:$GR22-OFFSET($C$6:$F$6,GY$5,0))*($GO22:$GR22-OFFSET($C$6:$F$6,GY$5,0)))+OFFSET($G$6,GY$5,0)^2)</f>
        <v>#VALUE!</v>
      </c>
      <c r="HJ22" s="10" t="e">
        <f t="array" aca="1" ref="HJ22" ca="1">-SUM(($GS22:$GV22)*($GO22:$GR22-OFFSET($C$6:$F$6,GZ$5,0)))-SQRT(SUM(($GS22:$GV22)*($GO22:$GR22-OFFSET($C$6:$F$6,GZ$5,0)))^2-SUM(($GO22:$GR22-OFFSET($C$6:$F$6,GZ$5,0))*($GO22:$GR22-OFFSET($C$6:$F$6,GZ$5,0)))+OFFSET($G$6,GZ$5,0)^2)</f>
        <v>#VALUE!</v>
      </c>
      <c r="HK22" s="10" t="e">
        <f t="array" aca="1" ref="HK22" ca="1">-SUM(($GS22:$GV22)*($GO22:$GR22-OFFSET($C$6:$F$6,HA$5,0)))-SQRT(SUM(($GS22:$GV22)*($GO22:$GR22-OFFSET($C$6:$F$6,HA$5,0)))^2-SUM(($GO22:$GR22-OFFSET($C$6:$F$6,HA$5,0))*($GO22:$GR22-OFFSET($C$6:$F$6,HA$5,0)))+OFFSET($G$6,HA$5,0)^2)</f>
        <v>#VALUE!</v>
      </c>
      <c r="HL22" s="10" t="e">
        <f t="array" aca="1" ref="HL22" ca="1">-SUM(($GS22:$GV22)*($GO22:$GR22-OFFSET($C$6:$F$6,HB$5,0)))-SQRT(SUM(($GS22:$GV22)*($GO22:$GR22-OFFSET($C$6:$F$6,HB$5,0)))^2-SUM(($GO22:$GR22-OFFSET($C$6:$F$6,HB$5,0))*($GO22:$GR22-OFFSET($C$6:$F$6,HB$5,0)))+OFFSET($G$6,HB$5,0)^2)</f>
        <v>#VALUE!</v>
      </c>
      <c r="HM22" s="10" t="e">
        <f t="array" aca="1" ref="HM22" ca="1">-SUM(($GS22:$GV22)*($GO22:$GR22-OFFSET($C$6:$F$6,HC$5,0)))-SQRT(SUM(($GS22:$GV22)*($GO22:$GR22-OFFSET($C$6:$F$6,HC$5,0)))^2-SUM(($GO22:$GR22-OFFSET($C$6:$F$6,HC$5,0))*($GO22:$GR22-OFFSET($C$6:$F$6,HC$5,0)))+OFFSET($G$6,HC$5,0)^2)</f>
        <v>#VALUE!</v>
      </c>
      <c r="HN22" s="10" t="e">
        <f t="array" aca="1" ref="HN22" ca="1">-SUM(($GS22:$GV22)*($GO22:$GR22-OFFSET($C$6:$F$6,HD$5,0)))-SQRT(SUM(($GS22:$GV22)*($GO22:$GR22-OFFSET($C$6:$F$6,HD$5,0)))^2-SUM(($GO22:$GR22-OFFSET($C$6:$F$6,HD$5,0))*($GO22:$GR22-OFFSET($C$6:$F$6,HD$5,0)))+OFFSET($G$6,HD$5,0)^2)</f>
        <v>#VALUE!</v>
      </c>
      <c r="HO22" s="10" t="e">
        <f t="array" aca="1" ref="HO22" ca="1">-SUM(($GS22:$GV22)*($GO22:$GR22-OFFSET($C$6:$F$6,HE$5,0)))-SQRT(SUM(($GS22:$GV22)*($GO22:$GR22-OFFSET($C$6:$F$6,HE$5,0)))^2-SUM(($GO22:$GR22-OFFSET($C$6:$F$6,HE$5,0))*($GO22:$GR22-OFFSET($C$6:$F$6,HE$5,0)))+OFFSET($G$6,HE$5,0)^2)</f>
        <v>#VALUE!</v>
      </c>
      <c r="HP22" s="10" t="e">
        <f t="array" aca="1" ref="HP22" ca="1">-SUM(($GS22:$GV22)*($GO22:$GR22-OFFSET($C$6:$F$6,HF$5,0)))-SQRT(SUM(($GS22:$GV22)*($GO22:$GR22-OFFSET($C$6:$F$6,HF$5,0)))^2-SUM(($GO22:$GR22-OFFSET($C$6:$F$6,HF$5,0))*($GO22:$GR22-OFFSET($C$6:$F$6,HF$5,0)))+OFFSET($G$6,HF$5,0)^2)</f>
        <v>#VALUE!</v>
      </c>
      <c r="HQ22" s="10" t="e">
        <f t="array" aca="1" ref="HQ22" ca="1">-SUM(($GS22:$GV22)*($GO22:$GR22-OFFSET($C$6:$F$6,HG$5,0)))-SQRT(SUM(($GS22:$GV22)*($GO22:$GR22-OFFSET($C$6:$F$6,HG$5,0)))^2-SUM(($GO22:$GR22-OFFSET($C$6:$F$6,HG$5,0))*($GO22:$GR22-OFFSET($C$6:$F$6,HG$5,0)))+OFFSET($G$6,HG$5,0)^2)</f>
        <v>#VALUE!</v>
      </c>
      <c r="HS22" s="10">
        <f t="array" aca="1" ref="HS22" ca="1">MIN(IF(IF(ISERROR(GX22:HQ22),-1,GX22:HQ22)&lt;0,9999999999,GX22:HQ22))</f>
        <v>9999999999</v>
      </c>
      <c r="HU22" s="11">
        <f t="shared" ca="1" si="41"/>
        <v>0</v>
      </c>
      <c r="HW22" s="11">
        <f t="shared" ca="1" si="42"/>
        <v>0.72304753735074845</v>
      </c>
    </row>
    <row r="23" spans="16:231" x14ac:dyDescent="0.25">
      <c r="X23" s="11">
        <f t="shared" si="6"/>
        <v>-1.3976240391334731</v>
      </c>
      <c r="Y23" s="11">
        <f t="shared" si="7"/>
        <v>-1</v>
      </c>
      <c r="Z23" s="11">
        <v>4</v>
      </c>
      <c r="AB23" s="10">
        <f t="array" aca="1" ref="AB23:AE23" ca="1">TRANSPOSE(Screen!$GL$98:$GL$101)</f>
        <v>0</v>
      </c>
      <c r="AC23" s="10">
        <f ca="1"/>
        <v>0.50000000000000033</v>
      </c>
      <c r="AD23" s="10">
        <f ca="1"/>
        <v>-15</v>
      </c>
      <c r="AE23" s="10">
        <f ca="1"/>
        <v>1</v>
      </c>
      <c r="AF23" s="10">
        <f t="array" aca="1" ref="AF23:AH23" ca="1">TRANSPOSE(MMULT(Screen!$GI$98:$GK$100,TRANSPOSE(X23:Z23)))</f>
        <v>-1.3976240391334731</v>
      </c>
      <c r="AG23" s="10">
        <f ca="1"/>
        <v>-1.2380565658529825</v>
      </c>
      <c r="AH23" s="10">
        <f ca="1"/>
        <v>3.9400359935205556</v>
      </c>
      <c r="AI23" s="10">
        <v>1</v>
      </c>
      <c r="AJ23" s="10">
        <f t="array" aca="1" ref="AJ23" ca="1">AF23/SQRT(SUM(($AF23:$AH23)*($AF23:$AH23)))</f>
        <v>-0.32055242569895243</v>
      </c>
      <c r="AK23" s="10">
        <f t="array" aca="1" ref="AK23" ca="1">AG23/SQRT(SUM(($AF23:$AH23)*($AF23:$AH23)))</f>
        <v>-0.28395478628340054</v>
      </c>
      <c r="AL23" s="10">
        <f t="array" aca="1" ref="AL23" ca="1">AH23/SQRT(SUM(($AF23:$AH23)*($AF23:$AH23)))</f>
        <v>0.90366798201843235</v>
      </c>
      <c r="AM23" s="10">
        <v>0</v>
      </c>
      <c r="AO23" s="10">
        <f t="array" aca="1" ref="AO23" ca="1">-SUM(($AJ23:$AM23)*($AB23:$AE23-OFFSET($C$6:$F$6,AO$5,0)))+SQRT(SUM(($AJ23:$AM23)*($AB23:$AE23-OFFSET($C$6:$F$6,AO$5,0)))^2-SUM(($AB23:$AE23-OFFSET($C$6:$F$6,AO$5,0))*($AB23:$AE23-OFFSET($C$6:$F$6,AO$5,0)))+OFFSET($G$6,AO$5,0)^2)</f>
        <v>589.83722822784284</v>
      </c>
      <c r="AP23" s="10" t="e">
        <f t="array" aca="1" ref="AP23" ca="1">-SUM(($AJ23:$AM23)*($AB23:$AE23-OFFSET($C$6:$F$6,AP$5,0)))+SQRT(SUM(($AJ23:$AM23)*($AB23:$AE23-OFFSET($C$6:$F$6,AP$5,0)))^2-SUM(($AB23:$AE23-OFFSET($C$6:$F$6,AP$5,0))*($AB23:$AE23-OFFSET($C$6:$F$6,AP$5,0)))+OFFSET($G$6,AP$5,0)^2)</f>
        <v>#NUM!</v>
      </c>
      <c r="AQ23" s="10" t="e">
        <f t="array" aca="1" ref="AQ23" ca="1">-SUM(($AJ23:$AM23)*($AB23:$AE23-OFFSET($C$6:$F$6,AQ$5,0)))+SQRT(SUM(($AJ23:$AM23)*($AB23:$AE23-OFFSET($C$6:$F$6,AQ$5,0)))^2-SUM(($AB23:$AE23-OFFSET($C$6:$F$6,AQ$5,0))*($AB23:$AE23-OFFSET($C$6:$F$6,AQ$5,0)))+OFFSET($G$6,AQ$5,0)^2)</f>
        <v>#NUM!</v>
      </c>
      <c r="AR23" s="10" t="e">
        <f t="array" aca="1" ref="AR23" ca="1">-SUM(($AJ23:$AM23)*($AB23:$AE23-OFFSET($C$6:$F$6,AR$5,0)))+SQRT(SUM(($AJ23:$AM23)*($AB23:$AE23-OFFSET($C$6:$F$6,AR$5,0)))^2-SUM(($AB23:$AE23-OFFSET($C$6:$F$6,AR$5,0))*($AB23:$AE23-OFFSET($C$6:$F$6,AR$5,0)))+OFFSET($G$6,AR$5,0)^2)</f>
        <v>#NUM!</v>
      </c>
      <c r="AS23" s="10" t="e">
        <f t="array" aca="1" ref="AS23" ca="1">-SUM(($AJ23:$AM23)*($AB23:$AE23-OFFSET($C$6:$F$6,AS$5,0)))+SQRT(SUM(($AJ23:$AM23)*($AB23:$AE23-OFFSET($C$6:$F$6,AS$5,0)))^2-SUM(($AB23:$AE23-OFFSET($C$6:$F$6,AS$5,0))*($AB23:$AE23-OFFSET($C$6:$F$6,AS$5,0)))+OFFSET($G$6,AS$5,0)^2)</f>
        <v>#NUM!</v>
      </c>
      <c r="AT23" s="10" t="e">
        <f t="array" aca="1" ref="AT23" ca="1">-SUM(($AJ23:$AM23)*($AB23:$AE23-OFFSET($C$6:$F$6,AT$5,0)))+SQRT(SUM(($AJ23:$AM23)*($AB23:$AE23-OFFSET($C$6:$F$6,AT$5,0)))^2-SUM(($AB23:$AE23-OFFSET($C$6:$F$6,AT$5,0))*($AB23:$AE23-OFFSET($C$6:$F$6,AT$5,0)))+OFFSET($G$6,AT$5,0)^2)</f>
        <v>#NUM!</v>
      </c>
      <c r="AU23" s="10" t="e">
        <f t="array" aca="1" ref="AU23" ca="1">-SUM(($AJ23:$AM23)*($AB23:$AE23-OFFSET($C$6:$F$6,AU$5,0)))+SQRT(SUM(($AJ23:$AM23)*($AB23:$AE23-OFFSET($C$6:$F$6,AU$5,0)))^2-SUM(($AB23:$AE23-OFFSET($C$6:$F$6,AU$5,0))*($AB23:$AE23-OFFSET($C$6:$F$6,AU$5,0)))+OFFSET($G$6,AU$5,0)^2)</f>
        <v>#NUM!</v>
      </c>
      <c r="AV23" s="10" t="e">
        <f t="array" aca="1" ref="AV23" ca="1">-SUM(($AJ23:$AM23)*($AB23:$AE23-OFFSET($C$6:$F$6,AV$5,0)))+SQRT(SUM(($AJ23:$AM23)*($AB23:$AE23-OFFSET($C$6:$F$6,AV$5,0)))^2-SUM(($AB23:$AE23-OFFSET($C$6:$F$6,AV$5,0))*($AB23:$AE23-OFFSET($C$6:$F$6,AV$5,0)))+OFFSET($G$6,AV$5,0)^2)</f>
        <v>#NUM!</v>
      </c>
      <c r="AW23" s="10" t="e">
        <f t="array" aca="1" ref="AW23" ca="1">-SUM(($AJ23:$AM23)*($AB23:$AE23-OFFSET($C$6:$F$6,AW$5,0)))+SQRT(SUM(($AJ23:$AM23)*($AB23:$AE23-OFFSET($C$6:$F$6,AW$5,0)))^2-SUM(($AB23:$AE23-OFFSET($C$6:$F$6,AW$5,0))*($AB23:$AE23-OFFSET($C$6:$F$6,AW$5,0)))+OFFSET($G$6,AW$5,0)^2)</f>
        <v>#NUM!</v>
      </c>
      <c r="AX23" s="10" t="e">
        <f t="array" aca="1" ref="AX23" ca="1">-SUM(($AJ23:$AM23)*($AB23:$AE23-OFFSET($C$6:$F$6,AX$5,0)))+SQRT(SUM(($AJ23:$AM23)*($AB23:$AE23-OFFSET($C$6:$F$6,AX$5,0)))^2-SUM(($AB23:$AE23-OFFSET($C$6:$F$6,AX$5,0))*($AB23:$AE23-OFFSET($C$6:$F$6,AX$5,0)))+OFFSET($G$6,AX$5,0)^2)</f>
        <v>#NUM!</v>
      </c>
      <c r="AY23" s="10">
        <f t="array" aca="1" ref="AY23" ca="1">-SUM(($AJ23:$AM23)*($AB23:$AE23-OFFSET($C$6:$F$6,AO$5,0)))-SQRT(SUM(($AJ23:$AM23)*($AB23:$AE23-OFFSET($C$6:$F$6,AO$5,0)))^2-SUM(($AB23:$AE23-OFFSET($C$6:$F$6,AO$5,0))*($AB23:$AE23-OFFSET($C$6:$F$6,AO$5,0)))+OFFSET($G$6,AO$5,0)^2)</f>
        <v>5.4663385857945741</v>
      </c>
      <c r="AZ23" s="10" t="e">
        <f t="array" aca="1" ref="AZ23" ca="1">-SUM(($AJ23:$AM23)*($AB23:$AE23-OFFSET($C$6:$F$6,AP$5,0)))-SQRT(SUM(($AJ23:$AM23)*($AB23:$AE23-OFFSET($C$6:$F$6,AP$5,0)))^2-SUM(($AB23:$AE23-OFFSET($C$6:$F$6,AP$5,0))*($AB23:$AE23-OFFSET($C$6:$F$6,AP$5,0)))+OFFSET($G$6,AP$5,0)^2)</f>
        <v>#NUM!</v>
      </c>
      <c r="BA23" s="10" t="e">
        <f t="array" aca="1" ref="BA23" ca="1">-SUM(($AJ23:$AM23)*($AB23:$AE23-OFFSET($C$6:$F$6,AQ$5,0)))-SQRT(SUM(($AJ23:$AM23)*($AB23:$AE23-OFFSET($C$6:$F$6,AQ$5,0)))^2-SUM(($AB23:$AE23-OFFSET($C$6:$F$6,AQ$5,0))*($AB23:$AE23-OFFSET($C$6:$F$6,AQ$5,0)))+OFFSET($G$6,AQ$5,0)^2)</f>
        <v>#NUM!</v>
      </c>
      <c r="BB23" s="10" t="e">
        <f t="array" aca="1" ref="BB23" ca="1">-SUM(($AJ23:$AM23)*($AB23:$AE23-OFFSET($C$6:$F$6,AR$5,0)))-SQRT(SUM(($AJ23:$AM23)*($AB23:$AE23-OFFSET($C$6:$F$6,AR$5,0)))^2-SUM(($AB23:$AE23-OFFSET($C$6:$F$6,AR$5,0))*($AB23:$AE23-OFFSET($C$6:$F$6,AR$5,0)))+OFFSET($G$6,AR$5,0)^2)</f>
        <v>#NUM!</v>
      </c>
      <c r="BC23" s="10" t="e">
        <f t="array" aca="1" ref="BC23" ca="1">-SUM(($AJ23:$AM23)*($AB23:$AE23-OFFSET($C$6:$F$6,AS$5,0)))-SQRT(SUM(($AJ23:$AM23)*($AB23:$AE23-OFFSET($C$6:$F$6,AS$5,0)))^2-SUM(($AB23:$AE23-OFFSET($C$6:$F$6,AS$5,0))*($AB23:$AE23-OFFSET($C$6:$F$6,AS$5,0)))+OFFSET($G$6,AS$5,0)^2)</f>
        <v>#NUM!</v>
      </c>
      <c r="BD23" s="10" t="e">
        <f t="array" aca="1" ref="BD23" ca="1">-SUM(($AJ23:$AM23)*($AB23:$AE23-OFFSET($C$6:$F$6,AT$5,0)))-SQRT(SUM(($AJ23:$AM23)*($AB23:$AE23-OFFSET($C$6:$F$6,AT$5,0)))^2-SUM(($AB23:$AE23-OFFSET($C$6:$F$6,AT$5,0))*($AB23:$AE23-OFFSET($C$6:$F$6,AT$5,0)))+OFFSET($G$6,AT$5,0)^2)</f>
        <v>#NUM!</v>
      </c>
      <c r="BE23" s="10" t="e">
        <f t="array" aca="1" ref="BE23" ca="1">-SUM(($AJ23:$AM23)*($AB23:$AE23-OFFSET($C$6:$F$6,AU$5,0)))-SQRT(SUM(($AJ23:$AM23)*($AB23:$AE23-OFFSET($C$6:$F$6,AU$5,0)))^2-SUM(($AB23:$AE23-OFFSET($C$6:$F$6,AU$5,0))*($AB23:$AE23-OFFSET($C$6:$F$6,AU$5,0)))+OFFSET($G$6,AU$5,0)^2)</f>
        <v>#NUM!</v>
      </c>
      <c r="BF23" s="10" t="e">
        <f t="array" aca="1" ref="BF23" ca="1">-SUM(($AJ23:$AM23)*($AB23:$AE23-OFFSET($C$6:$F$6,AV$5,0)))-SQRT(SUM(($AJ23:$AM23)*($AB23:$AE23-OFFSET($C$6:$F$6,AV$5,0)))^2-SUM(($AB23:$AE23-OFFSET($C$6:$F$6,AV$5,0))*($AB23:$AE23-OFFSET($C$6:$F$6,AV$5,0)))+OFFSET($G$6,AV$5,0)^2)</f>
        <v>#NUM!</v>
      </c>
      <c r="BG23" s="10" t="e">
        <f t="array" aca="1" ref="BG23" ca="1">-SUM(($AJ23:$AM23)*($AB23:$AE23-OFFSET($C$6:$F$6,AW$5,0)))-SQRT(SUM(($AJ23:$AM23)*($AB23:$AE23-OFFSET($C$6:$F$6,AW$5,0)))^2-SUM(($AB23:$AE23-OFFSET($C$6:$F$6,AW$5,0))*($AB23:$AE23-OFFSET($C$6:$F$6,AW$5,0)))+OFFSET($G$6,AW$5,0)^2)</f>
        <v>#NUM!</v>
      </c>
      <c r="BH23" s="10" t="e">
        <f t="array" aca="1" ref="BH23" ca="1">-SUM(($AJ23:$AM23)*($AB23:$AE23-OFFSET($C$6:$F$6,AX$5,0)))-SQRT(SUM(($AJ23:$AM23)*($AB23:$AE23-OFFSET($C$6:$F$6,AX$5,0)))^2-SUM(($AB23:$AE23-OFFSET($C$6:$F$6,AX$5,0))*($AB23:$AE23-OFFSET($C$6:$F$6,AX$5,0)))+OFFSET($G$6,AX$5,0)^2)</f>
        <v>#NUM!</v>
      </c>
      <c r="BJ23" s="10">
        <f t="array" aca="1" ref="BJ23" ca="1">MIN(IF(IF(ISERROR(AO23:BH23),-1,AO23:BH23)&lt;0,9999999999,AO23:BH23))</f>
        <v>5.4663385857945741</v>
      </c>
      <c r="BL23">
        <f t="shared" ca="1" si="8"/>
        <v>0</v>
      </c>
      <c r="BN23" s="10">
        <f t="shared" ca="1" si="43"/>
        <v>-1.7522480933682318</v>
      </c>
      <c r="BO23" s="10">
        <f t="shared" ca="1" si="44"/>
        <v>-1.0521930048820041</v>
      </c>
      <c r="BP23" s="10">
        <f t="shared" ca="1" si="45"/>
        <v>-10.060244841145526</v>
      </c>
      <c r="BQ23" s="10">
        <f t="shared" ca="1" si="46"/>
        <v>1</v>
      </c>
      <c r="BR23" s="14">
        <f t="shared" ca="1" si="47"/>
        <v>0.32055242569895243</v>
      </c>
      <c r="BS23" s="14">
        <f t="shared" ca="1" si="48"/>
        <v>0.28395478628340054</v>
      </c>
      <c r="BT23" s="14">
        <f t="shared" ca="1" si="49"/>
        <v>-0.90366798201843235</v>
      </c>
      <c r="BU23" s="14">
        <f t="shared" si="50"/>
        <v>0</v>
      </c>
      <c r="BV23" s="10">
        <f t="array" aca="1" ref="BV23" ca="1">(BN23-OFFSET(C$6,$BL23,0))/SQRT(SUM(($BN23:$BQ23-OFFSET($C$6:$F$6,$BL23,0))*($BN23:$BQ23-OFFSET($C$6:$F$6,$BL23,0))))</f>
        <v>-1.7540020954636957E-3</v>
      </c>
      <c r="BW23" s="10">
        <f t="array" aca="1" ref="BW23" ca="1">(BO23-OFFSET(D$6,$BL23,0))/SQRT(SUM(($BN23:$BQ23-OFFSET($C$6:$F$6,$BL23,0))*($BN23:$BQ23-OFFSET($C$6:$F$6,$BL23,0))))</f>
        <v>0.99994775474986797</v>
      </c>
      <c r="BX23" s="10">
        <f t="array" aca="1" ref="BX23" ca="1">(BP23-OFFSET(E$6,$BL23,0))/SQRT(SUM(($BN23:$BQ23-OFFSET($C$6:$F$6,$BL23,0))*($BN23:$BQ23-OFFSET($C$6:$F$6,$BL23,0))))</f>
        <v>-1.0070315156301829E-2</v>
      </c>
      <c r="BY23" s="10">
        <f t="array" aca="1" ref="BY23" ca="1">(BQ23-OFFSET(F$6,$BL23,0))/SQRT(SUM(($BN23:$BQ23-OFFSET($C$6:$F$6,$BL23,0))*($BN23:$BQ23-OFFSET($C$6:$F$6,$BL23,0))))</f>
        <v>0</v>
      </c>
      <c r="BZ23" s="14">
        <f t="array" aca="1" ref="BZ23" ca="1">-(BN23-O$6)/SQRT(SUM(($O$6:$R$6-$BN23:$BQ23)*($O$6:$R$6-$BN23:$BQ23)))</f>
        <v>-0.59807156493989277</v>
      </c>
      <c r="CA23" s="14">
        <f t="array" aca="1" ref="CA23" ca="1">-(BO23-P$6)/SQRT(SUM(($O$6:$R$6-$BN23:$BQ23)*($O$6:$R$6-$BN23:$BQ23)))</f>
        <v>0.80143079487303837</v>
      </c>
      <c r="CB23" s="14">
        <f t="array" aca="1" ref="CB23" ca="1">-(BP23-Q$6)/SQRT(SUM(($O$6:$R$6-$BN23:$BQ23)*($O$6:$R$6-$BN23:$BQ23)))</f>
        <v>4.3685511920513211E-3</v>
      </c>
      <c r="CC23" s="14">
        <f t="array" aca="1" ref="CC23" ca="1">-(BQ23-R$6)/SQRT(SUM(($O$6:$R$6-$BN23:$BQ23)*($O$6:$R$6-$BN23:$BQ23)))</f>
        <v>0</v>
      </c>
      <c r="CD23" s="14">
        <f t="array" aca="1" ref="CD23:CG23" ca="1">-BR23:BU23-BV23:BY23*2*SUM(-BR23:BU23*BV23:BY23)</f>
        <v>-0.32157843947769132</v>
      </c>
      <c r="CE23" s="14">
        <f ca="1"/>
        <v>0.3009704980396718</v>
      </c>
      <c r="CF23" s="14">
        <f ca="1"/>
        <v>0.89777729230185188</v>
      </c>
      <c r="CG23" s="14">
        <f ca="1"/>
        <v>0</v>
      </c>
      <c r="CH23" s="14">
        <f t="array" aca="1" ref="CH23:CK23" ca="1">-BZ23:CC23-BV23:BY23*2*SUM(-BZ23:CC23*BV23:BY23)</f>
        <v>0.59525676360047741</v>
      </c>
      <c r="CI23" s="14">
        <f ca="1"/>
        <v>0.80327326260483223</v>
      </c>
      <c r="CJ23" s="14">
        <f ca="1"/>
        <v>-2.0529271104303894E-2</v>
      </c>
      <c r="CK23" s="14">
        <f ca="1"/>
        <v>0</v>
      </c>
      <c r="CL23">
        <f t="array" aca="1" ref="CL23" ca="1">SUM(BZ23:CC23*BV23:BY23)</f>
        <v>0.80239395001155811</v>
      </c>
      <c r="CM23">
        <f t="array" aca="1" ref="CM23" ca="1">SUM(CH23:CK23*BR23:BU23)</f>
        <v>0.43745593208710154</v>
      </c>
      <c r="CN23" s="11">
        <f t="shared" ca="1" si="17"/>
        <v>0</v>
      </c>
      <c r="CO23" s="11">
        <f t="shared" ca="1" si="18"/>
        <v>0.72215455501040227</v>
      </c>
      <c r="CP23" s="11">
        <f t="shared" ca="1" si="19"/>
        <v>1.3838994416038063E-72</v>
      </c>
      <c r="CQ23" s="11">
        <f t="shared" ca="1" si="20"/>
        <v>0.72215455501040227</v>
      </c>
      <c r="CS23" s="10">
        <f t="array" aca="1" ref="CS23:CV23" ca="1">BN23:BQ23+BV23:BY23*0.001</f>
        <v>-1.7522498473703274</v>
      </c>
      <c r="CT23" s="10">
        <f ca="1"/>
        <v>-1.0511930571272543</v>
      </c>
      <c r="CU23" s="10">
        <f ca="1"/>
        <v>-10.060254911460682</v>
      </c>
      <c r="CV23" s="10">
        <f ca="1"/>
        <v>1</v>
      </c>
      <c r="CW23" s="10">
        <f t="shared" ca="1" si="21"/>
        <v>-0.59807156493989277</v>
      </c>
      <c r="CX23" s="10">
        <f t="shared" ca="1" si="22"/>
        <v>0.80143079487303837</v>
      </c>
      <c r="CY23" s="10">
        <f t="shared" ca="1" si="23"/>
        <v>4.3685511920513211E-3</v>
      </c>
      <c r="CZ23" s="10">
        <f t="shared" ca="1" si="24"/>
        <v>0</v>
      </c>
      <c r="DB23" s="10">
        <f t="array" aca="1" ref="DB23" ca="1">-SUM(($CW23:$CZ23)*($CS23:$CV23-OFFSET($C$6:$F$6,DB$5,0)))+SQRT(SUM(($CW23:$CZ23)*($CS23:$CV23-OFFSET($C$6:$F$6,DB$5,0)))^2-SUM(($CS23:$CV23-OFFSET($C$6:$F$6,DB$5,0))*($CS23:$CV23-OFFSET($C$6:$F$6,DB$5,0)))+OFFSET($G$6,DB$5,0)^2)</f>
        <v>-1.2462709580631781E-3</v>
      </c>
      <c r="DC23" s="10" t="e">
        <f t="array" aca="1" ref="DC23" ca="1">-SUM(($CW23:$CZ23)*($CS23:$CV23-OFFSET($C$6:$F$6,DC$5,0)))+SQRT(SUM(($CW23:$CZ23)*($CS23:$CV23-OFFSET($C$6:$F$6,DC$5,0)))^2-SUM(($CS23:$CV23-OFFSET($C$6:$F$6,DC$5,0))*($CS23:$CV23-OFFSET($C$6:$F$6,DC$5,0)))+OFFSET($G$6,DC$5,0)^2)</f>
        <v>#NUM!</v>
      </c>
      <c r="DD23" s="10" t="e">
        <f t="array" aca="1" ref="DD23" ca="1">-SUM(($CW23:$CZ23)*($CS23:$CV23-OFFSET($C$6:$F$6,DD$5,0)))+SQRT(SUM(($CW23:$CZ23)*($CS23:$CV23-OFFSET($C$6:$F$6,DD$5,0)))^2-SUM(($CS23:$CV23-OFFSET($C$6:$F$6,DD$5,0))*($CS23:$CV23-OFFSET($C$6:$F$6,DD$5,0)))+OFFSET($G$6,DD$5,0)^2)</f>
        <v>#NUM!</v>
      </c>
      <c r="DE23" s="10" t="e">
        <f t="array" aca="1" ref="DE23" ca="1">-SUM(($CW23:$CZ23)*($CS23:$CV23-OFFSET($C$6:$F$6,DE$5,0)))+SQRT(SUM(($CW23:$CZ23)*($CS23:$CV23-OFFSET($C$6:$F$6,DE$5,0)))^2-SUM(($CS23:$CV23-OFFSET($C$6:$F$6,DE$5,0))*($CS23:$CV23-OFFSET($C$6:$F$6,DE$5,0)))+OFFSET($G$6,DE$5,0)^2)</f>
        <v>#NUM!</v>
      </c>
      <c r="DF23" s="10" t="e">
        <f t="array" aca="1" ref="DF23" ca="1">-SUM(($CW23:$CZ23)*($CS23:$CV23-OFFSET($C$6:$F$6,DF$5,0)))+SQRT(SUM(($CW23:$CZ23)*($CS23:$CV23-OFFSET($C$6:$F$6,DF$5,0)))^2-SUM(($CS23:$CV23-OFFSET($C$6:$F$6,DF$5,0))*($CS23:$CV23-OFFSET($C$6:$F$6,DF$5,0)))+OFFSET($G$6,DF$5,0)^2)</f>
        <v>#NUM!</v>
      </c>
      <c r="DG23" s="10" t="e">
        <f t="array" aca="1" ref="DG23" ca="1">-SUM(($CW23:$CZ23)*($CS23:$CV23-OFFSET($C$6:$F$6,DG$5,0)))+SQRT(SUM(($CW23:$CZ23)*($CS23:$CV23-OFFSET($C$6:$F$6,DG$5,0)))^2-SUM(($CS23:$CV23-OFFSET($C$6:$F$6,DG$5,0))*($CS23:$CV23-OFFSET($C$6:$F$6,DG$5,0)))+OFFSET($G$6,DG$5,0)^2)</f>
        <v>#NUM!</v>
      </c>
      <c r="DH23" s="10" t="e">
        <f t="array" aca="1" ref="DH23" ca="1">-SUM(($CW23:$CZ23)*($CS23:$CV23-OFFSET($C$6:$F$6,DH$5,0)))+SQRT(SUM(($CW23:$CZ23)*($CS23:$CV23-OFFSET($C$6:$F$6,DH$5,0)))^2-SUM(($CS23:$CV23-OFFSET($C$6:$F$6,DH$5,0))*($CS23:$CV23-OFFSET($C$6:$F$6,DH$5,0)))+OFFSET($G$6,DH$5,0)^2)</f>
        <v>#NUM!</v>
      </c>
      <c r="DI23" s="10" t="e">
        <f t="array" aca="1" ref="DI23" ca="1">-SUM(($CW23:$CZ23)*($CS23:$CV23-OFFSET($C$6:$F$6,DI$5,0)))+SQRT(SUM(($CW23:$CZ23)*($CS23:$CV23-OFFSET($C$6:$F$6,DI$5,0)))^2-SUM(($CS23:$CV23-OFFSET($C$6:$F$6,DI$5,0))*($CS23:$CV23-OFFSET($C$6:$F$6,DI$5,0)))+OFFSET($G$6,DI$5,0)^2)</f>
        <v>#NUM!</v>
      </c>
      <c r="DJ23" s="10" t="e">
        <f t="array" aca="1" ref="DJ23" ca="1">-SUM(($CW23:$CZ23)*($CS23:$CV23-OFFSET($C$6:$F$6,DJ$5,0)))+SQRT(SUM(($CW23:$CZ23)*($CS23:$CV23-OFFSET($C$6:$F$6,DJ$5,0)))^2-SUM(($CS23:$CV23-OFFSET($C$6:$F$6,DJ$5,0))*($CS23:$CV23-OFFSET($C$6:$F$6,DJ$5,0)))+OFFSET($G$6,DJ$5,0)^2)</f>
        <v>#NUM!</v>
      </c>
      <c r="DK23" s="10" t="e">
        <f t="array" aca="1" ref="DK23" ca="1">-SUM(($CW23:$CZ23)*($CS23:$CV23-OFFSET($C$6:$F$6,DK$5,0)))+SQRT(SUM(($CW23:$CZ23)*($CS23:$CV23-OFFSET($C$6:$F$6,DK$5,0)))^2-SUM(($CS23:$CV23-OFFSET($C$6:$F$6,DK$5,0))*($CS23:$CV23-OFFSET($C$6:$F$6,DK$5,0)))+OFFSET($G$6,DK$5,0)^2)</f>
        <v>#NUM!</v>
      </c>
      <c r="DL23" s="10">
        <f t="array" aca="1" ref="DL23" ca="1">-SUM(($CW23:$CZ23)*($CS23:$CV23-OFFSET($C$6:$F$6,DB$5,0)))-SQRT(SUM(($CW23:$CZ23)*($CS23:$CV23-OFFSET($C$6:$F$6,DB$5,0)))^2-SUM(($CS23:$CV23-OFFSET($C$6:$F$6,DB$5,0))*($CS23:$CV23-OFFSET($C$6:$F$6,DB$5,0)))+OFFSET($G$6,DB$5,0)^2)</f>
        <v>-1603.183470640035</v>
      </c>
      <c r="DM23" s="10" t="e">
        <f t="array" aca="1" ref="DM23" ca="1">-SUM(($CW23:$CZ23)*($CS23:$CV23-OFFSET($C$6:$F$6,DC$5,0)))-SQRT(SUM(($CW23:$CZ23)*($CS23:$CV23-OFFSET($C$6:$F$6,DC$5,0)))^2-SUM(($CS23:$CV23-OFFSET($C$6:$F$6,DC$5,0))*($CS23:$CV23-OFFSET($C$6:$F$6,DC$5,0)))+OFFSET($G$6,DC$5,0)^2)</f>
        <v>#NUM!</v>
      </c>
      <c r="DN23" s="10" t="e">
        <f t="array" aca="1" ref="DN23" ca="1">-SUM(($CW23:$CZ23)*($CS23:$CV23-OFFSET($C$6:$F$6,DD$5,0)))-SQRT(SUM(($CW23:$CZ23)*($CS23:$CV23-OFFSET($C$6:$F$6,DD$5,0)))^2-SUM(($CS23:$CV23-OFFSET($C$6:$F$6,DD$5,0))*($CS23:$CV23-OFFSET($C$6:$F$6,DD$5,0)))+OFFSET($G$6,DD$5,0)^2)</f>
        <v>#NUM!</v>
      </c>
      <c r="DO23" s="10" t="e">
        <f t="array" aca="1" ref="DO23" ca="1">-SUM(($CW23:$CZ23)*($CS23:$CV23-OFFSET($C$6:$F$6,DE$5,0)))-SQRT(SUM(($CW23:$CZ23)*($CS23:$CV23-OFFSET($C$6:$F$6,DE$5,0)))^2-SUM(($CS23:$CV23-OFFSET($C$6:$F$6,DE$5,0))*($CS23:$CV23-OFFSET($C$6:$F$6,DE$5,0)))+OFFSET($G$6,DE$5,0)^2)</f>
        <v>#NUM!</v>
      </c>
      <c r="DP23" s="10" t="e">
        <f t="array" aca="1" ref="DP23" ca="1">-SUM(($CW23:$CZ23)*($CS23:$CV23-OFFSET($C$6:$F$6,DF$5,0)))-SQRT(SUM(($CW23:$CZ23)*($CS23:$CV23-OFFSET($C$6:$F$6,DF$5,0)))^2-SUM(($CS23:$CV23-OFFSET($C$6:$F$6,DF$5,0))*($CS23:$CV23-OFFSET($C$6:$F$6,DF$5,0)))+OFFSET($G$6,DF$5,0)^2)</f>
        <v>#NUM!</v>
      </c>
      <c r="DQ23" s="10" t="e">
        <f t="array" aca="1" ref="DQ23" ca="1">-SUM(($CW23:$CZ23)*($CS23:$CV23-OFFSET($C$6:$F$6,DG$5,0)))-SQRT(SUM(($CW23:$CZ23)*($CS23:$CV23-OFFSET($C$6:$F$6,DG$5,0)))^2-SUM(($CS23:$CV23-OFFSET($C$6:$F$6,DG$5,0))*($CS23:$CV23-OFFSET($C$6:$F$6,DG$5,0)))+OFFSET($G$6,DG$5,0)^2)</f>
        <v>#NUM!</v>
      </c>
      <c r="DR23" s="10" t="e">
        <f t="array" aca="1" ref="DR23" ca="1">-SUM(($CW23:$CZ23)*($CS23:$CV23-OFFSET($C$6:$F$6,DH$5,0)))-SQRT(SUM(($CW23:$CZ23)*($CS23:$CV23-OFFSET($C$6:$F$6,DH$5,0)))^2-SUM(($CS23:$CV23-OFFSET($C$6:$F$6,DH$5,0))*($CS23:$CV23-OFFSET($C$6:$F$6,DH$5,0)))+OFFSET($G$6,DH$5,0)^2)</f>
        <v>#NUM!</v>
      </c>
      <c r="DS23" s="10" t="e">
        <f t="array" aca="1" ref="DS23" ca="1">-SUM(($CW23:$CZ23)*($CS23:$CV23-OFFSET($C$6:$F$6,DI$5,0)))-SQRT(SUM(($CW23:$CZ23)*($CS23:$CV23-OFFSET($C$6:$F$6,DI$5,0)))^2-SUM(($CS23:$CV23-OFFSET($C$6:$F$6,DI$5,0))*($CS23:$CV23-OFFSET($C$6:$F$6,DI$5,0)))+OFFSET($G$6,DI$5,0)^2)</f>
        <v>#NUM!</v>
      </c>
      <c r="DT23" s="10" t="e">
        <f t="array" aca="1" ref="DT23" ca="1">-SUM(($CW23:$CZ23)*($CS23:$CV23-OFFSET($C$6:$F$6,DJ$5,0)))-SQRT(SUM(($CW23:$CZ23)*($CS23:$CV23-OFFSET($C$6:$F$6,DJ$5,0)))^2-SUM(($CS23:$CV23-OFFSET($C$6:$F$6,DJ$5,0))*($CS23:$CV23-OFFSET($C$6:$F$6,DJ$5,0)))+OFFSET($G$6,DJ$5,0)^2)</f>
        <v>#NUM!</v>
      </c>
      <c r="DU23" s="10" t="e">
        <f t="array" aca="1" ref="DU23" ca="1">-SUM(($CW23:$CZ23)*($CS23:$CV23-OFFSET($C$6:$F$6,DK$5,0)))-SQRT(SUM(($CW23:$CZ23)*($CS23:$CV23-OFFSET($C$6:$F$6,DK$5,0)))^2-SUM(($CS23:$CV23-OFFSET($C$6:$F$6,DK$5,0))*($CS23:$CV23-OFFSET($C$6:$F$6,DK$5,0)))+OFFSET($G$6,DK$5,0)^2)</f>
        <v>#NUM!</v>
      </c>
      <c r="DW23" s="10">
        <f t="array" aca="1" ref="DW23" ca="1">MIN(IF(IF(ISERROR(DB23:DU23),-1,DB23:DU23)&lt;0,9999999999,DB23:DU23))</f>
        <v>9999999999</v>
      </c>
      <c r="DY23" s="11">
        <f t="shared" ca="1" si="25"/>
        <v>0.72215455501040227</v>
      </c>
      <c r="EB23" s="10">
        <f t="array" aca="1" ref="EB23:EE23" ca="1">BN23:BQ23+BV23:BY23*0.01</f>
        <v>-1.7522656333891864</v>
      </c>
      <c r="EC23" s="10">
        <f ca="1"/>
        <v>-1.0421935273345053</v>
      </c>
      <c r="ED23" s="10">
        <f ca="1"/>
        <v>-10.060345544297089</v>
      </c>
      <c r="EE23" s="10">
        <f ca="1"/>
        <v>1</v>
      </c>
      <c r="EF23" s="10">
        <f t="shared" ca="1" si="26"/>
        <v>-0.32157843947769132</v>
      </c>
      <c r="EG23" s="10">
        <f t="shared" ca="1" si="27"/>
        <v>0.3009704980396718</v>
      </c>
      <c r="EH23" s="10">
        <f t="shared" ca="1" si="28"/>
        <v>0.89777729230185188</v>
      </c>
      <c r="EI23" s="10">
        <f t="shared" ca="1" si="29"/>
        <v>0</v>
      </c>
      <c r="EK23" s="10">
        <f t="array" aca="1" ref="EK23" ca="1">-SUM(($EF23:$EI23)*($EB23:$EE23-OFFSET($C$6:$F$6,EK$5,0)))+SQRT(SUM(($EF23:$EI23)*($EB23:$EE23-OFFSET($C$6:$F$6,EK$5,0)))^2-SUM(($EB23:$EE23-OFFSET($C$6:$F$6,EK$5,0))*($EB23:$EE23-OFFSET($C$6:$F$6,EK$5,0)))+OFFSET($G$6,EK$5,0)^2)</f>
        <v>-3.4192444330813032E-2</v>
      </c>
      <c r="EL23" s="10" t="e">
        <f t="array" aca="1" ref="EL23" ca="1">-SUM(($EF23:$EI23)*($EB23:$EE23-OFFSET($C$6:$F$6,EL$5,0)))+SQRT(SUM(($EF23:$EI23)*($EB23:$EE23-OFFSET($C$6:$F$6,EL$5,0)))^2-SUM(($EB23:$EE23-OFFSET($C$6:$F$6,EL$5,0))*($EB23:$EE23-OFFSET($C$6:$F$6,EL$5,0)))+OFFSET($G$6,EL$5,0)^2)</f>
        <v>#NUM!</v>
      </c>
      <c r="EM23" s="10" t="e">
        <f t="array" aca="1" ref="EM23" ca="1">-SUM(($EF23:$EI23)*($EB23:$EE23-OFFSET($C$6:$F$6,EM$5,0)))+SQRT(SUM(($EF23:$EI23)*($EB23:$EE23-OFFSET($C$6:$F$6,EM$5,0)))^2-SUM(($EB23:$EE23-OFFSET($C$6:$F$6,EM$5,0))*($EB23:$EE23-OFFSET($C$6:$F$6,EM$5,0)))+OFFSET($G$6,EM$5,0)^2)</f>
        <v>#NUM!</v>
      </c>
      <c r="EN23" s="10" t="e">
        <f t="array" aca="1" ref="EN23" ca="1">-SUM(($EF23:$EI23)*($EB23:$EE23-OFFSET($C$6:$F$6,EN$5,0)))+SQRT(SUM(($EF23:$EI23)*($EB23:$EE23-OFFSET($C$6:$F$6,EN$5,0)))^2-SUM(($EB23:$EE23-OFFSET($C$6:$F$6,EN$5,0))*($EB23:$EE23-OFFSET($C$6:$F$6,EN$5,0)))+OFFSET($G$6,EN$5,0)^2)</f>
        <v>#NUM!</v>
      </c>
      <c r="EO23" s="10" t="e">
        <f t="array" aca="1" ref="EO23" ca="1">-SUM(($EF23:$EI23)*($EB23:$EE23-OFFSET($C$6:$F$6,EO$5,0)))+SQRT(SUM(($EF23:$EI23)*($EB23:$EE23-OFFSET($C$6:$F$6,EO$5,0)))^2-SUM(($EB23:$EE23-OFFSET($C$6:$F$6,EO$5,0))*($EB23:$EE23-OFFSET($C$6:$F$6,EO$5,0)))+OFFSET($G$6,EO$5,0)^2)</f>
        <v>#NUM!</v>
      </c>
      <c r="EP23" s="10" t="e">
        <f t="array" aca="1" ref="EP23" ca="1">-SUM(($EF23:$EI23)*($EB23:$EE23-OFFSET($C$6:$F$6,EP$5,0)))+SQRT(SUM(($EF23:$EI23)*($EB23:$EE23-OFFSET($C$6:$F$6,EP$5,0)))^2-SUM(($EB23:$EE23-OFFSET($C$6:$F$6,EP$5,0))*($EB23:$EE23-OFFSET($C$6:$F$6,EP$5,0)))+OFFSET($G$6,EP$5,0)^2)</f>
        <v>#NUM!</v>
      </c>
      <c r="EQ23" s="10" t="e">
        <f t="array" aca="1" ref="EQ23" ca="1">-SUM(($EF23:$EI23)*($EB23:$EE23-OFFSET($C$6:$F$6,EQ$5,0)))+SQRT(SUM(($EF23:$EI23)*($EB23:$EE23-OFFSET($C$6:$F$6,EQ$5,0)))^2-SUM(($EB23:$EE23-OFFSET($C$6:$F$6,EQ$5,0))*($EB23:$EE23-OFFSET($C$6:$F$6,EQ$5,0)))+OFFSET($G$6,EQ$5,0)^2)</f>
        <v>#NUM!</v>
      </c>
      <c r="ER23" s="10" t="e">
        <f t="array" aca="1" ref="ER23" ca="1">-SUM(($EF23:$EI23)*($EB23:$EE23-OFFSET($C$6:$F$6,ER$5,0)))+SQRT(SUM(($EF23:$EI23)*($EB23:$EE23-OFFSET($C$6:$F$6,ER$5,0)))^2-SUM(($EB23:$EE23-OFFSET($C$6:$F$6,ER$5,0))*($EB23:$EE23-OFFSET($C$6:$F$6,ER$5,0)))+OFFSET($G$6,ER$5,0)^2)</f>
        <v>#NUM!</v>
      </c>
      <c r="ES23" s="10" t="e">
        <f t="array" aca="1" ref="ES23" ca="1">-SUM(($EF23:$EI23)*($EB23:$EE23-OFFSET($C$6:$F$6,ES$5,0)))+SQRT(SUM(($EF23:$EI23)*($EB23:$EE23-OFFSET($C$6:$F$6,ES$5,0)))^2-SUM(($EB23:$EE23-OFFSET($C$6:$F$6,ES$5,0))*($EB23:$EE23-OFFSET($C$6:$F$6,ES$5,0)))+OFFSET($G$6,ES$5,0)^2)</f>
        <v>#NUM!</v>
      </c>
      <c r="ET23" s="10" t="e">
        <f t="array" aca="1" ref="ET23" ca="1">-SUM(($EF23:$EI23)*($EB23:$EE23-OFFSET($C$6:$F$6,ET$5,0)))+SQRT(SUM(($EF23:$EI23)*($EB23:$EE23-OFFSET($C$6:$F$6,ET$5,0)))^2-SUM(($EB23:$EE23-OFFSET($C$6:$F$6,ET$5,0))*($EB23:$EE23-OFFSET($C$6:$F$6,ET$5,0)))+OFFSET($G$6,ET$5,0)^2)</f>
        <v>#NUM!</v>
      </c>
      <c r="EU23" s="10">
        <f t="array" aca="1" ref="EU23" ca="1">-SUM(($EF23:$EI23)*($EB23:$EE23-OFFSET($C$6:$F$6,EK$5,0)))-SQRT(SUM(($EF23:$EI23)*($EB23:$EE23-OFFSET($C$6:$F$6,EK$5,0)))^2-SUM(($EB23:$EE23-OFFSET($C$6:$F$6,EK$5,0))*($EB23:$EE23-OFFSET($C$6:$F$6,EK$5,0)))+OFFSET($G$6,EK$5,0)^2)</f>
        <v>-584.34254675617285</v>
      </c>
      <c r="EV23" s="10" t="e">
        <f t="array" aca="1" ref="EV23" ca="1">-SUM(($EF23:$EI23)*($EB23:$EE23-OFFSET($C$6:$F$6,EL$5,0)))-SQRT(SUM(($EF23:$EI23)*($EB23:$EE23-OFFSET($C$6:$F$6,EL$5,0)))^2-SUM(($EB23:$EE23-OFFSET($C$6:$F$6,EL$5,0))*($EB23:$EE23-OFFSET($C$6:$F$6,EL$5,0)))+OFFSET($G$6,EL$5,0)^2)</f>
        <v>#NUM!</v>
      </c>
      <c r="EW23" s="10" t="e">
        <f t="array" aca="1" ref="EW23" ca="1">-SUM(($EF23:$EI23)*($EB23:$EE23-OFFSET($C$6:$F$6,EM$5,0)))-SQRT(SUM(($EF23:$EI23)*($EB23:$EE23-OFFSET($C$6:$F$6,EM$5,0)))^2-SUM(($EB23:$EE23-OFFSET($C$6:$F$6,EM$5,0))*($EB23:$EE23-OFFSET($C$6:$F$6,EM$5,0)))+OFFSET($G$6,EM$5,0)^2)</f>
        <v>#NUM!</v>
      </c>
      <c r="EX23" s="10" t="e">
        <f t="array" aca="1" ref="EX23" ca="1">-SUM(($EF23:$EI23)*($EB23:$EE23-OFFSET($C$6:$F$6,EN$5,0)))-SQRT(SUM(($EF23:$EI23)*($EB23:$EE23-OFFSET($C$6:$F$6,EN$5,0)))^2-SUM(($EB23:$EE23-OFFSET($C$6:$F$6,EN$5,0))*($EB23:$EE23-OFFSET($C$6:$F$6,EN$5,0)))+OFFSET($G$6,EN$5,0)^2)</f>
        <v>#NUM!</v>
      </c>
      <c r="EY23" s="10" t="e">
        <f t="array" aca="1" ref="EY23" ca="1">-SUM(($EF23:$EI23)*($EB23:$EE23-OFFSET($C$6:$F$6,EO$5,0)))-SQRT(SUM(($EF23:$EI23)*($EB23:$EE23-OFFSET($C$6:$F$6,EO$5,0)))^2-SUM(($EB23:$EE23-OFFSET($C$6:$F$6,EO$5,0))*($EB23:$EE23-OFFSET($C$6:$F$6,EO$5,0)))+OFFSET($G$6,EO$5,0)^2)</f>
        <v>#NUM!</v>
      </c>
      <c r="EZ23" s="10" t="e">
        <f t="array" aca="1" ref="EZ23" ca="1">-SUM(($EF23:$EI23)*($EB23:$EE23-OFFSET($C$6:$F$6,EP$5,0)))-SQRT(SUM(($EF23:$EI23)*($EB23:$EE23-OFFSET($C$6:$F$6,EP$5,0)))^2-SUM(($EB23:$EE23-OFFSET($C$6:$F$6,EP$5,0))*($EB23:$EE23-OFFSET($C$6:$F$6,EP$5,0)))+OFFSET($G$6,EP$5,0)^2)</f>
        <v>#NUM!</v>
      </c>
      <c r="FA23" s="10" t="e">
        <f t="array" aca="1" ref="FA23" ca="1">-SUM(($EF23:$EI23)*($EB23:$EE23-OFFSET($C$6:$F$6,EQ$5,0)))-SQRT(SUM(($EF23:$EI23)*($EB23:$EE23-OFFSET($C$6:$F$6,EQ$5,0)))^2-SUM(($EB23:$EE23-OFFSET($C$6:$F$6,EQ$5,0))*($EB23:$EE23-OFFSET($C$6:$F$6,EQ$5,0)))+OFFSET($G$6,EQ$5,0)^2)</f>
        <v>#NUM!</v>
      </c>
      <c r="FB23" s="10" t="e">
        <f t="array" aca="1" ref="FB23" ca="1">-SUM(($EF23:$EI23)*($EB23:$EE23-OFFSET($C$6:$F$6,ER$5,0)))-SQRT(SUM(($EF23:$EI23)*($EB23:$EE23-OFFSET($C$6:$F$6,ER$5,0)))^2-SUM(($EB23:$EE23-OFFSET($C$6:$F$6,ER$5,0))*($EB23:$EE23-OFFSET($C$6:$F$6,ER$5,0)))+OFFSET($G$6,ER$5,0)^2)</f>
        <v>#NUM!</v>
      </c>
      <c r="FC23" s="10" t="e">
        <f t="array" aca="1" ref="FC23" ca="1">-SUM(($EF23:$EI23)*($EB23:$EE23-OFFSET($C$6:$F$6,ES$5,0)))-SQRT(SUM(($EF23:$EI23)*($EB23:$EE23-OFFSET($C$6:$F$6,ES$5,0)))^2-SUM(($EB23:$EE23-OFFSET($C$6:$F$6,ES$5,0))*($EB23:$EE23-OFFSET($C$6:$F$6,ES$5,0)))+OFFSET($G$6,ES$5,0)^2)</f>
        <v>#NUM!</v>
      </c>
      <c r="FD23" s="10" t="e">
        <f t="array" aca="1" ref="FD23" ca="1">-SUM(($EF23:$EI23)*($EB23:$EE23-OFFSET($C$6:$F$6,ET$5,0)))-SQRT(SUM(($EF23:$EI23)*($EB23:$EE23-OFFSET($C$6:$F$6,ET$5,0)))^2-SUM(($EB23:$EE23-OFFSET($C$6:$F$6,ET$5,0))*($EB23:$EE23-OFFSET($C$6:$F$6,ET$5,0)))+OFFSET($G$6,ET$5,0)^2)</f>
        <v>#NUM!</v>
      </c>
      <c r="FF23" s="10">
        <f t="array" aca="1" ref="FF23" ca="1">MIN(IF(IF(ISERROR(EK23:FD23),-1,EK23:FD23)&lt;0,9999999999,EK23:FD23))</f>
        <v>9999999999</v>
      </c>
      <c r="FH23">
        <f t="shared" ca="1" si="30"/>
        <v>-1</v>
      </c>
      <c r="FJ23" s="10">
        <f t="shared" ca="1" si="31"/>
        <v>-3215784396.2076001</v>
      </c>
      <c r="FK23" s="10">
        <f t="shared" ca="1" si="32"/>
        <v>3009704979.0535541</v>
      </c>
      <c r="FL23" s="10">
        <f t="shared" ca="1" si="33"/>
        <v>8977772912.0603962</v>
      </c>
      <c r="FM23" s="10">
        <f t="shared" ca="1" si="34"/>
        <v>1</v>
      </c>
      <c r="FN23" s="14">
        <f t="shared" ca="1" si="35"/>
        <v>0.32157843947769132</v>
      </c>
      <c r="FO23" s="14">
        <f t="shared" ca="1" si="0"/>
        <v>-0.3009704980396718</v>
      </c>
      <c r="FP23" s="14">
        <f t="shared" ca="1" si="1"/>
        <v>-0.89777729230185188</v>
      </c>
      <c r="FQ23" s="14">
        <f t="shared" ca="1" si="2"/>
        <v>0</v>
      </c>
      <c r="FR23" s="10" t="e">
        <f t="array" aca="1" ref="FR23" ca="1">(FJ23-OFFSET(C$6,$FH23,0))/SQRT(SUM(($FJ23:$FM23-OFFSET($C$6:$F$6,$FH23,0))*($FJ23:$FM23-OFFSET($C$6:$F$6,$FH23,0))))</f>
        <v>#VALUE!</v>
      </c>
      <c r="FS23" s="10" t="e">
        <f t="array" aca="1" ref="FS23" ca="1">(FK23-OFFSET(D$6,$FH23,0))/SQRT(SUM(($FJ23:$FM23-OFFSET($C$6:$F$6,$FH23,0))*($FJ23:$FM23-OFFSET($C$6:$F$6,$FH23,0))))</f>
        <v>#VALUE!</v>
      </c>
      <c r="FT23" s="10" t="e">
        <f t="array" aca="1" ref="FT23" ca="1">(FL23-OFFSET(E$6,$FH23,0))/SQRT(SUM(($FJ23:$FM23-OFFSET($C$6:$F$6,$FH23,0))*($FJ23:$FM23-OFFSET($C$6:$F$6,$FH23,0))))</f>
        <v>#VALUE!</v>
      </c>
      <c r="FU23" s="10" t="e">
        <f t="array" aca="1" ref="FU23" ca="1">(FM23-OFFSET(F$6,$FH23,0))/SQRT(SUM(($FJ23:$FM23-OFFSET($C$6:$F$6,$FH23,0))*($FJ23:$FM23-OFFSET($C$6:$F$6,$FH23,0))))</f>
        <v>#VALUE!</v>
      </c>
      <c r="FV23" s="14">
        <f t="array" aca="1" ref="FV23" ca="1">-(FJ23-O$6)/SQRT(SUM(($O$6:$R$6-$FJ23:$FM23)*($O$6:$R$6-$FJ23:$FM23)))</f>
        <v>0.32157843884682463</v>
      </c>
      <c r="FW23" s="14">
        <f t="array" aca="1" ref="FW23" ca="1">-(FK23-P$6)/SQRT(SUM(($O$6:$R$6-$FJ23:$FM23)*($O$6:$R$6-$FJ23:$FM23)))</f>
        <v>-0.30097049711693297</v>
      </c>
      <c r="FX23" s="14">
        <f t="array" aca="1" ref="FX23" ca="1">-(FL23-Q$6)/SQRT(SUM(($O$6:$R$6-$FJ23:$FM23)*($O$6:$R$6-$FJ23:$FM23)))</f>
        <v>-0.89777729283716312</v>
      </c>
      <c r="FY23" s="14">
        <f t="array" aca="1" ref="FY23" ca="1">-(FM23-R$6)/SQRT(SUM(($O$6:$R$6-$FJ23:$FM23)*($O$6:$R$6-$FJ23:$FM23)))</f>
        <v>0</v>
      </c>
      <c r="FZ23" s="14" t="e">
        <f t="array" aca="1" ref="FZ23:GC23" ca="1">-FN23:FQ23-FR23:FU23*2*SUM(-FN23:FQ23*FR23:FU23)</f>
        <v>#VALUE!</v>
      </c>
      <c r="GA23" s="14" t="e">
        <f ca="1"/>
        <v>#VALUE!</v>
      </c>
      <c r="GB23" s="14" t="e">
        <f ca="1"/>
        <v>#VALUE!</v>
      </c>
      <c r="GC23" s="14" t="e">
        <f ca="1"/>
        <v>#VALUE!</v>
      </c>
      <c r="GD23" s="14" t="e">
        <f t="array" aca="1" ref="GD23:GG23" ca="1">-FV23:FY23-FR23:FU23*2*SUM(-FV23:FY23*FR23:FU23)</f>
        <v>#VALUE!</v>
      </c>
      <c r="GE23" s="14" t="e">
        <f ca="1"/>
        <v>#VALUE!</v>
      </c>
      <c r="GF23" s="14" t="e">
        <f ca="1"/>
        <v>#VALUE!</v>
      </c>
      <c r="GG23" s="14" t="e">
        <f ca="1"/>
        <v>#VALUE!</v>
      </c>
      <c r="GH23" t="e">
        <f t="array" aca="1" ref="GH23" ca="1">SUM(FV23:FY23*FR23:FU23)</f>
        <v>#VALUE!</v>
      </c>
      <c r="GI23" t="e">
        <f t="array" aca="1" ref="GI23" ca="1">SUM(GD23:GG23*FN23:FQ23)</f>
        <v>#VALUE!</v>
      </c>
      <c r="GJ23" s="11" t="e">
        <f t="shared" ca="1" si="36"/>
        <v>#VALUE!</v>
      </c>
      <c r="GK23" s="11" t="e">
        <f t="shared" ca="1" si="37"/>
        <v>#VALUE!</v>
      </c>
      <c r="GL23" s="11" t="e">
        <f t="shared" ca="1" si="38"/>
        <v>#VALUE!</v>
      </c>
      <c r="GM23" s="11">
        <f t="shared" ca="1" si="39"/>
        <v>0</v>
      </c>
      <c r="GO23" s="10" t="e">
        <f t="array" aca="1" ref="GO23:GR23" ca="1">FJ23:FM23+FR23:FU23*0.001</f>
        <v>#VALUE!</v>
      </c>
      <c r="GP23" s="10" t="e">
        <f ca="1"/>
        <v>#VALUE!</v>
      </c>
      <c r="GQ23" s="10" t="e">
        <f ca="1"/>
        <v>#VALUE!</v>
      </c>
      <c r="GR23" s="10" t="e">
        <f ca="1"/>
        <v>#VALUE!</v>
      </c>
      <c r="GS23" s="10">
        <f t="shared" ca="1" si="40"/>
        <v>0.32157843884682463</v>
      </c>
      <c r="GT23" s="10">
        <f t="shared" ca="1" si="3"/>
        <v>-0.30097049711693297</v>
      </c>
      <c r="GU23" s="10">
        <f t="shared" ca="1" si="4"/>
        <v>-0.89777729283716312</v>
      </c>
      <c r="GV23" s="10">
        <f t="shared" ca="1" si="5"/>
        <v>0</v>
      </c>
      <c r="GX23" s="10" t="e">
        <f t="array" aca="1" ref="GX23" ca="1">-SUM(($GS23:$GV23)*($GO23:$GR23-OFFSET($C$6:$F$6,GX$5,0)))+SQRT(SUM(($GS23:$GV23)*($GO23:$GR23-OFFSET($C$6:$F$6,GX$5,0)))^2-SUM(($GO23:$GR23-OFFSET($C$6:$F$6,GX$5,0))*($GO23:$GR23-OFFSET($C$6:$F$6,GX$5,0)))+OFFSET($G$6,GX$5,0)^2)</f>
        <v>#VALUE!</v>
      </c>
      <c r="GY23" s="10" t="e">
        <f t="array" aca="1" ref="GY23" ca="1">-SUM(($GS23:$GV23)*($GO23:$GR23-OFFSET($C$6:$F$6,GY$5,0)))+SQRT(SUM(($GS23:$GV23)*($GO23:$GR23-OFFSET($C$6:$F$6,GY$5,0)))^2-SUM(($GO23:$GR23-OFFSET($C$6:$F$6,GY$5,0))*($GO23:$GR23-OFFSET($C$6:$F$6,GY$5,0)))+OFFSET($G$6,GY$5,0)^2)</f>
        <v>#VALUE!</v>
      </c>
      <c r="GZ23" s="10" t="e">
        <f t="array" aca="1" ref="GZ23" ca="1">-SUM(($GS23:$GV23)*($GO23:$GR23-OFFSET($C$6:$F$6,GZ$5,0)))+SQRT(SUM(($GS23:$GV23)*($GO23:$GR23-OFFSET($C$6:$F$6,GZ$5,0)))^2-SUM(($GO23:$GR23-OFFSET($C$6:$F$6,GZ$5,0))*($GO23:$GR23-OFFSET($C$6:$F$6,GZ$5,0)))+OFFSET($G$6,GZ$5,0)^2)</f>
        <v>#VALUE!</v>
      </c>
      <c r="HA23" s="10" t="e">
        <f t="array" aca="1" ref="HA23" ca="1">-SUM(($GS23:$GV23)*($GO23:$GR23-OFFSET($C$6:$F$6,HA$5,0)))+SQRT(SUM(($GS23:$GV23)*($GO23:$GR23-OFFSET($C$6:$F$6,HA$5,0)))^2-SUM(($GO23:$GR23-OFFSET($C$6:$F$6,HA$5,0))*($GO23:$GR23-OFFSET($C$6:$F$6,HA$5,0)))+OFFSET($G$6,HA$5,0)^2)</f>
        <v>#VALUE!</v>
      </c>
      <c r="HB23" s="10" t="e">
        <f t="array" aca="1" ref="HB23" ca="1">-SUM(($GS23:$GV23)*($GO23:$GR23-OFFSET($C$6:$F$6,HB$5,0)))+SQRT(SUM(($GS23:$GV23)*($GO23:$GR23-OFFSET($C$6:$F$6,HB$5,0)))^2-SUM(($GO23:$GR23-OFFSET($C$6:$F$6,HB$5,0))*($GO23:$GR23-OFFSET($C$6:$F$6,HB$5,0)))+OFFSET($G$6,HB$5,0)^2)</f>
        <v>#VALUE!</v>
      </c>
      <c r="HC23" s="10" t="e">
        <f t="array" aca="1" ref="HC23" ca="1">-SUM(($GS23:$GV23)*($GO23:$GR23-OFFSET($C$6:$F$6,HC$5,0)))+SQRT(SUM(($GS23:$GV23)*($GO23:$GR23-OFFSET($C$6:$F$6,HC$5,0)))^2-SUM(($GO23:$GR23-OFFSET($C$6:$F$6,HC$5,0))*($GO23:$GR23-OFFSET($C$6:$F$6,HC$5,0)))+OFFSET($G$6,HC$5,0)^2)</f>
        <v>#VALUE!</v>
      </c>
      <c r="HD23" s="10" t="e">
        <f t="array" aca="1" ref="HD23" ca="1">-SUM(($GS23:$GV23)*($GO23:$GR23-OFFSET($C$6:$F$6,HD$5,0)))+SQRT(SUM(($GS23:$GV23)*($GO23:$GR23-OFFSET($C$6:$F$6,HD$5,0)))^2-SUM(($GO23:$GR23-OFFSET($C$6:$F$6,HD$5,0))*($GO23:$GR23-OFFSET($C$6:$F$6,HD$5,0)))+OFFSET($G$6,HD$5,0)^2)</f>
        <v>#VALUE!</v>
      </c>
      <c r="HE23" s="10" t="e">
        <f t="array" aca="1" ref="HE23" ca="1">-SUM(($GS23:$GV23)*($GO23:$GR23-OFFSET($C$6:$F$6,HE$5,0)))+SQRT(SUM(($GS23:$GV23)*($GO23:$GR23-OFFSET($C$6:$F$6,HE$5,0)))^2-SUM(($GO23:$GR23-OFFSET($C$6:$F$6,HE$5,0))*($GO23:$GR23-OFFSET($C$6:$F$6,HE$5,0)))+OFFSET($G$6,HE$5,0)^2)</f>
        <v>#VALUE!</v>
      </c>
      <c r="HF23" s="10" t="e">
        <f t="array" aca="1" ref="HF23" ca="1">-SUM(($GS23:$GV23)*($GO23:$GR23-OFFSET($C$6:$F$6,HF$5,0)))+SQRT(SUM(($GS23:$GV23)*($GO23:$GR23-OFFSET($C$6:$F$6,HF$5,0)))^2-SUM(($GO23:$GR23-OFFSET($C$6:$F$6,HF$5,0))*($GO23:$GR23-OFFSET($C$6:$F$6,HF$5,0)))+OFFSET($G$6,HF$5,0)^2)</f>
        <v>#VALUE!</v>
      </c>
      <c r="HG23" s="10" t="e">
        <f t="array" aca="1" ref="HG23" ca="1">-SUM(($GS23:$GV23)*($GO23:$GR23-OFFSET($C$6:$F$6,HG$5,0)))+SQRT(SUM(($GS23:$GV23)*($GO23:$GR23-OFFSET($C$6:$F$6,HG$5,0)))^2-SUM(($GO23:$GR23-OFFSET($C$6:$F$6,HG$5,0))*($GO23:$GR23-OFFSET($C$6:$F$6,HG$5,0)))+OFFSET($G$6,HG$5,0)^2)</f>
        <v>#VALUE!</v>
      </c>
      <c r="HH23" s="10" t="e">
        <f t="array" aca="1" ref="HH23" ca="1">-SUM(($GS23:$GV23)*($GO23:$GR23-OFFSET($C$6:$F$6,GX$5,0)))-SQRT(SUM(($GS23:$GV23)*($GO23:$GR23-OFFSET($C$6:$F$6,GX$5,0)))^2-SUM(($GO23:$GR23-OFFSET($C$6:$F$6,GX$5,0))*($GO23:$GR23-OFFSET($C$6:$F$6,GX$5,0)))+OFFSET($G$6,GX$5,0)^2)</f>
        <v>#VALUE!</v>
      </c>
      <c r="HI23" s="10" t="e">
        <f t="array" aca="1" ref="HI23" ca="1">-SUM(($GS23:$GV23)*($GO23:$GR23-OFFSET($C$6:$F$6,GY$5,0)))-SQRT(SUM(($GS23:$GV23)*($GO23:$GR23-OFFSET($C$6:$F$6,GY$5,0)))^2-SUM(($GO23:$GR23-OFFSET($C$6:$F$6,GY$5,0))*($GO23:$GR23-OFFSET($C$6:$F$6,GY$5,0)))+OFFSET($G$6,GY$5,0)^2)</f>
        <v>#VALUE!</v>
      </c>
      <c r="HJ23" s="10" t="e">
        <f t="array" aca="1" ref="HJ23" ca="1">-SUM(($GS23:$GV23)*($GO23:$GR23-OFFSET($C$6:$F$6,GZ$5,0)))-SQRT(SUM(($GS23:$GV23)*($GO23:$GR23-OFFSET($C$6:$F$6,GZ$5,0)))^2-SUM(($GO23:$GR23-OFFSET($C$6:$F$6,GZ$5,0))*($GO23:$GR23-OFFSET($C$6:$F$6,GZ$5,0)))+OFFSET($G$6,GZ$5,0)^2)</f>
        <v>#VALUE!</v>
      </c>
      <c r="HK23" s="10" t="e">
        <f t="array" aca="1" ref="HK23" ca="1">-SUM(($GS23:$GV23)*($GO23:$GR23-OFFSET($C$6:$F$6,HA$5,0)))-SQRT(SUM(($GS23:$GV23)*($GO23:$GR23-OFFSET($C$6:$F$6,HA$5,0)))^2-SUM(($GO23:$GR23-OFFSET($C$6:$F$6,HA$5,0))*($GO23:$GR23-OFFSET($C$6:$F$6,HA$5,0)))+OFFSET($G$6,HA$5,0)^2)</f>
        <v>#VALUE!</v>
      </c>
      <c r="HL23" s="10" t="e">
        <f t="array" aca="1" ref="HL23" ca="1">-SUM(($GS23:$GV23)*($GO23:$GR23-OFFSET($C$6:$F$6,HB$5,0)))-SQRT(SUM(($GS23:$GV23)*($GO23:$GR23-OFFSET($C$6:$F$6,HB$5,0)))^2-SUM(($GO23:$GR23-OFFSET($C$6:$F$6,HB$5,0))*($GO23:$GR23-OFFSET($C$6:$F$6,HB$5,0)))+OFFSET($G$6,HB$5,0)^2)</f>
        <v>#VALUE!</v>
      </c>
      <c r="HM23" s="10" t="e">
        <f t="array" aca="1" ref="HM23" ca="1">-SUM(($GS23:$GV23)*($GO23:$GR23-OFFSET($C$6:$F$6,HC$5,0)))-SQRT(SUM(($GS23:$GV23)*($GO23:$GR23-OFFSET($C$6:$F$6,HC$5,0)))^2-SUM(($GO23:$GR23-OFFSET($C$6:$F$6,HC$5,0))*($GO23:$GR23-OFFSET($C$6:$F$6,HC$5,0)))+OFFSET($G$6,HC$5,0)^2)</f>
        <v>#VALUE!</v>
      </c>
      <c r="HN23" s="10" t="e">
        <f t="array" aca="1" ref="HN23" ca="1">-SUM(($GS23:$GV23)*($GO23:$GR23-OFFSET($C$6:$F$6,HD$5,0)))-SQRT(SUM(($GS23:$GV23)*($GO23:$GR23-OFFSET($C$6:$F$6,HD$5,0)))^2-SUM(($GO23:$GR23-OFFSET($C$6:$F$6,HD$5,0))*($GO23:$GR23-OFFSET($C$6:$F$6,HD$5,0)))+OFFSET($G$6,HD$5,0)^2)</f>
        <v>#VALUE!</v>
      </c>
      <c r="HO23" s="10" t="e">
        <f t="array" aca="1" ref="HO23" ca="1">-SUM(($GS23:$GV23)*($GO23:$GR23-OFFSET($C$6:$F$6,HE$5,0)))-SQRT(SUM(($GS23:$GV23)*($GO23:$GR23-OFFSET($C$6:$F$6,HE$5,0)))^2-SUM(($GO23:$GR23-OFFSET($C$6:$F$6,HE$5,0))*($GO23:$GR23-OFFSET($C$6:$F$6,HE$5,0)))+OFFSET($G$6,HE$5,0)^2)</f>
        <v>#VALUE!</v>
      </c>
      <c r="HP23" s="10" t="e">
        <f t="array" aca="1" ref="HP23" ca="1">-SUM(($GS23:$GV23)*($GO23:$GR23-OFFSET($C$6:$F$6,HF$5,0)))-SQRT(SUM(($GS23:$GV23)*($GO23:$GR23-OFFSET($C$6:$F$6,HF$5,0)))^2-SUM(($GO23:$GR23-OFFSET($C$6:$F$6,HF$5,0))*($GO23:$GR23-OFFSET($C$6:$F$6,HF$5,0)))+OFFSET($G$6,HF$5,0)^2)</f>
        <v>#VALUE!</v>
      </c>
      <c r="HQ23" s="10" t="e">
        <f t="array" aca="1" ref="HQ23" ca="1">-SUM(($GS23:$GV23)*($GO23:$GR23-OFFSET($C$6:$F$6,HG$5,0)))-SQRT(SUM(($GS23:$GV23)*($GO23:$GR23-OFFSET($C$6:$F$6,HG$5,0)))^2-SUM(($GO23:$GR23-OFFSET($C$6:$F$6,HG$5,0))*($GO23:$GR23-OFFSET($C$6:$F$6,HG$5,0)))+OFFSET($G$6,HG$5,0)^2)</f>
        <v>#VALUE!</v>
      </c>
      <c r="HS23" s="10">
        <f t="array" aca="1" ref="HS23" ca="1">MIN(IF(IF(ISERROR(GX23:HQ23),-1,GX23:HQ23)&lt;0,9999999999,GX23:HQ23))</f>
        <v>9999999999</v>
      </c>
      <c r="HU23" s="11">
        <f t="shared" ca="1" si="41"/>
        <v>0</v>
      </c>
      <c r="HW23" s="11">
        <f t="shared" ca="1" si="42"/>
        <v>0.72215455501040227</v>
      </c>
    </row>
    <row r="24" spans="16:231" ht="15.75" customHeight="1" x14ac:dyDescent="0.25">
      <c r="X24" s="11">
        <f t="shared" si="6"/>
        <v>-1.3752620545073375</v>
      </c>
      <c r="Y24" s="11">
        <f t="shared" si="7"/>
        <v>-1</v>
      </c>
      <c r="Z24" s="11">
        <v>4</v>
      </c>
      <c r="AB24" s="10">
        <f t="array" aca="1" ref="AB24:AE24" ca="1">TRANSPOSE(Screen!$GL$98:$GL$101)</f>
        <v>0</v>
      </c>
      <c r="AC24" s="10">
        <f ca="1"/>
        <v>0.50000000000000033</v>
      </c>
      <c r="AD24" s="10">
        <f ca="1"/>
        <v>-15</v>
      </c>
      <c r="AE24" s="10">
        <f ca="1"/>
        <v>1</v>
      </c>
      <c r="AF24" s="10">
        <f t="array" aca="1" ref="AF24:AH24" ca="1">TRANSPOSE(MMULT(Screen!$GI$98:$GK$100,TRANSPOSE(X24:Z24)))</f>
        <v>-1.3752620545073375</v>
      </c>
      <c r="AG24" s="10">
        <f ca="1"/>
        <v>-1.2380565658529825</v>
      </c>
      <c r="AH24" s="10">
        <f ca="1"/>
        <v>3.9400359935205556</v>
      </c>
      <c r="AI24" s="10">
        <v>1</v>
      </c>
      <c r="AJ24" s="10">
        <f t="array" aca="1" ref="AJ24" ca="1">AF24/SQRT(SUM(($AF24:$AH24)*($AF24:$AH24)))</f>
        <v>-0.31593927603316185</v>
      </c>
      <c r="AK24" s="10">
        <f t="array" aca="1" ref="AK24" ca="1">AG24/SQRT(SUM(($AF24:$AH24)*($AF24:$AH24)))</f>
        <v>-0.28441902677509445</v>
      </c>
      <c r="AL24" s="10">
        <f t="array" aca="1" ref="AL24" ca="1">AH24/SQRT(SUM(($AF24:$AH24)*($AF24:$AH24)))</f>
        <v>0.90514539774996916</v>
      </c>
      <c r="AM24" s="10">
        <v>0</v>
      </c>
      <c r="AO24" s="10">
        <f t="array" aca="1" ref="AO24" ca="1">-SUM(($AJ24:$AM24)*($AB24:$AE24-OFFSET($C$6:$F$6,AO$5,0)))+SQRT(SUM(($AJ24:$AM24)*($AB24:$AE24-OFFSET($C$6:$F$6,AO$5,0)))^2-SUM(($AB24:$AE24-OFFSET($C$6:$F$6,AO$5,0))*($AB24:$AE24-OFFSET($C$6:$F$6,AO$5,0)))+OFFSET($G$6,AO$5,0)^2)</f>
        <v>590.8195848128039</v>
      </c>
      <c r="AP24" s="10" t="e">
        <f t="array" aca="1" ref="AP24" ca="1">-SUM(($AJ24:$AM24)*($AB24:$AE24-OFFSET($C$6:$F$6,AP$5,0)))+SQRT(SUM(($AJ24:$AM24)*($AB24:$AE24-OFFSET($C$6:$F$6,AP$5,0)))^2-SUM(($AB24:$AE24-OFFSET($C$6:$F$6,AP$5,0))*($AB24:$AE24-OFFSET($C$6:$F$6,AP$5,0)))+OFFSET($G$6,AP$5,0)^2)</f>
        <v>#NUM!</v>
      </c>
      <c r="AQ24" s="10" t="e">
        <f t="array" aca="1" ref="AQ24" ca="1">-SUM(($AJ24:$AM24)*($AB24:$AE24-OFFSET($C$6:$F$6,AQ$5,0)))+SQRT(SUM(($AJ24:$AM24)*($AB24:$AE24-OFFSET($C$6:$F$6,AQ$5,0)))^2-SUM(($AB24:$AE24-OFFSET($C$6:$F$6,AQ$5,0))*($AB24:$AE24-OFFSET($C$6:$F$6,AQ$5,0)))+OFFSET($G$6,AQ$5,0)^2)</f>
        <v>#NUM!</v>
      </c>
      <c r="AR24" s="10" t="e">
        <f t="array" aca="1" ref="AR24" ca="1">-SUM(($AJ24:$AM24)*($AB24:$AE24-OFFSET($C$6:$F$6,AR$5,0)))+SQRT(SUM(($AJ24:$AM24)*($AB24:$AE24-OFFSET($C$6:$F$6,AR$5,0)))^2-SUM(($AB24:$AE24-OFFSET($C$6:$F$6,AR$5,0))*($AB24:$AE24-OFFSET($C$6:$F$6,AR$5,0)))+OFFSET($G$6,AR$5,0)^2)</f>
        <v>#NUM!</v>
      </c>
      <c r="AS24" s="10" t="e">
        <f t="array" aca="1" ref="AS24" ca="1">-SUM(($AJ24:$AM24)*($AB24:$AE24-OFFSET($C$6:$F$6,AS$5,0)))+SQRT(SUM(($AJ24:$AM24)*($AB24:$AE24-OFFSET($C$6:$F$6,AS$5,0)))^2-SUM(($AB24:$AE24-OFFSET($C$6:$F$6,AS$5,0))*($AB24:$AE24-OFFSET($C$6:$F$6,AS$5,0)))+OFFSET($G$6,AS$5,0)^2)</f>
        <v>#NUM!</v>
      </c>
      <c r="AT24" s="10" t="e">
        <f t="array" aca="1" ref="AT24" ca="1">-SUM(($AJ24:$AM24)*($AB24:$AE24-OFFSET($C$6:$F$6,AT$5,0)))+SQRT(SUM(($AJ24:$AM24)*($AB24:$AE24-OFFSET($C$6:$F$6,AT$5,0)))^2-SUM(($AB24:$AE24-OFFSET($C$6:$F$6,AT$5,0))*($AB24:$AE24-OFFSET($C$6:$F$6,AT$5,0)))+OFFSET($G$6,AT$5,0)^2)</f>
        <v>#NUM!</v>
      </c>
      <c r="AU24" s="10" t="e">
        <f t="array" aca="1" ref="AU24" ca="1">-SUM(($AJ24:$AM24)*($AB24:$AE24-OFFSET($C$6:$F$6,AU$5,0)))+SQRT(SUM(($AJ24:$AM24)*($AB24:$AE24-OFFSET($C$6:$F$6,AU$5,0)))^2-SUM(($AB24:$AE24-OFFSET($C$6:$F$6,AU$5,0))*($AB24:$AE24-OFFSET($C$6:$F$6,AU$5,0)))+OFFSET($G$6,AU$5,0)^2)</f>
        <v>#NUM!</v>
      </c>
      <c r="AV24" s="10" t="e">
        <f t="array" aca="1" ref="AV24" ca="1">-SUM(($AJ24:$AM24)*($AB24:$AE24-OFFSET($C$6:$F$6,AV$5,0)))+SQRT(SUM(($AJ24:$AM24)*($AB24:$AE24-OFFSET($C$6:$F$6,AV$5,0)))^2-SUM(($AB24:$AE24-OFFSET($C$6:$F$6,AV$5,0))*($AB24:$AE24-OFFSET($C$6:$F$6,AV$5,0)))+OFFSET($G$6,AV$5,0)^2)</f>
        <v>#NUM!</v>
      </c>
      <c r="AW24" s="10" t="e">
        <f t="array" aca="1" ref="AW24" ca="1">-SUM(($AJ24:$AM24)*($AB24:$AE24-OFFSET($C$6:$F$6,AW$5,0)))+SQRT(SUM(($AJ24:$AM24)*($AB24:$AE24-OFFSET($C$6:$F$6,AW$5,0)))^2-SUM(($AB24:$AE24-OFFSET($C$6:$F$6,AW$5,0))*($AB24:$AE24-OFFSET($C$6:$F$6,AW$5,0)))+OFFSET($G$6,AW$5,0)^2)</f>
        <v>#NUM!</v>
      </c>
      <c r="AX24" s="10" t="e">
        <f t="array" aca="1" ref="AX24" ca="1">-SUM(($AJ24:$AM24)*($AB24:$AE24-OFFSET($C$6:$F$6,AX$5,0)))+SQRT(SUM(($AJ24:$AM24)*($AB24:$AE24-OFFSET($C$6:$F$6,AX$5,0)))^2-SUM(($AB24:$AE24-OFFSET($C$6:$F$6,AX$5,0))*($AB24:$AE24-OFFSET($C$6:$F$6,AX$5,0)))+OFFSET($G$6,AX$5,0)^2)</f>
        <v>#NUM!</v>
      </c>
      <c r="AY24" s="10">
        <f t="array" aca="1" ref="AY24" ca="1">-SUM(($AJ24:$AM24)*($AB24:$AE24-OFFSET($C$6:$F$6,AO$5,0)))-SQRT(SUM(($AJ24:$AM24)*($AB24:$AE24-OFFSET($C$6:$F$6,AO$5,0)))^2-SUM(($AB24:$AE24-OFFSET($C$6:$F$6,AO$5,0))*($AB24:$AE24-OFFSET($C$6:$F$6,AO$5,0)))+OFFSET($G$6,AO$5,0)^2)</f>
        <v>5.4572496966592894</v>
      </c>
      <c r="AZ24" s="10" t="e">
        <f t="array" aca="1" ref="AZ24" ca="1">-SUM(($AJ24:$AM24)*($AB24:$AE24-OFFSET($C$6:$F$6,AP$5,0)))-SQRT(SUM(($AJ24:$AM24)*($AB24:$AE24-OFFSET($C$6:$F$6,AP$5,0)))^2-SUM(($AB24:$AE24-OFFSET($C$6:$F$6,AP$5,0))*($AB24:$AE24-OFFSET($C$6:$F$6,AP$5,0)))+OFFSET($G$6,AP$5,0)^2)</f>
        <v>#NUM!</v>
      </c>
      <c r="BA24" s="10" t="e">
        <f t="array" aca="1" ref="BA24" ca="1">-SUM(($AJ24:$AM24)*($AB24:$AE24-OFFSET($C$6:$F$6,AQ$5,0)))-SQRT(SUM(($AJ24:$AM24)*($AB24:$AE24-OFFSET($C$6:$F$6,AQ$5,0)))^2-SUM(($AB24:$AE24-OFFSET($C$6:$F$6,AQ$5,0))*($AB24:$AE24-OFFSET($C$6:$F$6,AQ$5,0)))+OFFSET($G$6,AQ$5,0)^2)</f>
        <v>#NUM!</v>
      </c>
      <c r="BB24" s="10" t="e">
        <f t="array" aca="1" ref="BB24" ca="1">-SUM(($AJ24:$AM24)*($AB24:$AE24-OFFSET($C$6:$F$6,AR$5,0)))-SQRT(SUM(($AJ24:$AM24)*($AB24:$AE24-OFFSET($C$6:$F$6,AR$5,0)))^2-SUM(($AB24:$AE24-OFFSET($C$6:$F$6,AR$5,0))*($AB24:$AE24-OFFSET($C$6:$F$6,AR$5,0)))+OFFSET($G$6,AR$5,0)^2)</f>
        <v>#NUM!</v>
      </c>
      <c r="BC24" s="10" t="e">
        <f t="array" aca="1" ref="BC24" ca="1">-SUM(($AJ24:$AM24)*($AB24:$AE24-OFFSET($C$6:$F$6,AS$5,0)))-SQRT(SUM(($AJ24:$AM24)*($AB24:$AE24-OFFSET($C$6:$F$6,AS$5,0)))^2-SUM(($AB24:$AE24-OFFSET($C$6:$F$6,AS$5,0))*($AB24:$AE24-OFFSET($C$6:$F$6,AS$5,0)))+OFFSET($G$6,AS$5,0)^2)</f>
        <v>#NUM!</v>
      </c>
      <c r="BD24" s="10" t="e">
        <f t="array" aca="1" ref="BD24" ca="1">-SUM(($AJ24:$AM24)*($AB24:$AE24-OFFSET($C$6:$F$6,AT$5,0)))-SQRT(SUM(($AJ24:$AM24)*($AB24:$AE24-OFFSET($C$6:$F$6,AT$5,0)))^2-SUM(($AB24:$AE24-OFFSET($C$6:$F$6,AT$5,0))*($AB24:$AE24-OFFSET($C$6:$F$6,AT$5,0)))+OFFSET($G$6,AT$5,0)^2)</f>
        <v>#NUM!</v>
      </c>
      <c r="BE24" s="10" t="e">
        <f t="array" aca="1" ref="BE24" ca="1">-SUM(($AJ24:$AM24)*($AB24:$AE24-OFFSET($C$6:$F$6,AU$5,0)))-SQRT(SUM(($AJ24:$AM24)*($AB24:$AE24-OFFSET($C$6:$F$6,AU$5,0)))^2-SUM(($AB24:$AE24-OFFSET($C$6:$F$6,AU$5,0))*($AB24:$AE24-OFFSET($C$6:$F$6,AU$5,0)))+OFFSET($G$6,AU$5,0)^2)</f>
        <v>#NUM!</v>
      </c>
      <c r="BF24" s="10" t="e">
        <f t="array" aca="1" ref="BF24" ca="1">-SUM(($AJ24:$AM24)*($AB24:$AE24-OFFSET($C$6:$F$6,AV$5,0)))-SQRT(SUM(($AJ24:$AM24)*($AB24:$AE24-OFFSET($C$6:$F$6,AV$5,0)))^2-SUM(($AB24:$AE24-OFFSET($C$6:$F$6,AV$5,0))*($AB24:$AE24-OFFSET($C$6:$F$6,AV$5,0)))+OFFSET($G$6,AV$5,0)^2)</f>
        <v>#NUM!</v>
      </c>
      <c r="BG24" s="10" t="e">
        <f t="array" aca="1" ref="BG24" ca="1">-SUM(($AJ24:$AM24)*($AB24:$AE24-OFFSET($C$6:$F$6,AW$5,0)))-SQRT(SUM(($AJ24:$AM24)*($AB24:$AE24-OFFSET($C$6:$F$6,AW$5,0)))^2-SUM(($AB24:$AE24-OFFSET($C$6:$F$6,AW$5,0))*($AB24:$AE24-OFFSET($C$6:$F$6,AW$5,0)))+OFFSET($G$6,AW$5,0)^2)</f>
        <v>#NUM!</v>
      </c>
      <c r="BH24" s="10" t="e">
        <f t="array" aca="1" ref="BH24" ca="1">-SUM(($AJ24:$AM24)*($AB24:$AE24-OFFSET($C$6:$F$6,AX$5,0)))-SQRT(SUM(($AJ24:$AM24)*($AB24:$AE24-OFFSET($C$6:$F$6,AX$5,0)))^2-SUM(($AB24:$AE24-OFFSET($C$6:$F$6,AX$5,0))*($AB24:$AE24-OFFSET($C$6:$F$6,AX$5,0)))+OFFSET($G$6,AX$5,0)^2)</f>
        <v>#NUM!</v>
      </c>
      <c r="BJ24" s="10">
        <f t="array" aca="1" ref="BJ24" ca="1">MIN(IF(IF(ISERROR(AO24:BH24),-1,AO24:BH24)&lt;0,9999999999,AO24:BH24))</f>
        <v>5.4572496966592894</v>
      </c>
      <c r="BL24">
        <f t="shared" ca="1" si="8"/>
        <v>0</v>
      </c>
      <c r="BN24" s="10">
        <f t="shared" ca="1" si="43"/>
        <v>-1.724159518294728</v>
      </c>
      <c r="BO24" s="10">
        <f t="shared" ca="1" si="44"/>
        <v>-1.0521456475925142</v>
      </c>
      <c r="BP24" s="10">
        <f t="shared" ca="1" si="45"/>
        <v>-10.060395552696429</v>
      </c>
      <c r="BQ24" s="10">
        <f t="shared" ca="1" si="46"/>
        <v>1</v>
      </c>
      <c r="BR24" s="14">
        <f t="shared" ca="1" si="47"/>
        <v>0.31593927603316185</v>
      </c>
      <c r="BS24" s="14">
        <f t="shared" ca="1" si="48"/>
        <v>0.28441902677509445</v>
      </c>
      <c r="BT24" s="14">
        <f t="shared" ca="1" si="49"/>
        <v>-0.90514539774996916</v>
      </c>
      <c r="BU24" s="14">
        <f t="shared" si="50"/>
        <v>0</v>
      </c>
      <c r="BV24" s="10">
        <f t="array" aca="1" ref="BV24" ca="1">(BN24-OFFSET(C$6,$BL24,0))/SQRT(SUM(($BN24:$BQ24-OFFSET($C$6:$F$6,$BL24,0))*($BN24:$BQ24-OFFSET($C$6:$F$6,$BL24,0))))</f>
        <v>-1.7258854036984266E-3</v>
      </c>
      <c r="BW24" s="10">
        <f t="array" aca="1" ref="BW24" ca="1">(BO24-OFFSET(D$6,$BL24,0))/SQRT(SUM(($BN24:$BQ24-OFFSET($C$6:$F$6,$BL24,0))*($BN24:$BQ24-OFFSET($C$6:$F$6,$BL24,0))))</f>
        <v>0.99994780215456214</v>
      </c>
      <c r="BX24" s="10">
        <f t="array" aca="1" ref="BX24" ca="1">(BP24-OFFSET(E$6,$BL24,0))/SQRT(SUM(($BN24:$BQ24-OFFSET($C$6:$F$6,$BL24,0))*($BN24:$BQ24-OFFSET($C$6:$F$6,$BL24,0))))</f>
        <v>-1.0070466018715146E-2</v>
      </c>
      <c r="BY24" s="10">
        <f t="array" aca="1" ref="BY24" ca="1">(BQ24-OFFSET(F$6,$BL24,0))/SQRT(SUM(($BN24:$BQ24-OFFSET($C$6:$F$6,$BL24,0))*($BN24:$BQ24-OFFSET($C$6:$F$6,$BL24,0))))</f>
        <v>0</v>
      </c>
      <c r="BZ24" s="14">
        <f t="array" aca="1" ref="BZ24" ca="1">-(BN24-O$6)/SQRT(SUM(($O$6:$R$6-$BN24:$BQ24)*($O$6:$R$6-$BN24:$BQ24)))</f>
        <v>-0.59937904806193976</v>
      </c>
      <c r="CA24" s="14">
        <f t="array" aca="1" ref="CA24" ca="1">-(BO24-P$6)/SQRT(SUM(($O$6:$R$6-$BN24:$BQ24)*($O$6:$R$6-$BN24:$BQ24)))</f>
        <v>0.80045338620771977</v>
      </c>
      <c r="CB24" s="14">
        <f t="array" aca="1" ref="CB24" ca="1">-(BP24-Q$6)/SQRT(SUM(($O$6:$R$6-$BN24:$BQ24)*($O$6:$R$6-$BN24:$BQ24)))</f>
        <v>4.3741573997691527E-3</v>
      </c>
      <c r="CC24" s="14">
        <f t="array" aca="1" ref="CC24" ca="1">-(BQ24-R$6)/SQRT(SUM(($O$6:$R$6-$BN24:$BQ24)*($O$6:$R$6-$BN24:$BQ24)))</f>
        <v>0</v>
      </c>
      <c r="CD24" s="14">
        <f t="array" aca="1" ref="CD24:CG24" ca="1">-BR24:BU24-BV24:BY24*2*SUM(-BR24:BU24*BV24:BY24)</f>
        <v>-0.31695055562280328</v>
      </c>
      <c r="CE24" s="14">
        <f ca="1"/>
        <v>0.3014986713865182</v>
      </c>
      <c r="CF24" s="14">
        <f ca="1"/>
        <v>0.89924462547326955</v>
      </c>
      <c r="CG24" s="14">
        <f ca="1"/>
        <v>0</v>
      </c>
      <c r="CH24" s="14">
        <f t="array" aca="1" ref="CH24:CK24" ca="1">-BZ24:CC24-BV24:BY24*2*SUM(-BZ24:CC24*BV24:BY24)</f>
        <v>0.59661279198498252</v>
      </c>
      <c r="CI24" s="14">
        <f ca="1"/>
        <v>0.80226697890028664</v>
      </c>
      <c r="CJ24" s="14">
        <f ca="1"/>
        <v>-2.0515140898653951E-2</v>
      </c>
      <c r="CK24" s="14">
        <f ca="1"/>
        <v>0</v>
      </c>
      <c r="CL24">
        <f t="array" aca="1" ref="CL24" ca="1">SUM(BZ24:CC24*BV24:BY24)</f>
        <v>0.80140201401246425</v>
      </c>
      <c r="CM24">
        <f t="array" aca="1" ref="CM24" ca="1">SUM(CH24:CK24*BR24:BU24)</f>
        <v>0.43524259229308232</v>
      </c>
      <c r="CN24" s="11">
        <f t="shared" ca="1" si="17"/>
        <v>0</v>
      </c>
      <c r="CO24" s="11">
        <f t="shared" ca="1" si="18"/>
        <v>0.7212618126112178</v>
      </c>
      <c r="CP24" s="11">
        <f t="shared" ca="1" si="19"/>
        <v>5.0178787827643938E-73</v>
      </c>
      <c r="CQ24" s="11">
        <f t="shared" ca="1" si="20"/>
        <v>0.7212618126112178</v>
      </c>
      <c r="CS24" s="10">
        <f t="array" aca="1" ref="CS24:CV24" ca="1">BN24:BQ24+BV24:BY24*0.001</f>
        <v>-1.7241612441801317</v>
      </c>
      <c r="CT24" s="10">
        <f ca="1"/>
        <v>-1.0511456997903597</v>
      </c>
      <c r="CU24" s="10">
        <f ca="1"/>
        <v>-10.060405623162447</v>
      </c>
      <c r="CV24" s="10">
        <f ca="1"/>
        <v>1</v>
      </c>
      <c r="CW24" s="10">
        <f t="shared" ca="1" si="21"/>
        <v>-0.59937904806193976</v>
      </c>
      <c r="CX24" s="10">
        <f t="shared" ca="1" si="22"/>
        <v>0.80045338620771977</v>
      </c>
      <c r="CY24" s="10">
        <f t="shared" ca="1" si="23"/>
        <v>4.3741573997691527E-3</v>
      </c>
      <c r="CZ24" s="10">
        <f t="shared" ca="1" si="24"/>
        <v>0</v>
      </c>
      <c r="DB24" s="10">
        <f t="array" aca="1" ref="DB24" ca="1">-SUM(($CW24:$CZ24)*($CS24:$CV24-OFFSET($C$6:$F$6,DB$5,0)))+SQRT(SUM(($CW24:$CZ24)*($CS24:$CV24-OFFSET($C$6:$F$6,DB$5,0)))^2-SUM(($CS24:$CV24-OFFSET($C$6:$F$6,DB$5,0))*($CS24:$CV24-OFFSET($C$6:$F$6,DB$5,0)))+OFFSET($G$6,DB$5,0)^2)</f>
        <v>-1.2478135333822138E-3</v>
      </c>
      <c r="DC24" s="10" t="e">
        <f t="array" aca="1" ref="DC24" ca="1">-SUM(($CW24:$CZ24)*($CS24:$CV24-OFFSET($C$6:$F$6,DC$5,0)))+SQRT(SUM(($CW24:$CZ24)*($CS24:$CV24-OFFSET($C$6:$F$6,DC$5,0)))^2-SUM(($CS24:$CV24-OFFSET($C$6:$F$6,DC$5,0))*($CS24:$CV24-OFFSET($C$6:$F$6,DC$5,0)))+OFFSET($G$6,DC$5,0)^2)</f>
        <v>#NUM!</v>
      </c>
      <c r="DD24" s="10" t="e">
        <f t="array" aca="1" ref="DD24" ca="1">-SUM(($CW24:$CZ24)*($CS24:$CV24-OFFSET($C$6:$F$6,DD$5,0)))+SQRT(SUM(($CW24:$CZ24)*($CS24:$CV24-OFFSET($C$6:$F$6,DD$5,0)))^2-SUM(($CS24:$CV24-OFFSET($C$6:$F$6,DD$5,0))*($CS24:$CV24-OFFSET($C$6:$F$6,DD$5,0)))+OFFSET($G$6,DD$5,0)^2)</f>
        <v>#NUM!</v>
      </c>
      <c r="DE24" s="10" t="e">
        <f t="array" aca="1" ref="DE24" ca="1">-SUM(($CW24:$CZ24)*($CS24:$CV24-OFFSET($C$6:$F$6,DE$5,0)))+SQRT(SUM(($CW24:$CZ24)*($CS24:$CV24-OFFSET($C$6:$F$6,DE$5,0)))^2-SUM(($CS24:$CV24-OFFSET($C$6:$F$6,DE$5,0))*($CS24:$CV24-OFFSET($C$6:$F$6,DE$5,0)))+OFFSET($G$6,DE$5,0)^2)</f>
        <v>#NUM!</v>
      </c>
      <c r="DF24" s="10" t="e">
        <f t="array" aca="1" ref="DF24" ca="1">-SUM(($CW24:$CZ24)*($CS24:$CV24-OFFSET($C$6:$F$6,DF$5,0)))+SQRT(SUM(($CW24:$CZ24)*($CS24:$CV24-OFFSET($C$6:$F$6,DF$5,0)))^2-SUM(($CS24:$CV24-OFFSET($C$6:$F$6,DF$5,0))*($CS24:$CV24-OFFSET($C$6:$F$6,DF$5,0)))+OFFSET($G$6,DF$5,0)^2)</f>
        <v>#NUM!</v>
      </c>
      <c r="DG24" s="10" t="e">
        <f t="array" aca="1" ref="DG24" ca="1">-SUM(($CW24:$CZ24)*($CS24:$CV24-OFFSET($C$6:$F$6,DG$5,0)))+SQRT(SUM(($CW24:$CZ24)*($CS24:$CV24-OFFSET($C$6:$F$6,DG$5,0)))^2-SUM(($CS24:$CV24-OFFSET($C$6:$F$6,DG$5,0))*($CS24:$CV24-OFFSET($C$6:$F$6,DG$5,0)))+OFFSET($G$6,DG$5,0)^2)</f>
        <v>#NUM!</v>
      </c>
      <c r="DH24" s="10" t="e">
        <f t="array" aca="1" ref="DH24" ca="1">-SUM(($CW24:$CZ24)*($CS24:$CV24-OFFSET($C$6:$F$6,DH$5,0)))+SQRT(SUM(($CW24:$CZ24)*($CS24:$CV24-OFFSET($C$6:$F$6,DH$5,0)))^2-SUM(($CS24:$CV24-OFFSET($C$6:$F$6,DH$5,0))*($CS24:$CV24-OFFSET($C$6:$F$6,DH$5,0)))+OFFSET($G$6,DH$5,0)^2)</f>
        <v>#NUM!</v>
      </c>
      <c r="DI24" s="10" t="e">
        <f t="array" aca="1" ref="DI24" ca="1">-SUM(($CW24:$CZ24)*($CS24:$CV24-OFFSET($C$6:$F$6,DI$5,0)))+SQRT(SUM(($CW24:$CZ24)*($CS24:$CV24-OFFSET($C$6:$F$6,DI$5,0)))^2-SUM(($CS24:$CV24-OFFSET($C$6:$F$6,DI$5,0))*($CS24:$CV24-OFFSET($C$6:$F$6,DI$5,0)))+OFFSET($G$6,DI$5,0)^2)</f>
        <v>#NUM!</v>
      </c>
      <c r="DJ24" s="10" t="e">
        <f t="array" aca="1" ref="DJ24" ca="1">-SUM(($CW24:$CZ24)*($CS24:$CV24-OFFSET($C$6:$F$6,DJ$5,0)))+SQRT(SUM(($CW24:$CZ24)*($CS24:$CV24-OFFSET($C$6:$F$6,DJ$5,0)))^2-SUM(($CS24:$CV24-OFFSET($C$6:$F$6,DJ$5,0))*($CS24:$CV24-OFFSET($C$6:$F$6,DJ$5,0)))+OFFSET($G$6,DJ$5,0)^2)</f>
        <v>#NUM!</v>
      </c>
      <c r="DK24" s="10" t="e">
        <f t="array" aca="1" ref="DK24" ca="1">-SUM(($CW24:$CZ24)*($CS24:$CV24-OFFSET($C$6:$F$6,DK$5,0)))+SQRT(SUM(($CW24:$CZ24)*($CS24:$CV24-OFFSET($C$6:$F$6,DK$5,0)))^2-SUM(($CS24:$CV24-OFFSET($C$6:$F$6,DK$5,0))*($CS24:$CV24-OFFSET($C$6:$F$6,DK$5,0)))+OFFSET($G$6,DK$5,0)^2)</f>
        <v>#NUM!</v>
      </c>
      <c r="DL24" s="10">
        <f t="array" aca="1" ref="DL24" ca="1">-SUM(($CW24:$CZ24)*($CS24:$CV24-OFFSET($C$6:$F$6,DB$5,0)))-SQRT(SUM(($CW24:$CZ24)*($CS24:$CV24-OFFSET($C$6:$F$6,DB$5,0)))^2-SUM(($CS24:$CV24-OFFSET($C$6:$F$6,DB$5,0))*($CS24:$CV24-OFFSET($C$6:$F$6,DB$5,0)))+OFFSET($G$6,DB$5,0)^2)</f>
        <v>-1601.2015789873976</v>
      </c>
      <c r="DM24" s="10" t="e">
        <f t="array" aca="1" ref="DM24" ca="1">-SUM(($CW24:$CZ24)*($CS24:$CV24-OFFSET($C$6:$F$6,DC$5,0)))-SQRT(SUM(($CW24:$CZ24)*($CS24:$CV24-OFFSET($C$6:$F$6,DC$5,0)))^2-SUM(($CS24:$CV24-OFFSET($C$6:$F$6,DC$5,0))*($CS24:$CV24-OFFSET($C$6:$F$6,DC$5,0)))+OFFSET($G$6,DC$5,0)^2)</f>
        <v>#NUM!</v>
      </c>
      <c r="DN24" s="10" t="e">
        <f t="array" aca="1" ref="DN24" ca="1">-SUM(($CW24:$CZ24)*($CS24:$CV24-OFFSET($C$6:$F$6,DD$5,0)))-SQRT(SUM(($CW24:$CZ24)*($CS24:$CV24-OFFSET($C$6:$F$6,DD$5,0)))^2-SUM(($CS24:$CV24-OFFSET($C$6:$F$6,DD$5,0))*($CS24:$CV24-OFFSET($C$6:$F$6,DD$5,0)))+OFFSET($G$6,DD$5,0)^2)</f>
        <v>#NUM!</v>
      </c>
      <c r="DO24" s="10" t="e">
        <f t="array" aca="1" ref="DO24" ca="1">-SUM(($CW24:$CZ24)*($CS24:$CV24-OFFSET($C$6:$F$6,DE$5,0)))-SQRT(SUM(($CW24:$CZ24)*($CS24:$CV24-OFFSET($C$6:$F$6,DE$5,0)))^2-SUM(($CS24:$CV24-OFFSET($C$6:$F$6,DE$5,0))*($CS24:$CV24-OFFSET($C$6:$F$6,DE$5,0)))+OFFSET($G$6,DE$5,0)^2)</f>
        <v>#NUM!</v>
      </c>
      <c r="DP24" s="10" t="e">
        <f t="array" aca="1" ref="DP24" ca="1">-SUM(($CW24:$CZ24)*($CS24:$CV24-OFFSET($C$6:$F$6,DF$5,0)))-SQRT(SUM(($CW24:$CZ24)*($CS24:$CV24-OFFSET($C$6:$F$6,DF$5,0)))^2-SUM(($CS24:$CV24-OFFSET($C$6:$F$6,DF$5,0))*($CS24:$CV24-OFFSET($C$6:$F$6,DF$5,0)))+OFFSET($G$6,DF$5,0)^2)</f>
        <v>#NUM!</v>
      </c>
      <c r="DQ24" s="10" t="e">
        <f t="array" aca="1" ref="DQ24" ca="1">-SUM(($CW24:$CZ24)*($CS24:$CV24-OFFSET($C$6:$F$6,DG$5,0)))-SQRT(SUM(($CW24:$CZ24)*($CS24:$CV24-OFFSET($C$6:$F$6,DG$5,0)))^2-SUM(($CS24:$CV24-OFFSET($C$6:$F$6,DG$5,0))*($CS24:$CV24-OFFSET($C$6:$F$6,DG$5,0)))+OFFSET($G$6,DG$5,0)^2)</f>
        <v>#NUM!</v>
      </c>
      <c r="DR24" s="10" t="e">
        <f t="array" aca="1" ref="DR24" ca="1">-SUM(($CW24:$CZ24)*($CS24:$CV24-OFFSET($C$6:$F$6,DH$5,0)))-SQRT(SUM(($CW24:$CZ24)*($CS24:$CV24-OFFSET($C$6:$F$6,DH$5,0)))^2-SUM(($CS24:$CV24-OFFSET($C$6:$F$6,DH$5,0))*($CS24:$CV24-OFFSET($C$6:$F$6,DH$5,0)))+OFFSET($G$6,DH$5,0)^2)</f>
        <v>#NUM!</v>
      </c>
      <c r="DS24" s="10" t="e">
        <f t="array" aca="1" ref="DS24" ca="1">-SUM(($CW24:$CZ24)*($CS24:$CV24-OFFSET($C$6:$F$6,DI$5,0)))-SQRT(SUM(($CW24:$CZ24)*($CS24:$CV24-OFFSET($C$6:$F$6,DI$5,0)))^2-SUM(($CS24:$CV24-OFFSET($C$6:$F$6,DI$5,0))*($CS24:$CV24-OFFSET($C$6:$F$6,DI$5,0)))+OFFSET($G$6,DI$5,0)^2)</f>
        <v>#NUM!</v>
      </c>
      <c r="DT24" s="10" t="e">
        <f t="array" aca="1" ref="DT24" ca="1">-SUM(($CW24:$CZ24)*($CS24:$CV24-OFFSET($C$6:$F$6,DJ$5,0)))-SQRT(SUM(($CW24:$CZ24)*($CS24:$CV24-OFFSET($C$6:$F$6,DJ$5,0)))^2-SUM(($CS24:$CV24-OFFSET($C$6:$F$6,DJ$5,0))*($CS24:$CV24-OFFSET($C$6:$F$6,DJ$5,0)))+OFFSET($G$6,DJ$5,0)^2)</f>
        <v>#NUM!</v>
      </c>
      <c r="DU24" s="10" t="e">
        <f t="array" aca="1" ref="DU24" ca="1">-SUM(($CW24:$CZ24)*($CS24:$CV24-OFFSET($C$6:$F$6,DK$5,0)))-SQRT(SUM(($CW24:$CZ24)*($CS24:$CV24-OFFSET($C$6:$F$6,DK$5,0)))^2-SUM(($CS24:$CV24-OFFSET($C$6:$F$6,DK$5,0))*($CS24:$CV24-OFFSET($C$6:$F$6,DK$5,0)))+OFFSET($G$6,DK$5,0)^2)</f>
        <v>#NUM!</v>
      </c>
      <c r="DW24" s="10">
        <f t="array" aca="1" ref="DW24" ca="1">MIN(IF(IF(ISERROR(DB24:DU24),-1,DB24:DU24)&lt;0,9999999999,DB24:DU24))</f>
        <v>9999999999</v>
      </c>
      <c r="DY24" s="11">
        <f t="shared" ca="1" si="25"/>
        <v>0.7212618126112178</v>
      </c>
      <c r="EB24" s="10">
        <f t="array" aca="1" ref="EB24:EE24" ca="1">BN24:BQ24+BV24:BY24*0.01</f>
        <v>-1.724176777148765</v>
      </c>
      <c r="EC24" s="10">
        <f ca="1"/>
        <v>-1.0421461695709686</v>
      </c>
      <c r="ED24" s="10">
        <f ca="1"/>
        <v>-10.060496257356617</v>
      </c>
      <c r="EE24" s="10">
        <f ca="1"/>
        <v>1</v>
      </c>
      <c r="EF24" s="10">
        <f t="shared" ca="1" si="26"/>
        <v>-0.31695055562280328</v>
      </c>
      <c r="EG24" s="10">
        <f t="shared" ca="1" si="27"/>
        <v>0.3014986713865182</v>
      </c>
      <c r="EH24" s="10">
        <f t="shared" ca="1" si="28"/>
        <v>0.89924462547326955</v>
      </c>
      <c r="EI24" s="10">
        <f t="shared" ca="1" si="29"/>
        <v>0</v>
      </c>
      <c r="EK24" s="10">
        <f t="array" aca="1" ref="EK24" ca="1">-SUM(($EF24:$EI24)*($EB24:$EE24-OFFSET($C$6:$F$6,EK$5,0)))+SQRT(SUM(($EF24:$EI24)*($EB24:$EE24-OFFSET($C$6:$F$6,EK$5,0)))^2-SUM(($EB24:$EE24-OFFSET($C$6:$F$6,EK$5,0))*($EB24:$EE24-OFFSET($C$6:$F$6,EK$5,0)))+OFFSET($G$6,EK$5,0)^2)</f>
        <v>-3.4134524817091005E-2</v>
      </c>
      <c r="EL24" s="10" t="e">
        <f t="array" aca="1" ref="EL24" ca="1">-SUM(($EF24:$EI24)*($EB24:$EE24-OFFSET($C$6:$F$6,EL$5,0)))+SQRT(SUM(($EF24:$EI24)*($EB24:$EE24-OFFSET($C$6:$F$6,EL$5,0)))^2-SUM(($EB24:$EE24-OFFSET($C$6:$F$6,EL$5,0))*($EB24:$EE24-OFFSET($C$6:$F$6,EL$5,0)))+OFFSET($G$6,EL$5,0)^2)</f>
        <v>#NUM!</v>
      </c>
      <c r="EM24" s="10" t="e">
        <f t="array" aca="1" ref="EM24" ca="1">-SUM(($EF24:$EI24)*($EB24:$EE24-OFFSET($C$6:$F$6,EM$5,0)))+SQRT(SUM(($EF24:$EI24)*($EB24:$EE24-OFFSET($C$6:$F$6,EM$5,0)))^2-SUM(($EB24:$EE24-OFFSET($C$6:$F$6,EM$5,0))*($EB24:$EE24-OFFSET($C$6:$F$6,EM$5,0)))+OFFSET($G$6,EM$5,0)^2)</f>
        <v>#NUM!</v>
      </c>
      <c r="EN24" s="10" t="e">
        <f t="array" aca="1" ref="EN24" ca="1">-SUM(($EF24:$EI24)*($EB24:$EE24-OFFSET($C$6:$F$6,EN$5,0)))+SQRT(SUM(($EF24:$EI24)*($EB24:$EE24-OFFSET($C$6:$F$6,EN$5,0)))^2-SUM(($EB24:$EE24-OFFSET($C$6:$F$6,EN$5,0))*($EB24:$EE24-OFFSET($C$6:$F$6,EN$5,0)))+OFFSET($G$6,EN$5,0)^2)</f>
        <v>#NUM!</v>
      </c>
      <c r="EO24" s="10" t="e">
        <f t="array" aca="1" ref="EO24" ca="1">-SUM(($EF24:$EI24)*($EB24:$EE24-OFFSET($C$6:$F$6,EO$5,0)))+SQRT(SUM(($EF24:$EI24)*($EB24:$EE24-OFFSET($C$6:$F$6,EO$5,0)))^2-SUM(($EB24:$EE24-OFFSET($C$6:$F$6,EO$5,0))*($EB24:$EE24-OFFSET($C$6:$F$6,EO$5,0)))+OFFSET($G$6,EO$5,0)^2)</f>
        <v>#NUM!</v>
      </c>
      <c r="EP24" s="10" t="e">
        <f t="array" aca="1" ref="EP24" ca="1">-SUM(($EF24:$EI24)*($EB24:$EE24-OFFSET($C$6:$F$6,EP$5,0)))+SQRT(SUM(($EF24:$EI24)*($EB24:$EE24-OFFSET($C$6:$F$6,EP$5,0)))^2-SUM(($EB24:$EE24-OFFSET($C$6:$F$6,EP$5,0))*($EB24:$EE24-OFFSET($C$6:$F$6,EP$5,0)))+OFFSET($G$6,EP$5,0)^2)</f>
        <v>#NUM!</v>
      </c>
      <c r="EQ24" s="10" t="e">
        <f t="array" aca="1" ref="EQ24" ca="1">-SUM(($EF24:$EI24)*($EB24:$EE24-OFFSET($C$6:$F$6,EQ$5,0)))+SQRT(SUM(($EF24:$EI24)*($EB24:$EE24-OFFSET($C$6:$F$6,EQ$5,0)))^2-SUM(($EB24:$EE24-OFFSET($C$6:$F$6,EQ$5,0))*($EB24:$EE24-OFFSET($C$6:$F$6,EQ$5,0)))+OFFSET($G$6,EQ$5,0)^2)</f>
        <v>#NUM!</v>
      </c>
      <c r="ER24" s="10" t="e">
        <f t="array" aca="1" ref="ER24" ca="1">-SUM(($EF24:$EI24)*($EB24:$EE24-OFFSET($C$6:$F$6,ER$5,0)))+SQRT(SUM(($EF24:$EI24)*($EB24:$EE24-OFFSET($C$6:$F$6,ER$5,0)))^2-SUM(($EB24:$EE24-OFFSET($C$6:$F$6,ER$5,0))*($EB24:$EE24-OFFSET($C$6:$F$6,ER$5,0)))+OFFSET($G$6,ER$5,0)^2)</f>
        <v>#NUM!</v>
      </c>
      <c r="ES24" s="10" t="e">
        <f t="array" aca="1" ref="ES24" ca="1">-SUM(($EF24:$EI24)*($EB24:$EE24-OFFSET($C$6:$F$6,ES$5,0)))+SQRT(SUM(($EF24:$EI24)*($EB24:$EE24-OFFSET($C$6:$F$6,ES$5,0)))^2-SUM(($EB24:$EE24-OFFSET($C$6:$F$6,ES$5,0))*($EB24:$EE24-OFFSET($C$6:$F$6,ES$5,0)))+OFFSET($G$6,ES$5,0)^2)</f>
        <v>#NUM!</v>
      </c>
      <c r="ET24" s="10" t="e">
        <f t="array" aca="1" ref="ET24" ca="1">-SUM(($EF24:$EI24)*($EB24:$EE24-OFFSET($C$6:$F$6,ET$5,0)))+SQRT(SUM(($EF24:$EI24)*($EB24:$EE24-OFFSET($C$6:$F$6,ET$5,0)))^2-SUM(($EB24:$EE24-OFFSET($C$6:$F$6,ET$5,0))*($EB24:$EE24-OFFSET($C$6:$F$6,ET$5,0)))+OFFSET($G$6,ET$5,0)^2)</f>
        <v>#NUM!</v>
      </c>
      <c r="EU24" s="10">
        <f t="array" aca="1" ref="EU24" ca="1">-SUM(($EF24:$EI24)*($EB24:$EE24-OFFSET($C$6:$F$6,EK$5,0)))-SQRT(SUM(($EF24:$EI24)*($EB24:$EE24-OFFSET($C$6:$F$6,EK$5,0)))^2-SUM(($EB24:$EE24-OFFSET($C$6:$F$6,EK$5,0))*($EB24:$EE24-OFFSET($C$6:$F$6,EK$5,0)))+OFFSET($G$6,EK$5,0)^2)</f>
        <v>-585.33406007416158</v>
      </c>
      <c r="EV24" s="10" t="e">
        <f t="array" aca="1" ref="EV24" ca="1">-SUM(($EF24:$EI24)*($EB24:$EE24-OFFSET($C$6:$F$6,EL$5,0)))-SQRT(SUM(($EF24:$EI24)*($EB24:$EE24-OFFSET($C$6:$F$6,EL$5,0)))^2-SUM(($EB24:$EE24-OFFSET($C$6:$F$6,EL$5,0))*($EB24:$EE24-OFFSET($C$6:$F$6,EL$5,0)))+OFFSET($G$6,EL$5,0)^2)</f>
        <v>#NUM!</v>
      </c>
      <c r="EW24" s="10" t="e">
        <f t="array" aca="1" ref="EW24" ca="1">-SUM(($EF24:$EI24)*($EB24:$EE24-OFFSET($C$6:$F$6,EM$5,0)))-SQRT(SUM(($EF24:$EI24)*($EB24:$EE24-OFFSET($C$6:$F$6,EM$5,0)))^2-SUM(($EB24:$EE24-OFFSET($C$6:$F$6,EM$5,0))*($EB24:$EE24-OFFSET($C$6:$F$6,EM$5,0)))+OFFSET($G$6,EM$5,0)^2)</f>
        <v>#NUM!</v>
      </c>
      <c r="EX24" s="10" t="e">
        <f t="array" aca="1" ref="EX24" ca="1">-SUM(($EF24:$EI24)*($EB24:$EE24-OFFSET($C$6:$F$6,EN$5,0)))-SQRT(SUM(($EF24:$EI24)*($EB24:$EE24-OFFSET($C$6:$F$6,EN$5,0)))^2-SUM(($EB24:$EE24-OFFSET($C$6:$F$6,EN$5,0))*($EB24:$EE24-OFFSET($C$6:$F$6,EN$5,0)))+OFFSET($G$6,EN$5,0)^2)</f>
        <v>#NUM!</v>
      </c>
      <c r="EY24" s="10" t="e">
        <f t="array" aca="1" ref="EY24" ca="1">-SUM(($EF24:$EI24)*($EB24:$EE24-OFFSET($C$6:$F$6,EO$5,0)))-SQRT(SUM(($EF24:$EI24)*($EB24:$EE24-OFFSET($C$6:$F$6,EO$5,0)))^2-SUM(($EB24:$EE24-OFFSET($C$6:$F$6,EO$5,0))*($EB24:$EE24-OFFSET($C$6:$F$6,EO$5,0)))+OFFSET($G$6,EO$5,0)^2)</f>
        <v>#NUM!</v>
      </c>
      <c r="EZ24" s="10" t="e">
        <f t="array" aca="1" ref="EZ24" ca="1">-SUM(($EF24:$EI24)*($EB24:$EE24-OFFSET($C$6:$F$6,EP$5,0)))-SQRT(SUM(($EF24:$EI24)*($EB24:$EE24-OFFSET($C$6:$F$6,EP$5,0)))^2-SUM(($EB24:$EE24-OFFSET($C$6:$F$6,EP$5,0))*($EB24:$EE24-OFFSET($C$6:$F$6,EP$5,0)))+OFFSET($G$6,EP$5,0)^2)</f>
        <v>#NUM!</v>
      </c>
      <c r="FA24" s="10" t="e">
        <f t="array" aca="1" ref="FA24" ca="1">-SUM(($EF24:$EI24)*($EB24:$EE24-OFFSET($C$6:$F$6,EQ$5,0)))-SQRT(SUM(($EF24:$EI24)*($EB24:$EE24-OFFSET($C$6:$F$6,EQ$5,0)))^2-SUM(($EB24:$EE24-OFFSET($C$6:$F$6,EQ$5,0))*($EB24:$EE24-OFFSET($C$6:$F$6,EQ$5,0)))+OFFSET($G$6,EQ$5,0)^2)</f>
        <v>#NUM!</v>
      </c>
      <c r="FB24" s="10" t="e">
        <f t="array" aca="1" ref="FB24" ca="1">-SUM(($EF24:$EI24)*($EB24:$EE24-OFFSET($C$6:$F$6,ER$5,0)))-SQRT(SUM(($EF24:$EI24)*($EB24:$EE24-OFFSET($C$6:$F$6,ER$5,0)))^2-SUM(($EB24:$EE24-OFFSET($C$6:$F$6,ER$5,0))*($EB24:$EE24-OFFSET($C$6:$F$6,ER$5,0)))+OFFSET($G$6,ER$5,0)^2)</f>
        <v>#NUM!</v>
      </c>
      <c r="FC24" s="10" t="e">
        <f t="array" aca="1" ref="FC24" ca="1">-SUM(($EF24:$EI24)*($EB24:$EE24-OFFSET($C$6:$F$6,ES$5,0)))-SQRT(SUM(($EF24:$EI24)*($EB24:$EE24-OFFSET($C$6:$F$6,ES$5,0)))^2-SUM(($EB24:$EE24-OFFSET($C$6:$F$6,ES$5,0))*($EB24:$EE24-OFFSET($C$6:$F$6,ES$5,0)))+OFFSET($G$6,ES$5,0)^2)</f>
        <v>#NUM!</v>
      </c>
      <c r="FD24" s="10" t="e">
        <f t="array" aca="1" ref="FD24" ca="1">-SUM(($EF24:$EI24)*($EB24:$EE24-OFFSET($C$6:$F$6,ET$5,0)))-SQRT(SUM(($EF24:$EI24)*($EB24:$EE24-OFFSET($C$6:$F$6,ET$5,0)))^2-SUM(($EB24:$EE24-OFFSET($C$6:$F$6,ET$5,0))*($EB24:$EE24-OFFSET($C$6:$F$6,ET$5,0)))+OFFSET($G$6,ET$5,0)^2)</f>
        <v>#NUM!</v>
      </c>
      <c r="FF24" s="10">
        <f t="array" aca="1" ref="FF24" ca="1">MIN(IF(IF(ISERROR(EK24:FD24),-1,EK24:FD24)&lt;0,9999999999,EK24:FD24))</f>
        <v>9999999999</v>
      </c>
      <c r="FH24">
        <f t="shared" ca="1" si="30"/>
        <v>-1</v>
      </c>
      <c r="FJ24" s="10">
        <f t="shared" ca="1" si="31"/>
        <v>-3169505557.6352592</v>
      </c>
      <c r="FK24" s="10">
        <f t="shared" ca="1" si="32"/>
        <v>3014986712.5215373</v>
      </c>
      <c r="FL24" s="10">
        <f t="shared" ca="1" si="33"/>
        <v>8992446243.7729549</v>
      </c>
      <c r="FM24" s="10">
        <f t="shared" ca="1" si="34"/>
        <v>1</v>
      </c>
      <c r="FN24" s="14">
        <f t="shared" ca="1" si="35"/>
        <v>0.31695055562280328</v>
      </c>
      <c r="FO24" s="14">
        <f t="shared" ca="1" si="0"/>
        <v>-0.3014986713865182</v>
      </c>
      <c r="FP24" s="14">
        <f t="shared" ca="1" si="1"/>
        <v>-0.89924462547326955</v>
      </c>
      <c r="FQ24" s="14">
        <f t="shared" ca="1" si="2"/>
        <v>0</v>
      </c>
      <c r="FR24" s="10" t="e">
        <f t="array" aca="1" ref="FR24" ca="1">(FJ24-OFFSET(C$6,$FH24,0))/SQRT(SUM(($FJ24:$FM24-OFFSET($C$6:$F$6,$FH24,0))*($FJ24:$FM24-OFFSET($C$6:$F$6,$FH24,0))))</f>
        <v>#VALUE!</v>
      </c>
      <c r="FS24" s="10" t="e">
        <f t="array" aca="1" ref="FS24" ca="1">(FK24-OFFSET(D$6,$FH24,0))/SQRT(SUM(($FJ24:$FM24-OFFSET($C$6:$F$6,$FH24,0))*($FJ24:$FM24-OFFSET($C$6:$F$6,$FH24,0))))</f>
        <v>#VALUE!</v>
      </c>
      <c r="FT24" s="10" t="e">
        <f t="array" aca="1" ref="FT24" ca="1">(FL24-OFFSET(E$6,$FH24,0))/SQRT(SUM(($FJ24:$FM24-OFFSET($C$6:$F$6,$FH24,0))*($FJ24:$FM24-OFFSET($C$6:$F$6,$FH24,0))))</f>
        <v>#VALUE!</v>
      </c>
      <c r="FU24" s="10" t="e">
        <f t="array" aca="1" ref="FU24" ca="1">(FM24-OFFSET(F$6,$FH24,0))/SQRT(SUM(($FJ24:$FM24-OFFSET($C$6:$F$6,$FH24,0))*($FJ24:$FM24-OFFSET($C$6:$F$6,$FH24,0))))</f>
        <v>#VALUE!</v>
      </c>
      <c r="FV24" s="14">
        <f t="array" aca="1" ref="FV24" ca="1">-(FJ24-O$6)/SQRT(SUM(($O$6:$R$6-$FJ24:$FM24)*($O$6:$R$6-$FJ24:$FM24)))</f>
        <v>0.3169505549856011</v>
      </c>
      <c r="FW24" s="14">
        <f t="array" aca="1" ref="FW24" ca="1">-(FK24-P$6)/SQRT(SUM(($O$6:$R$6-$FJ24:$FM24)*($O$6:$R$6-$FJ24:$FM24)))</f>
        <v>-0.30149867046340234</v>
      </c>
      <c r="FX24" s="14">
        <f t="array" aca="1" ref="FX24" ca="1">-(FL24-Q$6)/SQRT(SUM(($O$6:$R$6-$FJ24:$FM24)*($O$6:$R$6-$FJ24:$FM24)))</f>
        <v>-0.89924462600736188</v>
      </c>
      <c r="FY24" s="14">
        <f t="array" aca="1" ref="FY24" ca="1">-(FM24-R$6)/SQRT(SUM(($O$6:$R$6-$FJ24:$FM24)*($O$6:$R$6-$FJ24:$FM24)))</f>
        <v>0</v>
      </c>
      <c r="FZ24" s="14" t="e">
        <f t="array" aca="1" ref="FZ24:GC24" ca="1">-FN24:FQ24-FR24:FU24*2*SUM(-FN24:FQ24*FR24:FU24)</f>
        <v>#VALUE!</v>
      </c>
      <c r="GA24" s="14" t="e">
        <f ca="1"/>
        <v>#VALUE!</v>
      </c>
      <c r="GB24" s="14" t="e">
        <f ca="1"/>
        <v>#VALUE!</v>
      </c>
      <c r="GC24" s="14" t="e">
        <f ca="1"/>
        <v>#VALUE!</v>
      </c>
      <c r="GD24" s="14" t="e">
        <f t="array" aca="1" ref="GD24:GG24" ca="1">-FV24:FY24-FR24:FU24*2*SUM(-FV24:FY24*FR24:FU24)</f>
        <v>#VALUE!</v>
      </c>
      <c r="GE24" s="14" t="e">
        <f ca="1"/>
        <v>#VALUE!</v>
      </c>
      <c r="GF24" s="14" t="e">
        <f ca="1"/>
        <v>#VALUE!</v>
      </c>
      <c r="GG24" s="14" t="e">
        <f ca="1"/>
        <v>#VALUE!</v>
      </c>
      <c r="GH24" t="e">
        <f t="array" aca="1" ref="GH24" ca="1">SUM(FV24:FY24*FR24:FU24)</f>
        <v>#VALUE!</v>
      </c>
      <c r="GI24" t="e">
        <f t="array" aca="1" ref="GI24" ca="1">SUM(GD24:GG24*FN24:FQ24)</f>
        <v>#VALUE!</v>
      </c>
      <c r="GJ24" s="11" t="e">
        <f t="shared" ca="1" si="36"/>
        <v>#VALUE!</v>
      </c>
      <c r="GK24" s="11" t="e">
        <f t="shared" ca="1" si="37"/>
        <v>#VALUE!</v>
      </c>
      <c r="GL24" s="11" t="e">
        <f t="shared" ca="1" si="38"/>
        <v>#VALUE!</v>
      </c>
      <c r="GM24" s="11">
        <f t="shared" ca="1" si="39"/>
        <v>0</v>
      </c>
      <c r="GO24" s="10" t="e">
        <f t="array" aca="1" ref="GO24:GR24" ca="1">FJ24:FM24+FR24:FU24*0.001</f>
        <v>#VALUE!</v>
      </c>
      <c r="GP24" s="10" t="e">
        <f ca="1"/>
        <v>#VALUE!</v>
      </c>
      <c r="GQ24" s="10" t="e">
        <f ca="1"/>
        <v>#VALUE!</v>
      </c>
      <c r="GR24" s="10" t="e">
        <f ca="1"/>
        <v>#VALUE!</v>
      </c>
      <c r="GS24" s="10">
        <f t="shared" ca="1" si="40"/>
        <v>0.3169505549856011</v>
      </c>
      <c r="GT24" s="10">
        <f t="shared" ca="1" si="3"/>
        <v>-0.30149867046340234</v>
      </c>
      <c r="GU24" s="10">
        <f t="shared" ca="1" si="4"/>
        <v>-0.89924462600736188</v>
      </c>
      <c r="GV24" s="10">
        <f t="shared" ca="1" si="5"/>
        <v>0</v>
      </c>
      <c r="GX24" s="10" t="e">
        <f t="array" aca="1" ref="GX24" ca="1">-SUM(($GS24:$GV24)*($GO24:$GR24-OFFSET($C$6:$F$6,GX$5,0)))+SQRT(SUM(($GS24:$GV24)*($GO24:$GR24-OFFSET($C$6:$F$6,GX$5,0)))^2-SUM(($GO24:$GR24-OFFSET($C$6:$F$6,GX$5,0))*($GO24:$GR24-OFFSET($C$6:$F$6,GX$5,0)))+OFFSET($G$6,GX$5,0)^2)</f>
        <v>#VALUE!</v>
      </c>
      <c r="GY24" s="10" t="e">
        <f t="array" aca="1" ref="GY24" ca="1">-SUM(($GS24:$GV24)*($GO24:$GR24-OFFSET($C$6:$F$6,GY$5,0)))+SQRT(SUM(($GS24:$GV24)*($GO24:$GR24-OFFSET($C$6:$F$6,GY$5,0)))^2-SUM(($GO24:$GR24-OFFSET($C$6:$F$6,GY$5,0))*($GO24:$GR24-OFFSET($C$6:$F$6,GY$5,0)))+OFFSET($G$6,GY$5,0)^2)</f>
        <v>#VALUE!</v>
      </c>
      <c r="GZ24" s="10" t="e">
        <f t="array" aca="1" ref="GZ24" ca="1">-SUM(($GS24:$GV24)*($GO24:$GR24-OFFSET($C$6:$F$6,GZ$5,0)))+SQRT(SUM(($GS24:$GV24)*($GO24:$GR24-OFFSET($C$6:$F$6,GZ$5,0)))^2-SUM(($GO24:$GR24-OFFSET($C$6:$F$6,GZ$5,0))*($GO24:$GR24-OFFSET($C$6:$F$6,GZ$5,0)))+OFFSET($G$6,GZ$5,0)^2)</f>
        <v>#VALUE!</v>
      </c>
      <c r="HA24" s="10" t="e">
        <f t="array" aca="1" ref="HA24" ca="1">-SUM(($GS24:$GV24)*($GO24:$GR24-OFFSET($C$6:$F$6,HA$5,0)))+SQRT(SUM(($GS24:$GV24)*($GO24:$GR24-OFFSET($C$6:$F$6,HA$5,0)))^2-SUM(($GO24:$GR24-OFFSET($C$6:$F$6,HA$5,0))*($GO24:$GR24-OFFSET($C$6:$F$6,HA$5,0)))+OFFSET($G$6,HA$5,0)^2)</f>
        <v>#VALUE!</v>
      </c>
      <c r="HB24" s="10" t="e">
        <f t="array" aca="1" ref="HB24" ca="1">-SUM(($GS24:$GV24)*($GO24:$GR24-OFFSET($C$6:$F$6,HB$5,0)))+SQRT(SUM(($GS24:$GV24)*($GO24:$GR24-OFFSET($C$6:$F$6,HB$5,0)))^2-SUM(($GO24:$GR24-OFFSET($C$6:$F$6,HB$5,0))*($GO24:$GR24-OFFSET($C$6:$F$6,HB$5,0)))+OFFSET($G$6,HB$5,0)^2)</f>
        <v>#VALUE!</v>
      </c>
      <c r="HC24" s="10" t="e">
        <f t="array" aca="1" ref="HC24" ca="1">-SUM(($GS24:$GV24)*($GO24:$GR24-OFFSET($C$6:$F$6,HC$5,0)))+SQRT(SUM(($GS24:$GV24)*($GO24:$GR24-OFFSET($C$6:$F$6,HC$5,0)))^2-SUM(($GO24:$GR24-OFFSET($C$6:$F$6,HC$5,0))*($GO24:$GR24-OFFSET($C$6:$F$6,HC$5,0)))+OFFSET($G$6,HC$5,0)^2)</f>
        <v>#VALUE!</v>
      </c>
      <c r="HD24" s="10" t="e">
        <f t="array" aca="1" ref="HD24" ca="1">-SUM(($GS24:$GV24)*($GO24:$GR24-OFFSET($C$6:$F$6,HD$5,0)))+SQRT(SUM(($GS24:$GV24)*($GO24:$GR24-OFFSET($C$6:$F$6,HD$5,0)))^2-SUM(($GO24:$GR24-OFFSET($C$6:$F$6,HD$5,0))*($GO24:$GR24-OFFSET($C$6:$F$6,HD$5,0)))+OFFSET($G$6,HD$5,0)^2)</f>
        <v>#VALUE!</v>
      </c>
      <c r="HE24" s="10" t="e">
        <f t="array" aca="1" ref="HE24" ca="1">-SUM(($GS24:$GV24)*($GO24:$GR24-OFFSET($C$6:$F$6,HE$5,0)))+SQRT(SUM(($GS24:$GV24)*($GO24:$GR24-OFFSET($C$6:$F$6,HE$5,0)))^2-SUM(($GO24:$GR24-OFFSET($C$6:$F$6,HE$5,0))*($GO24:$GR24-OFFSET($C$6:$F$6,HE$5,0)))+OFFSET($G$6,HE$5,0)^2)</f>
        <v>#VALUE!</v>
      </c>
      <c r="HF24" s="10" t="e">
        <f t="array" aca="1" ref="HF24" ca="1">-SUM(($GS24:$GV24)*($GO24:$GR24-OFFSET($C$6:$F$6,HF$5,0)))+SQRT(SUM(($GS24:$GV24)*($GO24:$GR24-OFFSET($C$6:$F$6,HF$5,0)))^2-SUM(($GO24:$GR24-OFFSET($C$6:$F$6,HF$5,0))*($GO24:$GR24-OFFSET($C$6:$F$6,HF$5,0)))+OFFSET($G$6,HF$5,0)^2)</f>
        <v>#VALUE!</v>
      </c>
      <c r="HG24" s="10" t="e">
        <f t="array" aca="1" ref="HG24" ca="1">-SUM(($GS24:$GV24)*($GO24:$GR24-OFFSET($C$6:$F$6,HG$5,0)))+SQRT(SUM(($GS24:$GV24)*($GO24:$GR24-OFFSET($C$6:$F$6,HG$5,0)))^2-SUM(($GO24:$GR24-OFFSET($C$6:$F$6,HG$5,0))*($GO24:$GR24-OFFSET($C$6:$F$6,HG$5,0)))+OFFSET($G$6,HG$5,0)^2)</f>
        <v>#VALUE!</v>
      </c>
      <c r="HH24" s="10" t="e">
        <f t="array" aca="1" ref="HH24" ca="1">-SUM(($GS24:$GV24)*($GO24:$GR24-OFFSET($C$6:$F$6,GX$5,0)))-SQRT(SUM(($GS24:$GV24)*($GO24:$GR24-OFFSET($C$6:$F$6,GX$5,0)))^2-SUM(($GO24:$GR24-OFFSET($C$6:$F$6,GX$5,0))*($GO24:$GR24-OFFSET($C$6:$F$6,GX$5,0)))+OFFSET($G$6,GX$5,0)^2)</f>
        <v>#VALUE!</v>
      </c>
      <c r="HI24" s="10" t="e">
        <f t="array" aca="1" ref="HI24" ca="1">-SUM(($GS24:$GV24)*($GO24:$GR24-OFFSET($C$6:$F$6,GY$5,0)))-SQRT(SUM(($GS24:$GV24)*($GO24:$GR24-OFFSET($C$6:$F$6,GY$5,0)))^2-SUM(($GO24:$GR24-OFFSET($C$6:$F$6,GY$5,0))*($GO24:$GR24-OFFSET($C$6:$F$6,GY$5,0)))+OFFSET($G$6,GY$5,0)^2)</f>
        <v>#VALUE!</v>
      </c>
      <c r="HJ24" s="10" t="e">
        <f t="array" aca="1" ref="HJ24" ca="1">-SUM(($GS24:$GV24)*($GO24:$GR24-OFFSET($C$6:$F$6,GZ$5,0)))-SQRT(SUM(($GS24:$GV24)*($GO24:$GR24-OFFSET($C$6:$F$6,GZ$5,0)))^2-SUM(($GO24:$GR24-OFFSET($C$6:$F$6,GZ$5,0))*($GO24:$GR24-OFFSET($C$6:$F$6,GZ$5,0)))+OFFSET($G$6,GZ$5,0)^2)</f>
        <v>#VALUE!</v>
      </c>
      <c r="HK24" s="10" t="e">
        <f t="array" aca="1" ref="HK24" ca="1">-SUM(($GS24:$GV24)*($GO24:$GR24-OFFSET($C$6:$F$6,HA$5,0)))-SQRT(SUM(($GS24:$GV24)*($GO24:$GR24-OFFSET($C$6:$F$6,HA$5,0)))^2-SUM(($GO24:$GR24-OFFSET($C$6:$F$6,HA$5,0))*($GO24:$GR24-OFFSET($C$6:$F$6,HA$5,0)))+OFFSET($G$6,HA$5,0)^2)</f>
        <v>#VALUE!</v>
      </c>
      <c r="HL24" s="10" t="e">
        <f t="array" aca="1" ref="HL24" ca="1">-SUM(($GS24:$GV24)*($GO24:$GR24-OFFSET($C$6:$F$6,HB$5,0)))-SQRT(SUM(($GS24:$GV24)*($GO24:$GR24-OFFSET($C$6:$F$6,HB$5,0)))^2-SUM(($GO24:$GR24-OFFSET($C$6:$F$6,HB$5,0))*($GO24:$GR24-OFFSET($C$6:$F$6,HB$5,0)))+OFFSET($G$6,HB$5,0)^2)</f>
        <v>#VALUE!</v>
      </c>
      <c r="HM24" s="10" t="e">
        <f t="array" aca="1" ref="HM24" ca="1">-SUM(($GS24:$GV24)*($GO24:$GR24-OFFSET($C$6:$F$6,HC$5,0)))-SQRT(SUM(($GS24:$GV24)*($GO24:$GR24-OFFSET($C$6:$F$6,HC$5,0)))^2-SUM(($GO24:$GR24-OFFSET($C$6:$F$6,HC$5,0))*($GO24:$GR24-OFFSET($C$6:$F$6,HC$5,0)))+OFFSET($G$6,HC$5,0)^2)</f>
        <v>#VALUE!</v>
      </c>
      <c r="HN24" s="10" t="e">
        <f t="array" aca="1" ref="HN24" ca="1">-SUM(($GS24:$GV24)*($GO24:$GR24-OFFSET($C$6:$F$6,HD$5,0)))-SQRT(SUM(($GS24:$GV24)*($GO24:$GR24-OFFSET($C$6:$F$6,HD$5,0)))^2-SUM(($GO24:$GR24-OFFSET($C$6:$F$6,HD$5,0))*($GO24:$GR24-OFFSET($C$6:$F$6,HD$5,0)))+OFFSET($G$6,HD$5,0)^2)</f>
        <v>#VALUE!</v>
      </c>
      <c r="HO24" s="10" t="e">
        <f t="array" aca="1" ref="HO24" ca="1">-SUM(($GS24:$GV24)*($GO24:$GR24-OFFSET($C$6:$F$6,HE$5,0)))-SQRT(SUM(($GS24:$GV24)*($GO24:$GR24-OFFSET($C$6:$F$6,HE$5,0)))^2-SUM(($GO24:$GR24-OFFSET($C$6:$F$6,HE$5,0))*($GO24:$GR24-OFFSET($C$6:$F$6,HE$5,0)))+OFFSET($G$6,HE$5,0)^2)</f>
        <v>#VALUE!</v>
      </c>
      <c r="HP24" s="10" t="e">
        <f t="array" aca="1" ref="HP24" ca="1">-SUM(($GS24:$GV24)*($GO24:$GR24-OFFSET($C$6:$F$6,HF$5,0)))-SQRT(SUM(($GS24:$GV24)*($GO24:$GR24-OFFSET($C$6:$F$6,HF$5,0)))^2-SUM(($GO24:$GR24-OFFSET($C$6:$F$6,HF$5,0))*($GO24:$GR24-OFFSET($C$6:$F$6,HF$5,0)))+OFFSET($G$6,HF$5,0)^2)</f>
        <v>#VALUE!</v>
      </c>
      <c r="HQ24" s="10" t="e">
        <f t="array" aca="1" ref="HQ24" ca="1">-SUM(($GS24:$GV24)*($GO24:$GR24-OFFSET($C$6:$F$6,HG$5,0)))-SQRT(SUM(($GS24:$GV24)*($GO24:$GR24-OFFSET($C$6:$F$6,HG$5,0)))^2-SUM(($GO24:$GR24-OFFSET($C$6:$F$6,HG$5,0))*($GO24:$GR24-OFFSET($C$6:$F$6,HG$5,0)))+OFFSET($G$6,HG$5,0)^2)</f>
        <v>#VALUE!</v>
      </c>
      <c r="HS24" s="10">
        <f t="array" aca="1" ref="HS24" ca="1">MIN(IF(IF(ISERROR(GX24:HQ24),-1,GX24:HQ24)&lt;0,9999999999,GX24:HQ24))</f>
        <v>9999999999</v>
      </c>
      <c r="HU24" s="11">
        <f t="shared" ca="1" si="41"/>
        <v>0</v>
      </c>
      <c r="HW24" s="11">
        <f t="shared" ca="1" si="42"/>
        <v>0.7212618126112178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R193"/>
  <sheetViews>
    <sheetView zoomScaleNormal="100" workbookViewId="0">
      <selection activeCell="AM68" sqref="AM68"/>
    </sheetView>
  </sheetViews>
  <sheetFormatPr defaultRowHeight="15" x14ac:dyDescent="0.25"/>
  <cols>
    <col min="1" max="161" width="0.85546875" customWidth="1"/>
    <col min="177" max="177" width="2.28515625" customWidth="1"/>
  </cols>
  <sheetData>
    <row r="1" spans="1:161" ht="4.5" customHeight="1" thickBot="1" x14ac:dyDescent="0.3">
      <c r="B1">
        <v>0</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c r="AB1">
        <v>26</v>
      </c>
      <c r="AC1">
        <v>27</v>
      </c>
      <c r="AD1">
        <v>28</v>
      </c>
      <c r="AE1">
        <v>29</v>
      </c>
      <c r="AF1">
        <v>30</v>
      </c>
      <c r="AG1">
        <v>31</v>
      </c>
      <c r="AH1">
        <v>32</v>
      </c>
      <c r="AI1">
        <v>33</v>
      </c>
      <c r="AJ1">
        <v>34</v>
      </c>
      <c r="AK1">
        <v>35</v>
      </c>
      <c r="AL1">
        <v>36</v>
      </c>
      <c r="AM1">
        <v>37</v>
      </c>
      <c r="AN1">
        <v>38</v>
      </c>
      <c r="AO1">
        <v>39</v>
      </c>
      <c r="AP1">
        <v>40</v>
      </c>
      <c r="AQ1">
        <v>41</v>
      </c>
      <c r="AR1">
        <v>42</v>
      </c>
      <c r="AS1">
        <v>43</v>
      </c>
      <c r="AT1">
        <v>44</v>
      </c>
      <c r="AU1">
        <v>45</v>
      </c>
      <c r="AV1">
        <v>46</v>
      </c>
      <c r="AW1">
        <v>47</v>
      </c>
      <c r="AX1">
        <v>48</v>
      </c>
      <c r="AY1">
        <v>49</v>
      </c>
      <c r="AZ1">
        <v>50</v>
      </c>
      <c r="BA1">
        <v>51</v>
      </c>
      <c r="BB1">
        <v>52</v>
      </c>
      <c r="BC1">
        <v>53</v>
      </c>
      <c r="BD1">
        <v>54</v>
      </c>
      <c r="BE1">
        <v>55</v>
      </c>
      <c r="BF1">
        <v>56</v>
      </c>
      <c r="BG1">
        <v>57</v>
      </c>
      <c r="BH1">
        <v>58</v>
      </c>
      <c r="BI1">
        <v>59</v>
      </c>
      <c r="BJ1">
        <v>60</v>
      </c>
      <c r="BK1">
        <v>61</v>
      </c>
      <c r="BL1">
        <v>62</v>
      </c>
      <c r="BM1">
        <v>63</v>
      </c>
      <c r="BN1">
        <v>64</v>
      </c>
      <c r="BO1">
        <v>65</v>
      </c>
      <c r="BP1">
        <v>66</v>
      </c>
      <c r="BQ1">
        <v>67</v>
      </c>
      <c r="BR1">
        <v>68</v>
      </c>
      <c r="BS1">
        <v>69</v>
      </c>
      <c r="BT1">
        <v>70</v>
      </c>
      <c r="BU1">
        <v>71</v>
      </c>
      <c r="BV1">
        <v>72</v>
      </c>
      <c r="BW1">
        <v>73</v>
      </c>
      <c r="BX1">
        <v>74</v>
      </c>
      <c r="BY1">
        <v>75</v>
      </c>
      <c r="BZ1">
        <v>76</v>
      </c>
      <c r="CA1">
        <v>77</v>
      </c>
      <c r="CB1">
        <v>78</v>
      </c>
      <c r="CC1">
        <v>79</v>
      </c>
      <c r="CD1">
        <v>80</v>
      </c>
      <c r="CE1">
        <v>81</v>
      </c>
      <c r="CF1">
        <v>82</v>
      </c>
      <c r="CG1">
        <v>83</v>
      </c>
      <c r="CH1">
        <v>84</v>
      </c>
      <c r="CI1">
        <v>85</v>
      </c>
      <c r="CJ1">
        <v>86</v>
      </c>
      <c r="CK1">
        <v>87</v>
      </c>
      <c r="CL1">
        <v>88</v>
      </c>
      <c r="CM1">
        <v>89</v>
      </c>
      <c r="CN1">
        <v>90</v>
      </c>
      <c r="CO1">
        <v>91</v>
      </c>
      <c r="CP1">
        <v>92</v>
      </c>
      <c r="CQ1">
        <v>93</v>
      </c>
      <c r="CR1">
        <v>94</v>
      </c>
      <c r="CS1">
        <v>95</v>
      </c>
      <c r="CT1">
        <v>96</v>
      </c>
      <c r="CU1">
        <v>97</v>
      </c>
      <c r="CV1">
        <v>98</v>
      </c>
      <c r="CW1">
        <v>99</v>
      </c>
      <c r="CX1">
        <v>100</v>
      </c>
      <c r="CY1">
        <v>101</v>
      </c>
      <c r="CZ1">
        <v>102</v>
      </c>
      <c r="DA1">
        <v>103</v>
      </c>
      <c r="DB1">
        <v>104</v>
      </c>
      <c r="DC1">
        <v>105</v>
      </c>
      <c r="DD1">
        <v>106</v>
      </c>
      <c r="DE1">
        <v>107</v>
      </c>
      <c r="DF1">
        <v>108</v>
      </c>
      <c r="DG1">
        <v>109</v>
      </c>
      <c r="DH1">
        <v>110</v>
      </c>
      <c r="DI1">
        <v>111</v>
      </c>
      <c r="DJ1">
        <v>112</v>
      </c>
      <c r="DK1">
        <v>113</v>
      </c>
      <c r="DL1">
        <v>114</v>
      </c>
      <c r="DM1">
        <v>115</v>
      </c>
      <c r="DN1">
        <v>116</v>
      </c>
      <c r="DO1">
        <v>117</v>
      </c>
      <c r="DP1">
        <v>118</v>
      </c>
      <c r="DQ1">
        <v>119</v>
      </c>
      <c r="DR1">
        <v>120</v>
      </c>
      <c r="DS1">
        <v>121</v>
      </c>
      <c r="DT1">
        <v>122</v>
      </c>
      <c r="DU1">
        <v>123</v>
      </c>
      <c r="DV1">
        <v>124</v>
      </c>
      <c r="DW1">
        <v>125</v>
      </c>
      <c r="DX1">
        <v>126</v>
      </c>
      <c r="DY1">
        <v>127</v>
      </c>
      <c r="DZ1">
        <v>128</v>
      </c>
      <c r="EA1">
        <v>129</v>
      </c>
      <c r="EB1">
        <v>130</v>
      </c>
      <c r="EC1">
        <v>131</v>
      </c>
      <c r="ED1">
        <v>132</v>
      </c>
      <c r="EE1">
        <v>133</v>
      </c>
      <c r="EF1">
        <v>134</v>
      </c>
      <c r="EG1">
        <v>135</v>
      </c>
      <c r="EH1">
        <v>136</v>
      </c>
      <c r="EI1">
        <v>137</v>
      </c>
      <c r="EJ1">
        <v>138</v>
      </c>
      <c r="EK1">
        <v>139</v>
      </c>
      <c r="EL1">
        <v>140</v>
      </c>
      <c r="EM1">
        <v>141</v>
      </c>
      <c r="EN1">
        <v>142</v>
      </c>
      <c r="EO1">
        <v>143</v>
      </c>
      <c r="EP1">
        <v>144</v>
      </c>
      <c r="EQ1">
        <v>145</v>
      </c>
      <c r="ER1">
        <v>146</v>
      </c>
      <c r="ES1">
        <v>147</v>
      </c>
      <c r="ET1">
        <v>148</v>
      </c>
      <c r="EU1">
        <v>149</v>
      </c>
      <c r="EV1">
        <v>150</v>
      </c>
      <c r="EW1">
        <v>151</v>
      </c>
      <c r="EX1">
        <v>152</v>
      </c>
      <c r="EY1">
        <v>153</v>
      </c>
      <c r="EZ1">
        <v>154</v>
      </c>
      <c r="FA1">
        <v>155</v>
      </c>
      <c r="FB1">
        <v>156</v>
      </c>
      <c r="FC1">
        <v>157</v>
      </c>
      <c r="FD1">
        <v>158</v>
      </c>
      <c r="FE1">
        <v>159</v>
      </c>
    </row>
    <row r="2" spans="1:161" ht="4.5" customHeight="1" x14ac:dyDescent="0.25">
      <c r="A2">
        <v>0</v>
      </c>
      <c r="B2" s="18">
        <f ca="1">OFFSET(Objects!$HW$6,B$1+(Objects!$Y$4-$A2-1)*Objects!$X$4,0)</f>
        <v>0</v>
      </c>
      <c r="C2" s="19">
        <f ca="1">OFFSET(Objects!$HW$6,C$1+(Objects!$Y$4-$A2-1)*Objects!$X$4,0)</f>
        <v>0</v>
      </c>
      <c r="D2" s="19">
        <f ca="1">OFFSET(Objects!$HW$6,D$1+(Objects!$Y$4-$A2-1)*Objects!$X$4,0)</f>
        <v>0</v>
      </c>
      <c r="E2" s="19">
        <f ca="1">OFFSET(Objects!$HW$6,E$1+(Objects!$Y$4-$A2-1)*Objects!$X$4,0)</f>
        <v>0</v>
      </c>
      <c r="F2" s="19">
        <f ca="1">OFFSET(Objects!$HW$6,F$1+(Objects!$Y$4-$A2-1)*Objects!$X$4,0)</f>
        <v>0</v>
      </c>
      <c r="G2" s="19">
        <f ca="1">OFFSET(Objects!$HW$6,G$1+(Objects!$Y$4-$A2-1)*Objects!$X$4,0)</f>
        <v>0</v>
      </c>
      <c r="H2" s="19">
        <f ca="1">OFFSET(Objects!$HW$6,H$1+(Objects!$Y$4-$A2-1)*Objects!$X$4,0)</f>
        <v>0</v>
      </c>
      <c r="I2" s="19">
        <f ca="1">OFFSET(Objects!$HW$6,I$1+(Objects!$Y$4-$A2-1)*Objects!$X$4,0)</f>
        <v>0</v>
      </c>
      <c r="J2" s="19">
        <f ca="1">OFFSET(Objects!$HW$6,J$1+(Objects!$Y$4-$A2-1)*Objects!$X$4,0)</f>
        <v>0</v>
      </c>
      <c r="K2" s="19">
        <f ca="1">OFFSET(Objects!$HW$6,K$1+(Objects!$Y$4-$A2-1)*Objects!$X$4,0)</f>
        <v>0</v>
      </c>
      <c r="L2" s="19">
        <f ca="1">OFFSET(Objects!$HW$6,L$1+(Objects!$Y$4-$A2-1)*Objects!$X$4,0)</f>
        <v>0</v>
      </c>
      <c r="M2" s="19">
        <f ca="1">OFFSET(Objects!$HW$6,M$1+(Objects!$Y$4-$A2-1)*Objects!$X$4,0)</f>
        <v>0</v>
      </c>
      <c r="N2" s="19">
        <f ca="1">OFFSET(Objects!$HW$6,N$1+(Objects!$Y$4-$A2-1)*Objects!$X$4,0)</f>
        <v>0</v>
      </c>
      <c r="O2" s="19">
        <f ca="1">OFFSET(Objects!$HW$6,O$1+(Objects!$Y$4-$A2-1)*Objects!$X$4,0)</f>
        <v>0</v>
      </c>
      <c r="P2" s="19">
        <f ca="1">OFFSET(Objects!$HW$6,P$1+(Objects!$Y$4-$A2-1)*Objects!$X$4,0)</f>
        <v>0</v>
      </c>
      <c r="Q2" s="19">
        <f ca="1">OFFSET(Objects!$HW$6,Q$1+(Objects!$Y$4-$A2-1)*Objects!$X$4,0)</f>
        <v>0</v>
      </c>
      <c r="R2" s="19">
        <f ca="1">OFFSET(Objects!$HW$6,R$1+(Objects!$Y$4-$A2-1)*Objects!$X$4,0)</f>
        <v>0</v>
      </c>
      <c r="S2" s="19">
        <f ca="1">OFFSET(Objects!$HW$6,S$1+(Objects!$Y$4-$A2-1)*Objects!$X$4,0)</f>
        <v>0</v>
      </c>
      <c r="T2" s="19">
        <f ca="1">OFFSET(Objects!$HW$6,T$1+(Objects!$Y$4-$A2-1)*Objects!$X$4,0)</f>
        <v>0</v>
      </c>
      <c r="U2" s="19">
        <f ca="1">OFFSET(Objects!$HW$6,U$1+(Objects!$Y$4-$A2-1)*Objects!$X$4,0)</f>
        <v>0</v>
      </c>
      <c r="V2" s="19">
        <f ca="1">OFFSET(Objects!$HW$6,V$1+(Objects!$Y$4-$A2-1)*Objects!$X$4,0)</f>
        <v>0</v>
      </c>
      <c r="W2" s="19">
        <f ca="1">OFFSET(Objects!$HW$6,W$1+(Objects!$Y$4-$A2-1)*Objects!$X$4,0)</f>
        <v>0</v>
      </c>
      <c r="X2" s="19">
        <f ca="1">OFFSET(Objects!$HW$6,X$1+(Objects!$Y$4-$A2-1)*Objects!$X$4,0)</f>
        <v>0</v>
      </c>
      <c r="Y2" s="19">
        <f ca="1">OFFSET(Objects!$HW$6,Y$1+(Objects!$Y$4-$A2-1)*Objects!$X$4,0)</f>
        <v>0</v>
      </c>
      <c r="Z2" s="19">
        <f ca="1">OFFSET(Objects!$HW$6,Z$1+(Objects!$Y$4-$A2-1)*Objects!$X$4,0)</f>
        <v>0</v>
      </c>
      <c r="AA2" s="19">
        <f ca="1">OFFSET(Objects!$HW$6,AA$1+(Objects!$Y$4-$A2-1)*Objects!$X$4,0)</f>
        <v>0</v>
      </c>
      <c r="AB2" s="19">
        <f ca="1">OFFSET(Objects!$HW$6,AB$1+(Objects!$Y$4-$A2-1)*Objects!$X$4,0)</f>
        <v>0</v>
      </c>
      <c r="AC2" s="19">
        <f ca="1">OFFSET(Objects!$HW$6,AC$1+(Objects!$Y$4-$A2-1)*Objects!$X$4,0)</f>
        <v>0</v>
      </c>
      <c r="AD2" s="19">
        <f ca="1">OFFSET(Objects!$HW$6,AD$1+(Objects!$Y$4-$A2-1)*Objects!$X$4,0)</f>
        <v>0</v>
      </c>
      <c r="AE2" s="19">
        <f ca="1">OFFSET(Objects!$HW$6,AE$1+(Objects!$Y$4-$A2-1)*Objects!$X$4,0)</f>
        <v>0</v>
      </c>
      <c r="AF2" s="19">
        <f ca="1">OFFSET(Objects!$HW$6,AF$1+(Objects!$Y$4-$A2-1)*Objects!$X$4,0)</f>
        <v>0</v>
      </c>
      <c r="AG2" s="19">
        <f ca="1">OFFSET(Objects!$HW$6,AG$1+(Objects!$Y$4-$A2-1)*Objects!$X$4,0)</f>
        <v>0</v>
      </c>
      <c r="AH2" s="19">
        <f ca="1">OFFSET(Objects!$HW$6,AH$1+(Objects!$Y$4-$A2-1)*Objects!$X$4,0)</f>
        <v>0</v>
      </c>
      <c r="AI2" s="19">
        <f ca="1">OFFSET(Objects!$HW$6,AI$1+(Objects!$Y$4-$A2-1)*Objects!$X$4,0)</f>
        <v>0</v>
      </c>
      <c r="AJ2" s="19">
        <f ca="1">OFFSET(Objects!$HW$6,AJ$1+(Objects!$Y$4-$A2-1)*Objects!$X$4,0)</f>
        <v>0</v>
      </c>
      <c r="AK2" s="19">
        <f ca="1">OFFSET(Objects!$HW$6,AK$1+(Objects!$Y$4-$A2-1)*Objects!$X$4,0)</f>
        <v>0</v>
      </c>
      <c r="AL2" s="19">
        <f ca="1">OFFSET(Objects!$HW$6,AL$1+(Objects!$Y$4-$A2-1)*Objects!$X$4,0)</f>
        <v>0</v>
      </c>
      <c r="AM2" s="19">
        <f ca="1">OFFSET(Objects!$HW$6,AM$1+(Objects!$Y$4-$A2-1)*Objects!$X$4,0)</f>
        <v>0</v>
      </c>
      <c r="AN2" s="19">
        <f ca="1">OFFSET(Objects!$HW$6,AN$1+(Objects!$Y$4-$A2-1)*Objects!$X$4,0)</f>
        <v>0</v>
      </c>
      <c r="AO2" s="19">
        <f ca="1">OFFSET(Objects!$HW$6,AO$1+(Objects!$Y$4-$A2-1)*Objects!$X$4,0)</f>
        <v>0</v>
      </c>
      <c r="AP2" s="19">
        <f ca="1">OFFSET(Objects!$HW$6,AP$1+(Objects!$Y$4-$A2-1)*Objects!$X$4,0)</f>
        <v>0</v>
      </c>
      <c r="AQ2" s="19">
        <f ca="1">OFFSET(Objects!$HW$6,AQ$1+(Objects!$Y$4-$A2-1)*Objects!$X$4,0)</f>
        <v>0</v>
      </c>
      <c r="AR2" s="19">
        <f ca="1">OFFSET(Objects!$HW$6,AR$1+(Objects!$Y$4-$A2-1)*Objects!$X$4,0)</f>
        <v>0</v>
      </c>
      <c r="AS2" s="19">
        <f ca="1">OFFSET(Objects!$HW$6,AS$1+(Objects!$Y$4-$A2-1)*Objects!$X$4,0)</f>
        <v>0</v>
      </c>
      <c r="AT2" s="19">
        <f ca="1">OFFSET(Objects!$HW$6,AT$1+(Objects!$Y$4-$A2-1)*Objects!$X$4,0)</f>
        <v>0</v>
      </c>
      <c r="AU2" s="19">
        <f ca="1">OFFSET(Objects!$HW$6,AU$1+(Objects!$Y$4-$A2-1)*Objects!$X$4,0)</f>
        <v>0</v>
      </c>
      <c r="AV2" s="19">
        <f ca="1">OFFSET(Objects!$HW$6,AV$1+(Objects!$Y$4-$A2-1)*Objects!$X$4,0)</f>
        <v>0</v>
      </c>
      <c r="AW2" s="19">
        <f ca="1">OFFSET(Objects!$HW$6,AW$1+(Objects!$Y$4-$A2-1)*Objects!$X$4,0)</f>
        <v>0</v>
      </c>
      <c r="AX2" s="19">
        <f ca="1">OFFSET(Objects!$HW$6,AX$1+(Objects!$Y$4-$A2-1)*Objects!$X$4,0)</f>
        <v>0</v>
      </c>
      <c r="AY2" s="19">
        <f ca="1">OFFSET(Objects!$HW$6,AY$1+(Objects!$Y$4-$A2-1)*Objects!$X$4,0)</f>
        <v>0</v>
      </c>
      <c r="AZ2" s="19">
        <f ca="1">OFFSET(Objects!$HW$6,AZ$1+(Objects!$Y$4-$A2-1)*Objects!$X$4,0)</f>
        <v>0</v>
      </c>
      <c r="BA2" s="19">
        <f ca="1">OFFSET(Objects!$HW$6,BA$1+(Objects!$Y$4-$A2-1)*Objects!$X$4,0)</f>
        <v>0</v>
      </c>
      <c r="BB2" s="19">
        <f ca="1">OFFSET(Objects!$HW$6,BB$1+(Objects!$Y$4-$A2-1)*Objects!$X$4,0)</f>
        <v>0</v>
      </c>
      <c r="BC2" s="19">
        <f ca="1">OFFSET(Objects!$HW$6,BC$1+(Objects!$Y$4-$A2-1)*Objects!$X$4,0)</f>
        <v>0</v>
      </c>
      <c r="BD2" s="19">
        <f ca="1">OFFSET(Objects!$HW$6,BD$1+(Objects!$Y$4-$A2-1)*Objects!$X$4,0)</f>
        <v>0</v>
      </c>
      <c r="BE2" s="19">
        <f ca="1">OFFSET(Objects!$HW$6,BE$1+(Objects!$Y$4-$A2-1)*Objects!$X$4,0)</f>
        <v>0</v>
      </c>
      <c r="BF2" s="19">
        <f ca="1">OFFSET(Objects!$HW$6,BF$1+(Objects!$Y$4-$A2-1)*Objects!$X$4,0)</f>
        <v>0</v>
      </c>
      <c r="BG2" s="19">
        <f ca="1">OFFSET(Objects!$HW$6,BG$1+(Objects!$Y$4-$A2-1)*Objects!$X$4,0)</f>
        <v>0</v>
      </c>
      <c r="BH2" s="19">
        <f ca="1">OFFSET(Objects!$HW$6,BH$1+(Objects!$Y$4-$A2-1)*Objects!$X$4,0)</f>
        <v>0</v>
      </c>
      <c r="BI2" s="19">
        <f ca="1">OFFSET(Objects!$HW$6,BI$1+(Objects!$Y$4-$A2-1)*Objects!$X$4,0)</f>
        <v>0</v>
      </c>
      <c r="BJ2" s="19">
        <f ca="1">OFFSET(Objects!$HW$6,BJ$1+(Objects!$Y$4-$A2-1)*Objects!$X$4,0)</f>
        <v>0</v>
      </c>
      <c r="BK2" s="19">
        <f ca="1">OFFSET(Objects!$HW$6,BK$1+(Objects!$Y$4-$A2-1)*Objects!$X$4,0)</f>
        <v>0</v>
      </c>
      <c r="BL2" s="19">
        <f ca="1">OFFSET(Objects!$HW$6,BL$1+(Objects!$Y$4-$A2-1)*Objects!$X$4,0)</f>
        <v>0</v>
      </c>
      <c r="BM2" s="19">
        <f ca="1">OFFSET(Objects!$HW$6,BM$1+(Objects!$Y$4-$A2-1)*Objects!$X$4,0)</f>
        <v>0</v>
      </c>
      <c r="BN2" s="19">
        <f ca="1">OFFSET(Objects!$HW$6,BN$1+(Objects!$Y$4-$A2-1)*Objects!$X$4,0)</f>
        <v>0</v>
      </c>
      <c r="BO2" s="19">
        <f ca="1">OFFSET(Objects!$HW$6,BO$1+(Objects!$Y$4-$A2-1)*Objects!$X$4,0)</f>
        <v>0</v>
      </c>
      <c r="BP2" s="19">
        <f ca="1">OFFSET(Objects!$HW$6,BP$1+(Objects!$Y$4-$A2-1)*Objects!$X$4,0)</f>
        <v>0</v>
      </c>
      <c r="BQ2" s="19">
        <f ca="1">OFFSET(Objects!$HW$6,BQ$1+(Objects!$Y$4-$A2-1)*Objects!$X$4,0)</f>
        <v>0</v>
      </c>
      <c r="BR2" s="19">
        <f ca="1">OFFSET(Objects!$HW$6,BR$1+(Objects!$Y$4-$A2-1)*Objects!$X$4,0)</f>
        <v>0</v>
      </c>
      <c r="BS2" s="19">
        <f ca="1">OFFSET(Objects!$HW$6,BS$1+(Objects!$Y$4-$A2-1)*Objects!$X$4,0)</f>
        <v>0</v>
      </c>
      <c r="BT2" s="19">
        <f ca="1">OFFSET(Objects!$HW$6,BT$1+(Objects!$Y$4-$A2-1)*Objects!$X$4,0)</f>
        <v>0</v>
      </c>
      <c r="BU2" s="19">
        <f ca="1">OFFSET(Objects!$HW$6,BU$1+(Objects!$Y$4-$A2-1)*Objects!$X$4,0)</f>
        <v>0</v>
      </c>
      <c r="BV2" s="19">
        <f ca="1">OFFSET(Objects!$HW$6,BV$1+(Objects!$Y$4-$A2-1)*Objects!$X$4,0)</f>
        <v>0</v>
      </c>
      <c r="BW2" s="19">
        <f ca="1">OFFSET(Objects!$HW$6,BW$1+(Objects!$Y$4-$A2-1)*Objects!$X$4,0)</f>
        <v>0</v>
      </c>
      <c r="BX2" s="19">
        <f ca="1">OFFSET(Objects!$HW$6,BX$1+(Objects!$Y$4-$A2-1)*Objects!$X$4,0)</f>
        <v>0</v>
      </c>
      <c r="BY2" s="19">
        <f ca="1">OFFSET(Objects!$HW$6,BY$1+(Objects!$Y$4-$A2-1)*Objects!$X$4,0)</f>
        <v>0</v>
      </c>
      <c r="BZ2" s="19">
        <f ca="1">OFFSET(Objects!$HW$6,BZ$1+(Objects!$Y$4-$A2-1)*Objects!$X$4,0)</f>
        <v>0</v>
      </c>
      <c r="CA2" s="19">
        <f ca="1">OFFSET(Objects!$HW$6,CA$1+(Objects!$Y$4-$A2-1)*Objects!$X$4,0)</f>
        <v>0</v>
      </c>
      <c r="CB2" s="19">
        <f ca="1">OFFSET(Objects!$HW$6,CB$1+(Objects!$Y$4-$A2-1)*Objects!$X$4,0)</f>
        <v>0</v>
      </c>
      <c r="CC2" s="19">
        <f ca="1">OFFSET(Objects!$HW$6,CC$1+(Objects!$Y$4-$A2-1)*Objects!$X$4,0)</f>
        <v>0</v>
      </c>
      <c r="CD2" s="19">
        <f ca="1">OFFSET(Objects!$HW$6,CD$1+(Objects!$Y$4-$A2-1)*Objects!$X$4,0)</f>
        <v>0</v>
      </c>
      <c r="CE2" s="19">
        <f ca="1">OFFSET(Objects!$HW$6,CE$1+(Objects!$Y$4-$A2-1)*Objects!$X$4,0)</f>
        <v>0</v>
      </c>
      <c r="CF2" s="19">
        <f ca="1">OFFSET(Objects!$HW$6,CF$1+(Objects!$Y$4-$A2-1)*Objects!$X$4,0)</f>
        <v>0</v>
      </c>
      <c r="CG2" s="19">
        <f ca="1">OFFSET(Objects!$HW$6,CG$1+(Objects!$Y$4-$A2-1)*Objects!$X$4,0)</f>
        <v>0</v>
      </c>
      <c r="CH2" s="19">
        <f ca="1">OFFSET(Objects!$HW$6,CH$1+(Objects!$Y$4-$A2-1)*Objects!$X$4,0)</f>
        <v>0</v>
      </c>
      <c r="CI2" s="19">
        <f ca="1">OFFSET(Objects!$HW$6,CI$1+(Objects!$Y$4-$A2-1)*Objects!$X$4,0)</f>
        <v>0</v>
      </c>
      <c r="CJ2" s="19">
        <f ca="1">OFFSET(Objects!$HW$6,CJ$1+(Objects!$Y$4-$A2-1)*Objects!$X$4,0)</f>
        <v>0</v>
      </c>
      <c r="CK2" s="19">
        <f ca="1">OFFSET(Objects!$HW$6,CK$1+(Objects!$Y$4-$A2-1)*Objects!$X$4,0)</f>
        <v>0</v>
      </c>
      <c r="CL2" s="19">
        <f ca="1">OFFSET(Objects!$HW$6,CL$1+(Objects!$Y$4-$A2-1)*Objects!$X$4,0)</f>
        <v>0</v>
      </c>
      <c r="CM2" s="19">
        <f ca="1">OFFSET(Objects!$HW$6,CM$1+(Objects!$Y$4-$A2-1)*Objects!$X$4,0)</f>
        <v>0</v>
      </c>
      <c r="CN2" s="19">
        <f ca="1">OFFSET(Objects!$HW$6,CN$1+(Objects!$Y$4-$A2-1)*Objects!$X$4,0)</f>
        <v>0</v>
      </c>
      <c r="CO2" s="19">
        <f ca="1">OFFSET(Objects!$HW$6,CO$1+(Objects!$Y$4-$A2-1)*Objects!$X$4,0)</f>
        <v>0</v>
      </c>
      <c r="CP2" s="19">
        <f ca="1">OFFSET(Objects!$HW$6,CP$1+(Objects!$Y$4-$A2-1)*Objects!$X$4,0)</f>
        <v>0</v>
      </c>
      <c r="CQ2" s="19">
        <f ca="1">OFFSET(Objects!$HW$6,CQ$1+(Objects!$Y$4-$A2-1)*Objects!$X$4,0)</f>
        <v>0</v>
      </c>
      <c r="CR2" s="19">
        <f ca="1">OFFSET(Objects!$HW$6,CR$1+(Objects!$Y$4-$A2-1)*Objects!$X$4,0)</f>
        <v>0</v>
      </c>
      <c r="CS2" s="19">
        <f ca="1">OFFSET(Objects!$HW$6,CS$1+(Objects!$Y$4-$A2-1)*Objects!$X$4,0)</f>
        <v>0</v>
      </c>
      <c r="CT2" s="19">
        <f ca="1">OFFSET(Objects!$HW$6,CT$1+(Objects!$Y$4-$A2-1)*Objects!$X$4,0)</f>
        <v>0</v>
      </c>
      <c r="CU2" s="19">
        <f ca="1">OFFSET(Objects!$HW$6,CU$1+(Objects!$Y$4-$A2-1)*Objects!$X$4,0)</f>
        <v>0</v>
      </c>
      <c r="CV2" s="19">
        <f ca="1">OFFSET(Objects!$HW$6,CV$1+(Objects!$Y$4-$A2-1)*Objects!$X$4,0)</f>
        <v>0</v>
      </c>
      <c r="CW2" s="19">
        <f ca="1">OFFSET(Objects!$HW$6,CW$1+(Objects!$Y$4-$A2-1)*Objects!$X$4,0)</f>
        <v>0</v>
      </c>
      <c r="CX2" s="19">
        <f ca="1">OFFSET(Objects!$HW$6,CX$1+(Objects!$Y$4-$A2-1)*Objects!$X$4,0)</f>
        <v>0</v>
      </c>
      <c r="CY2" s="19">
        <f ca="1">OFFSET(Objects!$HW$6,CY$1+(Objects!$Y$4-$A2-1)*Objects!$X$4,0)</f>
        <v>0</v>
      </c>
      <c r="CZ2" s="19">
        <f ca="1">OFFSET(Objects!$HW$6,CZ$1+(Objects!$Y$4-$A2-1)*Objects!$X$4,0)</f>
        <v>0</v>
      </c>
      <c r="DA2" s="19">
        <f ca="1">OFFSET(Objects!$HW$6,DA$1+(Objects!$Y$4-$A2-1)*Objects!$X$4,0)</f>
        <v>0</v>
      </c>
      <c r="DB2" s="19">
        <f ca="1">OFFSET(Objects!$HW$6,DB$1+(Objects!$Y$4-$A2-1)*Objects!$X$4,0)</f>
        <v>0</v>
      </c>
      <c r="DC2" s="19">
        <f ca="1">OFFSET(Objects!$HW$6,DC$1+(Objects!$Y$4-$A2-1)*Objects!$X$4,0)</f>
        <v>0</v>
      </c>
      <c r="DD2" s="19">
        <f ca="1">OFFSET(Objects!$HW$6,DD$1+(Objects!$Y$4-$A2-1)*Objects!$X$4,0)</f>
        <v>0</v>
      </c>
      <c r="DE2" s="19">
        <f ca="1">OFFSET(Objects!$HW$6,DE$1+(Objects!$Y$4-$A2-1)*Objects!$X$4,0)</f>
        <v>0</v>
      </c>
      <c r="DF2" s="19">
        <f ca="1">OFFSET(Objects!$HW$6,DF$1+(Objects!$Y$4-$A2-1)*Objects!$X$4,0)</f>
        <v>0</v>
      </c>
      <c r="DG2" s="19">
        <f ca="1">OFFSET(Objects!$HW$6,DG$1+(Objects!$Y$4-$A2-1)*Objects!$X$4,0)</f>
        <v>0</v>
      </c>
      <c r="DH2" s="19">
        <f ca="1">OFFSET(Objects!$HW$6,DH$1+(Objects!$Y$4-$A2-1)*Objects!$X$4,0)</f>
        <v>0</v>
      </c>
      <c r="DI2" s="19">
        <f ca="1">OFFSET(Objects!$HW$6,DI$1+(Objects!$Y$4-$A2-1)*Objects!$X$4,0)</f>
        <v>0</v>
      </c>
      <c r="DJ2" s="19">
        <f ca="1">OFFSET(Objects!$HW$6,DJ$1+(Objects!$Y$4-$A2-1)*Objects!$X$4,0)</f>
        <v>0</v>
      </c>
      <c r="DK2" s="19">
        <f ca="1">OFFSET(Objects!$HW$6,DK$1+(Objects!$Y$4-$A2-1)*Objects!$X$4,0)</f>
        <v>0</v>
      </c>
      <c r="DL2" s="19">
        <f ca="1">OFFSET(Objects!$HW$6,DL$1+(Objects!$Y$4-$A2-1)*Objects!$X$4,0)</f>
        <v>0</v>
      </c>
      <c r="DM2" s="19">
        <f ca="1">OFFSET(Objects!$HW$6,DM$1+(Objects!$Y$4-$A2-1)*Objects!$X$4,0)</f>
        <v>0</v>
      </c>
      <c r="DN2" s="19">
        <f ca="1">OFFSET(Objects!$HW$6,DN$1+(Objects!$Y$4-$A2-1)*Objects!$X$4,0)</f>
        <v>0</v>
      </c>
      <c r="DO2" s="19">
        <f ca="1">OFFSET(Objects!$HW$6,DO$1+(Objects!$Y$4-$A2-1)*Objects!$X$4,0)</f>
        <v>0</v>
      </c>
      <c r="DP2" s="19">
        <f ca="1">OFFSET(Objects!$HW$6,DP$1+(Objects!$Y$4-$A2-1)*Objects!$X$4,0)</f>
        <v>0</v>
      </c>
      <c r="DQ2" s="19">
        <f ca="1">OFFSET(Objects!$HW$6,DQ$1+(Objects!$Y$4-$A2-1)*Objects!$X$4,0)</f>
        <v>0</v>
      </c>
      <c r="DR2" s="19">
        <f ca="1">OFFSET(Objects!$HW$6,DR$1+(Objects!$Y$4-$A2-1)*Objects!$X$4,0)</f>
        <v>0</v>
      </c>
      <c r="DS2" s="19">
        <f ca="1">OFFSET(Objects!$HW$6,DS$1+(Objects!$Y$4-$A2-1)*Objects!$X$4,0)</f>
        <v>0</v>
      </c>
      <c r="DT2" s="19">
        <f ca="1">OFFSET(Objects!$HW$6,DT$1+(Objects!$Y$4-$A2-1)*Objects!$X$4,0)</f>
        <v>0</v>
      </c>
      <c r="DU2" s="19">
        <f ca="1">OFFSET(Objects!$HW$6,DU$1+(Objects!$Y$4-$A2-1)*Objects!$X$4,0)</f>
        <v>0</v>
      </c>
      <c r="DV2" s="19">
        <f ca="1">OFFSET(Objects!$HW$6,DV$1+(Objects!$Y$4-$A2-1)*Objects!$X$4,0)</f>
        <v>0</v>
      </c>
      <c r="DW2" s="19">
        <f ca="1">OFFSET(Objects!$HW$6,DW$1+(Objects!$Y$4-$A2-1)*Objects!$X$4,0)</f>
        <v>0</v>
      </c>
      <c r="DX2" s="19">
        <f ca="1">OFFSET(Objects!$HW$6,DX$1+(Objects!$Y$4-$A2-1)*Objects!$X$4,0)</f>
        <v>0</v>
      </c>
      <c r="DY2" s="19">
        <f ca="1">OFFSET(Objects!$HW$6,DY$1+(Objects!$Y$4-$A2-1)*Objects!$X$4,0)</f>
        <v>0</v>
      </c>
      <c r="DZ2" s="19">
        <f ca="1">OFFSET(Objects!$HW$6,DZ$1+(Objects!$Y$4-$A2-1)*Objects!$X$4,0)</f>
        <v>0</v>
      </c>
      <c r="EA2" s="19">
        <f ca="1">OFFSET(Objects!$HW$6,EA$1+(Objects!$Y$4-$A2-1)*Objects!$X$4,0)</f>
        <v>0</v>
      </c>
      <c r="EB2" s="19">
        <f ca="1">OFFSET(Objects!$HW$6,EB$1+(Objects!$Y$4-$A2-1)*Objects!$X$4,0)</f>
        <v>0</v>
      </c>
      <c r="EC2" s="19">
        <f ca="1">OFFSET(Objects!$HW$6,EC$1+(Objects!$Y$4-$A2-1)*Objects!$X$4,0)</f>
        <v>0</v>
      </c>
      <c r="ED2" s="19">
        <f ca="1">OFFSET(Objects!$HW$6,ED$1+(Objects!$Y$4-$A2-1)*Objects!$X$4,0)</f>
        <v>0</v>
      </c>
      <c r="EE2" s="19">
        <f ca="1">OFFSET(Objects!$HW$6,EE$1+(Objects!$Y$4-$A2-1)*Objects!$X$4,0)</f>
        <v>0</v>
      </c>
      <c r="EF2" s="19">
        <f ca="1">OFFSET(Objects!$HW$6,EF$1+(Objects!$Y$4-$A2-1)*Objects!$X$4,0)</f>
        <v>0</v>
      </c>
      <c r="EG2" s="19">
        <f ca="1">OFFSET(Objects!$HW$6,EG$1+(Objects!$Y$4-$A2-1)*Objects!$X$4,0)</f>
        <v>0</v>
      </c>
      <c r="EH2" s="19">
        <f ca="1">OFFSET(Objects!$HW$6,EH$1+(Objects!$Y$4-$A2-1)*Objects!$X$4,0)</f>
        <v>0</v>
      </c>
      <c r="EI2" s="19">
        <f ca="1">OFFSET(Objects!$HW$6,EI$1+(Objects!$Y$4-$A2-1)*Objects!$X$4,0)</f>
        <v>0</v>
      </c>
      <c r="EJ2" s="19">
        <f ca="1">OFFSET(Objects!$HW$6,EJ$1+(Objects!$Y$4-$A2-1)*Objects!$X$4,0)</f>
        <v>0</v>
      </c>
      <c r="EK2" s="19">
        <f ca="1">OFFSET(Objects!$HW$6,EK$1+(Objects!$Y$4-$A2-1)*Objects!$X$4,0)</f>
        <v>0</v>
      </c>
      <c r="EL2" s="19">
        <f ca="1">OFFSET(Objects!$HW$6,EL$1+(Objects!$Y$4-$A2-1)*Objects!$X$4,0)</f>
        <v>0</v>
      </c>
      <c r="EM2" s="19">
        <f ca="1">OFFSET(Objects!$HW$6,EM$1+(Objects!$Y$4-$A2-1)*Objects!$X$4,0)</f>
        <v>0</v>
      </c>
      <c r="EN2" s="19">
        <f ca="1">OFFSET(Objects!$HW$6,EN$1+(Objects!$Y$4-$A2-1)*Objects!$X$4,0)</f>
        <v>0</v>
      </c>
      <c r="EO2" s="19">
        <f ca="1">OFFSET(Objects!$HW$6,EO$1+(Objects!$Y$4-$A2-1)*Objects!$X$4,0)</f>
        <v>0</v>
      </c>
      <c r="EP2" s="19">
        <f ca="1">OFFSET(Objects!$HW$6,EP$1+(Objects!$Y$4-$A2-1)*Objects!$X$4,0)</f>
        <v>0</v>
      </c>
      <c r="EQ2" s="19">
        <f ca="1">OFFSET(Objects!$HW$6,EQ$1+(Objects!$Y$4-$A2-1)*Objects!$X$4,0)</f>
        <v>0</v>
      </c>
      <c r="ER2" s="19">
        <f ca="1">OFFSET(Objects!$HW$6,ER$1+(Objects!$Y$4-$A2-1)*Objects!$X$4,0)</f>
        <v>0</v>
      </c>
      <c r="ES2" s="19">
        <f ca="1">OFFSET(Objects!$HW$6,ES$1+(Objects!$Y$4-$A2-1)*Objects!$X$4,0)</f>
        <v>0</v>
      </c>
      <c r="ET2" s="19">
        <f ca="1">OFFSET(Objects!$HW$6,ET$1+(Objects!$Y$4-$A2-1)*Objects!$X$4,0)</f>
        <v>0</v>
      </c>
      <c r="EU2" s="19">
        <f ca="1">OFFSET(Objects!$HW$6,EU$1+(Objects!$Y$4-$A2-1)*Objects!$X$4,0)</f>
        <v>0</v>
      </c>
      <c r="EV2" s="19">
        <f ca="1">OFFSET(Objects!$HW$6,EV$1+(Objects!$Y$4-$A2-1)*Objects!$X$4,0)</f>
        <v>0</v>
      </c>
      <c r="EW2" s="19">
        <f ca="1">OFFSET(Objects!$HW$6,EW$1+(Objects!$Y$4-$A2-1)*Objects!$X$4,0)</f>
        <v>0</v>
      </c>
      <c r="EX2" s="19">
        <f ca="1">OFFSET(Objects!$HW$6,EX$1+(Objects!$Y$4-$A2-1)*Objects!$X$4,0)</f>
        <v>0</v>
      </c>
      <c r="EY2" s="19">
        <f ca="1">OFFSET(Objects!$HW$6,EY$1+(Objects!$Y$4-$A2-1)*Objects!$X$4,0)</f>
        <v>0</v>
      </c>
      <c r="EZ2" s="19">
        <f ca="1">OFFSET(Objects!$HW$6,EZ$1+(Objects!$Y$4-$A2-1)*Objects!$X$4,0)</f>
        <v>0</v>
      </c>
      <c r="FA2" s="19">
        <f ca="1">OFFSET(Objects!$HW$6,FA$1+(Objects!$Y$4-$A2-1)*Objects!$X$4,0)</f>
        <v>0</v>
      </c>
      <c r="FB2" s="19">
        <f ca="1">OFFSET(Objects!$HW$6,FB$1+(Objects!$Y$4-$A2-1)*Objects!$X$4,0)</f>
        <v>0</v>
      </c>
      <c r="FC2" s="19">
        <f ca="1">OFFSET(Objects!$HW$6,FC$1+(Objects!$Y$4-$A2-1)*Objects!$X$4,0)</f>
        <v>0</v>
      </c>
      <c r="FD2" s="19">
        <f ca="1">OFFSET(Objects!$HW$6,FD$1+(Objects!$Y$4-$A2-1)*Objects!$X$4,0)</f>
        <v>0</v>
      </c>
      <c r="FE2" s="20">
        <f ca="1">OFFSET(Objects!$HW$6,FE$1+(Objects!$Y$4-$A2-1)*Objects!$X$4,0)</f>
        <v>0</v>
      </c>
    </row>
    <row r="3" spans="1:161" ht="4.5" customHeight="1" x14ac:dyDescent="0.25">
      <c r="A3">
        <v>1</v>
      </c>
      <c r="B3" s="21">
        <f ca="1">OFFSET(Objects!$HW$6,B$1+(Objects!$Y$4-$A3-1)*Objects!$X$4,0)</f>
        <v>0</v>
      </c>
      <c r="C3">
        <f ca="1">OFFSET(Objects!$HW$6,C$1+(Objects!$Y$4-$A3-1)*Objects!$X$4,0)</f>
        <v>0</v>
      </c>
      <c r="D3">
        <f ca="1">OFFSET(Objects!$HW$6,D$1+(Objects!$Y$4-$A3-1)*Objects!$X$4,0)</f>
        <v>0</v>
      </c>
      <c r="E3">
        <f ca="1">OFFSET(Objects!$HW$6,E$1+(Objects!$Y$4-$A3-1)*Objects!$X$4,0)</f>
        <v>0</v>
      </c>
      <c r="F3">
        <f ca="1">OFFSET(Objects!$HW$6,F$1+(Objects!$Y$4-$A3-1)*Objects!$X$4,0)</f>
        <v>0</v>
      </c>
      <c r="G3">
        <f ca="1">OFFSET(Objects!$HW$6,G$1+(Objects!$Y$4-$A3-1)*Objects!$X$4,0)</f>
        <v>0</v>
      </c>
      <c r="H3">
        <f ca="1">OFFSET(Objects!$HW$6,H$1+(Objects!$Y$4-$A3-1)*Objects!$X$4,0)</f>
        <v>0</v>
      </c>
      <c r="I3">
        <f ca="1">OFFSET(Objects!$HW$6,I$1+(Objects!$Y$4-$A3-1)*Objects!$X$4,0)</f>
        <v>0</v>
      </c>
      <c r="J3">
        <f ca="1">OFFSET(Objects!$HW$6,J$1+(Objects!$Y$4-$A3-1)*Objects!$X$4,0)</f>
        <v>0</v>
      </c>
      <c r="K3">
        <f ca="1">OFFSET(Objects!$HW$6,K$1+(Objects!$Y$4-$A3-1)*Objects!$X$4,0)</f>
        <v>0</v>
      </c>
      <c r="L3">
        <f ca="1">OFFSET(Objects!$HW$6,L$1+(Objects!$Y$4-$A3-1)*Objects!$X$4,0)</f>
        <v>0</v>
      </c>
      <c r="M3">
        <f ca="1">OFFSET(Objects!$HW$6,M$1+(Objects!$Y$4-$A3-1)*Objects!$X$4,0)</f>
        <v>0</v>
      </c>
      <c r="N3">
        <f ca="1">OFFSET(Objects!$HW$6,N$1+(Objects!$Y$4-$A3-1)*Objects!$X$4,0)</f>
        <v>0</v>
      </c>
      <c r="O3">
        <f ca="1">OFFSET(Objects!$HW$6,O$1+(Objects!$Y$4-$A3-1)*Objects!$X$4,0)</f>
        <v>0</v>
      </c>
      <c r="P3">
        <f ca="1">OFFSET(Objects!$HW$6,P$1+(Objects!$Y$4-$A3-1)*Objects!$X$4,0)</f>
        <v>0</v>
      </c>
      <c r="Q3">
        <f ca="1">OFFSET(Objects!$HW$6,Q$1+(Objects!$Y$4-$A3-1)*Objects!$X$4,0)</f>
        <v>0</v>
      </c>
      <c r="R3">
        <f ca="1">OFFSET(Objects!$HW$6,R$1+(Objects!$Y$4-$A3-1)*Objects!$X$4,0)</f>
        <v>0</v>
      </c>
      <c r="S3">
        <f ca="1">OFFSET(Objects!$HW$6,S$1+(Objects!$Y$4-$A3-1)*Objects!$X$4,0)</f>
        <v>0</v>
      </c>
      <c r="T3">
        <f ca="1">OFFSET(Objects!$HW$6,T$1+(Objects!$Y$4-$A3-1)*Objects!$X$4,0)</f>
        <v>0</v>
      </c>
      <c r="U3">
        <f ca="1">OFFSET(Objects!$HW$6,U$1+(Objects!$Y$4-$A3-1)*Objects!$X$4,0)</f>
        <v>0</v>
      </c>
      <c r="V3">
        <f ca="1">OFFSET(Objects!$HW$6,V$1+(Objects!$Y$4-$A3-1)*Objects!$X$4,0)</f>
        <v>0</v>
      </c>
      <c r="W3">
        <f ca="1">OFFSET(Objects!$HW$6,W$1+(Objects!$Y$4-$A3-1)*Objects!$X$4,0)</f>
        <v>0</v>
      </c>
      <c r="X3">
        <f ca="1">OFFSET(Objects!$HW$6,X$1+(Objects!$Y$4-$A3-1)*Objects!$X$4,0)</f>
        <v>0</v>
      </c>
      <c r="Y3">
        <f ca="1">OFFSET(Objects!$HW$6,Y$1+(Objects!$Y$4-$A3-1)*Objects!$X$4,0)</f>
        <v>0</v>
      </c>
      <c r="Z3">
        <f ca="1">OFFSET(Objects!$HW$6,Z$1+(Objects!$Y$4-$A3-1)*Objects!$X$4,0)</f>
        <v>0</v>
      </c>
      <c r="AA3">
        <f ca="1">OFFSET(Objects!$HW$6,AA$1+(Objects!$Y$4-$A3-1)*Objects!$X$4,0)</f>
        <v>0</v>
      </c>
      <c r="AB3">
        <f ca="1">OFFSET(Objects!$HW$6,AB$1+(Objects!$Y$4-$A3-1)*Objects!$X$4,0)</f>
        <v>0</v>
      </c>
      <c r="AC3">
        <f ca="1">OFFSET(Objects!$HW$6,AC$1+(Objects!$Y$4-$A3-1)*Objects!$X$4,0)</f>
        <v>0</v>
      </c>
      <c r="AD3">
        <f ca="1">OFFSET(Objects!$HW$6,AD$1+(Objects!$Y$4-$A3-1)*Objects!$X$4,0)</f>
        <v>0</v>
      </c>
      <c r="AE3">
        <f ca="1">OFFSET(Objects!$HW$6,AE$1+(Objects!$Y$4-$A3-1)*Objects!$X$4,0)</f>
        <v>0</v>
      </c>
      <c r="AF3">
        <f ca="1">OFFSET(Objects!$HW$6,AF$1+(Objects!$Y$4-$A3-1)*Objects!$X$4,0)</f>
        <v>0</v>
      </c>
      <c r="AG3">
        <f ca="1">OFFSET(Objects!$HW$6,AG$1+(Objects!$Y$4-$A3-1)*Objects!$X$4,0)</f>
        <v>0</v>
      </c>
      <c r="AH3">
        <f ca="1">OFFSET(Objects!$HW$6,AH$1+(Objects!$Y$4-$A3-1)*Objects!$X$4,0)</f>
        <v>0</v>
      </c>
      <c r="AI3">
        <f ca="1">OFFSET(Objects!$HW$6,AI$1+(Objects!$Y$4-$A3-1)*Objects!$X$4,0)</f>
        <v>0</v>
      </c>
      <c r="AJ3">
        <f ca="1">OFFSET(Objects!$HW$6,AJ$1+(Objects!$Y$4-$A3-1)*Objects!$X$4,0)</f>
        <v>0</v>
      </c>
      <c r="AK3">
        <f ca="1">OFFSET(Objects!$HW$6,AK$1+(Objects!$Y$4-$A3-1)*Objects!$X$4,0)</f>
        <v>0</v>
      </c>
      <c r="AL3">
        <f ca="1">OFFSET(Objects!$HW$6,AL$1+(Objects!$Y$4-$A3-1)*Objects!$X$4,0)</f>
        <v>0</v>
      </c>
      <c r="AM3">
        <f ca="1">OFFSET(Objects!$HW$6,AM$1+(Objects!$Y$4-$A3-1)*Objects!$X$4,0)</f>
        <v>0</v>
      </c>
      <c r="AN3">
        <f ca="1">OFFSET(Objects!$HW$6,AN$1+(Objects!$Y$4-$A3-1)*Objects!$X$4,0)</f>
        <v>0</v>
      </c>
      <c r="AO3">
        <f ca="1">OFFSET(Objects!$HW$6,AO$1+(Objects!$Y$4-$A3-1)*Objects!$X$4,0)</f>
        <v>0</v>
      </c>
      <c r="AP3">
        <f ca="1">OFFSET(Objects!$HW$6,AP$1+(Objects!$Y$4-$A3-1)*Objects!$X$4,0)</f>
        <v>0</v>
      </c>
      <c r="AQ3">
        <f ca="1">OFFSET(Objects!$HW$6,AQ$1+(Objects!$Y$4-$A3-1)*Objects!$X$4,0)</f>
        <v>0</v>
      </c>
      <c r="AR3">
        <f ca="1">OFFSET(Objects!$HW$6,AR$1+(Objects!$Y$4-$A3-1)*Objects!$X$4,0)</f>
        <v>0</v>
      </c>
      <c r="AS3">
        <f ca="1">OFFSET(Objects!$HW$6,AS$1+(Objects!$Y$4-$A3-1)*Objects!$X$4,0)</f>
        <v>0</v>
      </c>
      <c r="AT3">
        <f ca="1">OFFSET(Objects!$HW$6,AT$1+(Objects!$Y$4-$A3-1)*Objects!$X$4,0)</f>
        <v>0</v>
      </c>
      <c r="AU3">
        <f ca="1">OFFSET(Objects!$HW$6,AU$1+(Objects!$Y$4-$A3-1)*Objects!$X$4,0)</f>
        <v>0</v>
      </c>
      <c r="AV3">
        <f ca="1">OFFSET(Objects!$HW$6,AV$1+(Objects!$Y$4-$A3-1)*Objects!$X$4,0)</f>
        <v>0</v>
      </c>
      <c r="AW3">
        <f ca="1">OFFSET(Objects!$HW$6,AW$1+(Objects!$Y$4-$A3-1)*Objects!$X$4,0)</f>
        <v>0</v>
      </c>
      <c r="AX3">
        <f ca="1">OFFSET(Objects!$HW$6,AX$1+(Objects!$Y$4-$A3-1)*Objects!$X$4,0)</f>
        <v>0</v>
      </c>
      <c r="AY3">
        <f ca="1">OFFSET(Objects!$HW$6,AY$1+(Objects!$Y$4-$A3-1)*Objects!$X$4,0)</f>
        <v>0</v>
      </c>
      <c r="AZ3">
        <f ca="1">OFFSET(Objects!$HW$6,AZ$1+(Objects!$Y$4-$A3-1)*Objects!$X$4,0)</f>
        <v>0</v>
      </c>
      <c r="BA3">
        <f ca="1">OFFSET(Objects!$HW$6,BA$1+(Objects!$Y$4-$A3-1)*Objects!$X$4,0)</f>
        <v>0</v>
      </c>
      <c r="BB3">
        <f ca="1">OFFSET(Objects!$HW$6,BB$1+(Objects!$Y$4-$A3-1)*Objects!$X$4,0)</f>
        <v>0</v>
      </c>
      <c r="BC3">
        <f ca="1">OFFSET(Objects!$HW$6,BC$1+(Objects!$Y$4-$A3-1)*Objects!$X$4,0)</f>
        <v>0</v>
      </c>
      <c r="BD3">
        <f ca="1">OFFSET(Objects!$HW$6,BD$1+(Objects!$Y$4-$A3-1)*Objects!$X$4,0)</f>
        <v>0</v>
      </c>
      <c r="BE3">
        <f ca="1">OFFSET(Objects!$HW$6,BE$1+(Objects!$Y$4-$A3-1)*Objects!$X$4,0)</f>
        <v>0</v>
      </c>
      <c r="BF3">
        <f ca="1">OFFSET(Objects!$HW$6,BF$1+(Objects!$Y$4-$A3-1)*Objects!$X$4,0)</f>
        <v>0</v>
      </c>
      <c r="BG3">
        <f ca="1">OFFSET(Objects!$HW$6,BG$1+(Objects!$Y$4-$A3-1)*Objects!$X$4,0)</f>
        <v>0</v>
      </c>
      <c r="BH3">
        <f ca="1">OFFSET(Objects!$HW$6,BH$1+(Objects!$Y$4-$A3-1)*Objects!$X$4,0)</f>
        <v>0</v>
      </c>
      <c r="BI3">
        <f ca="1">OFFSET(Objects!$HW$6,BI$1+(Objects!$Y$4-$A3-1)*Objects!$X$4,0)</f>
        <v>0</v>
      </c>
      <c r="BJ3">
        <f ca="1">OFFSET(Objects!$HW$6,BJ$1+(Objects!$Y$4-$A3-1)*Objects!$X$4,0)</f>
        <v>0</v>
      </c>
      <c r="BK3">
        <f ca="1">OFFSET(Objects!$HW$6,BK$1+(Objects!$Y$4-$A3-1)*Objects!$X$4,0)</f>
        <v>0</v>
      </c>
      <c r="BL3">
        <f ca="1">OFFSET(Objects!$HW$6,BL$1+(Objects!$Y$4-$A3-1)*Objects!$X$4,0)</f>
        <v>0</v>
      </c>
      <c r="BM3">
        <f ca="1">OFFSET(Objects!$HW$6,BM$1+(Objects!$Y$4-$A3-1)*Objects!$X$4,0)</f>
        <v>0</v>
      </c>
      <c r="BN3">
        <f ca="1">OFFSET(Objects!$HW$6,BN$1+(Objects!$Y$4-$A3-1)*Objects!$X$4,0)</f>
        <v>0</v>
      </c>
      <c r="BO3">
        <f ca="1">OFFSET(Objects!$HW$6,BO$1+(Objects!$Y$4-$A3-1)*Objects!$X$4,0)</f>
        <v>0</v>
      </c>
      <c r="BP3">
        <f ca="1">OFFSET(Objects!$HW$6,BP$1+(Objects!$Y$4-$A3-1)*Objects!$X$4,0)</f>
        <v>0</v>
      </c>
      <c r="BQ3">
        <f ca="1">OFFSET(Objects!$HW$6,BQ$1+(Objects!$Y$4-$A3-1)*Objects!$X$4,0)</f>
        <v>0</v>
      </c>
      <c r="BR3">
        <f ca="1">OFFSET(Objects!$HW$6,BR$1+(Objects!$Y$4-$A3-1)*Objects!$X$4,0)</f>
        <v>0</v>
      </c>
      <c r="BS3">
        <f ca="1">OFFSET(Objects!$HW$6,BS$1+(Objects!$Y$4-$A3-1)*Objects!$X$4,0)</f>
        <v>0</v>
      </c>
      <c r="BT3">
        <f ca="1">OFFSET(Objects!$HW$6,BT$1+(Objects!$Y$4-$A3-1)*Objects!$X$4,0)</f>
        <v>0</v>
      </c>
      <c r="BU3">
        <f ca="1">OFFSET(Objects!$HW$6,BU$1+(Objects!$Y$4-$A3-1)*Objects!$X$4,0)</f>
        <v>0</v>
      </c>
      <c r="BV3">
        <f ca="1">OFFSET(Objects!$HW$6,BV$1+(Objects!$Y$4-$A3-1)*Objects!$X$4,0)</f>
        <v>0</v>
      </c>
      <c r="BW3">
        <f ca="1">OFFSET(Objects!$HW$6,BW$1+(Objects!$Y$4-$A3-1)*Objects!$X$4,0)</f>
        <v>0</v>
      </c>
      <c r="BX3">
        <f ca="1">OFFSET(Objects!$HW$6,BX$1+(Objects!$Y$4-$A3-1)*Objects!$X$4,0)</f>
        <v>0</v>
      </c>
      <c r="BY3">
        <f ca="1">OFFSET(Objects!$HW$6,BY$1+(Objects!$Y$4-$A3-1)*Objects!$X$4,0)</f>
        <v>0</v>
      </c>
      <c r="BZ3">
        <f ca="1">OFFSET(Objects!$HW$6,BZ$1+(Objects!$Y$4-$A3-1)*Objects!$X$4,0)</f>
        <v>0</v>
      </c>
      <c r="CA3">
        <f ca="1">OFFSET(Objects!$HW$6,CA$1+(Objects!$Y$4-$A3-1)*Objects!$X$4,0)</f>
        <v>0</v>
      </c>
      <c r="CB3">
        <f ca="1">OFFSET(Objects!$HW$6,CB$1+(Objects!$Y$4-$A3-1)*Objects!$X$4,0)</f>
        <v>0</v>
      </c>
      <c r="CC3">
        <f ca="1">OFFSET(Objects!$HW$6,CC$1+(Objects!$Y$4-$A3-1)*Objects!$X$4,0)</f>
        <v>0</v>
      </c>
      <c r="CD3">
        <f ca="1">OFFSET(Objects!$HW$6,CD$1+(Objects!$Y$4-$A3-1)*Objects!$X$4,0)</f>
        <v>0</v>
      </c>
      <c r="CE3">
        <f ca="1">OFFSET(Objects!$HW$6,CE$1+(Objects!$Y$4-$A3-1)*Objects!$X$4,0)</f>
        <v>0</v>
      </c>
      <c r="CF3">
        <f ca="1">OFFSET(Objects!$HW$6,CF$1+(Objects!$Y$4-$A3-1)*Objects!$X$4,0)</f>
        <v>0</v>
      </c>
      <c r="CG3">
        <f ca="1">OFFSET(Objects!$HW$6,CG$1+(Objects!$Y$4-$A3-1)*Objects!$X$4,0)</f>
        <v>0</v>
      </c>
      <c r="CH3">
        <f ca="1">OFFSET(Objects!$HW$6,CH$1+(Objects!$Y$4-$A3-1)*Objects!$X$4,0)</f>
        <v>0</v>
      </c>
      <c r="CI3">
        <f ca="1">OFFSET(Objects!$HW$6,CI$1+(Objects!$Y$4-$A3-1)*Objects!$X$4,0)</f>
        <v>0</v>
      </c>
      <c r="CJ3">
        <f ca="1">OFFSET(Objects!$HW$6,CJ$1+(Objects!$Y$4-$A3-1)*Objects!$X$4,0)</f>
        <v>0</v>
      </c>
      <c r="CK3">
        <f ca="1">OFFSET(Objects!$HW$6,CK$1+(Objects!$Y$4-$A3-1)*Objects!$X$4,0)</f>
        <v>0</v>
      </c>
      <c r="CL3">
        <f ca="1">OFFSET(Objects!$HW$6,CL$1+(Objects!$Y$4-$A3-1)*Objects!$X$4,0)</f>
        <v>0</v>
      </c>
      <c r="CM3">
        <f ca="1">OFFSET(Objects!$HW$6,CM$1+(Objects!$Y$4-$A3-1)*Objects!$X$4,0)</f>
        <v>0</v>
      </c>
      <c r="CN3">
        <f ca="1">OFFSET(Objects!$HW$6,CN$1+(Objects!$Y$4-$A3-1)*Objects!$X$4,0)</f>
        <v>0</v>
      </c>
      <c r="CO3">
        <f ca="1">OFFSET(Objects!$HW$6,CO$1+(Objects!$Y$4-$A3-1)*Objects!$X$4,0)</f>
        <v>0</v>
      </c>
      <c r="CP3">
        <f ca="1">OFFSET(Objects!$HW$6,CP$1+(Objects!$Y$4-$A3-1)*Objects!$X$4,0)</f>
        <v>0</v>
      </c>
      <c r="CQ3">
        <f ca="1">OFFSET(Objects!$HW$6,CQ$1+(Objects!$Y$4-$A3-1)*Objects!$X$4,0)</f>
        <v>0</v>
      </c>
      <c r="CR3">
        <f ca="1">OFFSET(Objects!$HW$6,CR$1+(Objects!$Y$4-$A3-1)*Objects!$X$4,0)</f>
        <v>0</v>
      </c>
      <c r="CS3">
        <f ca="1">OFFSET(Objects!$HW$6,CS$1+(Objects!$Y$4-$A3-1)*Objects!$X$4,0)</f>
        <v>0</v>
      </c>
      <c r="CT3">
        <f ca="1">OFFSET(Objects!$HW$6,CT$1+(Objects!$Y$4-$A3-1)*Objects!$X$4,0)</f>
        <v>0</v>
      </c>
      <c r="CU3">
        <f ca="1">OFFSET(Objects!$HW$6,CU$1+(Objects!$Y$4-$A3-1)*Objects!$X$4,0)</f>
        <v>0</v>
      </c>
      <c r="CV3">
        <f ca="1">OFFSET(Objects!$HW$6,CV$1+(Objects!$Y$4-$A3-1)*Objects!$X$4,0)</f>
        <v>0</v>
      </c>
      <c r="CW3">
        <f ca="1">OFFSET(Objects!$HW$6,CW$1+(Objects!$Y$4-$A3-1)*Objects!$X$4,0)</f>
        <v>0</v>
      </c>
      <c r="CX3">
        <f ca="1">OFFSET(Objects!$HW$6,CX$1+(Objects!$Y$4-$A3-1)*Objects!$X$4,0)</f>
        <v>0</v>
      </c>
      <c r="CY3">
        <f ca="1">OFFSET(Objects!$HW$6,CY$1+(Objects!$Y$4-$A3-1)*Objects!$X$4,0)</f>
        <v>0</v>
      </c>
      <c r="CZ3">
        <f ca="1">OFFSET(Objects!$HW$6,CZ$1+(Objects!$Y$4-$A3-1)*Objects!$X$4,0)</f>
        <v>0</v>
      </c>
      <c r="DA3">
        <f ca="1">OFFSET(Objects!$HW$6,DA$1+(Objects!$Y$4-$A3-1)*Objects!$X$4,0)</f>
        <v>0</v>
      </c>
      <c r="DB3">
        <f ca="1">OFFSET(Objects!$HW$6,DB$1+(Objects!$Y$4-$A3-1)*Objects!$X$4,0)</f>
        <v>0</v>
      </c>
      <c r="DC3">
        <f ca="1">OFFSET(Objects!$HW$6,DC$1+(Objects!$Y$4-$A3-1)*Objects!$X$4,0)</f>
        <v>0</v>
      </c>
      <c r="DD3">
        <f ca="1">OFFSET(Objects!$HW$6,DD$1+(Objects!$Y$4-$A3-1)*Objects!$X$4,0)</f>
        <v>0</v>
      </c>
      <c r="DE3">
        <f ca="1">OFFSET(Objects!$HW$6,DE$1+(Objects!$Y$4-$A3-1)*Objects!$X$4,0)</f>
        <v>0</v>
      </c>
      <c r="DF3">
        <f ca="1">OFFSET(Objects!$HW$6,DF$1+(Objects!$Y$4-$A3-1)*Objects!$X$4,0)</f>
        <v>0</v>
      </c>
      <c r="DG3">
        <f ca="1">OFFSET(Objects!$HW$6,DG$1+(Objects!$Y$4-$A3-1)*Objects!$X$4,0)</f>
        <v>0</v>
      </c>
      <c r="DH3">
        <f ca="1">OFFSET(Objects!$HW$6,DH$1+(Objects!$Y$4-$A3-1)*Objects!$X$4,0)</f>
        <v>0</v>
      </c>
      <c r="DI3">
        <f ca="1">OFFSET(Objects!$HW$6,DI$1+(Objects!$Y$4-$A3-1)*Objects!$X$4,0)</f>
        <v>0</v>
      </c>
      <c r="DJ3">
        <f ca="1">OFFSET(Objects!$HW$6,DJ$1+(Objects!$Y$4-$A3-1)*Objects!$X$4,0)</f>
        <v>0</v>
      </c>
      <c r="DK3">
        <f ca="1">OFFSET(Objects!$HW$6,DK$1+(Objects!$Y$4-$A3-1)*Objects!$X$4,0)</f>
        <v>0</v>
      </c>
      <c r="DL3">
        <f ca="1">OFFSET(Objects!$HW$6,DL$1+(Objects!$Y$4-$A3-1)*Objects!$X$4,0)</f>
        <v>0</v>
      </c>
      <c r="DM3">
        <f ca="1">OFFSET(Objects!$HW$6,DM$1+(Objects!$Y$4-$A3-1)*Objects!$X$4,0)</f>
        <v>0</v>
      </c>
      <c r="DN3">
        <f ca="1">OFFSET(Objects!$HW$6,DN$1+(Objects!$Y$4-$A3-1)*Objects!$X$4,0)</f>
        <v>0</v>
      </c>
      <c r="DO3">
        <f ca="1">OFFSET(Objects!$HW$6,DO$1+(Objects!$Y$4-$A3-1)*Objects!$X$4,0)</f>
        <v>0</v>
      </c>
      <c r="DP3">
        <f ca="1">OFFSET(Objects!$HW$6,DP$1+(Objects!$Y$4-$A3-1)*Objects!$X$4,0)</f>
        <v>0</v>
      </c>
      <c r="DQ3">
        <f ca="1">OFFSET(Objects!$HW$6,DQ$1+(Objects!$Y$4-$A3-1)*Objects!$X$4,0)</f>
        <v>0</v>
      </c>
      <c r="DR3">
        <f ca="1">OFFSET(Objects!$HW$6,DR$1+(Objects!$Y$4-$A3-1)*Objects!$X$4,0)</f>
        <v>0</v>
      </c>
      <c r="DS3">
        <f ca="1">OFFSET(Objects!$HW$6,DS$1+(Objects!$Y$4-$A3-1)*Objects!$X$4,0)</f>
        <v>0</v>
      </c>
      <c r="DT3">
        <f ca="1">OFFSET(Objects!$HW$6,DT$1+(Objects!$Y$4-$A3-1)*Objects!$X$4,0)</f>
        <v>0</v>
      </c>
      <c r="DU3">
        <f ca="1">OFFSET(Objects!$HW$6,DU$1+(Objects!$Y$4-$A3-1)*Objects!$X$4,0)</f>
        <v>0</v>
      </c>
      <c r="DV3">
        <f ca="1">OFFSET(Objects!$HW$6,DV$1+(Objects!$Y$4-$A3-1)*Objects!$X$4,0)</f>
        <v>0</v>
      </c>
      <c r="DW3">
        <f ca="1">OFFSET(Objects!$HW$6,DW$1+(Objects!$Y$4-$A3-1)*Objects!$X$4,0)</f>
        <v>0</v>
      </c>
      <c r="DX3">
        <f ca="1">OFFSET(Objects!$HW$6,DX$1+(Objects!$Y$4-$A3-1)*Objects!$X$4,0)</f>
        <v>0</v>
      </c>
      <c r="DY3">
        <f ca="1">OFFSET(Objects!$HW$6,DY$1+(Objects!$Y$4-$A3-1)*Objects!$X$4,0)</f>
        <v>0</v>
      </c>
      <c r="DZ3">
        <f ca="1">OFFSET(Objects!$HW$6,DZ$1+(Objects!$Y$4-$A3-1)*Objects!$X$4,0)</f>
        <v>0</v>
      </c>
      <c r="EA3">
        <f ca="1">OFFSET(Objects!$HW$6,EA$1+(Objects!$Y$4-$A3-1)*Objects!$X$4,0)</f>
        <v>0</v>
      </c>
      <c r="EB3">
        <f ca="1">OFFSET(Objects!$HW$6,EB$1+(Objects!$Y$4-$A3-1)*Objects!$X$4,0)</f>
        <v>0</v>
      </c>
      <c r="EC3">
        <f ca="1">OFFSET(Objects!$HW$6,EC$1+(Objects!$Y$4-$A3-1)*Objects!$X$4,0)</f>
        <v>0</v>
      </c>
      <c r="ED3">
        <f ca="1">OFFSET(Objects!$HW$6,ED$1+(Objects!$Y$4-$A3-1)*Objects!$X$4,0)</f>
        <v>0</v>
      </c>
      <c r="EE3">
        <f ca="1">OFFSET(Objects!$HW$6,EE$1+(Objects!$Y$4-$A3-1)*Objects!$X$4,0)</f>
        <v>0</v>
      </c>
      <c r="EF3">
        <f ca="1">OFFSET(Objects!$HW$6,EF$1+(Objects!$Y$4-$A3-1)*Objects!$X$4,0)</f>
        <v>0</v>
      </c>
      <c r="EG3">
        <f ca="1">OFFSET(Objects!$HW$6,EG$1+(Objects!$Y$4-$A3-1)*Objects!$X$4,0)</f>
        <v>0</v>
      </c>
      <c r="EH3">
        <f ca="1">OFFSET(Objects!$HW$6,EH$1+(Objects!$Y$4-$A3-1)*Objects!$X$4,0)</f>
        <v>0</v>
      </c>
      <c r="EI3">
        <f ca="1">OFFSET(Objects!$HW$6,EI$1+(Objects!$Y$4-$A3-1)*Objects!$X$4,0)</f>
        <v>0</v>
      </c>
      <c r="EJ3">
        <f ca="1">OFFSET(Objects!$HW$6,EJ$1+(Objects!$Y$4-$A3-1)*Objects!$X$4,0)</f>
        <v>0</v>
      </c>
      <c r="EK3">
        <f ca="1">OFFSET(Objects!$HW$6,EK$1+(Objects!$Y$4-$A3-1)*Objects!$X$4,0)</f>
        <v>0</v>
      </c>
      <c r="EL3">
        <f ca="1">OFFSET(Objects!$HW$6,EL$1+(Objects!$Y$4-$A3-1)*Objects!$X$4,0)</f>
        <v>0</v>
      </c>
      <c r="EM3">
        <f ca="1">OFFSET(Objects!$HW$6,EM$1+(Objects!$Y$4-$A3-1)*Objects!$X$4,0)</f>
        <v>0</v>
      </c>
      <c r="EN3">
        <f ca="1">OFFSET(Objects!$HW$6,EN$1+(Objects!$Y$4-$A3-1)*Objects!$X$4,0)</f>
        <v>0</v>
      </c>
      <c r="EO3">
        <f ca="1">OFFSET(Objects!$HW$6,EO$1+(Objects!$Y$4-$A3-1)*Objects!$X$4,0)</f>
        <v>0</v>
      </c>
      <c r="EP3">
        <f ca="1">OFFSET(Objects!$HW$6,EP$1+(Objects!$Y$4-$A3-1)*Objects!$X$4,0)</f>
        <v>0</v>
      </c>
      <c r="EQ3">
        <f ca="1">OFFSET(Objects!$HW$6,EQ$1+(Objects!$Y$4-$A3-1)*Objects!$X$4,0)</f>
        <v>0</v>
      </c>
      <c r="ER3">
        <f ca="1">OFFSET(Objects!$HW$6,ER$1+(Objects!$Y$4-$A3-1)*Objects!$X$4,0)</f>
        <v>0</v>
      </c>
      <c r="ES3">
        <f ca="1">OFFSET(Objects!$HW$6,ES$1+(Objects!$Y$4-$A3-1)*Objects!$X$4,0)</f>
        <v>0</v>
      </c>
      <c r="ET3">
        <f ca="1">OFFSET(Objects!$HW$6,ET$1+(Objects!$Y$4-$A3-1)*Objects!$X$4,0)</f>
        <v>0</v>
      </c>
      <c r="EU3">
        <f ca="1">OFFSET(Objects!$HW$6,EU$1+(Objects!$Y$4-$A3-1)*Objects!$X$4,0)</f>
        <v>0</v>
      </c>
      <c r="EV3">
        <f ca="1">OFFSET(Objects!$HW$6,EV$1+(Objects!$Y$4-$A3-1)*Objects!$X$4,0)</f>
        <v>0</v>
      </c>
      <c r="EW3">
        <f ca="1">OFFSET(Objects!$HW$6,EW$1+(Objects!$Y$4-$A3-1)*Objects!$X$4,0)</f>
        <v>0</v>
      </c>
      <c r="EX3">
        <f ca="1">OFFSET(Objects!$HW$6,EX$1+(Objects!$Y$4-$A3-1)*Objects!$X$4,0)</f>
        <v>0</v>
      </c>
      <c r="EY3">
        <f ca="1">OFFSET(Objects!$HW$6,EY$1+(Objects!$Y$4-$A3-1)*Objects!$X$4,0)</f>
        <v>0</v>
      </c>
      <c r="EZ3">
        <f ca="1">OFFSET(Objects!$HW$6,EZ$1+(Objects!$Y$4-$A3-1)*Objects!$X$4,0)</f>
        <v>0</v>
      </c>
      <c r="FA3">
        <f ca="1">OFFSET(Objects!$HW$6,FA$1+(Objects!$Y$4-$A3-1)*Objects!$X$4,0)</f>
        <v>0</v>
      </c>
      <c r="FB3">
        <f ca="1">OFFSET(Objects!$HW$6,FB$1+(Objects!$Y$4-$A3-1)*Objects!$X$4,0)</f>
        <v>0</v>
      </c>
      <c r="FC3">
        <f ca="1">OFFSET(Objects!$HW$6,FC$1+(Objects!$Y$4-$A3-1)*Objects!$X$4,0)</f>
        <v>0</v>
      </c>
      <c r="FD3">
        <f ca="1">OFFSET(Objects!$HW$6,FD$1+(Objects!$Y$4-$A3-1)*Objects!$X$4,0)</f>
        <v>0</v>
      </c>
      <c r="FE3" s="22">
        <f ca="1">OFFSET(Objects!$HW$6,FE$1+(Objects!$Y$4-$A3-1)*Objects!$X$4,0)</f>
        <v>0</v>
      </c>
    </row>
    <row r="4" spans="1:161" ht="4.5" customHeight="1" x14ac:dyDescent="0.25">
      <c r="A4">
        <v>2</v>
      </c>
      <c r="B4" s="21">
        <f ca="1">OFFSET(Objects!$HW$6,B$1+(Objects!$Y$4-$A4-1)*Objects!$X$4,0)</f>
        <v>0</v>
      </c>
      <c r="C4">
        <f ca="1">OFFSET(Objects!$HW$6,C$1+(Objects!$Y$4-$A4-1)*Objects!$X$4,0)</f>
        <v>0</v>
      </c>
      <c r="D4">
        <f ca="1">OFFSET(Objects!$HW$6,D$1+(Objects!$Y$4-$A4-1)*Objects!$X$4,0)</f>
        <v>0</v>
      </c>
      <c r="E4">
        <f ca="1">OFFSET(Objects!$HW$6,E$1+(Objects!$Y$4-$A4-1)*Objects!$X$4,0)</f>
        <v>0</v>
      </c>
      <c r="F4">
        <f ca="1">OFFSET(Objects!$HW$6,F$1+(Objects!$Y$4-$A4-1)*Objects!$X$4,0)</f>
        <v>0</v>
      </c>
      <c r="G4">
        <f ca="1">OFFSET(Objects!$HW$6,G$1+(Objects!$Y$4-$A4-1)*Objects!$X$4,0)</f>
        <v>0</v>
      </c>
      <c r="H4">
        <f ca="1">OFFSET(Objects!$HW$6,H$1+(Objects!$Y$4-$A4-1)*Objects!$X$4,0)</f>
        <v>0</v>
      </c>
      <c r="I4">
        <f ca="1">OFFSET(Objects!$HW$6,I$1+(Objects!$Y$4-$A4-1)*Objects!$X$4,0)</f>
        <v>0</v>
      </c>
      <c r="J4">
        <f ca="1">OFFSET(Objects!$HW$6,J$1+(Objects!$Y$4-$A4-1)*Objects!$X$4,0)</f>
        <v>0</v>
      </c>
      <c r="K4">
        <f ca="1">OFFSET(Objects!$HW$6,K$1+(Objects!$Y$4-$A4-1)*Objects!$X$4,0)</f>
        <v>0</v>
      </c>
      <c r="L4">
        <f ca="1">OFFSET(Objects!$HW$6,L$1+(Objects!$Y$4-$A4-1)*Objects!$X$4,0)</f>
        <v>0</v>
      </c>
      <c r="M4">
        <f ca="1">OFFSET(Objects!$HW$6,M$1+(Objects!$Y$4-$A4-1)*Objects!$X$4,0)</f>
        <v>0</v>
      </c>
      <c r="N4">
        <f ca="1">OFFSET(Objects!$HW$6,N$1+(Objects!$Y$4-$A4-1)*Objects!$X$4,0)</f>
        <v>0</v>
      </c>
      <c r="O4">
        <f ca="1">OFFSET(Objects!$HW$6,O$1+(Objects!$Y$4-$A4-1)*Objects!$X$4,0)</f>
        <v>0</v>
      </c>
      <c r="P4">
        <f ca="1">OFFSET(Objects!$HW$6,P$1+(Objects!$Y$4-$A4-1)*Objects!$X$4,0)</f>
        <v>0</v>
      </c>
      <c r="Q4">
        <f ca="1">OFFSET(Objects!$HW$6,Q$1+(Objects!$Y$4-$A4-1)*Objects!$X$4,0)</f>
        <v>0</v>
      </c>
      <c r="R4">
        <f ca="1">OFFSET(Objects!$HW$6,R$1+(Objects!$Y$4-$A4-1)*Objects!$X$4,0)</f>
        <v>0</v>
      </c>
      <c r="S4">
        <f ca="1">OFFSET(Objects!$HW$6,S$1+(Objects!$Y$4-$A4-1)*Objects!$X$4,0)</f>
        <v>0</v>
      </c>
      <c r="T4">
        <f ca="1">OFFSET(Objects!$HW$6,T$1+(Objects!$Y$4-$A4-1)*Objects!$X$4,0)</f>
        <v>0</v>
      </c>
      <c r="U4">
        <f ca="1">OFFSET(Objects!$HW$6,U$1+(Objects!$Y$4-$A4-1)*Objects!$X$4,0)</f>
        <v>0</v>
      </c>
      <c r="V4">
        <f ca="1">OFFSET(Objects!$HW$6,V$1+(Objects!$Y$4-$A4-1)*Objects!$X$4,0)</f>
        <v>0</v>
      </c>
      <c r="W4">
        <f ca="1">OFFSET(Objects!$HW$6,W$1+(Objects!$Y$4-$A4-1)*Objects!$X$4,0)</f>
        <v>0</v>
      </c>
      <c r="X4">
        <f ca="1">OFFSET(Objects!$HW$6,X$1+(Objects!$Y$4-$A4-1)*Objects!$X$4,0)</f>
        <v>0</v>
      </c>
      <c r="Y4">
        <f ca="1">OFFSET(Objects!$HW$6,Y$1+(Objects!$Y$4-$A4-1)*Objects!$X$4,0)</f>
        <v>0</v>
      </c>
      <c r="Z4">
        <f ca="1">OFFSET(Objects!$HW$6,Z$1+(Objects!$Y$4-$A4-1)*Objects!$X$4,0)</f>
        <v>0</v>
      </c>
      <c r="AA4">
        <f ca="1">OFFSET(Objects!$HW$6,AA$1+(Objects!$Y$4-$A4-1)*Objects!$X$4,0)</f>
        <v>0</v>
      </c>
      <c r="AB4">
        <f ca="1">OFFSET(Objects!$HW$6,AB$1+(Objects!$Y$4-$A4-1)*Objects!$X$4,0)</f>
        <v>0</v>
      </c>
      <c r="AC4">
        <f ca="1">OFFSET(Objects!$HW$6,AC$1+(Objects!$Y$4-$A4-1)*Objects!$X$4,0)</f>
        <v>0</v>
      </c>
      <c r="AD4">
        <f ca="1">OFFSET(Objects!$HW$6,AD$1+(Objects!$Y$4-$A4-1)*Objects!$X$4,0)</f>
        <v>0</v>
      </c>
      <c r="AE4">
        <f ca="1">OFFSET(Objects!$HW$6,AE$1+(Objects!$Y$4-$A4-1)*Objects!$X$4,0)</f>
        <v>0</v>
      </c>
      <c r="AF4">
        <f ca="1">OFFSET(Objects!$HW$6,AF$1+(Objects!$Y$4-$A4-1)*Objects!$X$4,0)</f>
        <v>0</v>
      </c>
      <c r="AG4">
        <f ca="1">OFFSET(Objects!$HW$6,AG$1+(Objects!$Y$4-$A4-1)*Objects!$X$4,0)</f>
        <v>0</v>
      </c>
      <c r="AH4">
        <f ca="1">OFFSET(Objects!$HW$6,AH$1+(Objects!$Y$4-$A4-1)*Objects!$X$4,0)</f>
        <v>0</v>
      </c>
      <c r="AI4">
        <f ca="1">OFFSET(Objects!$HW$6,AI$1+(Objects!$Y$4-$A4-1)*Objects!$X$4,0)</f>
        <v>0</v>
      </c>
      <c r="AJ4">
        <f ca="1">OFFSET(Objects!$HW$6,AJ$1+(Objects!$Y$4-$A4-1)*Objects!$X$4,0)</f>
        <v>0</v>
      </c>
      <c r="AK4">
        <f ca="1">OFFSET(Objects!$HW$6,AK$1+(Objects!$Y$4-$A4-1)*Objects!$X$4,0)</f>
        <v>0</v>
      </c>
      <c r="AL4">
        <f ca="1">OFFSET(Objects!$HW$6,AL$1+(Objects!$Y$4-$A4-1)*Objects!$X$4,0)</f>
        <v>0</v>
      </c>
      <c r="AM4">
        <f ca="1">OFFSET(Objects!$HW$6,AM$1+(Objects!$Y$4-$A4-1)*Objects!$X$4,0)</f>
        <v>0</v>
      </c>
      <c r="AN4">
        <f ca="1">OFFSET(Objects!$HW$6,AN$1+(Objects!$Y$4-$A4-1)*Objects!$X$4,0)</f>
        <v>0</v>
      </c>
      <c r="AO4">
        <f ca="1">OFFSET(Objects!$HW$6,AO$1+(Objects!$Y$4-$A4-1)*Objects!$X$4,0)</f>
        <v>0</v>
      </c>
      <c r="AP4">
        <f ca="1">OFFSET(Objects!$HW$6,AP$1+(Objects!$Y$4-$A4-1)*Objects!$X$4,0)</f>
        <v>0</v>
      </c>
      <c r="AQ4">
        <f ca="1">OFFSET(Objects!$HW$6,AQ$1+(Objects!$Y$4-$A4-1)*Objects!$X$4,0)</f>
        <v>0</v>
      </c>
      <c r="AR4">
        <f ca="1">OFFSET(Objects!$HW$6,AR$1+(Objects!$Y$4-$A4-1)*Objects!$X$4,0)</f>
        <v>0</v>
      </c>
      <c r="AS4">
        <f ca="1">OFFSET(Objects!$HW$6,AS$1+(Objects!$Y$4-$A4-1)*Objects!$X$4,0)</f>
        <v>0</v>
      </c>
      <c r="AT4">
        <f ca="1">OFFSET(Objects!$HW$6,AT$1+(Objects!$Y$4-$A4-1)*Objects!$X$4,0)</f>
        <v>0</v>
      </c>
      <c r="AU4">
        <f ca="1">OFFSET(Objects!$HW$6,AU$1+(Objects!$Y$4-$A4-1)*Objects!$X$4,0)</f>
        <v>0</v>
      </c>
      <c r="AV4">
        <f ca="1">OFFSET(Objects!$HW$6,AV$1+(Objects!$Y$4-$A4-1)*Objects!$X$4,0)</f>
        <v>0</v>
      </c>
      <c r="AW4">
        <f ca="1">OFFSET(Objects!$HW$6,AW$1+(Objects!$Y$4-$A4-1)*Objects!$X$4,0)</f>
        <v>0</v>
      </c>
      <c r="AX4">
        <f ca="1">OFFSET(Objects!$HW$6,AX$1+(Objects!$Y$4-$A4-1)*Objects!$X$4,0)</f>
        <v>0</v>
      </c>
      <c r="AY4">
        <f ca="1">OFFSET(Objects!$HW$6,AY$1+(Objects!$Y$4-$A4-1)*Objects!$X$4,0)</f>
        <v>0</v>
      </c>
      <c r="AZ4">
        <f ca="1">OFFSET(Objects!$HW$6,AZ$1+(Objects!$Y$4-$A4-1)*Objects!$X$4,0)</f>
        <v>0</v>
      </c>
      <c r="BA4">
        <f ca="1">OFFSET(Objects!$HW$6,BA$1+(Objects!$Y$4-$A4-1)*Objects!$X$4,0)</f>
        <v>0</v>
      </c>
      <c r="BB4">
        <f ca="1">OFFSET(Objects!$HW$6,BB$1+(Objects!$Y$4-$A4-1)*Objects!$X$4,0)</f>
        <v>0</v>
      </c>
      <c r="BC4">
        <f ca="1">OFFSET(Objects!$HW$6,BC$1+(Objects!$Y$4-$A4-1)*Objects!$X$4,0)</f>
        <v>0</v>
      </c>
      <c r="BD4">
        <f ca="1">OFFSET(Objects!$HW$6,BD$1+(Objects!$Y$4-$A4-1)*Objects!$X$4,0)</f>
        <v>0</v>
      </c>
      <c r="BE4">
        <f ca="1">OFFSET(Objects!$HW$6,BE$1+(Objects!$Y$4-$A4-1)*Objects!$X$4,0)</f>
        <v>0</v>
      </c>
      <c r="BF4">
        <f ca="1">OFFSET(Objects!$HW$6,BF$1+(Objects!$Y$4-$A4-1)*Objects!$X$4,0)</f>
        <v>0</v>
      </c>
      <c r="BG4">
        <f ca="1">OFFSET(Objects!$HW$6,BG$1+(Objects!$Y$4-$A4-1)*Objects!$X$4,0)</f>
        <v>0</v>
      </c>
      <c r="BH4">
        <f ca="1">OFFSET(Objects!$HW$6,BH$1+(Objects!$Y$4-$A4-1)*Objects!$X$4,0)</f>
        <v>0</v>
      </c>
      <c r="BI4">
        <f ca="1">OFFSET(Objects!$HW$6,BI$1+(Objects!$Y$4-$A4-1)*Objects!$X$4,0)</f>
        <v>0</v>
      </c>
      <c r="BJ4">
        <f ca="1">OFFSET(Objects!$HW$6,BJ$1+(Objects!$Y$4-$A4-1)*Objects!$X$4,0)</f>
        <v>0</v>
      </c>
      <c r="BK4">
        <f ca="1">OFFSET(Objects!$HW$6,BK$1+(Objects!$Y$4-$A4-1)*Objects!$X$4,0)</f>
        <v>0</v>
      </c>
      <c r="BL4">
        <f ca="1">OFFSET(Objects!$HW$6,BL$1+(Objects!$Y$4-$A4-1)*Objects!$X$4,0)</f>
        <v>0</v>
      </c>
      <c r="BM4">
        <f ca="1">OFFSET(Objects!$HW$6,BM$1+(Objects!$Y$4-$A4-1)*Objects!$X$4,0)</f>
        <v>0</v>
      </c>
      <c r="BN4">
        <f ca="1">OFFSET(Objects!$HW$6,BN$1+(Objects!$Y$4-$A4-1)*Objects!$X$4,0)</f>
        <v>0</v>
      </c>
      <c r="BO4">
        <f ca="1">OFFSET(Objects!$HW$6,BO$1+(Objects!$Y$4-$A4-1)*Objects!$X$4,0)</f>
        <v>0</v>
      </c>
      <c r="BP4">
        <f ca="1">OFFSET(Objects!$HW$6,BP$1+(Objects!$Y$4-$A4-1)*Objects!$X$4,0)</f>
        <v>0</v>
      </c>
      <c r="BQ4">
        <f ca="1">OFFSET(Objects!$HW$6,BQ$1+(Objects!$Y$4-$A4-1)*Objects!$X$4,0)</f>
        <v>0</v>
      </c>
      <c r="BR4">
        <f ca="1">OFFSET(Objects!$HW$6,BR$1+(Objects!$Y$4-$A4-1)*Objects!$X$4,0)</f>
        <v>0</v>
      </c>
      <c r="BS4">
        <f ca="1">OFFSET(Objects!$HW$6,BS$1+(Objects!$Y$4-$A4-1)*Objects!$X$4,0)</f>
        <v>0</v>
      </c>
      <c r="BT4">
        <f ca="1">OFFSET(Objects!$HW$6,BT$1+(Objects!$Y$4-$A4-1)*Objects!$X$4,0)</f>
        <v>0</v>
      </c>
      <c r="BU4">
        <f ca="1">OFFSET(Objects!$HW$6,BU$1+(Objects!$Y$4-$A4-1)*Objects!$X$4,0)</f>
        <v>0</v>
      </c>
      <c r="BV4">
        <f ca="1">OFFSET(Objects!$HW$6,BV$1+(Objects!$Y$4-$A4-1)*Objects!$X$4,0)</f>
        <v>0</v>
      </c>
      <c r="BW4">
        <f ca="1">OFFSET(Objects!$HW$6,BW$1+(Objects!$Y$4-$A4-1)*Objects!$X$4,0)</f>
        <v>0</v>
      </c>
      <c r="BX4">
        <f ca="1">OFFSET(Objects!$HW$6,BX$1+(Objects!$Y$4-$A4-1)*Objects!$X$4,0)</f>
        <v>0</v>
      </c>
      <c r="BY4">
        <f ca="1">OFFSET(Objects!$HW$6,BY$1+(Objects!$Y$4-$A4-1)*Objects!$X$4,0)</f>
        <v>0</v>
      </c>
      <c r="BZ4">
        <f ca="1">OFFSET(Objects!$HW$6,BZ$1+(Objects!$Y$4-$A4-1)*Objects!$X$4,0)</f>
        <v>0</v>
      </c>
      <c r="CA4">
        <f ca="1">OFFSET(Objects!$HW$6,CA$1+(Objects!$Y$4-$A4-1)*Objects!$X$4,0)</f>
        <v>0</v>
      </c>
      <c r="CB4">
        <f ca="1">OFFSET(Objects!$HW$6,CB$1+(Objects!$Y$4-$A4-1)*Objects!$X$4,0)</f>
        <v>0</v>
      </c>
      <c r="CC4">
        <f ca="1">OFFSET(Objects!$HW$6,CC$1+(Objects!$Y$4-$A4-1)*Objects!$X$4,0)</f>
        <v>0</v>
      </c>
      <c r="CD4">
        <f ca="1">OFFSET(Objects!$HW$6,CD$1+(Objects!$Y$4-$A4-1)*Objects!$X$4,0)</f>
        <v>0</v>
      </c>
      <c r="CE4">
        <f ca="1">OFFSET(Objects!$HW$6,CE$1+(Objects!$Y$4-$A4-1)*Objects!$X$4,0)</f>
        <v>0</v>
      </c>
      <c r="CF4">
        <f ca="1">OFFSET(Objects!$HW$6,CF$1+(Objects!$Y$4-$A4-1)*Objects!$X$4,0)</f>
        <v>0</v>
      </c>
      <c r="CG4">
        <f ca="1">OFFSET(Objects!$HW$6,CG$1+(Objects!$Y$4-$A4-1)*Objects!$X$4,0)</f>
        <v>0</v>
      </c>
      <c r="CH4">
        <f ca="1">OFFSET(Objects!$HW$6,CH$1+(Objects!$Y$4-$A4-1)*Objects!$X$4,0)</f>
        <v>0</v>
      </c>
      <c r="CI4">
        <f ca="1">OFFSET(Objects!$HW$6,CI$1+(Objects!$Y$4-$A4-1)*Objects!$X$4,0)</f>
        <v>0</v>
      </c>
      <c r="CJ4">
        <f ca="1">OFFSET(Objects!$HW$6,CJ$1+(Objects!$Y$4-$A4-1)*Objects!$X$4,0)</f>
        <v>0</v>
      </c>
      <c r="CK4">
        <f ca="1">OFFSET(Objects!$HW$6,CK$1+(Objects!$Y$4-$A4-1)*Objects!$X$4,0)</f>
        <v>0</v>
      </c>
      <c r="CL4">
        <f ca="1">OFFSET(Objects!$HW$6,CL$1+(Objects!$Y$4-$A4-1)*Objects!$X$4,0)</f>
        <v>0</v>
      </c>
      <c r="CM4">
        <f ca="1">OFFSET(Objects!$HW$6,CM$1+(Objects!$Y$4-$A4-1)*Objects!$X$4,0)</f>
        <v>0</v>
      </c>
      <c r="CN4">
        <f ca="1">OFFSET(Objects!$HW$6,CN$1+(Objects!$Y$4-$A4-1)*Objects!$X$4,0)</f>
        <v>0</v>
      </c>
      <c r="CO4">
        <f ca="1">OFFSET(Objects!$HW$6,CO$1+(Objects!$Y$4-$A4-1)*Objects!$X$4,0)</f>
        <v>0</v>
      </c>
      <c r="CP4">
        <f ca="1">OFFSET(Objects!$HW$6,CP$1+(Objects!$Y$4-$A4-1)*Objects!$X$4,0)</f>
        <v>0</v>
      </c>
      <c r="CQ4">
        <f ca="1">OFFSET(Objects!$HW$6,CQ$1+(Objects!$Y$4-$A4-1)*Objects!$X$4,0)</f>
        <v>0</v>
      </c>
      <c r="CR4">
        <f ca="1">OFFSET(Objects!$HW$6,CR$1+(Objects!$Y$4-$A4-1)*Objects!$X$4,0)</f>
        <v>0</v>
      </c>
      <c r="CS4">
        <f ca="1">OFFSET(Objects!$HW$6,CS$1+(Objects!$Y$4-$A4-1)*Objects!$X$4,0)</f>
        <v>0</v>
      </c>
      <c r="CT4">
        <f ca="1">OFFSET(Objects!$HW$6,CT$1+(Objects!$Y$4-$A4-1)*Objects!$X$4,0)</f>
        <v>0</v>
      </c>
      <c r="CU4">
        <f ca="1">OFFSET(Objects!$HW$6,CU$1+(Objects!$Y$4-$A4-1)*Objects!$X$4,0)</f>
        <v>0</v>
      </c>
      <c r="CV4">
        <f ca="1">OFFSET(Objects!$HW$6,CV$1+(Objects!$Y$4-$A4-1)*Objects!$X$4,0)</f>
        <v>0</v>
      </c>
      <c r="CW4">
        <f ca="1">OFFSET(Objects!$HW$6,CW$1+(Objects!$Y$4-$A4-1)*Objects!$X$4,0)</f>
        <v>0</v>
      </c>
      <c r="CX4">
        <f ca="1">OFFSET(Objects!$HW$6,CX$1+(Objects!$Y$4-$A4-1)*Objects!$X$4,0)</f>
        <v>0</v>
      </c>
      <c r="CY4">
        <f ca="1">OFFSET(Objects!$HW$6,CY$1+(Objects!$Y$4-$A4-1)*Objects!$X$4,0)</f>
        <v>0</v>
      </c>
      <c r="CZ4">
        <f ca="1">OFFSET(Objects!$HW$6,CZ$1+(Objects!$Y$4-$A4-1)*Objects!$X$4,0)</f>
        <v>0</v>
      </c>
      <c r="DA4">
        <f ca="1">OFFSET(Objects!$HW$6,DA$1+(Objects!$Y$4-$A4-1)*Objects!$X$4,0)</f>
        <v>0</v>
      </c>
      <c r="DB4">
        <f ca="1">OFFSET(Objects!$HW$6,DB$1+(Objects!$Y$4-$A4-1)*Objects!$X$4,0)</f>
        <v>0</v>
      </c>
      <c r="DC4">
        <f ca="1">OFFSET(Objects!$HW$6,DC$1+(Objects!$Y$4-$A4-1)*Objects!$X$4,0)</f>
        <v>0</v>
      </c>
      <c r="DD4">
        <f ca="1">OFFSET(Objects!$HW$6,DD$1+(Objects!$Y$4-$A4-1)*Objects!$X$4,0)</f>
        <v>0</v>
      </c>
      <c r="DE4">
        <f ca="1">OFFSET(Objects!$HW$6,DE$1+(Objects!$Y$4-$A4-1)*Objects!$X$4,0)</f>
        <v>0</v>
      </c>
      <c r="DF4">
        <f ca="1">OFFSET(Objects!$HW$6,DF$1+(Objects!$Y$4-$A4-1)*Objects!$X$4,0)</f>
        <v>0</v>
      </c>
      <c r="DG4">
        <f ca="1">OFFSET(Objects!$HW$6,DG$1+(Objects!$Y$4-$A4-1)*Objects!$X$4,0)</f>
        <v>0</v>
      </c>
      <c r="DH4">
        <f ca="1">OFFSET(Objects!$HW$6,DH$1+(Objects!$Y$4-$A4-1)*Objects!$X$4,0)</f>
        <v>0</v>
      </c>
      <c r="DI4">
        <f ca="1">OFFSET(Objects!$HW$6,DI$1+(Objects!$Y$4-$A4-1)*Objects!$X$4,0)</f>
        <v>0</v>
      </c>
      <c r="DJ4">
        <f ca="1">OFFSET(Objects!$HW$6,DJ$1+(Objects!$Y$4-$A4-1)*Objects!$X$4,0)</f>
        <v>0</v>
      </c>
      <c r="DK4">
        <f ca="1">OFFSET(Objects!$HW$6,DK$1+(Objects!$Y$4-$A4-1)*Objects!$X$4,0)</f>
        <v>0</v>
      </c>
      <c r="DL4">
        <f ca="1">OFFSET(Objects!$HW$6,DL$1+(Objects!$Y$4-$A4-1)*Objects!$X$4,0)</f>
        <v>0</v>
      </c>
      <c r="DM4">
        <f ca="1">OFFSET(Objects!$HW$6,DM$1+(Objects!$Y$4-$A4-1)*Objects!$X$4,0)</f>
        <v>0</v>
      </c>
      <c r="DN4">
        <f ca="1">OFFSET(Objects!$HW$6,DN$1+(Objects!$Y$4-$A4-1)*Objects!$X$4,0)</f>
        <v>0</v>
      </c>
      <c r="DO4">
        <f ca="1">OFFSET(Objects!$HW$6,DO$1+(Objects!$Y$4-$A4-1)*Objects!$X$4,0)</f>
        <v>0</v>
      </c>
      <c r="DP4">
        <f ca="1">OFFSET(Objects!$HW$6,DP$1+(Objects!$Y$4-$A4-1)*Objects!$X$4,0)</f>
        <v>0</v>
      </c>
      <c r="DQ4">
        <f ca="1">OFFSET(Objects!$HW$6,DQ$1+(Objects!$Y$4-$A4-1)*Objects!$X$4,0)</f>
        <v>0</v>
      </c>
      <c r="DR4">
        <f ca="1">OFFSET(Objects!$HW$6,DR$1+(Objects!$Y$4-$A4-1)*Objects!$X$4,0)</f>
        <v>0</v>
      </c>
      <c r="DS4">
        <f ca="1">OFFSET(Objects!$HW$6,DS$1+(Objects!$Y$4-$A4-1)*Objects!$X$4,0)</f>
        <v>0</v>
      </c>
      <c r="DT4">
        <f ca="1">OFFSET(Objects!$HW$6,DT$1+(Objects!$Y$4-$A4-1)*Objects!$X$4,0)</f>
        <v>0</v>
      </c>
      <c r="DU4">
        <f ca="1">OFFSET(Objects!$HW$6,DU$1+(Objects!$Y$4-$A4-1)*Objects!$X$4,0)</f>
        <v>0</v>
      </c>
      <c r="DV4">
        <f ca="1">OFFSET(Objects!$HW$6,DV$1+(Objects!$Y$4-$A4-1)*Objects!$X$4,0)</f>
        <v>0</v>
      </c>
      <c r="DW4">
        <f ca="1">OFFSET(Objects!$HW$6,DW$1+(Objects!$Y$4-$A4-1)*Objects!$X$4,0)</f>
        <v>0</v>
      </c>
      <c r="DX4">
        <f ca="1">OFFSET(Objects!$HW$6,DX$1+(Objects!$Y$4-$A4-1)*Objects!$X$4,0)</f>
        <v>0</v>
      </c>
      <c r="DY4">
        <f ca="1">OFFSET(Objects!$HW$6,DY$1+(Objects!$Y$4-$A4-1)*Objects!$X$4,0)</f>
        <v>0</v>
      </c>
      <c r="DZ4">
        <f ca="1">OFFSET(Objects!$HW$6,DZ$1+(Objects!$Y$4-$A4-1)*Objects!$X$4,0)</f>
        <v>0</v>
      </c>
      <c r="EA4">
        <f ca="1">OFFSET(Objects!$HW$6,EA$1+(Objects!$Y$4-$A4-1)*Objects!$X$4,0)</f>
        <v>0</v>
      </c>
      <c r="EB4">
        <f ca="1">OFFSET(Objects!$HW$6,EB$1+(Objects!$Y$4-$A4-1)*Objects!$X$4,0)</f>
        <v>0</v>
      </c>
      <c r="EC4">
        <f ca="1">OFFSET(Objects!$HW$6,EC$1+(Objects!$Y$4-$A4-1)*Objects!$X$4,0)</f>
        <v>0</v>
      </c>
      <c r="ED4">
        <f ca="1">OFFSET(Objects!$HW$6,ED$1+(Objects!$Y$4-$A4-1)*Objects!$X$4,0)</f>
        <v>0</v>
      </c>
      <c r="EE4">
        <f ca="1">OFFSET(Objects!$HW$6,EE$1+(Objects!$Y$4-$A4-1)*Objects!$X$4,0)</f>
        <v>0</v>
      </c>
      <c r="EF4">
        <f ca="1">OFFSET(Objects!$HW$6,EF$1+(Objects!$Y$4-$A4-1)*Objects!$X$4,0)</f>
        <v>0</v>
      </c>
      <c r="EG4">
        <f ca="1">OFFSET(Objects!$HW$6,EG$1+(Objects!$Y$4-$A4-1)*Objects!$X$4,0)</f>
        <v>0</v>
      </c>
      <c r="EH4">
        <f ca="1">OFFSET(Objects!$HW$6,EH$1+(Objects!$Y$4-$A4-1)*Objects!$X$4,0)</f>
        <v>0</v>
      </c>
      <c r="EI4">
        <f ca="1">OFFSET(Objects!$HW$6,EI$1+(Objects!$Y$4-$A4-1)*Objects!$X$4,0)</f>
        <v>0</v>
      </c>
      <c r="EJ4">
        <f ca="1">OFFSET(Objects!$HW$6,EJ$1+(Objects!$Y$4-$A4-1)*Objects!$X$4,0)</f>
        <v>0</v>
      </c>
      <c r="EK4">
        <f ca="1">OFFSET(Objects!$HW$6,EK$1+(Objects!$Y$4-$A4-1)*Objects!$X$4,0)</f>
        <v>0</v>
      </c>
      <c r="EL4">
        <f ca="1">OFFSET(Objects!$HW$6,EL$1+(Objects!$Y$4-$A4-1)*Objects!$X$4,0)</f>
        <v>0</v>
      </c>
      <c r="EM4">
        <f ca="1">OFFSET(Objects!$HW$6,EM$1+(Objects!$Y$4-$A4-1)*Objects!$X$4,0)</f>
        <v>0</v>
      </c>
      <c r="EN4">
        <f ca="1">OFFSET(Objects!$HW$6,EN$1+(Objects!$Y$4-$A4-1)*Objects!$X$4,0)</f>
        <v>0</v>
      </c>
      <c r="EO4">
        <f ca="1">OFFSET(Objects!$HW$6,EO$1+(Objects!$Y$4-$A4-1)*Objects!$X$4,0)</f>
        <v>0</v>
      </c>
      <c r="EP4">
        <f ca="1">OFFSET(Objects!$HW$6,EP$1+(Objects!$Y$4-$A4-1)*Objects!$X$4,0)</f>
        <v>0</v>
      </c>
      <c r="EQ4">
        <f ca="1">OFFSET(Objects!$HW$6,EQ$1+(Objects!$Y$4-$A4-1)*Objects!$X$4,0)</f>
        <v>0</v>
      </c>
      <c r="ER4">
        <f ca="1">OFFSET(Objects!$HW$6,ER$1+(Objects!$Y$4-$A4-1)*Objects!$X$4,0)</f>
        <v>0</v>
      </c>
      <c r="ES4">
        <f ca="1">OFFSET(Objects!$HW$6,ES$1+(Objects!$Y$4-$A4-1)*Objects!$X$4,0)</f>
        <v>0</v>
      </c>
      <c r="ET4">
        <f ca="1">OFFSET(Objects!$HW$6,ET$1+(Objects!$Y$4-$A4-1)*Objects!$X$4,0)</f>
        <v>0</v>
      </c>
      <c r="EU4">
        <f ca="1">OFFSET(Objects!$HW$6,EU$1+(Objects!$Y$4-$A4-1)*Objects!$X$4,0)</f>
        <v>0</v>
      </c>
      <c r="EV4">
        <f ca="1">OFFSET(Objects!$HW$6,EV$1+(Objects!$Y$4-$A4-1)*Objects!$X$4,0)</f>
        <v>0</v>
      </c>
      <c r="EW4">
        <f ca="1">OFFSET(Objects!$HW$6,EW$1+(Objects!$Y$4-$A4-1)*Objects!$X$4,0)</f>
        <v>0</v>
      </c>
      <c r="EX4">
        <f ca="1">OFFSET(Objects!$HW$6,EX$1+(Objects!$Y$4-$A4-1)*Objects!$X$4,0)</f>
        <v>0</v>
      </c>
      <c r="EY4">
        <f ca="1">OFFSET(Objects!$HW$6,EY$1+(Objects!$Y$4-$A4-1)*Objects!$X$4,0)</f>
        <v>0</v>
      </c>
      <c r="EZ4">
        <f ca="1">OFFSET(Objects!$HW$6,EZ$1+(Objects!$Y$4-$A4-1)*Objects!$X$4,0)</f>
        <v>0</v>
      </c>
      <c r="FA4">
        <f ca="1">OFFSET(Objects!$HW$6,FA$1+(Objects!$Y$4-$A4-1)*Objects!$X$4,0)</f>
        <v>0</v>
      </c>
      <c r="FB4">
        <f ca="1">OFFSET(Objects!$HW$6,FB$1+(Objects!$Y$4-$A4-1)*Objects!$X$4,0)</f>
        <v>0</v>
      </c>
      <c r="FC4">
        <f ca="1">OFFSET(Objects!$HW$6,FC$1+(Objects!$Y$4-$A4-1)*Objects!$X$4,0)</f>
        <v>0</v>
      </c>
      <c r="FD4">
        <f ca="1">OFFSET(Objects!$HW$6,FD$1+(Objects!$Y$4-$A4-1)*Objects!$X$4,0)</f>
        <v>0</v>
      </c>
      <c r="FE4" s="22">
        <f ca="1">OFFSET(Objects!$HW$6,FE$1+(Objects!$Y$4-$A4-1)*Objects!$X$4,0)</f>
        <v>0</v>
      </c>
    </row>
    <row r="5" spans="1:161" ht="4.5" customHeight="1" x14ac:dyDescent="0.25">
      <c r="A5">
        <v>3</v>
      </c>
      <c r="B5" s="21">
        <f ca="1">OFFSET(Objects!$HW$6,B$1+(Objects!$Y$4-$A5-1)*Objects!$X$4,0)</f>
        <v>0</v>
      </c>
      <c r="C5">
        <f ca="1">OFFSET(Objects!$HW$6,C$1+(Objects!$Y$4-$A5-1)*Objects!$X$4,0)</f>
        <v>0</v>
      </c>
      <c r="D5">
        <f ca="1">OFFSET(Objects!$HW$6,D$1+(Objects!$Y$4-$A5-1)*Objects!$X$4,0)</f>
        <v>0</v>
      </c>
      <c r="E5">
        <f ca="1">OFFSET(Objects!$HW$6,E$1+(Objects!$Y$4-$A5-1)*Objects!$X$4,0)</f>
        <v>0</v>
      </c>
      <c r="F5">
        <f ca="1">OFFSET(Objects!$HW$6,F$1+(Objects!$Y$4-$A5-1)*Objects!$X$4,0)</f>
        <v>0</v>
      </c>
      <c r="G5">
        <f ca="1">OFFSET(Objects!$HW$6,G$1+(Objects!$Y$4-$A5-1)*Objects!$X$4,0)</f>
        <v>0</v>
      </c>
      <c r="H5">
        <f ca="1">OFFSET(Objects!$HW$6,H$1+(Objects!$Y$4-$A5-1)*Objects!$X$4,0)</f>
        <v>0</v>
      </c>
      <c r="I5">
        <f ca="1">OFFSET(Objects!$HW$6,I$1+(Objects!$Y$4-$A5-1)*Objects!$X$4,0)</f>
        <v>0</v>
      </c>
      <c r="J5">
        <f ca="1">OFFSET(Objects!$HW$6,J$1+(Objects!$Y$4-$A5-1)*Objects!$X$4,0)</f>
        <v>0</v>
      </c>
      <c r="K5">
        <f ca="1">OFFSET(Objects!$HW$6,K$1+(Objects!$Y$4-$A5-1)*Objects!$X$4,0)</f>
        <v>0</v>
      </c>
      <c r="L5">
        <f ca="1">OFFSET(Objects!$HW$6,L$1+(Objects!$Y$4-$A5-1)*Objects!$X$4,0)</f>
        <v>0</v>
      </c>
      <c r="M5">
        <f ca="1">OFFSET(Objects!$HW$6,M$1+(Objects!$Y$4-$A5-1)*Objects!$X$4,0)</f>
        <v>0</v>
      </c>
      <c r="N5">
        <f ca="1">OFFSET(Objects!$HW$6,N$1+(Objects!$Y$4-$A5-1)*Objects!$X$4,0)</f>
        <v>0</v>
      </c>
      <c r="O5">
        <f ca="1">OFFSET(Objects!$HW$6,O$1+(Objects!$Y$4-$A5-1)*Objects!$X$4,0)</f>
        <v>0</v>
      </c>
      <c r="P5">
        <f ca="1">OFFSET(Objects!$HW$6,P$1+(Objects!$Y$4-$A5-1)*Objects!$X$4,0)</f>
        <v>0</v>
      </c>
      <c r="Q5">
        <f ca="1">OFFSET(Objects!$HW$6,Q$1+(Objects!$Y$4-$A5-1)*Objects!$X$4,0)</f>
        <v>0</v>
      </c>
      <c r="R5">
        <f ca="1">OFFSET(Objects!$HW$6,R$1+(Objects!$Y$4-$A5-1)*Objects!$X$4,0)</f>
        <v>0</v>
      </c>
      <c r="S5">
        <f ca="1">OFFSET(Objects!$HW$6,S$1+(Objects!$Y$4-$A5-1)*Objects!$X$4,0)</f>
        <v>0</v>
      </c>
      <c r="T5">
        <f ca="1">OFFSET(Objects!$HW$6,T$1+(Objects!$Y$4-$A5-1)*Objects!$X$4,0)</f>
        <v>0</v>
      </c>
      <c r="U5">
        <f ca="1">OFFSET(Objects!$HW$6,U$1+(Objects!$Y$4-$A5-1)*Objects!$X$4,0)</f>
        <v>0</v>
      </c>
      <c r="V5">
        <f ca="1">OFFSET(Objects!$HW$6,V$1+(Objects!$Y$4-$A5-1)*Objects!$X$4,0)</f>
        <v>0</v>
      </c>
      <c r="W5">
        <f ca="1">OFFSET(Objects!$HW$6,W$1+(Objects!$Y$4-$A5-1)*Objects!$X$4,0)</f>
        <v>0</v>
      </c>
      <c r="X5">
        <f ca="1">OFFSET(Objects!$HW$6,X$1+(Objects!$Y$4-$A5-1)*Objects!$X$4,0)</f>
        <v>0</v>
      </c>
      <c r="Y5">
        <f ca="1">OFFSET(Objects!$HW$6,Y$1+(Objects!$Y$4-$A5-1)*Objects!$X$4,0)</f>
        <v>0</v>
      </c>
      <c r="Z5">
        <f ca="1">OFFSET(Objects!$HW$6,Z$1+(Objects!$Y$4-$A5-1)*Objects!$X$4,0)</f>
        <v>0</v>
      </c>
      <c r="AA5">
        <f ca="1">OFFSET(Objects!$HW$6,AA$1+(Objects!$Y$4-$A5-1)*Objects!$X$4,0)</f>
        <v>0</v>
      </c>
      <c r="AB5">
        <f ca="1">OFFSET(Objects!$HW$6,AB$1+(Objects!$Y$4-$A5-1)*Objects!$X$4,0)</f>
        <v>0</v>
      </c>
      <c r="AC5">
        <f ca="1">OFFSET(Objects!$HW$6,AC$1+(Objects!$Y$4-$A5-1)*Objects!$X$4,0)</f>
        <v>0</v>
      </c>
      <c r="AD5">
        <f ca="1">OFFSET(Objects!$HW$6,AD$1+(Objects!$Y$4-$A5-1)*Objects!$X$4,0)</f>
        <v>0</v>
      </c>
      <c r="AE5">
        <f ca="1">OFFSET(Objects!$HW$6,AE$1+(Objects!$Y$4-$A5-1)*Objects!$X$4,0)</f>
        <v>0</v>
      </c>
      <c r="AF5">
        <f ca="1">OFFSET(Objects!$HW$6,AF$1+(Objects!$Y$4-$A5-1)*Objects!$X$4,0)</f>
        <v>0</v>
      </c>
      <c r="AG5">
        <f ca="1">OFFSET(Objects!$HW$6,AG$1+(Objects!$Y$4-$A5-1)*Objects!$X$4,0)</f>
        <v>0</v>
      </c>
      <c r="AH5">
        <f ca="1">OFFSET(Objects!$HW$6,AH$1+(Objects!$Y$4-$A5-1)*Objects!$X$4,0)</f>
        <v>0</v>
      </c>
      <c r="AI5">
        <f ca="1">OFFSET(Objects!$HW$6,AI$1+(Objects!$Y$4-$A5-1)*Objects!$X$4,0)</f>
        <v>0</v>
      </c>
      <c r="AJ5">
        <f ca="1">OFFSET(Objects!$HW$6,AJ$1+(Objects!$Y$4-$A5-1)*Objects!$X$4,0)</f>
        <v>0</v>
      </c>
      <c r="AK5">
        <f ca="1">OFFSET(Objects!$HW$6,AK$1+(Objects!$Y$4-$A5-1)*Objects!$X$4,0)</f>
        <v>0</v>
      </c>
      <c r="AL5">
        <f ca="1">OFFSET(Objects!$HW$6,AL$1+(Objects!$Y$4-$A5-1)*Objects!$X$4,0)</f>
        <v>0</v>
      </c>
      <c r="AM5">
        <f ca="1">OFFSET(Objects!$HW$6,AM$1+(Objects!$Y$4-$A5-1)*Objects!$X$4,0)</f>
        <v>0</v>
      </c>
      <c r="AN5">
        <f ca="1">OFFSET(Objects!$HW$6,AN$1+(Objects!$Y$4-$A5-1)*Objects!$X$4,0)</f>
        <v>0</v>
      </c>
      <c r="AO5">
        <f ca="1">OFFSET(Objects!$HW$6,AO$1+(Objects!$Y$4-$A5-1)*Objects!$X$4,0)</f>
        <v>0</v>
      </c>
      <c r="AP5">
        <f ca="1">OFFSET(Objects!$HW$6,AP$1+(Objects!$Y$4-$A5-1)*Objects!$X$4,0)</f>
        <v>0</v>
      </c>
      <c r="AQ5">
        <f ca="1">OFFSET(Objects!$HW$6,AQ$1+(Objects!$Y$4-$A5-1)*Objects!$X$4,0)</f>
        <v>0</v>
      </c>
      <c r="AR5">
        <f ca="1">OFFSET(Objects!$HW$6,AR$1+(Objects!$Y$4-$A5-1)*Objects!$X$4,0)</f>
        <v>0</v>
      </c>
      <c r="AS5">
        <f ca="1">OFFSET(Objects!$HW$6,AS$1+(Objects!$Y$4-$A5-1)*Objects!$X$4,0)</f>
        <v>0</v>
      </c>
      <c r="AT5">
        <f ca="1">OFFSET(Objects!$HW$6,AT$1+(Objects!$Y$4-$A5-1)*Objects!$X$4,0)</f>
        <v>0</v>
      </c>
      <c r="AU5">
        <f ca="1">OFFSET(Objects!$HW$6,AU$1+(Objects!$Y$4-$A5-1)*Objects!$X$4,0)</f>
        <v>0</v>
      </c>
      <c r="AV5">
        <f ca="1">OFFSET(Objects!$HW$6,AV$1+(Objects!$Y$4-$A5-1)*Objects!$X$4,0)</f>
        <v>0</v>
      </c>
      <c r="AW5">
        <f ca="1">OFFSET(Objects!$HW$6,AW$1+(Objects!$Y$4-$A5-1)*Objects!$X$4,0)</f>
        <v>0</v>
      </c>
      <c r="AX5">
        <f ca="1">OFFSET(Objects!$HW$6,AX$1+(Objects!$Y$4-$A5-1)*Objects!$X$4,0)</f>
        <v>0</v>
      </c>
      <c r="AY5">
        <f ca="1">OFFSET(Objects!$HW$6,AY$1+(Objects!$Y$4-$A5-1)*Objects!$X$4,0)</f>
        <v>0</v>
      </c>
      <c r="AZ5">
        <f ca="1">OFFSET(Objects!$HW$6,AZ$1+(Objects!$Y$4-$A5-1)*Objects!$X$4,0)</f>
        <v>0</v>
      </c>
      <c r="BA5">
        <f ca="1">OFFSET(Objects!$HW$6,BA$1+(Objects!$Y$4-$A5-1)*Objects!$X$4,0)</f>
        <v>0</v>
      </c>
      <c r="BB5">
        <f ca="1">OFFSET(Objects!$HW$6,BB$1+(Objects!$Y$4-$A5-1)*Objects!$X$4,0)</f>
        <v>0</v>
      </c>
      <c r="BC5">
        <f ca="1">OFFSET(Objects!$HW$6,BC$1+(Objects!$Y$4-$A5-1)*Objects!$X$4,0)</f>
        <v>0</v>
      </c>
      <c r="BD5">
        <f ca="1">OFFSET(Objects!$HW$6,BD$1+(Objects!$Y$4-$A5-1)*Objects!$X$4,0)</f>
        <v>0</v>
      </c>
      <c r="BE5">
        <f ca="1">OFFSET(Objects!$HW$6,BE$1+(Objects!$Y$4-$A5-1)*Objects!$X$4,0)</f>
        <v>0</v>
      </c>
      <c r="BF5">
        <f ca="1">OFFSET(Objects!$HW$6,BF$1+(Objects!$Y$4-$A5-1)*Objects!$X$4,0)</f>
        <v>0</v>
      </c>
      <c r="BG5">
        <f ca="1">OFFSET(Objects!$HW$6,BG$1+(Objects!$Y$4-$A5-1)*Objects!$X$4,0)</f>
        <v>0</v>
      </c>
      <c r="BH5">
        <f ca="1">OFFSET(Objects!$HW$6,BH$1+(Objects!$Y$4-$A5-1)*Objects!$X$4,0)</f>
        <v>0</v>
      </c>
      <c r="BI5">
        <f ca="1">OFFSET(Objects!$HW$6,BI$1+(Objects!$Y$4-$A5-1)*Objects!$X$4,0)</f>
        <v>0</v>
      </c>
      <c r="BJ5">
        <f ca="1">OFFSET(Objects!$HW$6,BJ$1+(Objects!$Y$4-$A5-1)*Objects!$X$4,0)</f>
        <v>0</v>
      </c>
      <c r="BK5">
        <f ca="1">OFFSET(Objects!$HW$6,BK$1+(Objects!$Y$4-$A5-1)*Objects!$X$4,0)</f>
        <v>0</v>
      </c>
      <c r="BL5">
        <f ca="1">OFFSET(Objects!$HW$6,BL$1+(Objects!$Y$4-$A5-1)*Objects!$X$4,0)</f>
        <v>0</v>
      </c>
      <c r="BM5">
        <f ca="1">OFFSET(Objects!$HW$6,BM$1+(Objects!$Y$4-$A5-1)*Objects!$X$4,0)</f>
        <v>0</v>
      </c>
      <c r="BN5">
        <f ca="1">OFFSET(Objects!$HW$6,BN$1+(Objects!$Y$4-$A5-1)*Objects!$X$4,0)</f>
        <v>0</v>
      </c>
      <c r="BO5">
        <f ca="1">OFFSET(Objects!$HW$6,BO$1+(Objects!$Y$4-$A5-1)*Objects!$X$4,0)</f>
        <v>0</v>
      </c>
      <c r="BP5">
        <f ca="1">OFFSET(Objects!$HW$6,BP$1+(Objects!$Y$4-$A5-1)*Objects!$X$4,0)</f>
        <v>0</v>
      </c>
      <c r="BQ5">
        <f ca="1">OFFSET(Objects!$HW$6,BQ$1+(Objects!$Y$4-$A5-1)*Objects!$X$4,0)</f>
        <v>0</v>
      </c>
      <c r="BR5">
        <f ca="1">OFFSET(Objects!$HW$6,BR$1+(Objects!$Y$4-$A5-1)*Objects!$X$4,0)</f>
        <v>0</v>
      </c>
      <c r="BS5">
        <f ca="1">OFFSET(Objects!$HW$6,BS$1+(Objects!$Y$4-$A5-1)*Objects!$X$4,0)</f>
        <v>0</v>
      </c>
      <c r="BT5">
        <f ca="1">OFFSET(Objects!$HW$6,BT$1+(Objects!$Y$4-$A5-1)*Objects!$X$4,0)</f>
        <v>0</v>
      </c>
      <c r="BU5">
        <f ca="1">OFFSET(Objects!$HW$6,BU$1+(Objects!$Y$4-$A5-1)*Objects!$X$4,0)</f>
        <v>0</v>
      </c>
      <c r="BV5">
        <f ca="1">OFFSET(Objects!$HW$6,BV$1+(Objects!$Y$4-$A5-1)*Objects!$X$4,0)</f>
        <v>0</v>
      </c>
      <c r="BW5">
        <f ca="1">OFFSET(Objects!$HW$6,BW$1+(Objects!$Y$4-$A5-1)*Objects!$X$4,0)</f>
        <v>0</v>
      </c>
      <c r="BX5">
        <f ca="1">OFFSET(Objects!$HW$6,BX$1+(Objects!$Y$4-$A5-1)*Objects!$X$4,0)</f>
        <v>0</v>
      </c>
      <c r="BY5">
        <f ca="1">OFFSET(Objects!$HW$6,BY$1+(Objects!$Y$4-$A5-1)*Objects!$X$4,0)</f>
        <v>0</v>
      </c>
      <c r="BZ5">
        <f ca="1">OFFSET(Objects!$HW$6,BZ$1+(Objects!$Y$4-$A5-1)*Objects!$X$4,0)</f>
        <v>0</v>
      </c>
      <c r="CA5">
        <f ca="1">OFFSET(Objects!$HW$6,CA$1+(Objects!$Y$4-$A5-1)*Objects!$X$4,0)</f>
        <v>0</v>
      </c>
      <c r="CB5">
        <f ca="1">OFFSET(Objects!$HW$6,CB$1+(Objects!$Y$4-$A5-1)*Objects!$X$4,0)</f>
        <v>0</v>
      </c>
      <c r="CC5">
        <f ca="1">OFFSET(Objects!$HW$6,CC$1+(Objects!$Y$4-$A5-1)*Objects!$X$4,0)</f>
        <v>0</v>
      </c>
      <c r="CD5">
        <f ca="1">OFFSET(Objects!$HW$6,CD$1+(Objects!$Y$4-$A5-1)*Objects!$X$4,0)</f>
        <v>0</v>
      </c>
      <c r="CE5">
        <f ca="1">OFFSET(Objects!$HW$6,CE$1+(Objects!$Y$4-$A5-1)*Objects!$X$4,0)</f>
        <v>0</v>
      </c>
      <c r="CF5">
        <f ca="1">OFFSET(Objects!$HW$6,CF$1+(Objects!$Y$4-$A5-1)*Objects!$X$4,0)</f>
        <v>0</v>
      </c>
      <c r="CG5">
        <f ca="1">OFFSET(Objects!$HW$6,CG$1+(Objects!$Y$4-$A5-1)*Objects!$X$4,0)</f>
        <v>0</v>
      </c>
      <c r="CH5">
        <f ca="1">OFFSET(Objects!$HW$6,CH$1+(Objects!$Y$4-$A5-1)*Objects!$X$4,0)</f>
        <v>0</v>
      </c>
      <c r="CI5">
        <f ca="1">OFFSET(Objects!$HW$6,CI$1+(Objects!$Y$4-$A5-1)*Objects!$X$4,0)</f>
        <v>0</v>
      </c>
      <c r="CJ5">
        <f ca="1">OFFSET(Objects!$HW$6,CJ$1+(Objects!$Y$4-$A5-1)*Objects!$X$4,0)</f>
        <v>0</v>
      </c>
      <c r="CK5">
        <f ca="1">OFFSET(Objects!$HW$6,CK$1+(Objects!$Y$4-$A5-1)*Objects!$X$4,0)</f>
        <v>0</v>
      </c>
      <c r="CL5">
        <f ca="1">OFFSET(Objects!$HW$6,CL$1+(Objects!$Y$4-$A5-1)*Objects!$X$4,0)</f>
        <v>0</v>
      </c>
      <c r="CM5">
        <f ca="1">OFFSET(Objects!$HW$6,CM$1+(Objects!$Y$4-$A5-1)*Objects!$X$4,0)</f>
        <v>0</v>
      </c>
      <c r="CN5">
        <f ca="1">OFFSET(Objects!$HW$6,CN$1+(Objects!$Y$4-$A5-1)*Objects!$X$4,0)</f>
        <v>0</v>
      </c>
      <c r="CO5">
        <f ca="1">OFFSET(Objects!$HW$6,CO$1+(Objects!$Y$4-$A5-1)*Objects!$X$4,0)</f>
        <v>0</v>
      </c>
      <c r="CP5">
        <f ca="1">OFFSET(Objects!$HW$6,CP$1+(Objects!$Y$4-$A5-1)*Objects!$X$4,0)</f>
        <v>0</v>
      </c>
      <c r="CQ5">
        <f ca="1">OFFSET(Objects!$HW$6,CQ$1+(Objects!$Y$4-$A5-1)*Objects!$X$4,0)</f>
        <v>0</v>
      </c>
      <c r="CR5">
        <f ca="1">OFFSET(Objects!$HW$6,CR$1+(Objects!$Y$4-$A5-1)*Objects!$X$4,0)</f>
        <v>0</v>
      </c>
      <c r="CS5">
        <f ca="1">OFFSET(Objects!$HW$6,CS$1+(Objects!$Y$4-$A5-1)*Objects!$X$4,0)</f>
        <v>0</v>
      </c>
      <c r="CT5">
        <f ca="1">OFFSET(Objects!$HW$6,CT$1+(Objects!$Y$4-$A5-1)*Objects!$X$4,0)</f>
        <v>0</v>
      </c>
      <c r="CU5">
        <f ca="1">OFFSET(Objects!$HW$6,CU$1+(Objects!$Y$4-$A5-1)*Objects!$X$4,0)</f>
        <v>0</v>
      </c>
      <c r="CV5">
        <f ca="1">OFFSET(Objects!$HW$6,CV$1+(Objects!$Y$4-$A5-1)*Objects!$X$4,0)</f>
        <v>0</v>
      </c>
      <c r="CW5">
        <f ca="1">OFFSET(Objects!$HW$6,CW$1+(Objects!$Y$4-$A5-1)*Objects!$X$4,0)</f>
        <v>0</v>
      </c>
      <c r="CX5">
        <f ca="1">OFFSET(Objects!$HW$6,CX$1+(Objects!$Y$4-$A5-1)*Objects!$X$4,0)</f>
        <v>0</v>
      </c>
      <c r="CY5">
        <f ca="1">OFFSET(Objects!$HW$6,CY$1+(Objects!$Y$4-$A5-1)*Objects!$X$4,0)</f>
        <v>0</v>
      </c>
      <c r="CZ5">
        <f ca="1">OFFSET(Objects!$HW$6,CZ$1+(Objects!$Y$4-$A5-1)*Objects!$X$4,0)</f>
        <v>0</v>
      </c>
      <c r="DA5">
        <f ca="1">OFFSET(Objects!$HW$6,DA$1+(Objects!$Y$4-$A5-1)*Objects!$X$4,0)</f>
        <v>0</v>
      </c>
      <c r="DB5">
        <f ca="1">OFFSET(Objects!$HW$6,DB$1+(Objects!$Y$4-$A5-1)*Objects!$X$4,0)</f>
        <v>0</v>
      </c>
      <c r="DC5">
        <f ca="1">OFFSET(Objects!$HW$6,DC$1+(Objects!$Y$4-$A5-1)*Objects!$X$4,0)</f>
        <v>0</v>
      </c>
      <c r="DD5">
        <f ca="1">OFFSET(Objects!$HW$6,DD$1+(Objects!$Y$4-$A5-1)*Objects!$X$4,0)</f>
        <v>0</v>
      </c>
      <c r="DE5">
        <f ca="1">OFFSET(Objects!$HW$6,DE$1+(Objects!$Y$4-$A5-1)*Objects!$X$4,0)</f>
        <v>0</v>
      </c>
      <c r="DF5">
        <f ca="1">OFFSET(Objects!$HW$6,DF$1+(Objects!$Y$4-$A5-1)*Objects!$X$4,0)</f>
        <v>0</v>
      </c>
      <c r="DG5">
        <f ca="1">OFFSET(Objects!$HW$6,DG$1+(Objects!$Y$4-$A5-1)*Objects!$X$4,0)</f>
        <v>0</v>
      </c>
      <c r="DH5">
        <f ca="1">OFFSET(Objects!$HW$6,DH$1+(Objects!$Y$4-$A5-1)*Objects!$X$4,0)</f>
        <v>0</v>
      </c>
      <c r="DI5">
        <f ca="1">OFFSET(Objects!$HW$6,DI$1+(Objects!$Y$4-$A5-1)*Objects!$X$4,0)</f>
        <v>0</v>
      </c>
      <c r="DJ5">
        <f ca="1">OFFSET(Objects!$HW$6,DJ$1+(Objects!$Y$4-$A5-1)*Objects!$X$4,0)</f>
        <v>0</v>
      </c>
      <c r="DK5">
        <f ca="1">OFFSET(Objects!$HW$6,DK$1+(Objects!$Y$4-$A5-1)*Objects!$X$4,0)</f>
        <v>0</v>
      </c>
      <c r="DL5">
        <f ca="1">OFFSET(Objects!$HW$6,DL$1+(Objects!$Y$4-$A5-1)*Objects!$X$4,0)</f>
        <v>0</v>
      </c>
      <c r="DM5">
        <f ca="1">OFFSET(Objects!$HW$6,DM$1+(Objects!$Y$4-$A5-1)*Objects!$X$4,0)</f>
        <v>0</v>
      </c>
      <c r="DN5">
        <f ca="1">OFFSET(Objects!$HW$6,DN$1+(Objects!$Y$4-$A5-1)*Objects!$X$4,0)</f>
        <v>0</v>
      </c>
      <c r="DO5">
        <f ca="1">OFFSET(Objects!$HW$6,DO$1+(Objects!$Y$4-$A5-1)*Objects!$X$4,0)</f>
        <v>0</v>
      </c>
      <c r="DP5">
        <f ca="1">OFFSET(Objects!$HW$6,DP$1+(Objects!$Y$4-$A5-1)*Objects!$X$4,0)</f>
        <v>0</v>
      </c>
      <c r="DQ5">
        <f ca="1">OFFSET(Objects!$HW$6,DQ$1+(Objects!$Y$4-$A5-1)*Objects!$X$4,0)</f>
        <v>0</v>
      </c>
      <c r="DR5">
        <f ca="1">OFFSET(Objects!$HW$6,DR$1+(Objects!$Y$4-$A5-1)*Objects!$X$4,0)</f>
        <v>0</v>
      </c>
      <c r="DS5">
        <f ca="1">OFFSET(Objects!$HW$6,DS$1+(Objects!$Y$4-$A5-1)*Objects!$X$4,0)</f>
        <v>0</v>
      </c>
      <c r="DT5">
        <f ca="1">OFFSET(Objects!$HW$6,DT$1+(Objects!$Y$4-$A5-1)*Objects!$X$4,0)</f>
        <v>0</v>
      </c>
      <c r="DU5">
        <f ca="1">OFFSET(Objects!$HW$6,DU$1+(Objects!$Y$4-$A5-1)*Objects!$X$4,0)</f>
        <v>0</v>
      </c>
      <c r="DV5">
        <f ca="1">OFFSET(Objects!$HW$6,DV$1+(Objects!$Y$4-$A5-1)*Objects!$X$4,0)</f>
        <v>0</v>
      </c>
      <c r="DW5">
        <f ca="1">OFFSET(Objects!$HW$6,DW$1+(Objects!$Y$4-$A5-1)*Objects!$X$4,0)</f>
        <v>0</v>
      </c>
      <c r="DX5">
        <f ca="1">OFFSET(Objects!$HW$6,DX$1+(Objects!$Y$4-$A5-1)*Objects!$X$4,0)</f>
        <v>0</v>
      </c>
      <c r="DY5">
        <f ca="1">OFFSET(Objects!$HW$6,DY$1+(Objects!$Y$4-$A5-1)*Objects!$X$4,0)</f>
        <v>0</v>
      </c>
      <c r="DZ5">
        <f ca="1">OFFSET(Objects!$HW$6,DZ$1+(Objects!$Y$4-$A5-1)*Objects!$X$4,0)</f>
        <v>0</v>
      </c>
      <c r="EA5">
        <f ca="1">OFFSET(Objects!$HW$6,EA$1+(Objects!$Y$4-$A5-1)*Objects!$X$4,0)</f>
        <v>0</v>
      </c>
      <c r="EB5">
        <f ca="1">OFFSET(Objects!$HW$6,EB$1+(Objects!$Y$4-$A5-1)*Objects!$X$4,0)</f>
        <v>0</v>
      </c>
      <c r="EC5">
        <f ca="1">OFFSET(Objects!$HW$6,EC$1+(Objects!$Y$4-$A5-1)*Objects!$X$4,0)</f>
        <v>0</v>
      </c>
      <c r="ED5">
        <f ca="1">OFFSET(Objects!$HW$6,ED$1+(Objects!$Y$4-$A5-1)*Objects!$X$4,0)</f>
        <v>0</v>
      </c>
      <c r="EE5">
        <f ca="1">OFFSET(Objects!$HW$6,EE$1+(Objects!$Y$4-$A5-1)*Objects!$X$4,0)</f>
        <v>0</v>
      </c>
      <c r="EF5">
        <f ca="1">OFFSET(Objects!$HW$6,EF$1+(Objects!$Y$4-$A5-1)*Objects!$X$4,0)</f>
        <v>0</v>
      </c>
      <c r="EG5">
        <f ca="1">OFFSET(Objects!$HW$6,EG$1+(Objects!$Y$4-$A5-1)*Objects!$X$4,0)</f>
        <v>0</v>
      </c>
      <c r="EH5">
        <f ca="1">OFFSET(Objects!$HW$6,EH$1+(Objects!$Y$4-$A5-1)*Objects!$X$4,0)</f>
        <v>0</v>
      </c>
      <c r="EI5">
        <f ca="1">OFFSET(Objects!$HW$6,EI$1+(Objects!$Y$4-$A5-1)*Objects!$X$4,0)</f>
        <v>0</v>
      </c>
      <c r="EJ5">
        <f ca="1">OFFSET(Objects!$HW$6,EJ$1+(Objects!$Y$4-$A5-1)*Objects!$X$4,0)</f>
        <v>0</v>
      </c>
      <c r="EK5">
        <f ca="1">OFFSET(Objects!$HW$6,EK$1+(Objects!$Y$4-$A5-1)*Objects!$X$4,0)</f>
        <v>0</v>
      </c>
      <c r="EL5">
        <f ca="1">OFFSET(Objects!$HW$6,EL$1+(Objects!$Y$4-$A5-1)*Objects!$X$4,0)</f>
        <v>0</v>
      </c>
      <c r="EM5">
        <f ca="1">OFFSET(Objects!$HW$6,EM$1+(Objects!$Y$4-$A5-1)*Objects!$X$4,0)</f>
        <v>0</v>
      </c>
      <c r="EN5">
        <f ca="1">OFFSET(Objects!$HW$6,EN$1+(Objects!$Y$4-$A5-1)*Objects!$X$4,0)</f>
        <v>0</v>
      </c>
      <c r="EO5">
        <f ca="1">OFFSET(Objects!$HW$6,EO$1+(Objects!$Y$4-$A5-1)*Objects!$X$4,0)</f>
        <v>0</v>
      </c>
      <c r="EP5">
        <f ca="1">OFFSET(Objects!$HW$6,EP$1+(Objects!$Y$4-$A5-1)*Objects!$X$4,0)</f>
        <v>0</v>
      </c>
      <c r="EQ5">
        <f ca="1">OFFSET(Objects!$HW$6,EQ$1+(Objects!$Y$4-$A5-1)*Objects!$X$4,0)</f>
        <v>0</v>
      </c>
      <c r="ER5">
        <f ca="1">OFFSET(Objects!$HW$6,ER$1+(Objects!$Y$4-$A5-1)*Objects!$X$4,0)</f>
        <v>0</v>
      </c>
      <c r="ES5">
        <f ca="1">OFFSET(Objects!$HW$6,ES$1+(Objects!$Y$4-$A5-1)*Objects!$X$4,0)</f>
        <v>0</v>
      </c>
      <c r="ET5">
        <f ca="1">OFFSET(Objects!$HW$6,ET$1+(Objects!$Y$4-$A5-1)*Objects!$X$4,0)</f>
        <v>0</v>
      </c>
      <c r="EU5">
        <f ca="1">OFFSET(Objects!$HW$6,EU$1+(Objects!$Y$4-$A5-1)*Objects!$X$4,0)</f>
        <v>0</v>
      </c>
      <c r="EV5">
        <f ca="1">OFFSET(Objects!$HW$6,EV$1+(Objects!$Y$4-$A5-1)*Objects!$X$4,0)</f>
        <v>0</v>
      </c>
      <c r="EW5">
        <f ca="1">OFFSET(Objects!$HW$6,EW$1+(Objects!$Y$4-$A5-1)*Objects!$X$4,0)</f>
        <v>0</v>
      </c>
      <c r="EX5">
        <f ca="1">OFFSET(Objects!$HW$6,EX$1+(Objects!$Y$4-$A5-1)*Objects!$X$4,0)</f>
        <v>0</v>
      </c>
      <c r="EY5">
        <f ca="1">OFFSET(Objects!$HW$6,EY$1+(Objects!$Y$4-$A5-1)*Objects!$X$4,0)</f>
        <v>0</v>
      </c>
      <c r="EZ5">
        <f ca="1">OFFSET(Objects!$HW$6,EZ$1+(Objects!$Y$4-$A5-1)*Objects!$X$4,0)</f>
        <v>0</v>
      </c>
      <c r="FA5">
        <f ca="1">OFFSET(Objects!$HW$6,FA$1+(Objects!$Y$4-$A5-1)*Objects!$X$4,0)</f>
        <v>0</v>
      </c>
      <c r="FB5">
        <f ca="1">OFFSET(Objects!$HW$6,FB$1+(Objects!$Y$4-$A5-1)*Objects!$X$4,0)</f>
        <v>0</v>
      </c>
      <c r="FC5">
        <f ca="1">OFFSET(Objects!$HW$6,FC$1+(Objects!$Y$4-$A5-1)*Objects!$X$4,0)</f>
        <v>0</v>
      </c>
      <c r="FD5">
        <f ca="1">OFFSET(Objects!$HW$6,FD$1+(Objects!$Y$4-$A5-1)*Objects!$X$4,0)</f>
        <v>0</v>
      </c>
      <c r="FE5" s="22">
        <f ca="1">OFFSET(Objects!$HW$6,FE$1+(Objects!$Y$4-$A5-1)*Objects!$X$4,0)</f>
        <v>0</v>
      </c>
    </row>
    <row r="6" spans="1:161" ht="4.5" customHeight="1" x14ac:dyDescent="0.25">
      <c r="A6">
        <v>4</v>
      </c>
      <c r="B6" s="21">
        <f ca="1">OFFSET(Objects!$HW$6,B$1+(Objects!$Y$4-$A6-1)*Objects!$X$4,0)</f>
        <v>0</v>
      </c>
      <c r="C6">
        <f ca="1">OFFSET(Objects!$HW$6,C$1+(Objects!$Y$4-$A6-1)*Objects!$X$4,0)</f>
        <v>0</v>
      </c>
      <c r="D6">
        <f ca="1">OFFSET(Objects!$HW$6,D$1+(Objects!$Y$4-$A6-1)*Objects!$X$4,0)</f>
        <v>0</v>
      </c>
      <c r="E6">
        <f ca="1">OFFSET(Objects!$HW$6,E$1+(Objects!$Y$4-$A6-1)*Objects!$X$4,0)</f>
        <v>0</v>
      </c>
      <c r="F6">
        <f ca="1">OFFSET(Objects!$HW$6,F$1+(Objects!$Y$4-$A6-1)*Objects!$X$4,0)</f>
        <v>0</v>
      </c>
      <c r="G6">
        <f ca="1">OFFSET(Objects!$HW$6,G$1+(Objects!$Y$4-$A6-1)*Objects!$X$4,0)</f>
        <v>0</v>
      </c>
      <c r="H6">
        <f ca="1">OFFSET(Objects!$HW$6,H$1+(Objects!$Y$4-$A6-1)*Objects!$X$4,0)</f>
        <v>0</v>
      </c>
      <c r="I6">
        <f ca="1">OFFSET(Objects!$HW$6,I$1+(Objects!$Y$4-$A6-1)*Objects!$X$4,0)</f>
        <v>0</v>
      </c>
      <c r="J6">
        <f ca="1">OFFSET(Objects!$HW$6,J$1+(Objects!$Y$4-$A6-1)*Objects!$X$4,0)</f>
        <v>0</v>
      </c>
      <c r="K6">
        <f ca="1">OFFSET(Objects!$HW$6,K$1+(Objects!$Y$4-$A6-1)*Objects!$X$4,0)</f>
        <v>0</v>
      </c>
      <c r="L6">
        <f ca="1">OFFSET(Objects!$HW$6,L$1+(Objects!$Y$4-$A6-1)*Objects!$X$4,0)</f>
        <v>0</v>
      </c>
      <c r="M6">
        <f ca="1">OFFSET(Objects!$HW$6,M$1+(Objects!$Y$4-$A6-1)*Objects!$X$4,0)</f>
        <v>0</v>
      </c>
      <c r="N6">
        <f ca="1">OFFSET(Objects!$HW$6,N$1+(Objects!$Y$4-$A6-1)*Objects!$X$4,0)</f>
        <v>0</v>
      </c>
      <c r="O6">
        <f ca="1">OFFSET(Objects!$HW$6,O$1+(Objects!$Y$4-$A6-1)*Objects!$X$4,0)</f>
        <v>0</v>
      </c>
      <c r="P6">
        <f ca="1">OFFSET(Objects!$HW$6,P$1+(Objects!$Y$4-$A6-1)*Objects!$X$4,0)</f>
        <v>0</v>
      </c>
      <c r="Q6">
        <f ca="1">OFFSET(Objects!$HW$6,Q$1+(Objects!$Y$4-$A6-1)*Objects!$X$4,0)</f>
        <v>0</v>
      </c>
      <c r="R6">
        <f ca="1">OFFSET(Objects!$HW$6,R$1+(Objects!$Y$4-$A6-1)*Objects!$X$4,0)</f>
        <v>0</v>
      </c>
      <c r="S6">
        <f ca="1">OFFSET(Objects!$HW$6,S$1+(Objects!$Y$4-$A6-1)*Objects!$X$4,0)</f>
        <v>0</v>
      </c>
      <c r="T6">
        <f ca="1">OFFSET(Objects!$HW$6,T$1+(Objects!$Y$4-$A6-1)*Objects!$X$4,0)</f>
        <v>0</v>
      </c>
      <c r="U6">
        <f ca="1">OFFSET(Objects!$HW$6,U$1+(Objects!$Y$4-$A6-1)*Objects!$X$4,0)</f>
        <v>0</v>
      </c>
      <c r="V6">
        <f ca="1">OFFSET(Objects!$HW$6,V$1+(Objects!$Y$4-$A6-1)*Objects!$X$4,0)</f>
        <v>0</v>
      </c>
      <c r="W6">
        <f ca="1">OFFSET(Objects!$HW$6,W$1+(Objects!$Y$4-$A6-1)*Objects!$X$4,0)</f>
        <v>0</v>
      </c>
      <c r="X6">
        <f ca="1">OFFSET(Objects!$HW$6,X$1+(Objects!$Y$4-$A6-1)*Objects!$X$4,0)</f>
        <v>0</v>
      </c>
      <c r="Y6">
        <f ca="1">OFFSET(Objects!$HW$6,Y$1+(Objects!$Y$4-$A6-1)*Objects!$X$4,0)</f>
        <v>0</v>
      </c>
      <c r="Z6">
        <f ca="1">OFFSET(Objects!$HW$6,Z$1+(Objects!$Y$4-$A6-1)*Objects!$X$4,0)</f>
        <v>0</v>
      </c>
      <c r="AA6">
        <f ca="1">OFFSET(Objects!$HW$6,AA$1+(Objects!$Y$4-$A6-1)*Objects!$X$4,0)</f>
        <v>0</v>
      </c>
      <c r="AB6">
        <f ca="1">OFFSET(Objects!$HW$6,AB$1+(Objects!$Y$4-$A6-1)*Objects!$X$4,0)</f>
        <v>0</v>
      </c>
      <c r="AC6">
        <f ca="1">OFFSET(Objects!$HW$6,AC$1+(Objects!$Y$4-$A6-1)*Objects!$X$4,0)</f>
        <v>0</v>
      </c>
      <c r="AD6">
        <f ca="1">OFFSET(Objects!$HW$6,AD$1+(Objects!$Y$4-$A6-1)*Objects!$X$4,0)</f>
        <v>0</v>
      </c>
      <c r="AE6">
        <f ca="1">OFFSET(Objects!$HW$6,AE$1+(Objects!$Y$4-$A6-1)*Objects!$X$4,0)</f>
        <v>0</v>
      </c>
      <c r="AF6">
        <f ca="1">OFFSET(Objects!$HW$6,AF$1+(Objects!$Y$4-$A6-1)*Objects!$X$4,0)</f>
        <v>0</v>
      </c>
      <c r="AG6">
        <f ca="1">OFFSET(Objects!$HW$6,AG$1+(Objects!$Y$4-$A6-1)*Objects!$X$4,0)</f>
        <v>0</v>
      </c>
      <c r="AH6">
        <f ca="1">OFFSET(Objects!$HW$6,AH$1+(Objects!$Y$4-$A6-1)*Objects!$X$4,0)</f>
        <v>0</v>
      </c>
      <c r="AI6">
        <f ca="1">OFFSET(Objects!$HW$6,AI$1+(Objects!$Y$4-$A6-1)*Objects!$X$4,0)</f>
        <v>0</v>
      </c>
      <c r="AJ6">
        <f ca="1">OFFSET(Objects!$HW$6,AJ$1+(Objects!$Y$4-$A6-1)*Objects!$X$4,0)</f>
        <v>0</v>
      </c>
      <c r="AK6">
        <f ca="1">OFFSET(Objects!$HW$6,AK$1+(Objects!$Y$4-$A6-1)*Objects!$X$4,0)</f>
        <v>0</v>
      </c>
      <c r="AL6">
        <f ca="1">OFFSET(Objects!$HW$6,AL$1+(Objects!$Y$4-$A6-1)*Objects!$X$4,0)</f>
        <v>0</v>
      </c>
      <c r="AM6">
        <f ca="1">OFFSET(Objects!$HW$6,AM$1+(Objects!$Y$4-$A6-1)*Objects!$X$4,0)</f>
        <v>0</v>
      </c>
      <c r="AN6">
        <f ca="1">OFFSET(Objects!$HW$6,AN$1+(Objects!$Y$4-$A6-1)*Objects!$X$4,0)</f>
        <v>0</v>
      </c>
      <c r="AO6">
        <f ca="1">OFFSET(Objects!$HW$6,AO$1+(Objects!$Y$4-$A6-1)*Objects!$X$4,0)</f>
        <v>0</v>
      </c>
      <c r="AP6">
        <f ca="1">OFFSET(Objects!$HW$6,AP$1+(Objects!$Y$4-$A6-1)*Objects!$X$4,0)</f>
        <v>0</v>
      </c>
      <c r="AQ6">
        <f ca="1">OFFSET(Objects!$HW$6,AQ$1+(Objects!$Y$4-$A6-1)*Objects!$X$4,0)</f>
        <v>0</v>
      </c>
      <c r="AR6">
        <f ca="1">OFFSET(Objects!$HW$6,AR$1+(Objects!$Y$4-$A6-1)*Objects!$X$4,0)</f>
        <v>0</v>
      </c>
      <c r="AS6">
        <f ca="1">OFFSET(Objects!$HW$6,AS$1+(Objects!$Y$4-$A6-1)*Objects!$X$4,0)</f>
        <v>0</v>
      </c>
      <c r="AT6">
        <f ca="1">OFFSET(Objects!$HW$6,AT$1+(Objects!$Y$4-$A6-1)*Objects!$X$4,0)</f>
        <v>0</v>
      </c>
      <c r="AU6">
        <f ca="1">OFFSET(Objects!$HW$6,AU$1+(Objects!$Y$4-$A6-1)*Objects!$X$4,0)</f>
        <v>0</v>
      </c>
      <c r="AV6">
        <f ca="1">OFFSET(Objects!$HW$6,AV$1+(Objects!$Y$4-$A6-1)*Objects!$X$4,0)</f>
        <v>0</v>
      </c>
      <c r="AW6">
        <f ca="1">OFFSET(Objects!$HW$6,AW$1+(Objects!$Y$4-$A6-1)*Objects!$X$4,0)</f>
        <v>0</v>
      </c>
      <c r="AX6">
        <f ca="1">OFFSET(Objects!$HW$6,AX$1+(Objects!$Y$4-$A6-1)*Objects!$X$4,0)</f>
        <v>0</v>
      </c>
      <c r="AY6">
        <f ca="1">OFFSET(Objects!$HW$6,AY$1+(Objects!$Y$4-$A6-1)*Objects!$X$4,0)</f>
        <v>0</v>
      </c>
      <c r="AZ6">
        <f ca="1">OFFSET(Objects!$HW$6,AZ$1+(Objects!$Y$4-$A6-1)*Objects!$X$4,0)</f>
        <v>0</v>
      </c>
      <c r="BA6">
        <f ca="1">OFFSET(Objects!$HW$6,BA$1+(Objects!$Y$4-$A6-1)*Objects!$X$4,0)</f>
        <v>0</v>
      </c>
      <c r="BB6">
        <f ca="1">OFFSET(Objects!$HW$6,BB$1+(Objects!$Y$4-$A6-1)*Objects!$X$4,0)</f>
        <v>0</v>
      </c>
      <c r="BC6">
        <f ca="1">OFFSET(Objects!$HW$6,BC$1+(Objects!$Y$4-$A6-1)*Objects!$X$4,0)</f>
        <v>0</v>
      </c>
      <c r="BD6">
        <f ca="1">OFFSET(Objects!$HW$6,BD$1+(Objects!$Y$4-$A6-1)*Objects!$X$4,0)</f>
        <v>0</v>
      </c>
      <c r="BE6">
        <f ca="1">OFFSET(Objects!$HW$6,BE$1+(Objects!$Y$4-$A6-1)*Objects!$X$4,0)</f>
        <v>0</v>
      </c>
      <c r="BF6">
        <f ca="1">OFFSET(Objects!$HW$6,BF$1+(Objects!$Y$4-$A6-1)*Objects!$X$4,0)</f>
        <v>0</v>
      </c>
      <c r="BG6">
        <f ca="1">OFFSET(Objects!$HW$6,BG$1+(Objects!$Y$4-$A6-1)*Objects!$X$4,0)</f>
        <v>0</v>
      </c>
      <c r="BH6">
        <f ca="1">OFFSET(Objects!$HW$6,BH$1+(Objects!$Y$4-$A6-1)*Objects!$X$4,0)</f>
        <v>0</v>
      </c>
      <c r="BI6">
        <f ca="1">OFFSET(Objects!$HW$6,BI$1+(Objects!$Y$4-$A6-1)*Objects!$X$4,0)</f>
        <v>0</v>
      </c>
      <c r="BJ6">
        <f ca="1">OFFSET(Objects!$HW$6,BJ$1+(Objects!$Y$4-$A6-1)*Objects!$X$4,0)</f>
        <v>0</v>
      </c>
      <c r="BK6">
        <f ca="1">OFFSET(Objects!$HW$6,BK$1+(Objects!$Y$4-$A6-1)*Objects!$X$4,0)</f>
        <v>0</v>
      </c>
      <c r="BL6">
        <f ca="1">OFFSET(Objects!$HW$6,BL$1+(Objects!$Y$4-$A6-1)*Objects!$X$4,0)</f>
        <v>0</v>
      </c>
      <c r="BM6">
        <f ca="1">OFFSET(Objects!$HW$6,BM$1+(Objects!$Y$4-$A6-1)*Objects!$X$4,0)</f>
        <v>0</v>
      </c>
      <c r="BN6">
        <f ca="1">OFFSET(Objects!$HW$6,BN$1+(Objects!$Y$4-$A6-1)*Objects!$X$4,0)</f>
        <v>0</v>
      </c>
      <c r="BO6">
        <f ca="1">OFFSET(Objects!$HW$6,BO$1+(Objects!$Y$4-$A6-1)*Objects!$X$4,0)</f>
        <v>0</v>
      </c>
      <c r="BP6">
        <f ca="1">OFFSET(Objects!$HW$6,BP$1+(Objects!$Y$4-$A6-1)*Objects!$X$4,0)</f>
        <v>0</v>
      </c>
      <c r="BQ6">
        <f ca="1">OFFSET(Objects!$HW$6,BQ$1+(Objects!$Y$4-$A6-1)*Objects!$X$4,0)</f>
        <v>0</v>
      </c>
      <c r="BR6">
        <f ca="1">OFFSET(Objects!$HW$6,BR$1+(Objects!$Y$4-$A6-1)*Objects!$X$4,0)</f>
        <v>0</v>
      </c>
      <c r="BS6">
        <f ca="1">OFFSET(Objects!$HW$6,BS$1+(Objects!$Y$4-$A6-1)*Objects!$X$4,0)</f>
        <v>0</v>
      </c>
      <c r="BT6">
        <f ca="1">OFFSET(Objects!$HW$6,BT$1+(Objects!$Y$4-$A6-1)*Objects!$X$4,0)</f>
        <v>0</v>
      </c>
      <c r="BU6">
        <f ca="1">OFFSET(Objects!$HW$6,BU$1+(Objects!$Y$4-$A6-1)*Objects!$X$4,0)</f>
        <v>0</v>
      </c>
      <c r="BV6">
        <f ca="1">OFFSET(Objects!$HW$6,BV$1+(Objects!$Y$4-$A6-1)*Objects!$X$4,0)</f>
        <v>0</v>
      </c>
      <c r="BW6">
        <f ca="1">OFFSET(Objects!$HW$6,BW$1+(Objects!$Y$4-$A6-1)*Objects!$X$4,0)</f>
        <v>0</v>
      </c>
      <c r="BX6">
        <f ca="1">OFFSET(Objects!$HW$6,BX$1+(Objects!$Y$4-$A6-1)*Objects!$X$4,0)</f>
        <v>0</v>
      </c>
      <c r="BY6">
        <f ca="1">OFFSET(Objects!$HW$6,BY$1+(Objects!$Y$4-$A6-1)*Objects!$X$4,0)</f>
        <v>0</v>
      </c>
      <c r="BZ6">
        <f ca="1">OFFSET(Objects!$HW$6,BZ$1+(Objects!$Y$4-$A6-1)*Objects!$X$4,0)</f>
        <v>0</v>
      </c>
      <c r="CA6">
        <f ca="1">OFFSET(Objects!$HW$6,CA$1+(Objects!$Y$4-$A6-1)*Objects!$X$4,0)</f>
        <v>0</v>
      </c>
      <c r="CB6">
        <f ca="1">OFFSET(Objects!$HW$6,CB$1+(Objects!$Y$4-$A6-1)*Objects!$X$4,0)</f>
        <v>0</v>
      </c>
      <c r="CC6">
        <f ca="1">OFFSET(Objects!$HW$6,CC$1+(Objects!$Y$4-$A6-1)*Objects!$X$4,0)</f>
        <v>0</v>
      </c>
      <c r="CD6">
        <f ca="1">OFFSET(Objects!$HW$6,CD$1+(Objects!$Y$4-$A6-1)*Objects!$X$4,0)</f>
        <v>0</v>
      </c>
      <c r="CE6">
        <f ca="1">OFFSET(Objects!$HW$6,CE$1+(Objects!$Y$4-$A6-1)*Objects!$X$4,0)</f>
        <v>0</v>
      </c>
      <c r="CF6">
        <f ca="1">OFFSET(Objects!$HW$6,CF$1+(Objects!$Y$4-$A6-1)*Objects!$X$4,0)</f>
        <v>0</v>
      </c>
      <c r="CG6">
        <f ca="1">OFFSET(Objects!$HW$6,CG$1+(Objects!$Y$4-$A6-1)*Objects!$X$4,0)</f>
        <v>0</v>
      </c>
      <c r="CH6">
        <f ca="1">OFFSET(Objects!$HW$6,CH$1+(Objects!$Y$4-$A6-1)*Objects!$X$4,0)</f>
        <v>0</v>
      </c>
      <c r="CI6">
        <f ca="1">OFFSET(Objects!$HW$6,CI$1+(Objects!$Y$4-$A6-1)*Objects!$X$4,0)</f>
        <v>0</v>
      </c>
      <c r="CJ6">
        <f ca="1">OFFSET(Objects!$HW$6,CJ$1+(Objects!$Y$4-$A6-1)*Objects!$X$4,0)</f>
        <v>0</v>
      </c>
      <c r="CK6">
        <f ca="1">OFFSET(Objects!$HW$6,CK$1+(Objects!$Y$4-$A6-1)*Objects!$X$4,0)</f>
        <v>0</v>
      </c>
      <c r="CL6">
        <f ca="1">OFFSET(Objects!$HW$6,CL$1+(Objects!$Y$4-$A6-1)*Objects!$X$4,0)</f>
        <v>0</v>
      </c>
      <c r="CM6">
        <f ca="1">OFFSET(Objects!$HW$6,CM$1+(Objects!$Y$4-$A6-1)*Objects!$X$4,0)</f>
        <v>0</v>
      </c>
      <c r="CN6">
        <f ca="1">OFFSET(Objects!$HW$6,CN$1+(Objects!$Y$4-$A6-1)*Objects!$X$4,0)</f>
        <v>0</v>
      </c>
      <c r="CO6">
        <f ca="1">OFFSET(Objects!$HW$6,CO$1+(Objects!$Y$4-$A6-1)*Objects!$X$4,0)</f>
        <v>0</v>
      </c>
      <c r="CP6">
        <f ca="1">OFFSET(Objects!$HW$6,CP$1+(Objects!$Y$4-$A6-1)*Objects!$X$4,0)</f>
        <v>0</v>
      </c>
      <c r="CQ6">
        <f ca="1">OFFSET(Objects!$HW$6,CQ$1+(Objects!$Y$4-$A6-1)*Objects!$X$4,0)</f>
        <v>0</v>
      </c>
      <c r="CR6">
        <f ca="1">OFFSET(Objects!$HW$6,CR$1+(Objects!$Y$4-$A6-1)*Objects!$X$4,0)</f>
        <v>0</v>
      </c>
      <c r="CS6">
        <f ca="1">OFFSET(Objects!$HW$6,CS$1+(Objects!$Y$4-$A6-1)*Objects!$X$4,0)</f>
        <v>0</v>
      </c>
      <c r="CT6">
        <f ca="1">OFFSET(Objects!$HW$6,CT$1+(Objects!$Y$4-$A6-1)*Objects!$X$4,0)</f>
        <v>0</v>
      </c>
      <c r="CU6">
        <f ca="1">OFFSET(Objects!$HW$6,CU$1+(Objects!$Y$4-$A6-1)*Objects!$X$4,0)</f>
        <v>0</v>
      </c>
      <c r="CV6">
        <f ca="1">OFFSET(Objects!$HW$6,CV$1+(Objects!$Y$4-$A6-1)*Objects!$X$4,0)</f>
        <v>0</v>
      </c>
      <c r="CW6">
        <f ca="1">OFFSET(Objects!$HW$6,CW$1+(Objects!$Y$4-$A6-1)*Objects!$X$4,0)</f>
        <v>0</v>
      </c>
      <c r="CX6">
        <f ca="1">OFFSET(Objects!$HW$6,CX$1+(Objects!$Y$4-$A6-1)*Objects!$X$4,0)</f>
        <v>0</v>
      </c>
      <c r="CY6">
        <f ca="1">OFFSET(Objects!$HW$6,CY$1+(Objects!$Y$4-$A6-1)*Objects!$X$4,0)</f>
        <v>0</v>
      </c>
      <c r="CZ6">
        <f ca="1">OFFSET(Objects!$HW$6,CZ$1+(Objects!$Y$4-$A6-1)*Objects!$X$4,0)</f>
        <v>0</v>
      </c>
      <c r="DA6">
        <f ca="1">OFFSET(Objects!$HW$6,DA$1+(Objects!$Y$4-$A6-1)*Objects!$X$4,0)</f>
        <v>0</v>
      </c>
      <c r="DB6">
        <f ca="1">OFFSET(Objects!$HW$6,DB$1+(Objects!$Y$4-$A6-1)*Objects!$X$4,0)</f>
        <v>0</v>
      </c>
      <c r="DC6">
        <f ca="1">OFFSET(Objects!$HW$6,DC$1+(Objects!$Y$4-$A6-1)*Objects!$X$4,0)</f>
        <v>0</v>
      </c>
      <c r="DD6">
        <f ca="1">OFFSET(Objects!$HW$6,DD$1+(Objects!$Y$4-$A6-1)*Objects!$X$4,0)</f>
        <v>0</v>
      </c>
      <c r="DE6">
        <f ca="1">OFFSET(Objects!$HW$6,DE$1+(Objects!$Y$4-$A6-1)*Objects!$X$4,0)</f>
        <v>0</v>
      </c>
      <c r="DF6">
        <f ca="1">OFFSET(Objects!$HW$6,DF$1+(Objects!$Y$4-$A6-1)*Objects!$X$4,0)</f>
        <v>0</v>
      </c>
      <c r="DG6">
        <f ca="1">OFFSET(Objects!$HW$6,DG$1+(Objects!$Y$4-$A6-1)*Objects!$X$4,0)</f>
        <v>0</v>
      </c>
      <c r="DH6">
        <f ca="1">OFFSET(Objects!$HW$6,DH$1+(Objects!$Y$4-$A6-1)*Objects!$X$4,0)</f>
        <v>0</v>
      </c>
      <c r="DI6">
        <f ca="1">OFFSET(Objects!$HW$6,DI$1+(Objects!$Y$4-$A6-1)*Objects!$X$4,0)</f>
        <v>0</v>
      </c>
      <c r="DJ6">
        <f ca="1">OFFSET(Objects!$HW$6,DJ$1+(Objects!$Y$4-$A6-1)*Objects!$X$4,0)</f>
        <v>0</v>
      </c>
      <c r="DK6">
        <f ca="1">OFFSET(Objects!$HW$6,DK$1+(Objects!$Y$4-$A6-1)*Objects!$X$4,0)</f>
        <v>0</v>
      </c>
      <c r="DL6">
        <f ca="1">OFFSET(Objects!$HW$6,DL$1+(Objects!$Y$4-$A6-1)*Objects!$X$4,0)</f>
        <v>0</v>
      </c>
      <c r="DM6">
        <f ca="1">OFFSET(Objects!$HW$6,DM$1+(Objects!$Y$4-$A6-1)*Objects!$X$4,0)</f>
        <v>0</v>
      </c>
      <c r="DN6">
        <f ca="1">OFFSET(Objects!$HW$6,DN$1+(Objects!$Y$4-$A6-1)*Objects!$X$4,0)</f>
        <v>0</v>
      </c>
      <c r="DO6">
        <f ca="1">OFFSET(Objects!$HW$6,DO$1+(Objects!$Y$4-$A6-1)*Objects!$X$4,0)</f>
        <v>0</v>
      </c>
      <c r="DP6">
        <f ca="1">OFFSET(Objects!$HW$6,DP$1+(Objects!$Y$4-$A6-1)*Objects!$X$4,0)</f>
        <v>0</v>
      </c>
      <c r="DQ6">
        <f ca="1">OFFSET(Objects!$HW$6,DQ$1+(Objects!$Y$4-$A6-1)*Objects!$X$4,0)</f>
        <v>0</v>
      </c>
      <c r="DR6">
        <f ca="1">OFFSET(Objects!$HW$6,DR$1+(Objects!$Y$4-$A6-1)*Objects!$X$4,0)</f>
        <v>0</v>
      </c>
      <c r="DS6">
        <f ca="1">OFFSET(Objects!$HW$6,DS$1+(Objects!$Y$4-$A6-1)*Objects!$X$4,0)</f>
        <v>0</v>
      </c>
      <c r="DT6">
        <f ca="1">OFFSET(Objects!$HW$6,DT$1+(Objects!$Y$4-$A6-1)*Objects!$X$4,0)</f>
        <v>0</v>
      </c>
      <c r="DU6">
        <f ca="1">OFFSET(Objects!$HW$6,DU$1+(Objects!$Y$4-$A6-1)*Objects!$X$4,0)</f>
        <v>0</v>
      </c>
      <c r="DV6">
        <f ca="1">OFFSET(Objects!$HW$6,DV$1+(Objects!$Y$4-$A6-1)*Objects!$X$4,0)</f>
        <v>0</v>
      </c>
      <c r="DW6">
        <f ca="1">OFFSET(Objects!$HW$6,DW$1+(Objects!$Y$4-$A6-1)*Objects!$X$4,0)</f>
        <v>0</v>
      </c>
      <c r="DX6">
        <f ca="1">OFFSET(Objects!$HW$6,DX$1+(Objects!$Y$4-$A6-1)*Objects!$X$4,0)</f>
        <v>0</v>
      </c>
      <c r="DY6">
        <f ca="1">OFFSET(Objects!$HW$6,DY$1+(Objects!$Y$4-$A6-1)*Objects!$X$4,0)</f>
        <v>0</v>
      </c>
      <c r="DZ6">
        <f ca="1">OFFSET(Objects!$HW$6,DZ$1+(Objects!$Y$4-$A6-1)*Objects!$X$4,0)</f>
        <v>0</v>
      </c>
      <c r="EA6">
        <f ca="1">OFFSET(Objects!$HW$6,EA$1+(Objects!$Y$4-$A6-1)*Objects!$X$4,0)</f>
        <v>0</v>
      </c>
      <c r="EB6">
        <f ca="1">OFFSET(Objects!$HW$6,EB$1+(Objects!$Y$4-$A6-1)*Objects!$X$4,0)</f>
        <v>0</v>
      </c>
      <c r="EC6">
        <f ca="1">OFFSET(Objects!$HW$6,EC$1+(Objects!$Y$4-$A6-1)*Objects!$X$4,0)</f>
        <v>0</v>
      </c>
      <c r="ED6">
        <f ca="1">OFFSET(Objects!$HW$6,ED$1+(Objects!$Y$4-$A6-1)*Objects!$X$4,0)</f>
        <v>0</v>
      </c>
      <c r="EE6">
        <f ca="1">OFFSET(Objects!$HW$6,EE$1+(Objects!$Y$4-$A6-1)*Objects!$X$4,0)</f>
        <v>0</v>
      </c>
      <c r="EF6">
        <f ca="1">OFFSET(Objects!$HW$6,EF$1+(Objects!$Y$4-$A6-1)*Objects!$X$4,0)</f>
        <v>0</v>
      </c>
      <c r="EG6">
        <f ca="1">OFFSET(Objects!$HW$6,EG$1+(Objects!$Y$4-$A6-1)*Objects!$X$4,0)</f>
        <v>0</v>
      </c>
      <c r="EH6">
        <f ca="1">OFFSET(Objects!$HW$6,EH$1+(Objects!$Y$4-$A6-1)*Objects!$X$4,0)</f>
        <v>0</v>
      </c>
      <c r="EI6">
        <f ca="1">OFFSET(Objects!$HW$6,EI$1+(Objects!$Y$4-$A6-1)*Objects!$X$4,0)</f>
        <v>0</v>
      </c>
      <c r="EJ6">
        <f ca="1">OFFSET(Objects!$HW$6,EJ$1+(Objects!$Y$4-$A6-1)*Objects!$X$4,0)</f>
        <v>0</v>
      </c>
      <c r="EK6">
        <f ca="1">OFFSET(Objects!$HW$6,EK$1+(Objects!$Y$4-$A6-1)*Objects!$X$4,0)</f>
        <v>0</v>
      </c>
      <c r="EL6">
        <f ca="1">OFFSET(Objects!$HW$6,EL$1+(Objects!$Y$4-$A6-1)*Objects!$X$4,0)</f>
        <v>0</v>
      </c>
      <c r="EM6">
        <f ca="1">OFFSET(Objects!$HW$6,EM$1+(Objects!$Y$4-$A6-1)*Objects!$X$4,0)</f>
        <v>0</v>
      </c>
      <c r="EN6">
        <f ca="1">OFFSET(Objects!$HW$6,EN$1+(Objects!$Y$4-$A6-1)*Objects!$X$4,0)</f>
        <v>0</v>
      </c>
      <c r="EO6">
        <f ca="1">OFFSET(Objects!$HW$6,EO$1+(Objects!$Y$4-$A6-1)*Objects!$X$4,0)</f>
        <v>0</v>
      </c>
      <c r="EP6">
        <f ca="1">OFFSET(Objects!$HW$6,EP$1+(Objects!$Y$4-$A6-1)*Objects!$X$4,0)</f>
        <v>0</v>
      </c>
      <c r="EQ6">
        <f ca="1">OFFSET(Objects!$HW$6,EQ$1+(Objects!$Y$4-$A6-1)*Objects!$X$4,0)</f>
        <v>0</v>
      </c>
      <c r="ER6">
        <f ca="1">OFFSET(Objects!$HW$6,ER$1+(Objects!$Y$4-$A6-1)*Objects!$X$4,0)</f>
        <v>0</v>
      </c>
      <c r="ES6">
        <f ca="1">OFFSET(Objects!$HW$6,ES$1+(Objects!$Y$4-$A6-1)*Objects!$X$4,0)</f>
        <v>0</v>
      </c>
      <c r="ET6">
        <f ca="1">OFFSET(Objects!$HW$6,ET$1+(Objects!$Y$4-$A6-1)*Objects!$X$4,0)</f>
        <v>0</v>
      </c>
      <c r="EU6">
        <f ca="1">OFFSET(Objects!$HW$6,EU$1+(Objects!$Y$4-$A6-1)*Objects!$X$4,0)</f>
        <v>0</v>
      </c>
      <c r="EV6">
        <f ca="1">OFFSET(Objects!$HW$6,EV$1+(Objects!$Y$4-$A6-1)*Objects!$X$4,0)</f>
        <v>0</v>
      </c>
      <c r="EW6">
        <f ca="1">OFFSET(Objects!$HW$6,EW$1+(Objects!$Y$4-$A6-1)*Objects!$X$4,0)</f>
        <v>0</v>
      </c>
      <c r="EX6">
        <f ca="1">OFFSET(Objects!$HW$6,EX$1+(Objects!$Y$4-$A6-1)*Objects!$X$4,0)</f>
        <v>0</v>
      </c>
      <c r="EY6">
        <f ca="1">OFFSET(Objects!$HW$6,EY$1+(Objects!$Y$4-$A6-1)*Objects!$X$4,0)</f>
        <v>0</v>
      </c>
      <c r="EZ6">
        <f ca="1">OFFSET(Objects!$HW$6,EZ$1+(Objects!$Y$4-$A6-1)*Objects!$X$4,0)</f>
        <v>0</v>
      </c>
      <c r="FA6">
        <f ca="1">OFFSET(Objects!$HW$6,FA$1+(Objects!$Y$4-$A6-1)*Objects!$X$4,0)</f>
        <v>0</v>
      </c>
      <c r="FB6">
        <f ca="1">OFFSET(Objects!$HW$6,FB$1+(Objects!$Y$4-$A6-1)*Objects!$X$4,0)</f>
        <v>0</v>
      </c>
      <c r="FC6">
        <f ca="1">OFFSET(Objects!$HW$6,FC$1+(Objects!$Y$4-$A6-1)*Objects!$X$4,0)</f>
        <v>0</v>
      </c>
      <c r="FD6">
        <f ca="1">OFFSET(Objects!$HW$6,FD$1+(Objects!$Y$4-$A6-1)*Objects!$X$4,0)</f>
        <v>0</v>
      </c>
      <c r="FE6" s="22">
        <f ca="1">OFFSET(Objects!$HW$6,FE$1+(Objects!$Y$4-$A6-1)*Objects!$X$4,0)</f>
        <v>0</v>
      </c>
    </row>
    <row r="7" spans="1:161" ht="4.5" customHeight="1" x14ac:dyDescent="0.25">
      <c r="A7">
        <v>5</v>
      </c>
      <c r="B7" s="21">
        <f ca="1">OFFSET(Objects!$HW$6,B$1+(Objects!$Y$4-$A7-1)*Objects!$X$4,0)</f>
        <v>0</v>
      </c>
      <c r="C7">
        <f ca="1">OFFSET(Objects!$HW$6,C$1+(Objects!$Y$4-$A7-1)*Objects!$X$4,0)</f>
        <v>0</v>
      </c>
      <c r="D7">
        <f ca="1">OFFSET(Objects!$HW$6,D$1+(Objects!$Y$4-$A7-1)*Objects!$X$4,0)</f>
        <v>0</v>
      </c>
      <c r="E7">
        <f ca="1">OFFSET(Objects!$HW$6,E$1+(Objects!$Y$4-$A7-1)*Objects!$X$4,0)</f>
        <v>0</v>
      </c>
      <c r="F7">
        <f ca="1">OFFSET(Objects!$HW$6,F$1+(Objects!$Y$4-$A7-1)*Objects!$X$4,0)</f>
        <v>0</v>
      </c>
      <c r="G7">
        <f ca="1">OFFSET(Objects!$HW$6,G$1+(Objects!$Y$4-$A7-1)*Objects!$X$4,0)</f>
        <v>0</v>
      </c>
      <c r="H7">
        <f ca="1">OFFSET(Objects!$HW$6,H$1+(Objects!$Y$4-$A7-1)*Objects!$X$4,0)</f>
        <v>0</v>
      </c>
      <c r="I7">
        <f ca="1">OFFSET(Objects!$HW$6,I$1+(Objects!$Y$4-$A7-1)*Objects!$X$4,0)</f>
        <v>0</v>
      </c>
      <c r="J7">
        <f ca="1">OFFSET(Objects!$HW$6,J$1+(Objects!$Y$4-$A7-1)*Objects!$X$4,0)</f>
        <v>0</v>
      </c>
      <c r="K7">
        <f ca="1">OFFSET(Objects!$HW$6,K$1+(Objects!$Y$4-$A7-1)*Objects!$X$4,0)</f>
        <v>0</v>
      </c>
      <c r="L7">
        <f ca="1">OFFSET(Objects!$HW$6,L$1+(Objects!$Y$4-$A7-1)*Objects!$X$4,0)</f>
        <v>0</v>
      </c>
      <c r="M7">
        <f ca="1">OFFSET(Objects!$HW$6,M$1+(Objects!$Y$4-$A7-1)*Objects!$X$4,0)</f>
        <v>0</v>
      </c>
      <c r="N7">
        <f ca="1">OFFSET(Objects!$HW$6,N$1+(Objects!$Y$4-$A7-1)*Objects!$X$4,0)</f>
        <v>0</v>
      </c>
      <c r="O7">
        <f ca="1">OFFSET(Objects!$HW$6,O$1+(Objects!$Y$4-$A7-1)*Objects!$X$4,0)</f>
        <v>0</v>
      </c>
      <c r="P7">
        <f ca="1">OFFSET(Objects!$HW$6,P$1+(Objects!$Y$4-$A7-1)*Objects!$X$4,0)</f>
        <v>0</v>
      </c>
      <c r="Q7">
        <f ca="1">OFFSET(Objects!$HW$6,Q$1+(Objects!$Y$4-$A7-1)*Objects!$X$4,0)</f>
        <v>0</v>
      </c>
      <c r="R7">
        <f ca="1">OFFSET(Objects!$HW$6,R$1+(Objects!$Y$4-$A7-1)*Objects!$X$4,0)</f>
        <v>0</v>
      </c>
      <c r="S7">
        <f ca="1">OFFSET(Objects!$HW$6,S$1+(Objects!$Y$4-$A7-1)*Objects!$X$4,0)</f>
        <v>0</v>
      </c>
      <c r="T7">
        <f ca="1">OFFSET(Objects!$HW$6,T$1+(Objects!$Y$4-$A7-1)*Objects!$X$4,0)</f>
        <v>0</v>
      </c>
      <c r="U7">
        <f ca="1">OFFSET(Objects!$HW$6,U$1+(Objects!$Y$4-$A7-1)*Objects!$X$4,0)</f>
        <v>0</v>
      </c>
      <c r="V7">
        <f ca="1">OFFSET(Objects!$HW$6,V$1+(Objects!$Y$4-$A7-1)*Objects!$X$4,0)</f>
        <v>0</v>
      </c>
      <c r="W7">
        <f ca="1">OFFSET(Objects!$HW$6,W$1+(Objects!$Y$4-$A7-1)*Objects!$X$4,0)</f>
        <v>0</v>
      </c>
      <c r="X7">
        <f ca="1">OFFSET(Objects!$HW$6,X$1+(Objects!$Y$4-$A7-1)*Objects!$X$4,0)</f>
        <v>0</v>
      </c>
      <c r="Y7">
        <f ca="1">OFFSET(Objects!$HW$6,Y$1+(Objects!$Y$4-$A7-1)*Objects!$X$4,0)</f>
        <v>0</v>
      </c>
      <c r="Z7">
        <f ca="1">OFFSET(Objects!$HW$6,Z$1+(Objects!$Y$4-$A7-1)*Objects!$X$4,0)</f>
        <v>0</v>
      </c>
      <c r="AA7">
        <f ca="1">OFFSET(Objects!$HW$6,AA$1+(Objects!$Y$4-$A7-1)*Objects!$X$4,0)</f>
        <v>0</v>
      </c>
      <c r="AB7">
        <f ca="1">OFFSET(Objects!$HW$6,AB$1+(Objects!$Y$4-$A7-1)*Objects!$X$4,0)</f>
        <v>0</v>
      </c>
      <c r="AC7">
        <f ca="1">OFFSET(Objects!$HW$6,AC$1+(Objects!$Y$4-$A7-1)*Objects!$X$4,0)</f>
        <v>0</v>
      </c>
      <c r="AD7">
        <f ca="1">OFFSET(Objects!$HW$6,AD$1+(Objects!$Y$4-$A7-1)*Objects!$X$4,0)</f>
        <v>0</v>
      </c>
      <c r="AE7">
        <f ca="1">OFFSET(Objects!$HW$6,AE$1+(Objects!$Y$4-$A7-1)*Objects!$X$4,0)</f>
        <v>0</v>
      </c>
      <c r="AF7">
        <f ca="1">OFFSET(Objects!$HW$6,AF$1+(Objects!$Y$4-$A7-1)*Objects!$X$4,0)</f>
        <v>0</v>
      </c>
      <c r="AG7">
        <f ca="1">OFFSET(Objects!$HW$6,AG$1+(Objects!$Y$4-$A7-1)*Objects!$X$4,0)</f>
        <v>0</v>
      </c>
      <c r="AH7">
        <f ca="1">OFFSET(Objects!$HW$6,AH$1+(Objects!$Y$4-$A7-1)*Objects!$X$4,0)</f>
        <v>0</v>
      </c>
      <c r="AI7">
        <f ca="1">OFFSET(Objects!$HW$6,AI$1+(Objects!$Y$4-$A7-1)*Objects!$X$4,0)</f>
        <v>0</v>
      </c>
      <c r="AJ7">
        <f ca="1">OFFSET(Objects!$HW$6,AJ$1+(Objects!$Y$4-$A7-1)*Objects!$X$4,0)</f>
        <v>0</v>
      </c>
      <c r="AK7">
        <f ca="1">OFFSET(Objects!$HW$6,AK$1+(Objects!$Y$4-$A7-1)*Objects!$X$4,0)</f>
        <v>0</v>
      </c>
      <c r="AL7">
        <f ca="1">OFFSET(Objects!$HW$6,AL$1+(Objects!$Y$4-$A7-1)*Objects!$X$4,0)</f>
        <v>0</v>
      </c>
      <c r="AM7">
        <f ca="1">OFFSET(Objects!$HW$6,AM$1+(Objects!$Y$4-$A7-1)*Objects!$X$4,0)</f>
        <v>0</v>
      </c>
      <c r="AN7">
        <f ca="1">OFFSET(Objects!$HW$6,AN$1+(Objects!$Y$4-$A7-1)*Objects!$X$4,0)</f>
        <v>0</v>
      </c>
      <c r="AO7">
        <f ca="1">OFFSET(Objects!$HW$6,AO$1+(Objects!$Y$4-$A7-1)*Objects!$X$4,0)</f>
        <v>0</v>
      </c>
      <c r="AP7">
        <f ca="1">OFFSET(Objects!$HW$6,AP$1+(Objects!$Y$4-$A7-1)*Objects!$X$4,0)</f>
        <v>0</v>
      </c>
      <c r="AQ7">
        <f ca="1">OFFSET(Objects!$HW$6,AQ$1+(Objects!$Y$4-$A7-1)*Objects!$X$4,0)</f>
        <v>0</v>
      </c>
      <c r="AR7">
        <f ca="1">OFFSET(Objects!$HW$6,AR$1+(Objects!$Y$4-$A7-1)*Objects!$X$4,0)</f>
        <v>0</v>
      </c>
      <c r="AS7">
        <f ca="1">OFFSET(Objects!$HW$6,AS$1+(Objects!$Y$4-$A7-1)*Objects!$X$4,0)</f>
        <v>0</v>
      </c>
      <c r="AT7">
        <f ca="1">OFFSET(Objects!$HW$6,AT$1+(Objects!$Y$4-$A7-1)*Objects!$X$4,0)</f>
        <v>0</v>
      </c>
      <c r="AU7">
        <f ca="1">OFFSET(Objects!$HW$6,AU$1+(Objects!$Y$4-$A7-1)*Objects!$X$4,0)</f>
        <v>0</v>
      </c>
      <c r="AV7">
        <f ca="1">OFFSET(Objects!$HW$6,AV$1+(Objects!$Y$4-$A7-1)*Objects!$X$4,0)</f>
        <v>0</v>
      </c>
      <c r="AW7">
        <f ca="1">OFFSET(Objects!$HW$6,AW$1+(Objects!$Y$4-$A7-1)*Objects!$X$4,0)</f>
        <v>0</v>
      </c>
      <c r="AX7">
        <f ca="1">OFFSET(Objects!$HW$6,AX$1+(Objects!$Y$4-$A7-1)*Objects!$X$4,0)</f>
        <v>0</v>
      </c>
      <c r="AY7">
        <f ca="1">OFFSET(Objects!$HW$6,AY$1+(Objects!$Y$4-$A7-1)*Objects!$X$4,0)</f>
        <v>0</v>
      </c>
      <c r="AZ7">
        <f ca="1">OFFSET(Objects!$HW$6,AZ$1+(Objects!$Y$4-$A7-1)*Objects!$X$4,0)</f>
        <v>0</v>
      </c>
      <c r="BA7">
        <f ca="1">OFFSET(Objects!$HW$6,BA$1+(Objects!$Y$4-$A7-1)*Objects!$X$4,0)</f>
        <v>0</v>
      </c>
      <c r="BB7">
        <f ca="1">OFFSET(Objects!$HW$6,BB$1+(Objects!$Y$4-$A7-1)*Objects!$X$4,0)</f>
        <v>0</v>
      </c>
      <c r="BC7">
        <f ca="1">OFFSET(Objects!$HW$6,BC$1+(Objects!$Y$4-$A7-1)*Objects!$X$4,0)</f>
        <v>0</v>
      </c>
      <c r="BD7">
        <f ca="1">OFFSET(Objects!$HW$6,BD$1+(Objects!$Y$4-$A7-1)*Objects!$X$4,0)</f>
        <v>0</v>
      </c>
      <c r="BE7">
        <f ca="1">OFFSET(Objects!$HW$6,BE$1+(Objects!$Y$4-$A7-1)*Objects!$X$4,0)</f>
        <v>0</v>
      </c>
      <c r="BF7">
        <f ca="1">OFFSET(Objects!$HW$6,BF$1+(Objects!$Y$4-$A7-1)*Objects!$X$4,0)</f>
        <v>0</v>
      </c>
      <c r="BG7">
        <f ca="1">OFFSET(Objects!$HW$6,BG$1+(Objects!$Y$4-$A7-1)*Objects!$X$4,0)</f>
        <v>0</v>
      </c>
      <c r="BH7">
        <f ca="1">OFFSET(Objects!$HW$6,BH$1+(Objects!$Y$4-$A7-1)*Objects!$X$4,0)</f>
        <v>0</v>
      </c>
      <c r="BI7">
        <f ca="1">OFFSET(Objects!$HW$6,BI$1+(Objects!$Y$4-$A7-1)*Objects!$X$4,0)</f>
        <v>0</v>
      </c>
      <c r="BJ7">
        <f ca="1">OFFSET(Objects!$HW$6,BJ$1+(Objects!$Y$4-$A7-1)*Objects!$X$4,0)</f>
        <v>0</v>
      </c>
      <c r="BK7">
        <f ca="1">OFFSET(Objects!$HW$6,BK$1+(Objects!$Y$4-$A7-1)*Objects!$X$4,0)</f>
        <v>0</v>
      </c>
      <c r="BL7">
        <f ca="1">OFFSET(Objects!$HW$6,BL$1+(Objects!$Y$4-$A7-1)*Objects!$X$4,0)</f>
        <v>0</v>
      </c>
      <c r="BM7">
        <f ca="1">OFFSET(Objects!$HW$6,BM$1+(Objects!$Y$4-$A7-1)*Objects!$X$4,0)</f>
        <v>0</v>
      </c>
      <c r="BN7">
        <f ca="1">OFFSET(Objects!$HW$6,BN$1+(Objects!$Y$4-$A7-1)*Objects!$X$4,0)</f>
        <v>0</v>
      </c>
      <c r="BO7">
        <f ca="1">OFFSET(Objects!$HW$6,BO$1+(Objects!$Y$4-$A7-1)*Objects!$X$4,0)</f>
        <v>0</v>
      </c>
      <c r="BP7">
        <f ca="1">OFFSET(Objects!$HW$6,BP$1+(Objects!$Y$4-$A7-1)*Objects!$X$4,0)</f>
        <v>0</v>
      </c>
      <c r="BQ7">
        <f ca="1">OFFSET(Objects!$HW$6,BQ$1+(Objects!$Y$4-$A7-1)*Objects!$X$4,0)</f>
        <v>0</v>
      </c>
      <c r="BR7">
        <f ca="1">OFFSET(Objects!$HW$6,BR$1+(Objects!$Y$4-$A7-1)*Objects!$X$4,0)</f>
        <v>0</v>
      </c>
      <c r="BS7">
        <f ca="1">OFFSET(Objects!$HW$6,BS$1+(Objects!$Y$4-$A7-1)*Objects!$X$4,0)</f>
        <v>0</v>
      </c>
      <c r="BT7">
        <f ca="1">OFFSET(Objects!$HW$6,BT$1+(Objects!$Y$4-$A7-1)*Objects!$X$4,0)</f>
        <v>0</v>
      </c>
      <c r="BU7">
        <f ca="1">OFFSET(Objects!$HW$6,BU$1+(Objects!$Y$4-$A7-1)*Objects!$X$4,0)</f>
        <v>0</v>
      </c>
      <c r="BV7">
        <f ca="1">OFFSET(Objects!$HW$6,BV$1+(Objects!$Y$4-$A7-1)*Objects!$X$4,0)</f>
        <v>0</v>
      </c>
      <c r="BW7">
        <f ca="1">OFFSET(Objects!$HW$6,BW$1+(Objects!$Y$4-$A7-1)*Objects!$X$4,0)</f>
        <v>0</v>
      </c>
      <c r="BX7">
        <f ca="1">OFFSET(Objects!$HW$6,BX$1+(Objects!$Y$4-$A7-1)*Objects!$X$4,0)</f>
        <v>0</v>
      </c>
      <c r="BY7">
        <f ca="1">OFFSET(Objects!$HW$6,BY$1+(Objects!$Y$4-$A7-1)*Objects!$X$4,0)</f>
        <v>0</v>
      </c>
      <c r="BZ7">
        <f ca="1">OFFSET(Objects!$HW$6,BZ$1+(Objects!$Y$4-$A7-1)*Objects!$X$4,0)</f>
        <v>0</v>
      </c>
      <c r="CA7">
        <f ca="1">OFFSET(Objects!$HW$6,CA$1+(Objects!$Y$4-$A7-1)*Objects!$X$4,0)</f>
        <v>0</v>
      </c>
      <c r="CB7">
        <f ca="1">OFFSET(Objects!$HW$6,CB$1+(Objects!$Y$4-$A7-1)*Objects!$X$4,0)</f>
        <v>0</v>
      </c>
      <c r="CC7">
        <f ca="1">OFFSET(Objects!$HW$6,CC$1+(Objects!$Y$4-$A7-1)*Objects!$X$4,0)</f>
        <v>0</v>
      </c>
      <c r="CD7">
        <f ca="1">OFFSET(Objects!$HW$6,CD$1+(Objects!$Y$4-$A7-1)*Objects!$X$4,0)</f>
        <v>0</v>
      </c>
      <c r="CE7">
        <f ca="1">OFFSET(Objects!$HW$6,CE$1+(Objects!$Y$4-$A7-1)*Objects!$X$4,0)</f>
        <v>0</v>
      </c>
      <c r="CF7">
        <f ca="1">OFFSET(Objects!$HW$6,CF$1+(Objects!$Y$4-$A7-1)*Objects!$X$4,0)</f>
        <v>0</v>
      </c>
      <c r="CG7">
        <f ca="1">OFFSET(Objects!$HW$6,CG$1+(Objects!$Y$4-$A7-1)*Objects!$X$4,0)</f>
        <v>0</v>
      </c>
      <c r="CH7">
        <f ca="1">OFFSET(Objects!$HW$6,CH$1+(Objects!$Y$4-$A7-1)*Objects!$X$4,0)</f>
        <v>0</v>
      </c>
      <c r="CI7">
        <f ca="1">OFFSET(Objects!$HW$6,CI$1+(Objects!$Y$4-$A7-1)*Objects!$X$4,0)</f>
        <v>0</v>
      </c>
      <c r="CJ7">
        <f ca="1">OFFSET(Objects!$HW$6,CJ$1+(Objects!$Y$4-$A7-1)*Objects!$X$4,0)</f>
        <v>0</v>
      </c>
      <c r="CK7">
        <f ca="1">OFFSET(Objects!$HW$6,CK$1+(Objects!$Y$4-$A7-1)*Objects!$X$4,0)</f>
        <v>0</v>
      </c>
      <c r="CL7">
        <f ca="1">OFFSET(Objects!$HW$6,CL$1+(Objects!$Y$4-$A7-1)*Objects!$X$4,0)</f>
        <v>0</v>
      </c>
      <c r="CM7">
        <f ca="1">OFFSET(Objects!$HW$6,CM$1+(Objects!$Y$4-$A7-1)*Objects!$X$4,0)</f>
        <v>0</v>
      </c>
      <c r="CN7">
        <f ca="1">OFFSET(Objects!$HW$6,CN$1+(Objects!$Y$4-$A7-1)*Objects!$X$4,0)</f>
        <v>0</v>
      </c>
      <c r="CO7">
        <f ca="1">OFFSET(Objects!$HW$6,CO$1+(Objects!$Y$4-$A7-1)*Objects!$X$4,0)</f>
        <v>0</v>
      </c>
      <c r="CP7">
        <f ca="1">OFFSET(Objects!$HW$6,CP$1+(Objects!$Y$4-$A7-1)*Objects!$X$4,0)</f>
        <v>0</v>
      </c>
      <c r="CQ7">
        <f ca="1">OFFSET(Objects!$HW$6,CQ$1+(Objects!$Y$4-$A7-1)*Objects!$X$4,0)</f>
        <v>0</v>
      </c>
      <c r="CR7">
        <f ca="1">OFFSET(Objects!$HW$6,CR$1+(Objects!$Y$4-$A7-1)*Objects!$X$4,0)</f>
        <v>0</v>
      </c>
      <c r="CS7">
        <f ca="1">OFFSET(Objects!$HW$6,CS$1+(Objects!$Y$4-$A7-1)*Objects!$X$4,0)</f>
        <v>0</v>
      </c>
      <c r="CT7">
        <f ca="1">OFFSET(Objects!$HW$6,CT$1+(Objects!$Y$4-$A7-1)*Objects!$X$4,0)</f>
        <v>0</v>
      </c>
      <c r="CU7">
        <f ca="1">OFFSET(Objects!$HW$6,CU$1+(Objects!$Y$4-$A7-1)*Objects!$X$4,0)</f>
        <v>0</v>
      </c>
      <c r="CV7">
        <f ca="1">OFFSET(Objects!$HW$6,CV$1+(Objects!$Y$4-$A7-1)*Objects!$X$4,0)</f>
        <v>0</v>
      </c>
      <c r="CW7">
        <f ca="1">OFFSET(Objects!$HW$6,CW$1+(Objects!$Y$4-$A7-1)*Objects!$X$4,0)</f>
        <v>0</v>
      </c>
      <c r="CX7">
        <f ca="1">OFFSET(Objects!$HW$6,CX$1+(Objects!$Y$4-$A7-1)*Objects!$X$4,0)</f>
        <v>0</v>
      </c>
      <c r="CY7">
        <f ca="1">OFFSET(Objects!$HW$6,CY$1+(Objects!$Y$4-$A7-1)*Objects!$X$4,0)</f>
        <v>0</v>
      </c>
      <c r="CZ7">
        <f ca="1">OFFSET(Objects!$HW$6,CZ$1+(Objects!$Y$4-$A7-1)*Objects!$X$4,0)</f>
        <v>0</v>
      </c>
      <c r="DA7">
        <f ca="1">OFFSET(Objects!$HW$6,DA$1+(Objects!$Y$4-$A7-1)*Objects!$X$4,0)</f>
        <v>0</v>
      </c>
      <c r="DB7">
        <f ca="1">OFFSET(Objects!$HW$6,DB$1+(Objects!$Y$4-$A7-1)*Objects!$X$4,0)</f>
        <v>0</v>
      </c>
      <c r="DC7">
        <f ca="1">OFFSET(Objects!$HW$6,DC$1+(Objects!$Y$4-$A7-1)*Objects!$X$4,0)</f>
        <v>0</v>
      </c>
      <c r="DD7">
        <f ca="1">OFFSET(Objects!$HW$6,DD$1+(Objects!$Y$4-$A7-1)*Objects!$X$4,0)</f>
        <v>0</v>
      </c>
      <c r="DE7">
        <f ca="1">OFFSET(Objects!$HW$6,DE$1+(Objects!$Y$4-$A7-1)*Objects!$X$4,0)</f>
        <v>0</v>
      </c>
      <c r="DF7">
        <f ca="1">OFFSET(Objects!$HW$6,DF$1+(Objects!$Y$4-$A7-1)*Objects!$X$4,0)</f>
        <v>0</v>
      </c>
      <c r="DG7">
        <f ca="1">OFFSET(Objects!$HW$6,DG$1+(Objects!$Y$4-$A7-1)*Objects!$X$4,0)</f>
        <v>0</v>
      </c>
      <c r="DH7">
        <f ca="1">OFFSET(Objects!$HW$6,DH$1+(Objects!$Y$4-$A7-1)*Objects!$X$4,0)</f>
        <v>0</v>
      </c>
      <c r="DI7">
        <f ca="1">OFFSET(Objects!$HW$6,DI$1+(Objects!$Y$4-$A7-1)*Objects!$X$4,0)</f>
        <v>0</v>
      </c>
      <c r="DJ7">
        <f ca="1">OFFSET(Objects!$HW$6,DJ$1+(Objects!$Y$4-$A7-1)*Objects!$X$4,0)</f>
        <v>0</v>
      </c>
      <c r="DK7">
        <f ca="1">OFFSET(Objects!$HW$6,DK$1+(Objects!$Y$4-$A7-1)*Objects!$X$4,0)</f>
        <v>0</v>
      </c>
      <c r="DL7">
        <f ca="1">OFFSET(Objects!$HW$6,DL$1+(Objects!$Y$4-$A7-1)*Objects!$X$4,0)</f>
        <v>0</v>
      </c>
      <c r="DM7">
        <f ca="1">OFFSET(Objects!$HW$6,DM$1+(Objects!$Y$4-$A7-1)*Objects!$X$4,0)</f>
        <v>0</v>
      </c>
      <c r="DN7">
        <f ca="1">OFFSET(Objects!$HW$6,DN$1+(Objects!$Y$4-$A7-1)*Objects!$X$4,0)</f>
        <v>0</v>
      </c>
      <c r="DO7">
        <f ca="1">OFFSET(Objects!$HW$6,DO$1+(Objects!$Y$4-$A7-1)*Objects!$X$4,0)</f>
        <v>0</v>
      </c>
      <c r="DP7">
        <f ca="1">OFFSET(Objects!$HW$6,DP$1+(Objects!$Y$4-$A7-1)*Objects!$X$4,0)</f>
        <v>0</v>
      </c>
      <c r="DQ7">
        <f ca="1">OFFSET(Objects!$HW$6,DQ$1+(Objects!$Y$4-$A7-1)*Objects!$X$4,0)</f>
        <v>0</v>
      </c>
      <c r="DR7">
        <f ca="1">OFFSET(Objects!$HW$6,DR$1+(Objects!$Y$4-$A7-1)*Objects!$X$4,0)</f>
        <v>0</v>
      </c>
      <c r="DS7">
        <f ca="1">OFFSET(Objects!$HW$6,DS$1+(Objects!$Y$4-$A7-1)*Objects!$X$4,0)</f>
        <v>0</v>
      </c>
      <c r="DT7">
        <f ca="1">OFFSET(Objects!$HW$6,DT$1+(Objects!$Y$4-$A7-1)*Objects!$X$4,0)</f>
        <v>0</v>
      </c>
      <c r="DU7">
        <f ca="1">OFFSET(Objects!$HW$6,DU$1+(Objects!$Y$4-$A7-1)*Objects!$X$4,0)</f>
        <v>0</v>
      </c>
      <c r="DV7">
        <f ca="1">OFFSET(Objects!$HW$6,DV$1+(Objects!$Y$4-$A7-1)*Objects!$X$4,0)</f>
        <v>0</v>
      </c>
      <c r="DW7">
        <f ca="1">OFFSET(Objects!$HW$6,DW$1+(Objects!$Y$4-$A7-1)*Objects!$X$4,0)</f>
        <v>0</v>
      </c>
      <c r="DX7">
        <f ca="1">OFFSET(Objects!$HW$6,DX$1+(Objects!$Y$4-$A7-1)*Objects!$X$4,0)</f>
        <v>0</v>
      </c>
      <c r="DY7">
        <f ca="1">OFFSET(Objects!$HW$6,DY$1+(Objects!$Y$4-$A7-1)*Objects!$X$4,0)</f>
        <v>0</v>
      </c>
      <c r="DZ7">
        <f ca="1">OFFSET(Objects!$HW$6,DZ$1+(Objects!$Y$4-$A7-1)*Objects!$X$4,0)</f>
        <v>0</v>
      </c>
      <c r="EA7">
        <f ca="1">OFFSET(Objects!$HW$6,EA$1+(Objects!$Y$4-$A7-1)*Objects!$X$4,0)</f>
        <v>0</v>
      </c>
      <c r="EB7">
        <f ca="1">OFFSET(Objects!$HW$6,EB$1+(Objects!$Y$4-$A7-1)*Objects!$X$4,0)</f>
        <v>0</v>
      </c>
      <c r="EC7">
        <f ca="1">OFFSET(Objects!$HW$6,EC$1+(Objects!$Y$4-$A7-1)*Objects!$X$4,0)</f>
        <v>0</v>
      </c>
      <c r="ED7">
        <f ca="1">OFFSET(Objects!$HW$6,ED$1+(Objects!$Y$4-$A7-1)*Objects!$X$4,0)</f>
        <v>0</v>
      </c>
      <c r="EE7">
        <f ca="1">OFFSET(Objects!$HW$6,EE$1+(Objects!$Y$4-$A7-1)*Objects!$X$4,0)</f>
        <v>0</v>
      </c>
      <c r="EF7">
        <f ca="1">OFFSET(Objects!$HW$6,EF$1+(Objects!$Y$4-$A7-1)*Objects!$X$4,0)</f>
        <v>0</v>
      </c>
      <c r="EG7">
        <f ca="1">OFFSET(Objects!$HW$6,EG$1+(Objects!$Y$4-$A7-1)*Objects!$X$4,0)</f>
        <v>0</v>
      </c>
      <c r="EH7">
        <f ca="1">OFFSET(Objects!$HW$6,EH$1+(Objects!$Y$4-$A7-1)*Objects!$X$4,0)</f>
        <v>0</v>
      </c>
      <c r="EI7">
        <f ca="1">OFFSET(Objects!$HW$6,EI$1+(Objects!$Y$4-$A7-1)*Objects!$X$4,0)</f>
        <v>0</v>
      </c>
      <c r="EJ7">
        <f ca="1">OFFSET(Objects!$HW$6,EJ$1+(Objects!$Y$4-$A7-1)*Objects!$X$4,0)</f>
        <v>0</v>
      </c>
      <c r="EK7">
        <f ca="1">OFFSET(Objects!$HW$6,EK$1+(Objects!$Y$4-$A7-1)*Objects!$X$4,0)</f>
        <v>0</v>
      </c>
      <c r="EL7">
        <f ca="1">OFFSET(Objects!$HW$6,EL$1+(Objects!$Y$4-$A7-1)*Objects!$X$4,0)</f>
        <v>0</v>
      </c>
      <c r="EM7">
        <f ca="1">OFFSET(Objects!$HW$6,EM$1+(Objects!$Y$4-$A7-1)*Objects!$X$4,0)</f>
        <v>0</v>
      </c>
      <c r="EN7">
        <f ca="1">OFFSET(Objects!$HW$6,EN$1+(Objects!$Y$4-$A7-1)*Objects!$X$4,0)</f>
        <v>0</v>
      </c>
      <c r="EO7">
        <f ca="1">OFFSET(Objects!$HW$6,EO$1+(Objects!$Y$4-$A7-1)*Objects!$X$4,0)</f>
        <v>0</v>
      </c>
      <c r="EP7">
        <f ca="1">OFFSET(Objects!$HW$6,EP$1+(Objects!$Y$4-$A7-1)*Objects!$X$4,0)</f>
        <v>0</v>
      </c>
      <c r="EQ7">
        <f ca="1">OFFSET(Objects!$HW$6,EQ$1+(Objects!$Y$4-$A7-1)*Objects!$X$4,0)</f>
        <v>0</v>
      </c>
      <c r="ER7">
        <f ca="1">OFFSET(Objects!$HW$6,ER$1+(Objects!$Y$4-$A7-1)*Objects!$X$4,0)</f>
        <v>0</v>
      </c>
      <c r="ES7">
        <f ca="1">OFFSET(Objects!$HW$6,ES$1+(Objects!$Y$4-$A7-1)*Objects!$X$4,0)</f>
        <v>0</v>
      </c>
      <c r="ET7">
        <f ca="1">OFFSET(Objects!$HW$6,ET$1+(Objects!$Y$4-$A7-1)*Objects!$X$4,0)</f>
        <v>0</v>
      </c>
      <c r="EU7">
        <f ca="1">OFFSET(Objects!$HW$6,EU$1+(Objects!$Y$4-$A7-1)*Objects!$X$4,0)</f>
        <v>0</v>
      </c>
      <c r="EV7">
        <f ca="1">OFFSET(Objects!$HW$6,EV$1+(Objects!$Y$4-$A7-1)*Objects!$X$4,0)</f>
        <v>0</v>
      </c>
      <c r="EW7">
        <f ca="1">OFFSET(Objects!$HW$6,EW$1+(Objects!$Y$4-$A7-1)*Objects!$X$4,0)</f>
        <v>0</v>
      </c>
      <c r="EX7">
        <f ca="1">OFFSET(Objects!$HW$6,EX$1+(Objects!$Y$4-$A7-1)*Objects!$X$4,0)</f>
        <v>0</v>
      </c>
      <c r="EY7">
        <f ca="1">OFFSET(Objects!$HW$6,EY$1+(Objects!$Y$4-$A7-1)*Objects!$X$4,0)</f>
        <v>0</v>
      </c>
      <c r="EZ7">
        <f ca="1">OFFSET(Objects!$HW$6,EZ$1+(Objects!$Y$4-$A7-1)*Objects!$X$4,0)</f>
        <v>0</v>
      </c>
      <c r="FA7">
        <f ca="1">OFFSET(Objects!$HW$6,FA$1+(Objects!$Y$4-$A7-1)*Objects!$X$4,0)</f>
        <v>0</v>
      </c>
      <c r="FB7">
        <f ca="1">OFFSET(Objects!$HW$6,FB$1+(Objects!$Y$4-$A7-1)*Objects!$X$4,0)</f>
        <v>0</v>
      </c>
      <c r="FC7">
        <f ca="1">OFFSET(Objects!$HW$6,FC$1+(Objects!$Y$4-$A7-1)*Objects!$X$4,0)</f>
        <v>0</v>
      </c>
      <c r="FD7">
        <f ca="1">OFFSET(Objects!$HW$6,FD$1+(Objects!$Y$4-$A7-1)*Objects!$X$4,0)</f>
        <v>0</v>
      </c>
      <c r="FE7" s="22">
        <f ca="1">OFFSET(Objects!$HW$6,FE$1+(Objects!$Y$4-$A7-1)*Objects!$X$4,0)</f>
        <v>0</v>
      </c>
    </row>
    <row r="8" spans="1:161" ht="4.5" customHeight="1" x14ac:dyDescent="0.25">
      <c r="A8">
        <v>6</v>
      </c>
      <c r="B8" s="21">
        <f ca="1">OFFSET(Objects!$HW$6,B$1+(Objects!$Y$4-$A8-1)*Objects!$X$4,0)</f>
        <v>0</v>
      </c>
      <c r="C8">
        <f ca="1">OFFSET(Objects!$HW$6,C$1+(Objects!$Y$4-$A8-1)*Objects!$X$4,0)</f>
        <v>0</v>
      </c>
      <c r="D8">
        <f ca="1">OFFSET(Objects!$HW$6,D$1+(Objects!$Y$4-$A8-1)*Objects!$X$4,0)</f>
        <v>0</v>
      </c>
      <c r="E8">
        <f ca="1">OFFSET(Objects!$HW$6,E$1+(Objects!$Y$4-$A8-1)*Objects!$X$4,0)</f>
        <v>0</v>
      </c>
      <c r="F8">
        <f ca="1">OFFSET(Objects!$HW$6,F$1+(Objects!$Y$4-$A8-1)*Objects!$X$4,0)</f>
        <v>0</v>
      </c>
      <c r="G8">
        <f ca="1">OFFSET(Objects!$HW$6,G$1+(Objects!$Y$4-$A8-1)*Objects!$X$4,0)</f>
        <v>0</v>
      </c>
      <c r="H8">
        <f ca="1">OFFSET(Objects!$HW$6,H$1+(Objects!$Y$4-$A8-1)*Objects!$X$4,0)</f>
        <v>0</v>
      </c>
      <c r="I8">
        <f ca="1">OFFSET(Objects!$HW$6,I$1+(Objects!$Y$4-$A8-1)*Objects!$X$4,0)</f>
        <v>0</v>
      </c>
      <c r="J8">
        <f ca="1">OFFSET(Objects!$HW$6,J$1+(Objects!$Y$4-$A8-1)*Objects!$X$4,0)</f>
        <v>0</v>
      </c>
      <c r="K8">
        <f ca="1">OFFSET(Objects!$HW$6,K$1+(Objects!$Y$4-$A8-1)*Objects!$X$4,0)</f>
        <v>0</v>
      </c>
      <c r="L8">
        <f ca="1">OFFSET(Objects!$HW$6,L$1+(Objects!$Y$4-$A8-1)*Objects!$X$4,0)</f>
        <v>0</v>
      </c>
      <c r="M8">
        <f ca="1">OFFSET(Objects!$HW$6,M$1+(Objects!$Y$4-$A8-1)*Objects!$X$4,0)</f>
        <v>0</v>
      </c>
      <c r="N8">
        <f ca="1">OFFSET(Objects!$HW$6,N$1+(Objects!$Y$4-$A8-1)*Objects!$X$4,0)</f>
        <v>0</v>
      </c>
      <c r="O8">
        <f ca="1">OFFSET(Objects!$HW$6,O$1+(Objects!$Y$4-$A8-1)*Objects!$X$4,0)</f>
        <v>0</v>
      </c>
      <c r="P8">
        <f ca="1">OFFSET(Objects!$HW$6,P$1+(Objects!$Y$4-$A8-1)*Objects!$X$4,0)</f>
        <v>0</v>
      </c>
      <c r="Q8">
        <f ca="1">OFFSET(Objects!$HW$6,Q$1+(Objects!$Y$4-$A8-1)*Objects!$X$4,0)</f>
        <v>0</v>
      </c>
      <c r="R8">
        <f ca="1">OFFSET(Objects!$HW$6,R$1+(Objects!$Y$4-$A8-1)*Objects!$X$4,0)</f>
        <v>0</v>
      </c>
      <c r="S8">
        <f ca="1">OFFSET(Objects!$HW$6,S$1+(Objects!$Y$4-$A8-1)*Objects!$X$4,0)</f>
        <v>0</v>
      </c>
      <c r="T8">
        <f ca="1">OFFSET(Objects!$HW$6,T$1+(Objects!$Y$4-$A8-1)*Objects!$X$4,0)</f>
        <v>0</v>
      </c>
      <c r="U8">
        <f ca="1">OFFSET(Objects!$HW$6,U$1+(Objects!$Y$4-$A8-1)*Objects!$X$4,0)</f>
        <v>0</v>
      </c>
      <c r="V8">
        <f ca="1">OFFSET(Objects!$HW$6,V$1+(Objects!$Y$4-$A8-1)*Objects!$X$4,0)</f>
        <v>0</v>
      </c>
      <c r="W8">
        <f ca="1">OFFSET(Objects!$HW$6,W$1+(Objects!$Y$4-$A8-1)*Objects!$X$4,0)</f>
        <v>0</v>
      </c>
      <c r="X8">
        <f ca="1">OFFSET(Objects!$HW$6,X$1+(Objects!$Y$4-$A8-1)*Objects!$X$4,0)</f>
        <v>0</v>
      </c>
      <c r="Y8">
        <f ca="1">OFFSET(Objects!$HW$6,Y$1+(Objects!$Y$4-$A8-1)*Objects!$X$4,0)</f>
        <v>0</v>
      </c>
      <c r="Z8">
        <f ca="1">OFFSET(Objects!$HW$6,Z$1+(Objects!$Y$4-$A8-1)*Objects!$X$4,0)</f>
        <v>0</v>
      </c>
      <c r="AA8">
        <f ca="1">OFFSET(Objects!$HW$6,AA$1+(Objects!$Y$4-$A8-1)*Objects!$X$4,0)</f>
        <v>0</v>
      </c>
      <c r="AB8">
        <f ca="1">OFFSET(Objects!$HW$6,AB$1+(Objects!$Y$4-$A8-1)*Objects!$X$4,0)</f>
        <v>0</v>
      </c>
      <c r="AC8">
        <f ca="1">OFFSET(Objects!$HW$6,AC$1+(Objects!$Y$4-$A8-1)*Objects!$X$4,0)</f>
        <v>0</v>
      </c>
      <c r="AD8">
        <f ca="1">OFFSET(Objects!$HW$6,AD$1+(Objects!$Y$4-$A8-1)*Objects!$X$4,0)</f>
        <v>0</v>
      </c>
      <c r="AE8">
        <f ca="1">OFFSET(Objects!$HW$6,AE$1+(Objects!$Y$4-$A8-1)*Objects!$X$4,0)</f>
        <v>0</v>
      </c>
      <c r="AF8">
        <f ca="1">OFFSET(Objects!$HW$6,AF$1+(Objects!$Y$4-$A8-1)*Objects!$X$4,0)</f>
        <v>0</v>
      </c>
      <c r="AG8">
        <f ca="1">OFFSET(Objects!$HW$6,AG$1+(Objects!$Y$4-$A8-1)*Objects!$X$4,0)</f>
        <v>0</v>
      </c>
      <c r="AH8">
        <f ca="1">OFFSET(Objects!$HW$6,AH$1+(Objects!$Y$4-$A8-1)*Objects!$X$4,0)</f>
        <v>0</v>
      </c>
      <c r="AI8">
        <f ca="1">OFFSET(Objects!$HW$6,AI$1+(Objects!$Y$4-$A8-1)*Objects!$X$4,0)</f>
        <v>0</v>
      </c>
      <c r="AJ8">
        <f ca="1">OFFSET(Objects!$HW$6,AJ$1+(Objects!$Y$4-$A8-1)*Objects!$X$4,0)</f>
        <v>0</v>
      </c>
      <c r="AK8">
        <f ca="1">OFFSET(Objects!$HW$6,AK$1+(Objects!$Y$4-$A8-1)*Objects!$X$4,0)</f>
        <v>0</v>
      </c>
      <c r="AL8">
        <f ca="1">OFFSET(Objects!$HW$6,AL$1+(Objects!$Y$4-$A8-1)*Objects!$X$4,0)</f>
        <v>0</v>
      </c>
      <c r="AM8">
        <f ca="1">OFFSET(Objects!$HW$6,AM$1+(Objects!$Y$4-$A8-1)*Objects!$X$4,0)</f>
        <v>0</v>
      </c>
      <c r="AN8">
        <f ca="1">OFFSET(Objects!$HW$6,AN$1+(Objects!$Y$4-$A8-1)*Objects!$X$4,0)</f>
        <v>0</v>
      </c>
      <c r="AO8">
        <f ca="1">OFFSET(Objects!$HW$6,AO$1+(Objects!$Y$4-$A8-1)*Objects!$X$4,0)</f>
        <v>0</v>
      </c>
      <c r="AP8">
        <f ca="1">OFFSET(Objects!$HW$6,AP$1+(Objects!$Y$4-$A8-1)*Objects!$X$4,0)</f>
        <v>0</v>
      </c>
      <c r="AQ8">
        <f ca="1">OFFSET(Objects!$HW$6,AQ$1+(Objects!$Y$4-$A8-1)*Objects!$X$4,0)</f>
        <v>0</v>
      </c>
      <c r="AR8">
        <f ca="1">OFFSET(Objects!$HW$6,AR$1+(Objects!$Y$4-$A8-1)*Objects!$X$4,0)</f>
        <v>0</v>
      </c>
      <c r="AS8">
        <f ca="1">OFFSET(Objects!$HW$6,AS$1+(Objects!$Y$4-$A8-1)*Objects!$X$4,0)</f>
        <v>0</v>
      </c>
      <c r="AT8">
        <f ca="1">OFFSET(Objects!$HW$6,AT$1+(Objects!$Y$4-$A8-1)*Objects!$X$4,0)</f>
        <v>0</v>
      </c>
      <c r="AU8">
        <f ca="1">OFFSET(Objects!$HW$6,AU$1+(Objects!$Y$4-$A8-1)*Objects!$X$4,0)</f>
        <v>0</v>
      </c>
      <c r="AV8">
        <f ca="1">OFFSET(Objects!$HW$6,AV$1+(Objects!$Y$4-$A8-1)*Objects!$X$4,0)</f>
        <v>0</v>
      </c>
      <c r="AW8">
        <f ca="1">OFFSET(Objects!$HW$6,AW$1+(Objects!$Y$4-$A8-1)*Objects!$X$4,0)</f>
        <v>0</v>
      </c>
      <c r="AX8">
        <f ca="1">OFFSET(Objects!$HW$6,AX$1+(Objects!$Y$4-$A8-1)*Objects!$X$4,0)</f>
        <v>0</v>
      </c>
      <c r="AY8">
        <f ca="1">OFFSET(Objects!$HW$6,AY$1+(Objects!$Y$4-$A8-1)*Objects!$X$4,0)</f>
        <v>0</v>
      </c>
      <c r="AZ8">
        <f ca="1">OFFSET(Objects!$HW$6,AZ$1+(Objects!$Y$4-$A8-1)*Objects!$X$4,0)</f>
        <v>0</v>
      </c>
      <c r="BA8">
        <f ca="1">OFFSET(Objects!$HW$6,BA$1+(Objects!$Y$4-$A8-1)*Objects!$X$4,0)</f>
        <v>0</v>
      </c>
      <c r="BB8">
        <f ca="1">OFFSET(Objects!$HW$6,BB$1+(Objects!$Y$4-$A8-1)*Objects!$X$4,0)</f>
        <v>0</v>
      </c>
      <c r="BC8">
        <f ca="1">OFFSET(Objects!$HW$6,BC$1+(Objects!$Y$4-$A8-1)*Objects!$X$4,0)</f>
        <v>0</v>
      </c>
      <c r="BD8">
        <f ca="1">OFFSET(Objects!$HW$6,BD$1+(Objects!$Y$4-$A8-1)*Objects!$X$4,0)</f>
        <v>0</v>
      </c>
      <c r="BE8">
        <f ca="1">OFFSET(Objects!$HW$6,BE$1+(Objects!$Y$4-$A8-1)*Objects!$X$4,0)</f>
        <v>0</v>
      </c>
      <c r="BF8">
        <f ca="1">OFFSET(Objects!$HW$6,BF$1+(Objects!$Y$4-$A8-1)*Objects!$X$4,0)</f>
        <v>0</v>
      </c>
      <c r="BG8">
        <f ca="1">OFFSET(Objects!$HW$6,BG$1+(Objects!$Y$4-$A8-1)*Objects!$X$4,0)</f>
        <v>0</v>
      </c>
      <c r="BH8">
        <f ca="1">OFFSET(Objects!$HW$6,BH$1+(Objects!$Y$4-$A8-1)*Objects!$X$4,0)</f>
        <v>0</v>
      </c>
      <c r="BI8">
        <f ca="1">OFFSET(Objects!$HW$6,BI$1+(Objects!$Y$4-$A8-1)*Objects!$X$4,0)</f>
        <v>0</v>
      </c>
      <c r="BJ8">
        <f ca="1">OFFSET(Objects!$HW$6,BJ$1+(Objects!$Y$4-$A8-1)*Objects!$X$4,0)</f>
        <v>0</v>
      </c>
      <c r="BK8">
        <f ca="1">OFFSET(Objects!$HW$6,BK$1+(Objects!$Y$4-$A8-1)*Objects!$X$4,0)</f>
        <v>0</v>
      </c>
      <c r="BL8">
        <f ca="1">OFFSET(Objects!$HW$6,BL$1+(Objects!$Y$4-$A8-1)*Objects!$X$4,0)</f>
        <v>0</v>
      </c>
      <c r="BM8">
        <f ca="1">OFFSET(Objects!$HW$6,BM$1+(Objects!$Y$4-$A8-1)*Objects!$X$4,0)</f>
        <v>0</v>
      </c>
      <c r="BN8">
        <f ca="1">OFFSET(Objects!$HW$6,BN$1+(Objects!$Y$4-$A8-1)*Objects!$X$4,0)</f>
        <v>0</v>
      </c>
      <c r="BO8">
        <f ca="1">OFFSET(Objects!$HW$6,BO$1+(Objects!$Y$4-$A8-1)*Objects!$X$4,0)</f>
        <v>0</v>
      </c>
      <c r="BP8">
        <f ca="1">OFFSET(Objects!$HW$6,BP$1+(Objects!$Y$4-$A8-1)*Objects!$X$4,0)</f>
        <v>0</v>
      </c>
      <c r="BQ8">
        <f ca="1">OFFSET(Objects!$HW$6,BQ$1+(Objects!$Y$4-$A8-1)*Objects!$X$4,0)</f>
        <v>0</v>
      </c>
      <c r="BR8">
        <f ca="1">OFFSET(Objects!$HW$6,BR$1+(Objects!$Y$4-$A8-1)*Objects!$X$4,0)</f>
        <v>0</v>
      </c>
      <c r="BS8">
        <f ca="1">OFFSET(Objects!$HW$6,BS$1+(Objects!$Y$4-$A8-1)*Objects!$X$4,0)</f>
        <v>0</v>
      </c>
      <c r="BT8">
        <f ca="1">OFFSET(Objects!$HW$6,BT$1+(Objects!$Y$4-$A8-1)*Objects!$X$4,0)</f>
        <v>0</v>
      </c>
      <c r="BU8">
        <f ca="1">OFFSET(Objects!$HW$6,BU$1+(Objects!$Y$4-$A8-1)*Objects!$X$4,0)</f>
        <v>0</v>
      </c>
      <c r="BV8">
        <f ca="1">OFFSET(Objects!$HW$6,BV$1+(Objects!$Y$4-$A8-1)*Objects!$X$4,0)</f>
        <v>0</v>
      </c>
      <c r="BW8">
        <f ca="1">OFFSET(Objects!$HW$6,BW$1+(Objects!$Y$4-$A8-1)*Objects!$X$4,0)</f>
        <v>0</v>
      </c>
      <c r="BX8">
        <f ca="1">OFFSET(Objects!$HW$6,BX$1+(Objects!$Y$4-$A8-1)*Objects!$X$4,0)</f>
        <v>0</v>
      </c>
      <c r="BY8">
        <f ca="1">OFFSET(Objects!$HW$6,BY$1+(Objects!$Y$4-$A8-1)*Objects!$X$4,0)</f>
        <v>0</v>
      </c>
      <c r="BZ8">
        <f ca="1">OFFSET(Objects!$HW$6,BZ$1+(Objects!$Y$4-$A8-1)*Objects!$X$4,0)</f>
        <v>0</v>
      </c>
      <c r="CA8">
        <f ca="1">OFFSET(Objects!$HW$6,CA$1+(Objects!$Y$4-$A8-1)*Objects!$X$4,0)</f>
        <v>0</v>
      </c>
      <c r="CB8">
        <f ca="1">OFFSET(Objects!$HW$6,CB$1+(Objects!$Y$4-$A8-1)*Objects!$X$4,0)</f>
        <v>0</v>
      </c>
      <c r="CC8">
        <f ca="1">OFFSET(Objects!$HW$6,CC$1+(Objects!$Y$4-$A8-1)*Objects!$X$4,0)</f>
        <v>0</v>
      </c>
      <c r="CD8">
        <f ca="1">OFFSET(Objects!$HW$6,CD$1+(Objects!$Y$4-$A8-1)*Objects!$X$4,0)</f>
        <v>0</v>
      </c>
      <c r="CE8">
        <f ca="1">OFFSET(Objects!$HW$6,CE$1+(Objects!$Y$4-$A8-1)*Objects!$X$4,0)</f>
        <v>0</v>
      </c>
      <c r="CF8">
        <f ca="1">OFFSET(Objects!$HW$6,CF$1+(Objects!$Y$4-$A8-1)*Objects!$X$4,0)</f>
        <v>0</v>
      </c>
      <c r="CG8">
        <f ca="1">OFFSET(Objects!$HW$6,CG$1+(Objects!$Y$4-$A8-1)*Objects!$X$4,0)</f>
        <v>0</v>
      </c>
      <c r="CH8">
        <f ca="1">OFFSET(Objects!$HW$6,CH$1+(Objects!$Y$4-$A8-1)*Objects!$X$4,0)</f>
        <v>0</v>
      </c>
      <c r="CI8">
        <f ca="1">OFFSET(Objects!$HW$6,CI$1+(Objects!$Y$4-$A8-1)*Objects!$X$4,0)</f>
        <v>0</v>
      </c>
      <c r="CJ8">
        <f ca="1">OFFSET(Objects!$HW$6,CJ$1+(Objects!$Y$4-$A8-1)*Objects!$X$4,0)</f>
        <v>0</v>
      </c>
      <c r="CK8">
        <f ca="1">OFFSET(Objects!$HW$6,CK$1+(Objects!$Y$4-$A8-1)*Objects!$X$4,0)</f>
        <v>0</v>
      </c>
      <c r="CL8">
        <f ca="1">OFFSET(Objects!$HW$6,CL$1+(Objects!$Y$4-$A8-1)*Objects!$X$4,0)</f>
        <v>0</v>
      </c>
      <c r="CM8">
        <f ca="1">OFFSET(Objects!$HW$6,CM$1+(Objects!$Y$4-$A8-1)*Objects!$X$4,0)</f>
        <v>0</v>
      </c>
      <c r="CN8">
        <f ca="1">OFFSET(Objects!$HW$6,CN$1+(Objects!$Y$4-$A8-1)*Objects!$X$4,0)</f>
        <v>0</v>
      </c>
      <c r="CO8">
        <f ca="1">OFFSET(Objects!$HW$6,CO$1+(Objects!$Y$4-$A8-1)*Objects!$X$4,0)</f>
        <v>0</v>
      </c>
      <c r="CP8">
        <f ca="1">OFFSET(Objects!$HW$6,CP$1+(Objects!$Y$4-$A8-1)*Objects!$X$4,0)</f>
        <v>0</v>
      </c>
      <c r="CQ8">
        <f ca="1">OFFSET(Objects!$HW$6,CQ$1+(Objects!$Y$4-$A8-1)*Objects!$X$4,0)</f>
        <v>0</v>
      </c>
      <c r="CR8">
        <f ca="1">OFFSET(Objects!$HW$6,CR$1+(Objects!$Y$4-$A8-1)*Objects!$X$4,0)</f>
        <v>0</v>
      </c>
      <c r="CS8">
        <f ca="1">OFFSET(Objects!$HW$6,CS$1+(Objects!$Y$4-$A8-1)*Objects!$X$4,0)</f>
        <v>0</v>
      </c>
      <c r="CT8">
        <f ca="1">OFFSET(Objects!$HW$6,CT$1+(Objects!$Y$4-$A8-1)*Objects!$X$4,0)</f>
        <v>0</v>
      </c>
      <c r="CU8">
        <f ca="1">OFFSET(Objects!$HW$6,CU$1+(Objects!$Y$4-$A8-1)*Objects!$X$4,0)</f>
        <v>0</v>
      </c>
      <c r="CV8">
        <f ca="1">OFFSET(Objects!$HW$6,CV$1+(Objects!$Y$4-$A8-1)*Objects!$X$4,0)</f>
        <v>0</v>
      </c>
      <c r="CW8">
        <f ca="1">OFFSET(Objects!$HW$6,CW$1+(Objects!$Y$4-$A8-1)*Objects!$X$4,0)</f>
        <v>0</v>
      </c>
      <c r="CX8">
        <f ca="1">OFFSET(Objects!$HW$6,CX$1+(Objects!$Y$4-$A8-1)*Objects!$X$4,0)</f>
        <v>0</v>
      </c>
      <c r="CY8">
        <f ca="1">OFFSET(Objects!$HW$6,CY$1+(Objects!$Y$4-$A8-1)*Objects!$X$4,0)</f>
        <v>0</v>
      </c>
      <c r="CZ8">
        <f ca="1">OFFSET(Objects!$HW$6,CZ$1+(Objects!$Y$4-$A8-1)*Objects!$X$4,0)</f>
        <v>0</v>
      </c>
      <c r="DA8">
        <f ca="1">OFFSET(Objects!$HW$6,DA$1+(Objects!$Y$4-$A8-1)*Objects!$X$4,0)</f>
        <v>0</v>
      </c>
      <c r="DB8">
        <f ca="1">OFFSET(Objects!$HW$6,DB$1+(Objects!$Y$4-$A8-1)*Objects!$X$4,0)</f>
        <v>0</v>
      </c>
      <c r="DC8">
        <f ca="1">OFFSET(Objects!$HW$6,DC$1+(Objects!$Y$4-$A8-1)*Objects!$X$4,0)</f>
        <v>0</v>
      </c>
      <c r="DD8">
        <f ca="1">OFFSET(Objects!$HW$6,DD$1+(Objects!$Y$4-$A8-1)*Objects!$X$4,0)</f>
        <v>0</v>
      </c>
      <c r="DE8">
        <f ca="1">OFFSET(Objects!$HW$6,DE$1+(Objects!$Y$4-$A8-1)*Objects!$X$4,0)</f>
        <v>0</v>
      </c>
      <c r="DF8">
        <f ca="1">OFFSET(Objects!$HW$6,DF$1+(Objects!$Y$4-$A8-1)*Objects!$X$4,0)</f>
        <v>0</v>
      </c>
      <c r="DG8">
        <f ca="1">OFFSET(Objects!$HW$6,DG$1+(Objects!$Y$4-$A8-1)*Objects!$X$4,0)</f>
        <v>0</v>
      </c>
      <c r="DH8">
        <f ca="1">OFFSET(Objects!$HW$6,DH$1+(Objects!$Y$4-$A8-1)*Objects!$X$4,0)</f>
        <v>0</v>
      </c>
      <c r="DI8">
        <f ca="1">OFFSET(Objects!$HW$6,DI$1+(Objects!$Y$4-$A8-1)*Objects!$X$4,0)</f>
        <v>0</v>
      </c>
      <c r="DJ8">
        <f ca="1">OFFSET(Objects!$HW$6,DJ$1+(Objects!$Y$4-$A8-1)*Objects!$X$4,0)</f>
        <v>0</v>
      </c>
      <c r="DK8">
        <f ca="1">OFFSET(Objects!$HW$6,DK$1+(Objects!$Y$4-$A8-1)*Objects!$X$4,0)</f>
        <v>0</v>
      </c>
      <c r="DL8">
        <f ca="1">OFFSET(Objects!$HW$6,DL$1+(Objects!$Y$4-$A8-1)*Objects!$X$4,0)</f>
        <v>0</v>
      </c>
      <c r="DM8">
        <f ca="1">OFFSET(Objects!$HW$6,DM$1+(Objects!$Y$4-$A8-1)*Objects!$X$4,0)</f>
        <v>0</v>
      </c>
      <c r="DN8">
        <f ca="1">OFFSET(Objects!$HW$6,DN$1+(Objects!$Y$4-$A8-1)*Objects!$X$4,0)</f>
        <v>0</v>
      </c>
      <c r="DO8">
        <f ca="1">OFFSET(Objects!$HW$6,DO$1+(Objects!$Y$4-$A8-1)*Objects!$X$4,0)</f>
        <v>0</v>
      </c>
      <c r="DP8">
        <f ca="1">OFFSET(Objects!$HW$6,DP$1+(Objects!$Y$4-$A8-1)*Objects!$X$4,0)</f>
        <v>0</v>
      </c>
      <c r="DQ8">
        <f ca="1">OFFSET(Objects!$HW$6,DQ$1+(Objects!$Y$4-$A8-1)*Objects!$X$4,0)</f>
        <v>0</v>
      </c>
      <c r="DR8">
        <f ca="1">OFFSET(Objects!$HW$6,DR$1+(Objects!$Y$4-$A8-1)*Objects!$X$4,0)</f>
        <v>0</v>
      </c>
      <c r="DS8">
        <f ca="1">OFFSET(Objects!$HW$6,DS$1+(Objects!$Y$4-$A8-1)*Objects!$X$4,0)</f>
        <v>0</v>
      </c>
      <c r="DT8">
        <f ca="1">OFFSET(Objects!$HW$6,DT$1+(Objects!$Y$4-$A8-1)*Objects!$X$4,0)</f>
        <v>0</v>
      </c>
      <c r="DU8">
        <f ca="1">OFFSET(Objects!$HW$6,DU$1+(Objects!$Y$4-$A8-1)*Objects!$X$4,0)</f>
        <v>0</v>
      </c>
      <c r="DV8">
        <f ca="1">OFFSET(Objects!$HW$6,DV$1+(Objects!$Y$4-$A8-1)*Objects!$X$4,0)</f>
        <v>0</v>
      </c>
      <c r="DW8">
        <f ca="1">OFFSET(Objects!$HW$6,DW$1+(Objects!$Y$4-$A8-1)*Objects!$X$4,0)</f>
        <v>0</v>
      </c>
      <c r="DX8">
        <f ca="1">OFFSET(Objects!$HW$6,DX$1+(Objects!$Y$4-$A8-1)*Objects!$X$4,0)</f>
        <v>0</v>
      </c>
      <c r="DY8">
        <f ca="1">OFFSET(Objects!$HW$6,DY$1+(Objects!$Y$4-$A8-1)*Objects!$X$4,0)</f>
        <v>0</v>
      </c>
      <c r="DZ8">
        <f ca="1">OFFSET(Objects!$HW$6,DZ$1+(Objects!$Y$4-$A8-1)*Objects!$X$4,0)</f>
        <v>0</v>
      </c>
      <c r="EA8">
        <f ca="1">OFFSET(Objects!$HW$6,EA$1+(Objects!$Y$4-$A8-1)*Objects!$X$4,0)</f>
        <v>0</v>
      </c>
      <c r="EB8">
        <f ca="1">OFFSET(Objects!$HW$6,EB$1+(Objects!$Y$4-$A8-1)*Objects!$X$4,0)</f>
        <v>0</v>
      </c>
      <c r="EC8">
        <f ca="1">OFFSET(Objects!$HW$6,EC$1+(Objects!$Y$4-$A8-1)*Objects!$X$4,0)</f>
        <v>0</v>
      </c>
      <c r="ED8">
        <f ca="1">OFFSET(Objects!$HW$6,ED$1+(Objects!$Y$4-$A8-1)*Objects!$X$4,0)</f>
        <v>0</v>
      </c>
      <c r="EE8">
        <f ca="1">OFFSET(Objects!$HW$6,EE$1+(Objects!$Y$4-$A8-1)*Objects!$X$4,0)</f>
        <v>0</v>
      </c>
      <c r="EF8">
        <f ca="1">OFFSET(Objects!$HW$6,EF$1+(Objects!$Y$4-$A8-1)*Objects!$X$4,0)</f>
        <v>0</v>
      </c>
      <c r="EG8">
        <f ca="1">OFFSET(Objects!$HW$6,EG$1+(Objects!$Y$4-$A8-1)*Objects!$X$4,0)</f>
        <v>0</v>
      </c>
      <c r="EH8">
        <f ca="1">OFFSET(Objects!$HW$6,EH$1+(Objects!$Y$4-$A8-1)*Objects!$X$4,0)</f>
        <v>0</v>
      </c>
      <c r="EI8">
        <f ca="1">OFFSET(Objects!$HW$6,EI$1+(Objects!$Y$4-$A8-1)*Objects!$X$4,0)</f>
        <v>0</v>
      </c>
      <c r="EJ8">
        <f ca="1">OFFSET(Objects!$HW$6,EJ$1+(Objects!$Y$4-$A8-1)*Objects!$X$4,0)</f>
        <v>0</v>
      </c>
      <c r="EK8">
        <f ca="1">OFFSET(Objects!$HW$6,EK$1+(Objects!$Y$4-$A8-1)*Objects!$X$4,0)</f>
        <v>0</v>
      </c>
      <c r="EL8">
        <f ca="1">OFFSET(Objects!$HW$6,EL$1+(Objects!$Y$4-$A8-1)*Objects!$X$4,0)</f>
        <v>0</v>
      </c>
      <c r="EM8">
        <f ca="1">OFFSET(Objects!$HW$6,EM$1+(Objects!$Y$4-$A8-1)*Objects!$X$4,0)</f>
        <v>0</v>
      </c>
      <c r="EN8">
        <f ca="1">OFFSET(Objects!$HW$6,EN$1+(Objects!$Y$4-$A8-1)*Objects!$X$4,0)</f>
        <v>0</v>
      </c>
      <c r="EO8">
        <f ca="1">OFFSET(Objects!$HW$6,EO$1+(Objects!$Y$4-$A8-1)*Objects!$X$4,0)</f>
        <v>0</v>
      </c>
      <c r="EP8">
        <f ca="1">OFFSET(Objects!$HW$6,EP$1+(Objects!$Y$4-$A8-1)*Objects!$X$4,0)</f>
        <v>0</v>
      </c>
      <c r="EQ8">
        <f ca="1">OFFSET(Objects!$HW$6,EQ$1+(Objects!$Y$4-$A8-1)*Objects!$X$4,0)</f>
        <v>0</v>
      </c>
      <c r="ER8">
        <f ca="1">OFFSET(Objects!$HW$6,ER$1+(Objects!$Y$4-$A8-1)*Objects!$X$4,0)</f>
        <v>0</v>
      </c>
      <c r="ES8">
        <f ca="1">OFFSET(Objects!$HW$6,ES$1+(Objects!$Y$4-$A8-1)*Objects!$X$4,0)</f>
        <v>0</v>
      </c>
      <c r="ET8">
        <f ca="1">OFFSET(Objects!$HW$6,ET$1+(Objects!$Y$4-$A8-1)*Objects!$X$4,0)</f>
        <v>0</v>
      </c>
      <c r="EU8">
        <f ca="1">OFFSET(Objects!$HW$6,EU$1+(Objects!$Y$4-$A8-1)*Objects!$X$4,0)</f>
        <v>0</v>
      </c>
      <c r="EV8">
        <f ca="1">OFFSET(Objects!$HW$6,EV$1+(Objects!$Y$4-$A8-1)*Objects!$X$4,0)</f>
        <v>0</v>
      </c>
      <c r="EW8">
        <f ca="1">OFFSET(Objects!$HW$6,EW$1+(Objects!$Y$4-$A8-1)*Objects!$X$4,0)</f>
        <v>0</v>
      </c>
      <c r="EX8">
        <f ca="1">OFFSET(Objects!$HW$6,EX$1+(Objects!$Y$4-$A8-1)*Objects!$X$4,0)</f>
        <v>0</v>
      </c>
      <c r="EY8">
        <f ca="1">OFFSET(Objects!$HW$6,EY$1+(Objects!$Y$4-$A8-1)*Objects!$X$4,0)</f>
        <v>0</v>
      </c>
      <c r="EZ8">
        <f ca="1">OFFSET(Objects!$HW$6,EZ$1+(Objects!$Y$4-$A8-1)*Objects!$X$4,0)</f>
        <v>0</v>
      </c>
      <c r="FA8">
        <f ca="1">OFFSET(Objects!$HW$6,FA$1+(Objects!$Y$4-$A8-1)*Objects!$X$4,0)</f>
        <v>0</v>
      </c>
      <c r="FB8">
        <f ca="1">OFFSET(Objects!$HW$6,FB$1+(Objects!$Y$4-$A8-1)*Objects!$X$4,0)</f>
        <v>0</v>
      </c>
      <c r="FC8">
        <f ca="1">OFFSET(Objects!$HW$6,FC$1+(Objects!$Y$4-$A8-1)*Objects!$X$4,0)</f>
        <v>0</v>
      </c>
      <c r="FD8">
        <f ca="1">OFFSET(Objects!$HW$6,FD$1+(Objects!$Y$4-$A8-1)*Objects!$X$4,0)</f>
        <v>0</v>
      </c>
      <c r="FE8" s="22">
        <f ca="1">OFFSET(Objects!$HW$6,FE$1+(Objects!$Y$4-$A8-1)*Objects!$X$4,0)</f>
        <v>0</v>
      </c>
    </row>
    <row r="9" spans="1:161" ht="4.5" customHeight="1" x14ac:dyDescent="0.25">
      <c r="A9">
        <v>7</v>
      </c>
      <c r="B9" s="21">
        <f ca="1">OFFSET(Objects!$HW$6,B$1+(Objects!$Y$4-$A9-1)*Objects!$X$4,0)</f>
        <v>0</v>
      </c>
      <c r="C9">
        <f ca="1">OFFSET(Objects!$HW$6,C$1+(Objects!$Y$4-$A9-1)*Objects!$X$4,0)</f>
        <v>0</v>
      </c>
      <c r="D9">
        <f ca="1">OFFSET(Objects!$HW$6,D$1+(Objects!$Y$4-$A9-1)*Objects!$X$4,0)</f>
        <v>0</v>
      </c>
      <c r="E9">
        <f ca="1">OFFSET(Objects!$HW$6,E$1+(Objects!$Y$4-$A9-1)*Objects!$X$4,0)</f>
        <v>0</v>
      </c>
      <c r="F9">
        <f ca="1">OFFSET(Objects!$HW$6,F$1+(Objects!$Y$4-$A9-1)*Objects!$X$4,0)</f>
        <v>0</v>
      </c>
      <c r="G9">
        <f ca="1">OFFSET(Objects!$HW$6,G$1+(Objects!$Y$4-$A9-1)*Objects!$X$4,0)</f>
        <v>0</v>
      </c>
      <c r="H9">
        <f ca="1">OFFSET(Objects!$HW$6,H$1+(Objects!$Y$4-$A9-1)*Objects!$X$4,0)</f>
        <v>0</v>
      </c>
      <c r="I9">
        <f ca="1">OFFSET(Objects!$HW$6,I$1+(Objects!$Y$4-$A9-1)*Objects!$X$4,0)</f>
        <v>0</v>
      </c>
      <c r="J9">
        <f ca="1">OFFSET(Objects!$HW$6,J$1+(Objects!$Y$4-$A9-1)*Objects!$X$4,0)</f>
        <v>0</v>
      </c>
      <c r="K9">
        <f ca="1">OFFSET(Objects!$HW$6,K$1+(Objects!$Y$4-$A9-1)*Objects!$X$4,0)</f>
        <v>0</v>
      </c>
      <c r="L9">
        <f ca="1">OFFSET(Objects!$HW$6,L$1+(Objects!$Y$4-$A9-1)*Objects!$X$4,0)</f>
        <v>0</v>
      </c>
      <c r="M9">
        <f ca="1">OFFSET(Objects!$HW$6,M$1+(Objects!$Y$4-$A9-1)*Objects!$X$4,0)</f>
        <v>0</v>
      </c>
      <c r="N9">
        <f ca="1">OFFSET(Objects!$HW$6,N$1+(Objects!$Y$4-$A9-1)*Objects!$X$4,0)</f>
        <v>0</v>
      </c>
      <c r="O9">
        <f ca="1">OFFSET(Objects!$HW$6,O$1+(Objects!$Y$4-$A9-1)*Objects!$X$4,0)</f>
        <v>0</v>
      </c>
      <c r="P9">
        <f ca="1">OFFSET(Objects!$HW$6,P$1+(Objects!$Y$4-$A9-1)*Objects!$X$4,0)</f>
        <v>0</v>
      </c>
      <c r="Q9">
        <f ca="1">OFFSET(Objects!$HW$6,Q$1+(Objects!$Y$4-$A9-1)*Objects!$X$4,0)</f>
        <v>0</v>
      </c>
      <c r="R9">
        <f ca="1">OFFSET(Objects!$HW$6,R$1+(Objects!$Y$4-$A9-1)*Objects!$X$4,0)</f>
        <v>0</v>
      </c>
      <c r="S9">
        <f ca="1">OFFSET(Objects!$HW$6,S$1+(Objects!$Y$4-$A9-1)*Objects!$X$4,0)</f>
        <v>0</v>
      </c>
      <c r="T9">
        <f ca="1">OFFSET(Objects!$HW$6,T$1+(Objects!$Y$4-$A9-1)*Objects!$X$4,0)</f>
        <v>0</v>
      </c>
      <c r="U9">
        <f ca="1">OFFSET(Objects!$HW$6,U$1+(Objects!$Y$4-$A9-1)*Objects!$X$4,0)</f>
        <v>0</v>
      </c>
      <c r="V9">
        <f ca="1">OFFSET(Objects!$HW$6,V$1+(Objects!$Y$4-$A9-1)*Objects!$X$4,0)</f>
        <v>0</v>
      </c>
      <c r="W9">
        <f ca="1">OFFSET(Objects!$HW$6,W$1+(Objects!$Y$4-$A9-1)*Objects!$X$4,0)</f>
        <v>0</v>
      </c>
      <c r="X9">
        <f ca="1">OFFSET(Objects!$HW$6,X$1+(Objects!$Y$4-$A9-1)*Objects!$X$4,0)</f>
        <v>0</v>
      </c>
      <c r="Y9">
        <f ca="1">OFFSET(Objects!$HW$6,Y$1+(Objects!$Y$4-$A9-1)*Objects!$X$4,0)</f>
        <v>0</v>
      </c>
      <c r="Z9">
        <f ca="1">OFFSET(Objects!$HW$6,Z$1+(Objects!$Y$4-$A9-1)*Objects!$X$4,0)</f>
        <v>0</v>
      </c>
      <c r="AA9">
        <f ca="1">OFFSET(Objects!$HW$6,AA$1+(Objects!$Y$4-$A9-1)*Objects!$X$4,0)</f>
        <v>0</v>
      </c>
      <c r="AB9">
        <f ca="1">OFFSET(Objects!$HW$6,AB$1+(Objects!$Y$4-$A9-1)*Objects!$X$4,0)</f>
        <v>0</v>
      </c>
      <c r="AC9">
        <f ca="1">OFFSET(Objects!$HW$6,AC$1+(Objects!$Y$4-$A9-1)*Objects!$X$4,0)</f>
        <v>0</v>
      </c>
      <c r="AD9">
        <f ca="1">OFFSET(Objects!$HW$6,AD$1+(Objects!$Y$4-$A9-1)*Objects!$X$4,0)</f>
        <v>0</v>
      </c>
      <c r="AE9">
        <f ca="1">OFFSET(Objects!$HW$6,AE$1+(Objects!$Y$4-$A9-1)*Objects!$X$4,0)</f>
        <v>0</v>
      </c>
      <c r="AF9">
        <f ca="1">OFFSET(Objects!$HW$6,AF$1+(Objects!$Y$4-$A9-1)*Objects!$X$4,0)</f>
        <v>0</v>
      </c>
      <c r="AG9">
        <f ca="1">OFFSET(Objects!$HW$6,AG$1+(Objects!$Y$4-$A9-1)*Objects!$X$4,0)</f>
        <v>0</v>
      </c>
      <c r="AH9">
        <f ca="1">OFFSET(Objects!$HW$6,AH$1+(Objects!$Y$4-$A9-1)*Objects!$X$4,0)</f>
        <v>0</v>
      </c>
      <c r="AI9">
        <f ca="1">OFFSET(Objects!$HW$6,AI$1+(Objects!$Y$4-$A9-1)*Objects!$X$4,0)</f>
        <v>0</v>
      </c>
      <c r="AJ9">
        <f ca="1">OFFSET(Objects!$HW$6,AJ$1+(Objects!$Y$4-$A9-1)*Objects!$X$4,0)</f>
        <v>0</v>
      </c>
      <c r="AK9">
        <f ca="1">OFFSET(Objects!$HW$6,AK$1+(Objects!$Y$4-$A9-1)*Objects!$X$4,0)</f>
        <v>0</v>
      </c>
      <c r="AL9">
        <f ca="1">OFFSET(Objects!$HW$6,AL$1+(Objects!$Y$4-$A9-1)*Objects!$X$4,0)</f>
        <v>0</v>
      </c>
      <c r="AM9">
        <f ca="1">OFFSET(Objects!$HW$6,AM$1+(Objects!$Y$4-$A9-1)*Objects!$X$4,0)</f>
        <v>0</v>
      </c>
      <c r="AN9">
        <f ca="1">OFFSET(Objects!$HW$6,AN$1+(Objects!$Y$4-$A9-1)*Objects!$X$4,0)</f>
        <v>0</v>
      </c>
      <c r="AO9">
        <f ca="1">OFFSET(Objects!$HW$6,AO$1+(Objects!$Y$4-$A9-1)*Objects!$X$4,0)</f>
        <v>0</v>
      </c>
      <c r="AP9">
        <f ca="1">OFFSET(Objects!$HW$6,AP$1+(Objects!$Y$4-$A9-1)*Objects!$X$4,0)</f>
        <v>0</v>
      </c>
      <c r="AQ9">
        <f ca="1">OFFSET(Objects!$HW$6,AQ$1+(Objects!$Y$4-$A9-1)*Objects!$X$4,0)</f>
        <v>0</v>
      </c>
      <c r="AR9">
        <f ca="1">OFFSET(Objects!$HW$6,AR$1+(Objects!$Y$4-$A9-1)*Objects!$X$4,0)</f>
        <v>0</v>
      </c>
      <c r="AS9">
        <f ca="1">OFFSET(Objects!$HW$6,AS$1+(Objects!$Y$4-$A9-1)*Objects!$X$4,0)</f>
        <v>0</v>
      </c>
      <c r="AT9">
        <f ca="1">OFFSET(Objects!$HW$6,AT$1+(Objects!$Y$4-$A9-1)*Objects!$X$4,0)</f>
        <v>0</v>
      </c>
      <c r="AU9">
        <f ca="1">OFFSET(Objects!$HW$6,AU$1+(Objects!$Y$4-$A9-1)*Objects!$X$4,0)</f>
        <v>0</v>
      </c>
      <c r="AV9">
        <f ca="1">OFFSET(Objects!$HW$6,AV$1+(Objects!$Y$4-$A9-1)*Objects!$X$4,0)</f>
        <v>0</v>
      </c>
      <c r="AW9">
        <f ca="1">OFFSET(Objects!$HW$6,AW$1+(Objects!$Y$4-$A9-1)*Objects!$X$4,0)</f>
        <v>0</v>
      </c>
      <c r="AX9">
        <f ca="1">OFFSET(Objects!$HW$6,AX$1+(Objects!$Y$4-$A9-1)*Objects!$X$4,0)</f>
        <v>0</v>
      </c>
      <c r="AY9">
        <f ca="1">OFFSET(Objects!$HW$6,AY$1+(Objects!$Y$4-$A9-1)*Objects!$X$4,0)</f>
        <v>0</v>
      </c>
      <c r="AZ9">
        <f ca="1">OFFSET(Objects!$HW$6,AZ$1+(Objects!$Y$4-$A9-1)*Objects!$X$4,0)</f>
        <v>0</v>
      </c>
      <c r="BA9">
        <f ca="1">OFFSET(Objects!$HW$6,BA$1+(Objects!$Y$4-$A9-1)*Objects!$X$4,0)</f>
        <v>0</v>
      </c>
      <c r="BB9">
        <f ca="1">OFFSET(Objects!$HW$6,BB$1+(Objects!$Y$4-$A9-1)*Objects!$X$4,0)</f>
        <v>0</v>
      </c>
      <c r="BC9">
        <f ca="1">OFFSET(Objects!$HW$6,BC$1+(Objects!$Y$4-$A9-1)*Objects!$X$4,0)</f>
        <v>0</v>
      </c>
      <c r="BD9">
        <f ca="1">OFFSET(Objects!$HW$6,BD$1+(Objects!$Y$4-$A9-1)*Objects!$X$4,0)</f>
        <v>0</v>
      </c>
      <c r="BE9">
        <f ca="1">OFFSET(Objects!$HW$6,BE$1+(Objects!$Y$4-$A9-1)*Objects!$X$4,0)</f>
        <v>0</v>
      </c>
      <c r="BF9">
        <f ca="1">OFFSET(Objects!$HW$6,BF$1+(Objects!$Y$4-$A9-1)*Objects!$X$4,0)</f>
        <v>0</v>
      </c>
      <c r="BG9">
        <f ca="1">OFFSET(Objects!$HW$6,BG$1+(Objects!$Y$4-$A9-1)*Objects!$X$4,0)</f>
        <v>0</v>
      </c>
      <c r="BH9">
        <f ca="1">OFFSET(Objects!$HW$6,BH$1+(Objects!$Y$4-$A9-1)*Objects!$X$4,0)</f>
        <v>0</v>
      </c>
      <c r="BI9">
        <f ca="1">OFFSET(Objects!$HW$6,BI$1+(Objects!$Y$4-$A9-1)*Objects!$X$4,0)</f>
        <v>0</v>
      </c>
      <c r="BJ9">
        <f ca="1">OFFSET(Objects!$HW$6,BJ$1+(Objects!$Y$4-$A9-1)*Objects!$X$4,0)</f>
        <v>0</v>
      </c>
      <c r="BK9">
        <f ca="1">OFFSET(Objects!$HW$6,BK$1+(Objects!$Y$4-$A9-1)*Objects!$X$4,0)</f>
        <v>0</v>
      </c>
      <c r="BL9">
        <f ca="1">OFFSET(Objects!$HW$6,BL$1+(Objects!$Y$4-$A9-1)*Objects!$X$4,0)</f>
        <v>0</v>
      </c>
      <c r="BM9">
        <f ca="1">OFFSET(Objects!$HW$6,BM$1+(Objects!$Y$4-$A9-1)*Objects!$X$4,0)</f>
        <v>0</v>
      </c>
      <c r="BN9">
        <f ca="1">OFFSET(Objects!$HW$6,BN$1+(Objects!$Y$4-$A9-1)*Objects!$X$4,0)</f>
        <v>0</v>
      </c>
      <c r="BO9">
        <f ca="1">OFFSET(Objects!$HW$6,BO$1+(Objects!$Y$4-$A9-1)*Objects!$X$4,0)</f>
        <v>0</v>
      </c>
      <c r="BP9">
        <f ca="1">OFFSET(Objects!$HW$6,BP$1+(Objects!$Y$4-$A9-1)*Objects!$X$4,0)</f>
        <v>0</v>
      </c>
      <c r="BQ9">
        <f ca="1">OFFSET(Objects!$HW$6,BQ$1+(Objects!$Y$4-$A9-1)*Objects!$X$4,0)</f>
        <v>0</v>
      </c>
      <c r="BR9">
        <f ca="1">OFFSET(Objects!$HW$6,BR$1+(Objects!$Y$4-$A9-1)*Objects!$X$4,0)</f>
        <v>0</v>
      </c>
      <c r="BS9">
        <f ca="1">OFFSET(Objects!$HW$6,BS$1+(Objects!$Y$4-$A9-1)*Objects!$X$4,0)</f>
        <v>0</v>
      </c>
      <c r="BT9">
        <f ca="1">OFFSET(Objects!$HW$6,BT$1+(Objects!$Y$4-$A9-1)*Objects!$X$4,0)</f>
        <v>0</v>
      </c>
      <c r="BU9">
        <f ca="1">OFFSET(Objects!$HW$6,BU$1+(Objects!$Y$4-$A9-1)*Objects!$X$4,0)</f>
        <v>0</v>
      </c>
      <c r="BV9">
        <f ca="1">OFFSET(Objects!$HW$6,BV$1+(Objects!$Y$4-$A9-1)*Objects!$X$4,0)</f>
        <v>0</v>
      </c>
      <c r="BW9">
        <f ca="1">OFFSET(Objects!$HW$6,BW$1+(Objects!$Y$4-$A9-1)*Objects!$X$4,0)</f>
        <v>0</v>
      </c>
      <c r="BX9">
        <f ca="1">OFFSET(Objects!$HW$6,BX$1+(Objects!$Y$4-$A9-1)*Objects!$X$4,0)</f>
        <v>0</v>
      </c>
      <c r="BY9">
        <f ca="1">OFFSET(Objects!$HW$6,BY$1+(Objects!$Y$4-$A9-1)*Objects!$X$4,0)</f>
        <v>0</v>
      </c>
      <c r="BZ9">
        <f ca="1">OFFSET(Objects!$HW$6,BZ$1+(Objects!$Y$4-$A9-1)*Objects!$X$4,0)</f>
        <v>0</v>
      </c>
      <c r="CA9">
        <f ca="1">OFFSET(Objects!$HW$6,CA$1+(Objects!$Y$4-$A9-1)*Objects!$X$4,0)</f>
        <v>0</v>
      </c>
      <c r="CB9">
        <f ca="1">OFFSET(Objects!$HW$6,CB$1+(Objects!$Y$4-$A9-1)*Objects!$X$4,0)</f>
        <v>0</v>
      </c>
      <c r="CC9">
        <f ca="1">OFFSET(Objects!$HW$6,CC$1+(Objects!$Y$4-$A9-1)*Objects!$X$4,0)</f>
        <v>0</v>
      </c>
      <c r="CD9">
        <f ca="1">OFFSET(Objects!$HW$6,CD$1+(Objects!$Y$4-$A9-1)*Objects!$X$4,0)</f>
        <v>0</v>
      </c>
      <c r="CE9">
        <f ca="1">OFFSET(Objects!$HW$6,CE$1+(Objects!$Y$4-$A9-1)*Objects!$X$4,0)</f>
        <v>0</v>
      </c>
      <c r="CF9">
        <f ca="1">OFFSET(Objects!$HW$6,CF$1+(Objects!$Y$4-$A9-1)*Objects!$X$4,0)</f>
        <v>0</v>
      </c>
      <c r="CG9">
        <f ca="1">OFFSET(Objects!$HW$6,CG$1+(Objects!$Y$4-$A9-1)*Objects!$X$4,0)</f>
        <v>0</v>
      </c>
      <c r="CH9">
        <f ca="1">OFFSET(Objects!$HW$6,CH$1+(Objects!$Y$4-$A9-1)*Objects!$X$4,0)</f>
        <v>0</v>
      </c>
      <c r="CI9">
        <f ca="1">OFFSET(Objects!$HW$6,CI$1+(Objects!$Y$4-$A9-1)*Objects!$X$4,0)</f>
        <v>0</v>
      </c>
      <c r="CJ9">
        <f ca="1">OFFSET(Objects!$HW$6,CJ$1+(Objects!$Y$4-$A9-1)*Objects!$X$4,0)</f>
        <v>0</v>
      </c>
      <c r="CK9">
        <f ca="1">OFFSET(Objects!$HW$6,CK$1+(Objects!$Y$4-$A9-1)*Objects!$X$4,0)</f>
        <v>0</v>
      </c>
      <c r="CL9">
        <f ca="1">OFFSET(Objects!$HW$6,CL$1+(Objects!$Y$4-$A9-1)*Objects!$X$4,0)</f>
        <v>0</v>
      </c>
      <c r="CM9">
        <f ca="1">OFFSET(Objects!$HW$6,CM$1+(Objects!$Y$4-$A9-1)*Objects!$X$4,0)</f>
        <v>0</v>
      </c>
      <c r="CN9">
        <f ca="1">OFFSET(Objects!$HW$6,CN$1+(Objects!$Y$4-$A9-1)*Objects!$X$4,0)</f>
        <v>0</v>
      </c>
      <c r="CO9">
        <f ca="1">OFFSET(Objects!$HW$6,CO$1+(Objects!$Y$4-$A9-1)*Objects!$X$4,0)</f>
        <v>0</v>
      </c>
      <c r="CP9">
        <f ca="1">OFFSET(Objects!$HW$6,CP$1+(Objects!$Y$4-$A9-1)*Objects!$X$4,0)</f>
        <v>0</v>
      </c>
      <c r="CQ9">
        <f ca="1">OFFSET(Objects!$HW$6,CQ$1+(Objects!$Y$4-$A9-1)*Objects!$X$4,0)</f>
        <v>0</v>
      </c>
      <c r="CR9">
        <f ca="1">OFFSET(Objects!$HW$6,CR$1+(Objects!$Y$4-$A9-1)*Objects!$X$4,0)</f>
        <v>0</v>
      </c>
      <c r="CS9">
        <f ca="1">OFFSET(Objects!$HW$6,CS$1+(Objects!$Y$4-$A9-1)*Objects!$X$4,0)</f>
        <v>0</v>
      </c>
      <c r="CT9">
        <f ca="1">OFFSET(Objects!$HW$6,CT$1+(Objects!$Y$4-$A9-1)*Objects!$X$4,0)</f>
        <v>0</v>
      </c>
      <c r="CU9">
        <f ca="1">OFFSET(Objects!$HW$6,CU$1+(Objects!$Y$4-$A9-1)*Objects!$X$4,0)</f>
        <v>0</v>
      </c>
      <c r="CV9">
        <f ca="1">OFFSET(Objects!$HW$6,CV$1+(Objects!$Y$4-$A9-1)*Objects!$X$4,0)</f>
        <v>0</v>
      </c>
      <c r="CW9">
        <f ca="1">OFFSET(Objects!$HW$6,CW$1+(Objects!$Y$4-$A9-1)*Objects!$X$4,0)</f>
        <v>0</v>
      </c>
      <c r="CX9">
        <f ca="1">OFFSET(Objects!$HW$6,CX$1+(Objects!$Y$4-$A9-1)*Objects!$X$4,0)</f>
        <v>0</v>
      </c>
      <c r="CY9">
        <f ca="1">OFFSET(Objects!$HW$6,CY$1+(Objects!$Y$4-$A9-1)*Objects!$X$4,0)</f>
        <v>0</v>
      </c>
      <c r="CZ9">
        <f ca="1">OFFSET(Objects!$HW$6,CZ$1+(Objects!$Y$4-$A9-1)*Objects!$X$4,0)</f>
        <v>0</v>
      </c>
      <c r="DA9">
        <f ca="1">OFFSET(Objects!$HW$6,DA$1+(Objects!$Y$4-$A9-1)*Objects!$X$4,0)</f>
        <v>0</v>
      </c>
      <c r="DB9">
        <f ca="1">OFFSET(Objects!$HW$6,DB$1+(Objects!$Y$4-$A9-1)*Objects!$X$4,0)</f>
        <v>0</v>
      </c>
      <c r="DC9">
        <f ca="1">OFFSET(Objects!$HW$6,DC$1+(Objects!$Y$4-$A9-1)*Objects!$X$4,0)</f>
        <v>0</v>
      </c>
      <c r="DD9">
        <f ca="1">OFFSET(Objects!$HW$6,DD$1+(Objects!$Y$4-$A9-1)*Objects!$X$4,0)</f>
        <v>0</v>
      </c>
      <c r="DE9">
        <f ca="1">OFFSET(Objects!$HW$6,DE$1+(Objects!$Y$4-$A9-1)*Objects!$X$4,0)</f>
        <v>0</v>
      </c>
      <c r="DF9">
        <f ca="1">OFFSET(Objects!$HW$6,DF$1+(Objects!$Y$4-$A9-1)*Objects!$X$4,0)</f>
        <v>0</v>
      </c>
      <c r="DG9">
        <f ca="1">OFFSET(Objects!$HW$6,DG$1+(Objects!$Y$4-$A9-1)*Objects!$X$4,0)</f>
        <v>0</v>
      </c>
      <c r="DH9">
        <f ca="1">OFFSET(Objects!$HW$6,DH$1+(Objects!$Y$4-$A9-1)*Objects!$X$4,0)</f>
        <v>0</v>
      </c>
      <c r="DI9">
        <f ca="1">OFFSET(Objects!$HW$6,DI$1+(Objects!$Y$4-$A9-1)*Objects!$X$4,0)</f>
        <v>0</v>
      </c>
      <c r="DJ9">
        <f ca="1">OFFSET(Objects!$HW$6,DJ$1+(Objects!$Y$4-$A9-1)*Objects!$X$4,0)</f>
        <v>0</v>
      </c>
      <c r="DK9">
        <f ca="1">OFFSET(Objects!$HW$6,DK$1+(Objects!$Y$4-$A9-1)*Objects!$X$4,0)</f>
        <v>0</v>
      </c>
      <c r="DL9">
        <f ca="1">OFFSET(Objects!$HW$6,DL$1+(Objects!$Y$4-$A9-1)*Objects!$X$4,0)</f>
        <v>0</v>
      </c>
      <c r="DM9">
        <f ca="1">OFFSET(Objects!$HW$6,DM$1+(Objects!$Y$4-$A9-1)*Objects!$X$4,0)</f>
        <v>0</v>
      </c>
      <c r="DN9">
        <f ca="1">OFFSET(Objects!$HW$6,DN$1+(Objects!$Y$4-$A9-1)*Objects!$X$4,0)</f>
        <v>0</v>
      </c>
      <c r="DO9">
        <f ca="1">OFFSET(Objects!$HW$6,DO$1+(Objects!$Y$4-$A9-1)*Objects!$X$4,0)</f>
        <v>0</v>
      </c>
      <c r="DP9">
        <f ca="1">OFFSET(Objects!$HW$6,DP$1+(Objects!$Y$4-$A9-1)*Objects!$X$4,0)</f>
        <v>0</v>
      </c>
      <c r="DQ9">
        <f ca="1">OFFSET(Objects!$HW$6,DQ$1+(Objects!$Y$4-$A9-1)*Objects!$X$4,0)</f>
        <v>0</v>
      </c>
      <c r="DR9">
        <f ca="1">OFFSET(Objects!$HW$6,DR$1+(Objects!$Y$4-$A9-1)*Objects!$X$4,0)</f>
        <v>0</v>
      </c>
      <c r="DS9">
        <f ca="1">OFFSET(Objects!$HW$6,DS$1+(Objects!$Y$4-$A9-1)*Objects!$X$4,0)</f>
        <v>0</v>
      </c>
      <c r="DT9">
        <f ca="1">OFFSET(Objects!$HW$6,DT$1+(Objects!$Y$4-$A9-1)*Objects!$X$4,0)</f>
        <v>0</v>
      </c>
      <c r="DU9">
        <f ca="1">OFFSET(Objects!$HW$6,DU$1+(Objects!$Y$4-$A9-1)*Objects!$X$4,0)</f>
        <v>0</v>
      </c>
      <c r="DV9">
        <f ca="1">OFFSET(Objects!$HW$6,DV$1+(Objects!$Y$4-$A9-1)*Objects!$X$4,0)</f>
        <v>0</v>
      </c>
      <c r="DW9">
        <f ca="1">OFFSET(Objects!$HW$6,DW$1+(Objects!$Y$4-$A9-1)*Objects!$X$4,0)</f>
        <v>0</v>
      </c>
      <c r="DX9">
        <f ca="1">OFFSET(Objects!$HW$6,DX$1+(Objects!$Y$4-$A9-1)*Objects!$X$4,0)</f>
        <v>0</v>
      </c>
      <c r="DY9">
        <f ca="1">OFFSET(Objects!$HW$6,DY$1+(Objects!$Y$4-$A9-1)*Objects!$X$4,0)</f>
        <v>0</v>
      </c>
      <c r="DZ9">
        <f ca="1">OFFSET(Objects!$HW$6,DZ$1+(Objects!$Y$4-$A9-1)*Objects!$X$4,0)</f>
        <v>0</v>
      </c>
      <c r="EA9">
        <f ca="1">OFFSET(Objects!$HW$6,EA$1+(Objects!$Y$4-$A9-1)*Objects!$X$4,0)</f>
        <v>0</v>
      </c>
      <c r="EB9">
        <f ca="1">OFFSET(Objects!$HW$6,EB$1+(Objects!$Y$4-$A9-1)*Objects!$X$4,0)</f>
        <v>0</v>
      </c>
      <c r="EC9">
        <f ca="1">OFFSET(Objects!$HW$6,EC$1+(Objects!$Y$4-$A9-1)*Objects!$X$4,0)</f>
        <v>0</v>
      </c>
      <c r="ED9">
        <f ca="1">OFFSET(Objects!$HW$6,ED$1+(Objects!$Y$4-$A9-1)*Objects!$X$4,0)</f>
        <v>0</v>
      </c>
      <c r="EE9">
        <f ca="1">OFFSET(Objects!$HW$6,EE$1+(Objects!$Y$4-$A9-1)*Objects!$X$4,0)</f>
        <v>0</v>
      </c>
      <c r="EF9">
        <f ca="1">OFFSET(Objects!$HW$6,EF$1+(Objects!$Y$4-$A9-1)*Objects!$X$4,0)</f>
        <v>0</v>
      </c>
      <c r="EG9">
        <f ca="1">OFFSET(Objects!$HW$6,EG$1+(Objects!$Y$4-$A9-1)*Objects!$X$4,0)</f>
        <v>0</v>
      </c>
      <c r="EH9">
        <f ca="1">OFFSET(Objects!$HW$6,EH$1+(Objects!$Y$4-$A9-1)*Objects!$X$4,0)</f>
        <v>0</v>
      </c>
      <c r="EI9">
        <f ca="1">OFFSET(Objects!$HW$6,EI$1+(Objects!$Y$4-$A9-1)*Objects!$X$4,0)</f>
        <v>0</v>
      </c>
      <c r="EJ9">
        <f ca="1">OFFSET(Objects!$HW$6,EJ$1+(Objects!$Y$4-$A9-1)*Objects!$X$4,0)</f>
        <v>0</v>
      </c>
      <c r="EK9">
        <f ca="1">OFFSET(Objects!$HW$6,EK$1+(Objects!$Y$4-$A9-1)*Objects!$X$4,0)</f>
        <v>0</v>
      </c>
      <c r="EL9">
        <f ca="1">OFFSET(Objects!$HW$6,EL$1+(Objects!$Y$4-$A9-1)*Objects!$X$4,0)</f>
        <v>0</v>
      </c>
      <c r="EM9">
        <f ca="1">OFFSET(Objects!$HW$6,EM$1+(Objects!$Y$4-$A9-1)*Objects!$X$4,0)</f>
        <v>0</v>
      </c>
      <c r="EN9">
        <f ca="1">OFFSET(Objects!$HW$6,EN$1+(Objects!$Y$4-$A9-1)*Objects!$X$4,0)</f>
        <v>0</v>
      </c>
      <c r="EO9">
        <f ca="1">OFFSET(Objects!$HW$6,EO$1+(Objects!$Y$4-$A9-1)*Objects!$X$4,0)</f>
        <v>0</v>
      </c>
      <c r="EP9">
        <f ca="1">OFFSET(Objects!$HW$6,EP$1+(Objects!$Y$4-$A9-1)*Objects!$X$4,0)</f>
        <v>0</v>
      </c>
      <c r="EQ9">
        <f ca="1">OFFSET(Objects!$HW$6,EQ$1+(Objects!$Y$4-$A9-1)*Objects!$X$4,0)</f>
        <v>0</v>
      </c>
      <c r="ER9">
        <f ca="1">OFFSET(Objects!$HW$6,ER$1+(Objects!$Y$4-$A9-1)*Objects!$X$4,0)</f>
        <v>0</v>
      </c>
      <c r="ES9">
        <f ca="1">OFFSET(Objects!$HW$6,ES$1+(Objects!$Y$4-$A9-1)*Objects!$X$4,0)</f>
        <v>0</v>
      </c>
      <c r="ET9">
        <f ca="1">OFFSET(Objects!$HW$6,ET$1+(Objects!$Y$4-$A9-1)*Objects!$X$4,0)</f>
        <v>0</v>
      </c>
      <c r="EU9">
        <f ca="1">OFFSET(Objects!$HW$6,EU$1+(Objects!$Y$4-$A9-1)*Objects!$X$4,0)</f>
        <v>0</v>
      </c>
      <c r="EV9">
        <f ca="1">OFFSET(Objects!$HW$6,EV$1+(Objects!$Y$4-$A9-1)*Objects!$X$4,0)</f>
        <v>0</v>
      </c>
      <c r="EW9">
        <f ca="1">OFFSET(Objects!$HW$6,EW$1+(Objects!$Y$4-$A9-1)*Objects!$X$4,0)</f>
        <v>0</v>
      </c>
      <c r="EX9">
        <f ca="1">OFFSET(Objects!$HW$6,EX$1+(Objects!$Y$4-$A9-1)*Objects!$X$4,0)</f>
        <v>0</v>
      </c>
      <c r="EY9">
        <f ca="1">OFFSET(Objects!$HW$6,EY$1+(Objects!$Y$4-$A9-1)*Objects!$X$4,0)</f>
        <v>0</v>
      </c>
      <c r="EZ9">
        <f ca="1">OFFSET(Objects!$HW$6,EZ$1+(Objects!$Y$4-$A9-1)*Objects!$X$4,0)</f>
        <v>0</v>
      </c>
      <c r="FA9">
        <f ca="1">OFFSET(Objects!$HW$6,FA$1+(Objects!$Y$4-$A9-1)*Objects!$X$4,0)</f>
        <v>0</v>
      </c>
      <c r="FB9">
        <f ca="1">OFFSET(Objects!$HW$6,FB$1+(Objects!$Y$4-$A9-1)*Objects!$X$4,0)</f>
        <v>0</v>
      </c>
      <c r="FC9">
        <f ca="1">OFFSET(Objects!$HW$6,FC$1+(Objects!$Y$4-$A9-1)*Objects!$X$4,0)</f>
        <v>0</v>
      </c>
      <c r="FD9">
        <f ca="1">OFFSET(Objects!$HW$6,FD$1+(Objects!$Y$4-$A9-1)*Objects!$X$4,0)</f>
        <v>0</v>
      </c>
      <c r="FE9" s="22">
        <f ca="1">OFFSET(Objects!$HW$6,FE$1+(Objects!$Y$4-$A9-1)*Objects!$X$4,0)</f>
        <v>0</v>
      </c>
    </row>
    <row r="10" spans="1:161" ht="4.5" customHeight="1" x14ac:dyDescent="0.25">
      <c r="A10">
        <v>8</v>
      </c>
      <c r="B10" s="21">
        <f ca="1">OFFSET(Objects!$HW$6,B$1+(Objects!$Y$4-$A10-1)*Objects!$X$4,0)</f>
        <v>0</v>
      </c>
      <c r="C10">
        <f ca="1">OFFSET(Objects!$HW$6,C$1+(Objects!$Y$4-$A10-1)*Objects!$X$4,0)</f>
        <v>0</v>
      </c>
      <c r="D10">
        <f ca="1">OFFSET(Objects!$HW$6,D$1+(Objects!$Y$4-$A10-1)*Objects!$X$4,0)</f>
        <v>0</v>
      </c>
      <c r="E10">
        <f ca="1">OFFSET(Objects!$HW$6,E$1+(Objects!$Y$4-$A10-1)*Objects!$X$4,0)</f>
        <v>0</v>
      </c>
      <c r="F10">
        <f ca="1">OFFSET(Objects!$HW$6,F$1+(Objects!$Y$4-$A10-1)*Objects!$X$4,0)</f>
        <v>0</v>
      </c>
      <c r="G10">
        <f ca="1">OFFSET(Objects!$HW$6,G$1+(Objects!$Y$4-$A10-1)*Objects!$X$4,0)</f>
        <v>0</v>
      </c>
      <c r="H10">
        <f ca="1">OFFSET(Objects!$HW$6,H$1+(Objects!$Y$4-$A10-1)*Objects!$X$4,0)</f>
        <v>0</v>
      </c>
      <c r="I10">
        <f ca="1">OFFSET(Objects!$HW$6,I$1+(Objects!$Y$4-$A10-1)*Objects!$X$4,0)</f>
        <v>0</v>
      </c>
      <c r="J10">
        <f ca="1">OFFSET(Objects!$HW$6,J$1+(Objects!$Y$4-$A10-1)*Objects!$X$4,0)</f>
        <v>0</v>
      </c>
      <c r="K10">
        <f ca="1">OFFSET(Objects!$HW$6,K$1+(Objects!$Y$4-$A10-1)*Objects!$X$4,0)</f>
        <v>0</v>
      </c>
      <c r="L10">
        <f ca="1">OFFSET(Objects!$HW$6,L$1+(Objects!$Y$4-$A10-1)*Objects!$X$4,0)</f>
        <v>0</v>
      </c>
      <c r="M10">
        <f ca="1">OFFSET(Objects!$HW$6,M$1+(Objects!$Y$4-$A10-1)*Objects!$X$4,0)</f>
        <v>0</v>
      </c>
      <c r="N10">
        <f ca="1">OFFSET(Objects!$HW$6,N$1+(Objects!$Y$4-$A10-1)*Objects!$X$4,0)</f>
        <v>0</v>
      </c>
      <c r="O10">
        <f ca="1">OFFSET(Objects!$HW$6,O$1+(Objects!$Y$4-$A10-1)*Objects!$X$4,0)</f>
        <v>0</v>
      </c>
      <c r="P10">
        <f ca="1">OFFSET(Objects!$HW$6,P$1+(Objects!$Y$4-$A10-1)*Objects!$X$4,0)</f>
        <v>0</v>
      </c>
      <c r="Q10">
        <f ca="1">OFFSET(Objects!$HW$6,Q$1+(Objects!$Y$4-$A10-1)*Objects!$X$4,0)</f>
        <v>0</v>
      </c>
      <c r="R10">
        <f ca="1">OFFSET(Objects!$HW$6,R$1+(Objects!$Y$4-$A10-1)*Objects!$X$4,0)</f>
        <v>0</v>
      </c>
      <c r="S10">
        <f ca="1">OFFSET(Objects!$HW$6,S$1+(Objects!$Y$4-$A10-1)*Objects!$X$4,0)</f>
        <v>0</v>
      </c>
      <c r="T10">
        <f ca="1">OFFSET(Objects!$HW$6,T$1+(Objects!$Y$4-$A10-1)*Objects!$X$4,0)</f>
        <v>0</v>
      </c>
      <c r="U10">
        <f ca="1">OFFSET(Objects!$HW$6,U$1+(Objects!$Y$4-$A10-1)*Objects!$X$4,0)</f>
        <v>0</v>
      </c>
      <c r="V10">
        <f ca="1">OFFSET(Objects!$HW$6,V$1+(Objects!$Y$4-$A10-1)*Objects!$X$4,0)</f>
        <v>0</v>
      </c>
      <c r="W10">
        <f ca="1">OFFSET(Objects!$HW$6,W$1+(Objects!$Y$4-$A10-1)*Objects!$X$4,0)</f>
        <v>0</v>
      </c>
      <c r="X10">
        <f ca="1">OFFSET(Objects!$HW$6,X$1+(Objects!$Y$4-$A10-1)*Objects!$X$4,0)</f>
        <v>0</v>
      </c>
      <c r="Y10">
        <f ca="1">OFFSET(Objects!$HW$6,Y$1+(Objects!$Y$4-$A10-1)*Objects!$X$4,0)</f>
        <v>0</v>
      </c>
      <c r="Z10">
        <f ca="1">OFFSET(Objects!$HW$6,Z$1+(Objects!$Y$4-$A10-1)*Objects!$X$4,0)</f>
        <v>0</v>
      </c>
      <c r="AA10">
        <f ca="1">OFFSET(Objects!$HW$6,AA$1+(Objects!$Y$4-$A10-1)*Objects!$X$4,0)</f>
        <v>0</v>
      </c>
      <c r="AB10">
        <f ca="1">OFFSET(Objects!$HW$6,AB$1+(Objects!$Y$4-$A10-1)*Objects!$X$4,0)</f>
        <v>0</v>
      </c>
      <c r="AC10">
        <f ca="1">OFFSET(Objects!$HW$6,AC$1+(Objects!$Y$4-$A10-1)*Objects!$X$4,0)</f>
        <v>0</v>
      </c>
      <c r="AD10">
        <f ca="1">OFFSET(Objects!$HW$6,AD$1+(Objects!$Y$4-$A10-1)*Objects!$X$4,0)</f>
        <v>0</v>
      </c>
      <c r="AE10">
        <f ca="1">OFFSET(Objects!$HW$6,AE$1+(Objects!$Y$4-$A10-1)*Objects!$X$4,0)</f>
        <v>0</v>
      </c>
      <c r="AF10">
        <f ca="1">OFFSET(Objects!$HW$6,AF$1+(Objects!$Y$4-$A10-1)*Objects!$X$4,0)</f>
        <v>0</v>
      </c>
      <c r="AG10">
        <f ca="1">OFFSET(Objects!$HW$6,AG$1+(Objects!$Y$4-$A10-1)*Objects!$X$4,0)</f>
        <v>0</v>
      </c>
      <c r="AH10">
        <f ca="1">OFFSET(Objects!$HW$6,AH$1+(Objects!$Y$4-$A10-1)*Objects!$X$4,0)</f>
        <v>0</v>
      </c>
      <c r="AI10">
        <f ca="1">OFFSET(Objects!$HW$6,AI$1+(Objects!$Y$4-$A10-1)*Objects!$X$4,0)</f>
        <v>0</v>
      </c>
      <c r="AJ10">
        <f ca="1">OFFSET(Objects!$HW$6,AJ$1+(Objects!$Y$4-$A10-1)*Objects!$X$4,0)</f>
        <v>0</v>
      </c>
      <c r="AK10">
        <f ca="1">OFFSET(Objects!$HW$6,AK$1+(Objects!$Y$4-$A10-1)*Objects!$X$4,0)</f>
        <v>0</v>
      </c>
      <c r="AL10">
        <f ca="1">OFFSET(Objects!$HW$6,AL$1+(Objects!$Y$4-$A10-1)*Objects!$X$4,0)</f>
        <v>0</v>
      </c>
      <c r="AM10">
        <f ca="1">OFFSET(Objects!$HW$6,AM$1+(Objects!$Y$4-$A10-1)*Objects!$X$4,0)</f>
        <v>0</v>
      </c>
      <c r="AN10">
        <f ca="1">OFFSET(Objects!$HW$6,AN$1+(Objects!$Y$4-$A10-1)*Objects!$X$4,0)</f>
        <v>0</v>
      </c>
      <c r="AO10">
        <f ca="1">OFFSET(Objects!$HW$6,AO$1+(Objects!$Y$4-$A10-1)*Objects!$X$4,0)</f>
        <v>0</v>
      </c>
      <c r="AP10">
        <f ca="1">OFFSET(Objects!$HW$6,AP$1+(Objects!$Y$4-$A10-1)*Objects!$X$4,0)</f>
        <v>0</v>
      </c>
      <c r="AQ10">
        <f ca="1">OFFSET(Objects!$HW$6,AQ$1+(Objects!$Y$4-$A10-1)*Objects!$X$4,0)</f>
        <v>0</v>
      </c>
      <c r="AR10">
        <f ca="1">OFFSET(Objects!$HW$6,AR$1+(Objects!$Y$4-$A10-1)*Objects!$X$4,0)</f>
        <v>0</v>
      </c>
      <c r="AS10">
        <f ca="1">OFFSET(Objects!$HW$6,AS$1+(Objects!$Y$4-$A10-1)*Objects!$X$4,0)</f>
        <v>0</v>
      </c>
      <c r="AT10">
        <f ca="1">OFFSET(Objects!$HW$6,AT$1+(Objects!$Y$4-$A10-1)*Objects!$X$4,0)</f>
        <v>0</v>
      </c>
      <c r="AU10">
        <f ca="1">OFFSET(Objects!$HW$6,AU$1+(Objects!$Y$4-$A10-1)*Objects!$X$4,0)</f>
        <v>0</v>
      </c>
      <c r="AV10">
        <f ca="1">OFFSET(Objects!$HW$6,AV$1+(Objects!$Y$4-$A10-1)*Objects!$X$4,0)</f>
        <v>0</v>
      </c>
      <c r="AW10">
        <f ca="1">OFFSET(Objects!$HW$6,AW$1+(Objects!$Y$4-$A10-1)*Objects!$X$4,0)</f>
        <v>0</v>
      </c>
      <c r="AX10">
        <f ca="1">OFFSET(Objects!$HW$6,AX$1+(Objects!$Y$4-$A10-1)*Objects!$X$4,0)</f>
        <v>0</v>
      </c>
      <c r="AY10">
        <f ca="1">OFFSET(Objects!$HW$6,AY$1+(Objects!$Y$4-$A10-1)*Objects!$X$4,0)</f>
        <v>0</v>
      </c>
      <c r="AZ10">
        <f ca="1">OFFSET(Objects!$HW$6,AZ$1+(Objects!$Y$4-$A10-1)*Objects!$X$4,0)</f>
        <v>0</v>
      </c>
      <c r="BA10">
        <f ca="1">OFFSET(Objects!$HW$6,BA$1+(Objects!$Y$4-$A10-1)*Objects!$X$4,0)</f>
        <v>0</v>
      </c>
      <c r="BB10">
        <f ca="1">OFFSET(Objects!$HW$6,BB$1+(Objects!$Y$4-$A10-1)*Objects!$X$4,0)</f>
        <v>0</v>
      </c>
      <c r="BC10">
        <f ca="1">OFFSET(Objects!$HW$6,BC$1+(Objects!$Y$4-$A10-1)*Objects!$X$4,0)</f>
        <v>0</v>
      </c>
      <c r="BD10">
        <f ca="1">OFFSET(Objects!$HW$6,BD$1+(Objects!$Y$4-$A10-1)*Objects!$X$4,0)</f>
        <v>0</v>
      </c>
      <c r="BE10">
        <f ca="1">OFFSET(Objects!$HW$6,BE$1+(Objects!$Y$4-$A10-1)*Objects!$X$4,0)</f>
        <v>0</v>
      </c>
      <c r="BF10">
        <f ca="1">OFFSET(Objects!$HW$6,BF$1+(Objects!$Y$4-$A10-1)*Objects!$X$4,0)</f>
        <v>0</v>
      </c>
      <c r="BG10">
        <f ca="1">OFFSET(Objects!$HW$6,BG$1+(Objects!$Y$4-$A10-1)*Objects!$X$4,0)</f>
        <v>0</v>
      </c>
      <c r="BH10">
        <f ca="1">OFFSET(Objects!$HW$6,BH$1+(Objects!$Y$4-$A10-1)*Objects!$X$4,0)</f>
        <v>0</v>
      </c>
      <c r="BI10">
        <f ca="1">OFFSET(Objects!$HW$6,BI$1+(Objects!$Y$4-$A10-1)*Objects!$X$4,0)</f>
        <v>0</v>
      </c>
      <c r="BJ10">
        <f ca="1">OFFSET(Objects!$HW$6,BJ$1+(Objects!$Y$4-$A10-1)*Objects!$X$4,0)</f>
        <v>0</v>
      </c>
      <c r="BK10">
        <f ca="1">OFFSET(Objects!$HW$6,BK$1+(Objects!$Y$4-$A10-1)*Objects!$X$4,0)</f>
        <v>0</v>
      </c>
      <c r="BL10">
        <f ca="1">OFFSET(Objects!$HW$6,BL$1+(Objects!$Y$4-$A10-1)*Objects!$X$4,0)</f>
        <v>0</v>
      </c>
      <c r="BM10">
        <f ca="1">OFFSET(Objects!$HW$6,BM$1+(Objects!$Y$4-$A10-1)*Objects!$X$4,0)</f>
        <v>0</v>
      </c>
      <c r="BN10">
        <f ca="1">OFFSET(Objects!$HW$6,BN$1+(Objects!$Y$4-$A10-1)*Objects!$X$4,0)</f>
        <v>0</v>
      </c>
      <c r="BO10">
        <f ca="1">OFFSET(Objects!$HW$6,BO$1+(Objects!$Y$4-$A10-1)*Objects!$X$4,0)</f>
        <v>0</v>
      </c>
      <c r="BP10">
        <f ca="1">OFFSET(Objects!$HW$6,BP$1+(Objects!$Y$4-$A10-1)*Objects!$X$4,0)</f>
        <v>0</v>
      </c>
      <c r="BQ10">
        <f ca="1">OFFSET(Objects!$HW$6,BQ$1+(Objects!$Y$4-$A10-1)*Objects!$X$4,0)</f>
        <v>0</v>
      </c>
      <c r="BR10">
        <f ca="1">OFFSET(Objects!$HW$6,BR$1+(Objects!$Y$4-$A10-1)*Objects!$X$4,0)</f>
        <v>0</v>
      </c>
      <c r="BS10">
        <f ca="1">OFFSET(Objects!$HW$6,BS$1+(Objects!$Y$4-$A10-1)*Objects!$X$4,0)</f>
        <v>0</v>
      </c>
      <c r="BT10">
        <f ca="1">OFFSET(Objects!$HW$6,BT$1+(Objects!$Y$4-$A10-1)*Objects!$X$4,0)</f>
        <v>0</v>
      </c>
      <c r="BU10">
        <f ca="1">OFFSET(Objects!$HW$6,BU$1+(Objects!$Y$4-$A10-1)*Objects!$X$4,0)</f>
        <v>0</v>
      </c>
      <c r="BV10">
        <f ca="1">OFFSET(Objects!$HW$6,BV$1+(Objects!$Y$4-$A10-1)*Objects!$X$4,0)</f>
        <v>0</v>
      </c>
      <c r="BW10">
        <f ca="1">OFFSET(Objects!$HW$6,BW$1+(Objects!$Y$4-$A10-1)*Objects!$X$4,0)</f>
        <v>0</v>
      </c>
      <c r="BX10">
        <f ca="1">OFFSET(Objects!$HW$6,BX$1+(Objects!$Y$4-$A10-1)*Objects!$X$4,0)</f>
        <v>0</v>
      </c>
      <c r="BY10">
        <f ca="1">OFFSET(Objects!$HW$6,BY$1+(Objects!$Y$4-$A10-1)*Objects!$X$4,0)</f>
        <v>0</v>
      </c>
      <c r="BZ10">
        <f ca="1">OFFSET(Objects!$HW$6,BZ$1+(Objects!$Y$4-$A10-1)*Objects!$X$4,0)</f>
        <v>0</v>
      </c>
      <c r="CA10">
        <f ca="1">OFFSET(Objects!$HW$6,CA$1+(Objects!$Y$4-$A10-1)*Objects!$X$4,0)</f>
        <v>0</v>
      </c>
      <c r="CB10">
        <f ca="1">OFFSET(Objects!$HW$6,CB$1+(Objects!$Y$4-$A10-1)*Objects!$X$4,0)</f>
        <v>0</v>
      </c>
      <c r="CC10">
        <f ca="1">OFFSET(Objects!$HW$6,CC$1+(Objects!$Y$4-$A10-1)*Objects!$X$4,0)</f>
        <v>0</v>
      </c>
      <c r="CD10">
        <f ca="1">OFFSET(Objects!$HW$6,CD$1+(Objects!$Y$4-$A10-1)*Objects!$X$4,0)</f>
        <v>0</v>
      </c>
      <c r="CE10">
        <f ca="1">OFFSET(Objects!$HW$6,CE$1+(Objects!$Y$4-$A10-1)*Objects!$X$4,0)</f>
        <v>0</v>
      </c>
      <c r="CF10">
        <f ca="1">OFFSET(Objects!$HW$6,CF$1+(Objects!$Y$4-$A10-1)*Objects!$X$4,0)</f>
        <v>0</v>
      </c>
      <c r="CG10">
        <f ca="1">OFFSET(Objects!$HW$6,CG$1+(Objects!$Y$4-$A10-1)*Objects!$X$4,0)</f>
        <v>0</v>
      </c>
      <c r="CH10">
        <f ca="1">OFFSET(Objects!$HW$6,CH$1+(Objects!$Y$4-$A10-1)*Objects!$X$4,0)</f>
        <v>0</v>
      </c>
      <c r="CI10">
        <f ca="1">OFFSET(Objects!$HW$6,CI$1+(Objects!$Y$4-$A10-1)*Objects!$X$4,0)</f>
        <v>0</v>
      </c>
      <c r="CJ10">
        <f ca="1">OFFSET(Objects!$HW$6,CJ$1+(Objects!$Y$4-$A10-1)*Objects!$X$4,0)</f>
        <v>0</v>
      </c>
      <c r="CK10">
        <f ca="1">OFFSET(Objects!$HW$6,CK$1+(Objects!$Y$4-$A10-1)*Objects!$X$4,0)</f>
        <v>0</v>
      </c>
      <c r="CL10">
        <f ca="1">OFFSET(Objects!$HW$6,CL$1+(Objects!$Y$4-$A10-1)*Objects!$X$4,0)</f>
        <v>0</v>
      </c>
      <c r="CM10">
        <f ca="1">OFFSET(Objects!$HW$6,CM$1+(Objects!$Y$4-$A10-1)*Objects!$X$4,0)</f>
        <v>0</v>
      </c>
      <c r="CN10">
        <f ca="1">OFFSET(Objects!$HW$6,CN$1+(Objects!$Y$4-$A10-1)*Objects!$X$4,0)</f>
        <v>0</v>
      </c>
      <c r="CO10">
        <f ca="1">OFFSET(Objects!$HW$6,CO$1+(Objects!$Y$4-$A10-1)*Objects!$X$4,0)</f>
        <v>0</v>
      </c>
      <c r="CP10">
        <f ca="1">OFFSET(Objects!$HW$6,CP$1+(Objects!$Y$4-$A10-1)*Objects!$X$4,0)</f>
        <v>0</v>
      </c>
      <c r="CQ10">
        <f ca="1">OFFSET(Objects!$HW$6,CQ$1+(Objects!$Y$4-$A10-1)*Objects!$X$4,0)</f>
        <v>0</v>
      </c>
      <c r="CR10">
        <f ca="1">OFFSET(Objects!$HW$6,CR$1+(Objects!$Y$4-$A10-1)*Objects!$X$4,0)</f>
        <v>0</v>
      </c>
      <c r="CS10">
        <f ca="1">OFFSET(Objects!$HW$6,CS$1+(Objects!$Y$4-$A10-1)*Objects!$X$4,0)</f>
        <v>0</v>
      </c>
      <c r="CT10">
        <f ca="1">OFFSET(Objects!$HW$6,CT$1+(Objects!$Y$4-$A10-1)*Objects!$X$4,0)</f>
        <v>0</v>
      </c>
      <c r="CU10">
        <f ca="1">OFFSET(Objects!$HW$6,CU$1+(Objects!$Y$4-$A10-1)*Objects!$X$4,0)</f>
        <v>0</v>
      </c>
      <c r="CV10">
        <f ca="1">OFFSET(Objects!$HW$6,CV$1+(Objects!$Y$4-$A10-1)*Objects!$X$4,0)</f>
        <v>0</v>
      </c>
      <c r="CW10">
        <f ca="1">OFFSET(Objects!$HW$6,CW$1+(Objects!$Y$4-$A10-1)*Objects!$X$4,0)</f>
        <v>0</v>
      </c>
      <c r="CX10">
        <f ca="1">OFFSET(Objects!$HW$6,CX$1+(Objects!$Y$4-$A10-1)*Objects!$X$4,0)</f>
        <v>0</v>
      </c>
      <c r="CY10">
        <f ca="1">OFFSET(Objects!$HW$6,CY$1+(Objects!$Y$4-$A10-1)*Objects!$X$4,0)</f>
        <v>0</v>
      </c>
      <c r="CZ10">
        <f ca="1">OFFSET(Objects!$HW$6,CZ$1+(Objects!$Y$4-$A10-1)*Objects!$X$4,0)</f>
        <v>0</v>
      </c>
      <c r="DA10">
        <f ca="1">OFFSET(Objects!$HW$6,DA$1+(Objects!$Y$4-$A10-1)*Objects!$X$4,0)</f>
        <v>0</v>
      </c>
      <c r="DB10">
        <f ca="1">OFFSET(Objects!$HW$6,DB$1+(Objects!$Y$4-$A10-1)*Objects!$X$4,0)</f>
        <v>0</v>
      </c>
      <c r="DC10">
        <f ca="1">OFFSET(Objects!$HW$6,DC$1+(Objects!$Y$4-$A10-1)*Objects!$X$4,0)</f>
        <v>0</v>
      </c>
      <c r="DD10">
        <f ca="1">OFFSET(Objects!$HW$6,DD$1+(Objects!$Y$4-$A10-1)*Objects!$X$4,0)</f>
        <v>0</v>
      </c>
      <c r="DE10">
        <f ca="1">OFFSET(Objects!$HW$6,DE$1+(Objects!$Y$4-$A10-1)*Objects!$X$4,0)</f>
        <v>0</v>
      </c>
      <c r="DF10">
        <f ca="1">OFFSET(Objects!$HW$6,DF$1+(Objects!$Y$4-$A10-1)*Objects!$X$4,0)</f>
        <v>0</v>
      </c>
      <c r="DG10">
        <f ca="1">OFFSET(Objects!$HW$6,DG$1+(Objects!$Y$4-$A10-1)*Objects!$X$4,0)</f>
        <v>0</v>
      </c>
      <c r="DH10">
        <f ca="1">OFFSET(Objects!$HW$6,DH$1+(Objects!$Y$4-$A10-1)*Objects!$X$4,0)</f>
        <v>0</v>
      </c>
      <c r="DI10">
        <f ca="1">OFFSET(Objects!$HW$6,DI$1+(Objects!$Y$4-$A10-1)*Objects!$X$4,0)</f>
        <v>0</v>
      </c>
      <c r="DJ10">
        <f ca="1">OFFSET(Objects!$HW$6,DJ$1+(Objects!$Y$4-$A10-1)*Objects!$X$4,0)</f>
        <v>0</v>
      </c>
      <c r="DK10">
        <f ca="1">OFFSET(Objects!$HW$6,DK$1+(Objects!$Y$4-$A10-1)*Objects!$X$4,0)</f>
        <v>0</v>
      </c>
      <c r="DL10">
        <f ca="1">OFFSET(Objects!$HW$6,DL$1+(Objects!$Y$4-$A10-1)*Objects!$X$4,0)</f>
        <v>0</v>
      </c>
      <c r="DM10">
        <f ca="1">OFFSET(Objects!$HW$6,DM$1+(Objects!$Y$4-$A10-1)*Objects!$X$4,0)</f>
        <v>0</v>
      </c>
      <c r="DN10">
        <f ca="1">OFFSET(Objects!$HW$6,DN$1+(Objects!$Y$4-$A10-1)*Objects!$X$4,0)</f>
        <v>0</v>
      </c>
      <c r="DO10">
        <f ca="1">OFFSET(Objects!$HW$6,DO$1+(Objects!$Y$4-$A10-1)*Objects!$X$4,0)</f>
        <v>0</v>
      </c>
      <c r="DP10">
        <f ca="1">OFFSET(Objects!$HW$6,DP$1+(Objects!$Y$4-$A10-1)*Objects!$X$4,0)</f>
        <v>0</v>
      </c>
      <c r="DQ10">
        <f ca="1">OFFSET(Objects!$HW$6,DQ$1+(Objects!$Y$4-$A10-1)*Objects!$X$4,0)</f>
        <v>0</v>
      </c>
      <c r="DR10">
        <f ca="1">OFFSET(Objects!$HW$6,DR$1+(Objects!$Y$4-$A10-1)*Objects!$X$4,0)</f>
        <v>0</v>
      </c>
      <c r="DS10">
        <f ca="1">OFFSET(Objects!$HW$6,DS$1+(Objects!$Y$4-$A10-1)*Objects!$X$4,0)</f>
        <v>0</v>
      </c>
      <c r="DT10">
        <f ca="1">OFFSET(Objects!$HW$6,DT$1+(Objects!$Y$4-$A10-1)*Objects!$X$4,0)</f>
        <v>0</v>
      </c>
      <c r="DU10">
        <f ca="1">OFFSET(Objects!$HW$6,DU$1+(Objects!$Y$4-$A10-1)*Objects!$X$4,0)</f>
        <v>0</v>
      </c>
      <c r="DV10">
        <f ca="1">OFFSET(Objects!$HW$6,DV$1+(Objects!$Y$4-$A10-1)*Objects!$X$4,0)</f>
        <v>0</v>
      </c>
      <c r="DW10">
        <f ca="1">OFFSET(Objects!$HW$6,DW$1+(Objects!$Y$4-$A10-1)*Objects!$X$4,0)</f>
        <v>0</v>
      </c>
      <c r="DX10">
        <f ca="1">OFFSET(Objects!$HW$6,DX$1+(Objects!$Y$4-$A10-1)*Objects!$X$4,0)</f>
        <v>0</v>
      </c>
      <c r="DY10">
        <f ca="1">OFFSET(Objects!$HW$6,DY$1+(Objects!$Y$4-$A10-1)*Objects!$X$4,0)</f>
        <v>0</v>
      </c>
      <c r="DZ10">
        <f ca="1">OFFSET(Objects!$HW$6,DZ$1+(Objects!$Y$4-$A10-1)*Objects!$X$4,0)</f>
        <v>0</v>
      </c>
      <c r="EA10">
        <f ca="1">OFFSET(Objects!$HW$6,EA$1+(Objects!$Y$4-$A10-1)*Objects!$X$4,0)</f>
        <v>0</v>
      </c>
      <c r="EB10">
        <f ca="1">OFFSET(Objects!$HW$6,EB$1+(Objects!$Y$4-$A10-1)*Objects!$X$4,0)</f>
        <v>0</v>
      </c>
      <c r="EC10">
        <f ca="1">OFFSET(Objects!$HW$6,EC$1+(Objects!$Y$4-$A10-1)*Objects!$X$4,0)</f>
        <v>0</v>
      </c>
      <c r="ED10">
        <f ca="1">OFFSET(Objects!$HW$6,ED$1+(Objects!$Y$4-$A10-1)*Objects!$X$4,0)</f>
        <v>0</v>
      </c>
      <c r="EE10">
        <f ca="1">OFFSET(Objects!$HW$6,EE$1+(Objects!$Y$4-$A10-1)*Objects!$X$4,0)</f>
        <v>0</v>
      </c>
      <c r="EF10">
        <f ca="1">OFFSET(Objects!$HW$6,EF$1+(Objects!$Y$4-$A10-1)*Objects!$X$4,0)</f>
        <v>0</v>
      </c>
      <c r="EG10">
        <f ca="1">OFFSET(Objects!$HW$6,EG$1+(Objects!$Y$4-$A10-1)*Objects!$X$4,0)</f>
        <v>0</v>
      </c>
      <c r="EH10">
        <f ca="1">OFFSET(Objects!$HW$6,EH$1+(Objects!$Y$4-$A10-1)*Objects!$X$4,0)</f>
        <v>0</v>
      </c>
      <c r="EI10">
        <f ca="1">OFFSET(Objects!$HW$6,EI$1+(Objects!$Y$4-$A10-1)*Objects!$X$4,0)</f>
        <v>0</v>
      </c>
      <c r="EJ10">
        <f ca="1">OFFSET(Objects!$HW$6,EJ$1+(Objects!$Y$4-$A10-1)*Objects!$X$4,0)</f>
        <v>0</v>
      </c>
      <c r="EK10">
        <f ca="1">OFFSET(Objects!$HW$6,EK$1+(Objects!$Y$4-$A10-1)*Objects!$X$4,0)</f>
        <v>0</v>
      </c>
      <c r="EL10">
        <f ca="1">OFFSET(Objects!$HW$6,EL$1+(Objects!$Y$4-$A10-1)*Objects!$X$4,0)</f>
        <v>0</v>
      </c>
      <c r="EM10">
        <f ca="1">OFFSET(Objects!$HW$6,EM$1+(Objects!$Y$4-$A10-1)*Objects!$X$4,0)</f>
        <v>0</v>
      </c>
      <c r="EN10">
        <f ca="1">OFFSET(Objects!$HW$6,EN$1+(Objects!$Y$4-$A10-1)*Objects!$X$4,0)</f>
        <v>0</v>
      </c>
      <c r="EO10">
        <f ca="1">OFFSET(Objects!$HW$6,EO$1+(Objects!$Y$4-$A10-1)*Objects!$X$4,0)</f>
        <v>0</v>
      </c>
      <c r="EP10">
        <f ca="1">OFFSET(Objects!$HW$6,EP$1+(Objects!$Y$4-$A10-1)*Objects!$X$4,0)</f>
        <v>0</v>
      </c>
      <c r="EQ10">
        <f ca="1">OFFSET(Objects!$HW$6,EQ$1+(Objects!$Y$4-$A10-1)*Objects!$X$4,0)</f>
        <v>0</v>
      </c>
      <c r="ER10">
        <f ca="1">OFFSET(Objects!$HW$6,ER$1+(Objects!$Y$4-$A10-1)*Objects!$X$4,0)</f>
        <v>0</v>
      </c>
      <c r="ES10">
        <f ca="1">OFFSET(Objects!$HW$6,ES$1+(Objects!$Y$4-$A10-1)*Objects!$X$4,0)</f>
        <v>0</v>
      </c>
      <c r="ET10">
        <f ca="1">OFFSET(Objects!$HW$6,ET$1+(Objects!$Y$4-$A10-1)*Objects!$X$4,0)</f>
        <v>0</v>
      </c>
      <c r="EU10">
        <f ca="1">OFFSET(Objects!$HW$6,EU$1+(Objects!$Y$4-$A10-1)*Objects!$X$4,0)</f>
        <v>0</v>
      </c>
      <c r="EV10">
        <f ca="1">OFFSET(Objects!$HW$6,EV$1+(Objects!$Y$4-$A10-1)*Objects!$X$4,0)</f>
        <v>0</v>
      </c>
      <c r="EW10">
        <f ca="1">OFFSET(Objects!$HW$6,EW$1+(Objects!$Y$4-$A10-1)*Objects!$X$4,0)</f>
        <v>0</v>
      </c>
      <c r="EX10">
        <f ca="1">OFFSET(Objects!$HW$6,EX$1+(Objects!$Y$4-$A10-1)*Objects!$X$4,0)</f>
        <v>0</v>
      </c>
      <c r="EY10">
        <f ca="1">OFFSET(Objects!$HW$6,EY$1+(Objects!$Y$4-$A10-1)*Objects!$X$4,0)</f>
        <v>0</v>
      </c>
      <c r="EZ10">
        <f ca="1">OFFSET(Objects!$HW$6,EZ$1+(Objects!$Y$4-$A10-1)*Objects!$X$4,0)</f>
        <v>0</v>
      </c>
      <c r="FA10">
        <f ca="1">OFFSET(Objects!$HW$6,FA$1+(Objects!$Y$4-$A10-1)*Objects!$X$4,0)</f>
        <v>0</v>
      </c>
      <c r="FB10">
        <f ca="1">OFFSET(Objects!$HW$6,FB$1+(Objects!$Y$4-$A10-1)*Objects!$X$4,0)</f>
        <v>0</v>
      </c>
      <c r="FC10">
        <f ca="1">OFFSET(Objects!$HW$6,FC$1+(Objects!$Y$4-$A10-1)*Objects!$X$4,0)</f>
        <v>0</v>
      </c>
      <c r="FD10">
        <f ca="1">OFFSET(Objects!$HW$6,FD$1+(Objects!$Y$4-$A10-1)*Objects!$X$4,0)</f>
        <v>0</v>
      </c>
      <c r="FE10" s="22">
        <f ca="1">OFFSET(Objects!$HW$6,FE$1+(Objects!$Y$4-$A10-1)*Objects!$X$4,0)</f>
        <v>0</v>
      </c>
    </row>
    <row r="11" spans="1:161" ht="4.5" customHeight="1" x14ac:dyDescent="0.25">
      <c r="A11">
        <v>9</v>
      </c>
      <c r="B11" s="21">
        <f ca="1">OFFSET(Objects!$HW$6,B$1+(Objects!$Y$4-$A11-1)*Objects!$X$4,0)</f>
        <v>0</v>
      </c>
      <c r="C11">
        <f ca="1">OFFSET(Objects!$HW$6,C$1+(Objects!$Y$4-$A11-1)*Objects!$X$4,0)</f>
        <v>0</v>
      </c>
      <c r="D11">
        <f ca="1">OFFSET(Objects!$HW$6,D$1+(Objects!$Y$4-$A11-1)*Objects!$X$4,0)</f>
        <v>0</v>
      </c>
      <c r="E11">
        <f ca="1">OFFSET(Objects!$HW$6,E$1+(Objects!$Y$4-$A11-1)*Objects!$X$4,0)</f>
        <v>0</v>
      </c>
      <c r="F11">
        <f ca="1">OFFSET(Objects!$HW$6,F$1+(Objects!$Y$4-$A11-1)*Objects!$X$4,0)</f>
        <v>0</v>
      </c>
      <c r="G11">
        <f ca="1">OFFSET(Objects!$HW$6,G$1+(Objects!$Y$4-$A11-1)*Objects!$X$4,0)</f>
        <v>0</v>
      </c>
      <c r="H11">
        <f ca="1">OFFSET(Objects!$HW$6,H$1+(Objects!$Y$4-$A11-1)*Objects!$X$4,0)</f>
        <v>0</v>
      </c>
      <c r="I11">
        <f ca="1">OFFSET(Objects!$HW$6,I$1+(Objects!$Y$4-$A11-1)*Objects!$X$4,0)</f>
        <v>0</v>
      </c>
      <c r="J11">
        <f ca="1">OFFSET(Objects!$HW$6,J$1+(Objects!$Y$4-$A11-1)*Objects!$X$4,0)</f>
        <v>0</v>
      </c>
      <c r="K11">
        <f ca="1">OFFSET(Objects!$HW$6,K$1+(Objects!$Y$4-$A11-1)*Objects!$X$4,0)</f>
        <v>0</v>
      </c>
      <c r="L11">
        <f ca="1">OFFSET(Objects!$HW$6,L$1+(Objects!$Y$4-$A11-1)*Objects!$X$4,0)</f>
        <v>0</v>
      </c>
      <c r="M11">
        <f ca="1">OFFSET(Objects!$HW$6,M$1+(Objects!$Y$4-$A11-1)*Objects!$X$4,0)</f>
        <v>0</v>
      </c>
      <c r="N11">
        <f ca="1">OFFSET(Objects!$HW$6,N$1+(Objects!$Y$4-$A11-1)*Objects!$X$4,0)</f>
        <v>0</v>
      </c>
      <c r="O11">
        <f ca="1">OFFSET(Objects!$HW$6,O$1+(Objects!$Y$4-$A11-1)*Objects!$X$4,0)</f>
        <v>0</v>
      </c>
      <c r="P11">
        <f ca="1">OFFSET(Objects!$HW$6,P$1+(Objects!$Y$4-$A11-1)*Objects!$X$4,0)</f>
        <v>0</v>
      </c>
      <c r="Q11">
        <f ca="1">OFFSET(Objects!$HW$6,Q$1+(Objects!$Y$4-$A11-1)*Objects!$X$4,0)</f>
        <v>0</v>
      </c>
      <c r="R11">
        <f ca="1">OFFSET(Objects!$HW$6,R$1+(Objects!$Y$4-$A11-1)*Objects!$X$4,0)</f>
        <v>0</v>
      </c>
      <c r="S11">
        <f ca="1">OFFSET(Objects!$HW$6,S$1+(Objects!$Y$4-$A11-1)*Objects!$X$4,0)</f>
        <v>0</v>
      </c>
      <c r="T11">
        <f ca="1">OFFSET(Objects!$HW$6,T$1+(Objects!$Y$4-$A11-1)*Objects!$X$4,0)</f>
        <v>0</v>
      </c>
      <c r="U11">
        <f ca="1">OFFSET(Objects!$HW$6,U$1+(Objects!$Y$4-$A11-1)*Objects!$X$4,0)</f>
        <v>0</v>
      </c>
      <c r="V11">
        <f ca="1">OFFSET(Objects!$HW$6,V$1+(Objects!$Y$4-$A11-1)*Objects!$X$4,0)</f>
        <v>0</v>
      </c>
      <c r="W11">
        <f ca="1">OFFSET(Objects!$HW$6,W$1+(Objects!$Y$4-$A11-1)*Objects!$X$4,0)</f>
        <v>0</v>
      </c>
      <c r="X11">
        <f ca="1">OFFSET(Objects!$HW$6,X$1+(Objects!$Y$4-$A11-1)*Objects!$X$4,0)</f>
        <v>0</v>
      </c>
      <c r="Y11">
        <f ca="1">OFFSET(Objects!$HW$6,Y$1+(Objects!$Y$4-$A11-1)*Objects!$X$4,0)</f>
        <v>0</v>
      </c>
      <c r="Z11">
        <f ca="1">OFFSET(Objects!$HW$6,Z$1+(Objects!$Y$4-$A11-1)*Objects!$X$4,0)</f>
        <v>0</v>
      </c>
      <c r="AA11">
        <f ca="1">OFFSET(Objects!$HW$6,AA$1+(Objects!$Y$4-$A11-1)*Objects!$X$4,0)</f>
        <v>0</v>
      </c>
      <c r="AB11">
        <f ca="1">OFFSET(Objects!$HW$6,AB$1+(Objects!$Y$4-$A11-1)*Objects!$X$4,0)</f>
        <v>0</v>
      </c>
      <c r="AC11">
        <f ca="1">OFFSET(Objects!$HW$6,AC$1+(Objects!$Y$4-$A11-1)*Objects!$X$4,0)</f>
        <v>0</v>
      </c>
      <c r="AD11">
        <f ca="1">OFFSET(Objects!$HW$6,AD$1+(Objects!$Y$4-$A11-1)*Objects!$X$4,0)</f>
        <v>0</v>
      </c>
      <c r="AE11">
        <f ca="1">OFFSET(Objects!$HW$6,AE$1+(Objects!$Y$4-$A11-1)*Objects!$X$4,0)</f>
        <v>0</v>
      </c>
      <c r="AF11">
        <f ca="1">OFFSET(Objects!$HW$6,AF$1+(Objects!$Y$4-$A11-1)*Objects!$X$4,0)</f>
        <v>0</v>
      </c>
      <c r="AG11">
        <f ca="1">OFFSET(Objects!$HW$6,AG$1+(Objects!$Y$4-$A11-1)*Objects!$X$4,0)</f>
        <v>0</v>
      </c>
      <c r="AH11">
        <f ca="1">OFFSET(Objects!$HW$6,AH$1+(Objects!$Y$4-$A11-1)*Objects!$X$4,0)</f>
        <v>0</v>
      </c>
      <c r="AI11">
        <f ca="1">OFFSET(Objects!$HW$6,AI$1+(Objects!$Y$4-$A11-1)*Objects!$X$4,0)</f>
        <v>0</v>
      </c>
      <c r="AJ11">
        <f ca="1">OFFSET(Objects!$HW$6,AJ$1+(Objects!$Y$4-$A11-1)*Objects!$X$4,0)</f>
        <v>0</v>
      </c>
      <c r="AK11">
        <f ca="1">OFFSET(Objects!$HW$6,AK$1+(Objects!$Y$4-$A11-1)*Objects!$X$4,0)</f>
        <v>0</v>
      </c>
      <c r="AL11">
        <f ca="1">OFFSET(Objects!$HW$6,AL$1+(Objects!$Y$4-$A11-1)*Objects!$X$4,0)</f>
        <v>0</v>
      </c>
      <c r="AM11">
        <f ca="1">OFFSET(Objects!$HW$6,AM$1+(Objects!$Y$4-$A11-1)*Objects!$X$4,0)</f>
        <v>0</v>
      </c>
      <c r="AN11">
        <f ca="1">OFFSET(Objects!$HW$6,AN$1+(Objects!$Y$4-$A11-1)*Objects!$X$4,0)</f>
        <v>0</v>
      </c>
      <c r="AO11">
        <f ca="1">OFFSET(Objects!$HW$6,AO$1+(Objects!$Y$4-$A11-1)*Objects!$X$4,0)</f>
        <v>0</v>
      </c>
      <c r="AP11">
        <f ca="1">OFFSET(Objects!$HW$6,AP$1+(Objects!$Y$4-$A11-1)*Objects!$X$4,0)</f>
        <v>0</v>
      </c>
      <c r="AQ11">
        <f ca="1">OFFSET(Objects!$HW$6,AQ$1+(Objects!$Y$4-$A11-1)*Objects!$X$4,0)</f>
        <v>0</v>
      </c>
      <c r="AR11">
        <f ca="1">OFFSET(Objects!$HW$6,AR$1+(Objects!$Y$4-$A11-1)*Objects!$X$4,0)</f>
        <v>0</v>
      </c>
      <c r="AS11">
        <f ca="1">OFFSET(Objects!$HW$6,AS$1+(Objects!$Y$4-$A11-1)*Objects!$X$4,0)</f>
        <v>0</v>
      </c>
      <c r="AT11">
        <f ca="1">OFFSET(Objects!$HW$6,AT$1+(Objects!$Y$4-$A11-1)*Objects!$X$4,0)</f>
        <v>0</v>
      </c>
      <c r="AU11">
        <f ca="1">OFFSET(Objects!$HW$6,AU$1+(Objects!$Y$4-$A11-1)*Objects!$X$4,0)</f>
        <v>0</v>
      </c>
      <c r="AV11">
        <f ca="1">OFFSET(Objects!$HW$6,AV$1+(Objects!$Y$4-$A11-1)*Objects!$X$4,0)</f>
        <v>0</v>
      </c>
      <c r="AW11">
        <f ca="1">OFFSET(Objects!$HW$6,AW$1+(Objects!$Y$4-$A11-1)*Objects!$X$4,0)</f>
        <v>0</v>
      </c>
      <c r="AX11">
        <f ca="1">OFFSET(Objects!$HW$6,AX$1+(Objects!$Y$4-$A11-1)*Objects!$X$4,0)</f>
        <v>0</v>
      </c>
      <c r="AY11">
        <f ca="1">OFFSET(Objects!$HW$6,AY$1+(Objects!$Y$4-$A11-1)*Objects!$X$4,0)</f>
        <v>0</v>
      </c>
      <c r="AZ11">
        <f ca="1">OFFSET(Objects!$HW$6,AZ$1+(Objects!$Y$4-$A11-1)*Objects!$X$4,0)</f>
        <v>0</v>
      </c>
      <c r="BA11">
        <f ca="1">OFFSET(Objects!$HW$6,BA$1+(Objects!$Y$4-$A11-1)*Objects!$X$4,0)</f>
        <v>0</v>
      </c>
      <c r="BB11">
        <f ca="1">OFFSET(Objects!$HW$6,BB$1+(Objects!$Y$4-$A11-1)*Objects!$X$4,0)</f>
        <v>0</v>
      </c>
      <c r="BC11">
        <f ca="1">OFFSET(Objects!$HW$6,BC$1+(Objects!$Y$4-$A11-1)*Objects!$X$4,0)</f>
        <v>0</v>
      </c>
      <c r="BD11">
        <f ca="1">OFFSET(Objects!$HW$6,BD$1+(Objects!$Y$4-$A11-1)*Objects!$X$4,0)</f>
        <v>0</v>
      </c>
      <c r="BE11">
        <f ca="1">OFFSET(Objects!$HW$6,BE$1+(Objects!$Y$4-$A11-1)*Objects!$X$4,0)</f>
        <v>0</v>
      </c>
      <c r="BF11">
        <f ca="1">OFFSET(Objects!$HW$6,BF$1+(Objects!$Y$4-$A11-1)*Objects!$X$4,0)</f>
        <v>0</v>
      </c>
      <c r="BG11">
        <f ca="1">OFFSET(Objects!$HW$6,BG$1+(Objects!$Y$4-$A11-1)*Objects!$X$4,0)</f>
        <v>0</v>
      </c>
      <c r="BH11">
        <f ca="1">OFFSET(Objects!$HW$6,BH$1+(Objects!$Y$4-$A11-1)*Objects!$X$4,0)</f>
        <v>0</v>
      </c>
      <c r="BI11">
        <f ca="1">OFFSET(Objects!$HW$6,BI$1+(Objects!$Y$4-$A11-1)*Objects!$X$4,0)</f>
        <v>0</v>
      </c>
      <c r="BJ11">
        <f ca="1">OFFSET(Objects!$HW$6,BJ$1+(Objects!$Y$4-$A11-1)*Objects!$X$4,0)</f>
        <v>0</v>
      </c>
      <c r="BK11">
        <f ca="1">OFFSET(Objects!$HW$6,BK$1+(Objects!$Y$4-$A11-1)*Objects!$X$4,0)</f>
        <v>0</v>
      </c>
      <c r="BL11">
        <f ca="1">OFFSET(Objects!$HW$6,BL$1+(Objects!$Y$4-$A11-1)*Objects!$X$4,0)</f>
        <v>0</v>
      </c>
      <c r="BM11">
        <f ca="1">OFFSET(Objects!$HW$6,BM$1+(Objects!$Y$4-$A11-1)*Objects!$X$4,0)</f>
        <v>0</v>
      </c>
      <c r="BN11">
        <f ca="1">OFFSET(Objects!$HW$6,BN$1+(Objects!$Y$4-$A11-1)*Objects!$X$4,0)</f>
        <v>0</v>
      </c>
      <c r="BO11">
        <f ca="1">OFFSET(Objects!$HW$6,BO$1+(Objects!$Y$4-$A11-1)*Objects!$X$4,0)</f>
        <v>0</v>
      </c>
      <c r="BP11">
        <f ca="1">OFFSET(Objects!$HW$6,BP$1+(Objects!$Y$4-$A11-1)*Objects!$X$4,0)</f>
        <v>0</v>
      </c>
      <c r="BQ11">
        <f ca="1">OFFSET(Objects!$HW$6,BQ$1+(Objects!$Y$4-$A11-1)*Objects!$X$4,0)</f>
        <v>0</v>
      </c>
      <c r="BR11">
        <f ca="1">OFFSET(Objects!$HW$6,BR$1+(Objects!$Y$4-$A11-1)*Objects!$X$4,0)</f>
        <v>0</v>
      </c>
      <c r="BS11">
        <f ca="1">OFFSET(Objects!$HW$6,BS$1+(Objects!$Y$4-$A11-1)*Objects!$X$4,0)</f>
        <v>0</v>
      </c>
      <c r="BT11">
        <f ca="1">OFFSET(Objects!$HW$6,BT$1+(Objects!$Y$4-$A11-1)*Objects!$X$4,0)</f>
        <v>0</v>
      </c>
      <c r="BU11">
        <f ca="1">OFFSET(Objects!$HW$6,BU$1+(Objects!$Y$4-$A11-1)*Objects!$X$4,0)</f>
        <v>0</v>
      </c>
      <c r="BV11">
        <f ca="1">OFFSET(Objects!$HW$6,BV$1+(Objects!$Y$4-$A11-1)*Objects!$X$4,0)</f>
        <v>0</v>
      </c>
      <c r="BW11">
        <f ca="1">OFFSET(Objects!$HW$6,BW$1+(Objects!$Y$4-$A11-1)*Objects!$X$4,0)</f>
        <v>0</v>
      </c>
      <c r="BX11">
        <f ca="1">OFFSET(Objects!$HW$6,BX$1+(Objects!$Y$4-$A11-1)*Objects!$X$4,0)</f>
        <v>0</v>
      </c>
      <c r="BY11">
        <f ca="1">OFFSET(Objects!$HW$6,BY$1+(Objects!$Y$4-$A11-1)*Objects!$X$4,0)</f>
        <v>0</v>
      </c>
      <c r="BZ11">
        <f ca="1">OFFSET(Objects!$HW$6,BZ$1+(Objects!$Y$4-$A11-1)*Objects!$X$4,0)</f>
        <v>0</v>
      </c>
      <c r="CA11">
        <f ca="1">OFFSET(Objects!$HW$6,CA$1+(Objects!$Y$4-$A11-1)*Objects!$X$4,0)</f>
        <v>0</v>
      </c>
      <c r="CB11">
        <f ca="1">OFFSET(Objects!$HW$6,CB$1+(Objects!$Y$4-$A11-1)*Objects!$X$4,0)</f>
        <v>0</v>
      </c>
      <c r="CC11">
        <f ca="1">OFFSET(Objects!$HW$6,CC$1+(Objects!$Y$4-$A11-1)*Objects!$X$4,0)</f>
        <v>0</v>
      </c>
      <c r="CD11">
        <f ca="1">OFFSET(Objects!$HW$6,CD$1+(Objects!$Y$4-$A11-1)*Objects!$X$4,0)</f>
        <v>0</v>
      </c>
      <c r="CE11">
        <f ca="1">OFFSET(Objects!$HW$6,CE$1+(Objects!$Y$4-$A11-1)*Objects!$X$4,0)</f>
        <v>0</v>
      </c>
      <c r="CF11">
        <f ca="1">OFFSET(Objects!$HW$6,CF$1+(Objects!$Y$4-$A11-1)*Objects!$X$4,0)</f>
        <v>0</v>
      </c>
      <c r="CG11">
        <f ca="1">OFFSET(Objects!$HW$6,CG$1+(Objects!$Y$4-$A11-1)*Objects!$X$4,0)</f>
        <v>0</v>
      </c>
      <c r="CH11">
        <f ca="1">OFFSET(Objects!$HW$6,CH$1+(Objects!$Y$4-$A11-1)*Objects!$X$4,0)</f>
        <v>0</v>
      </c>
      <c r="CI11">
        <f ca="1">OFFSET(Objects!$HW$6,CI$1+(Objects!$Y$4-$A11-1)*Objects!$X$4,0)</f>
        <v>0</v>
      </c>
      <c r="CJ11">
        <f ca="1">OFFSET(Objects!$HW$6,CJ$1+(Objects!$Y$4-$A11-1)*Objects!$X$4,0)</f>
        <v>0</v>
      </c>
      <c r="CK11">
        <f ca="1">OFFSET(Objects!$HW$6,CK$1+(Objects!$Y$4-$A11-1)*Objects!$X$4,0)</f>
        <v>0</v>
      </c>
      <c r="CL11">
        <f ca="1">OFFSET(Objects!$HW$6,CL$1+(Objects!$Y$4-$A11-1)*Objects!$X$4,0)</f>
        <v>0</v>
      </c>
      <c r="CM11">
        <f ca="1">OFFSET(Objects!$HW$6,CM$1+(Objects!$Y$4-$A11-1)*Objects!$X$4,0)</f>
        <v>0</v>
      </c>
      <c r="CN11">
        <f ca="1">OFFSET(Objects!$HW$6,CN$1+(Objects!$Y$4-$A11-1)*Objects!$X$4,0)</f>
        <v>0</v>
      </c>
      <c r="CO11">
        <f ca="1">OFFSET(Objects!$HW$6,CO$1+(Objects!$Y$4-$A11-1)*Objects!$X$4,0)</f>
        <v>0</v>
      </c>
      <c r="CP11">
        <f ca="1">OFFSET(Objects!$HW$6,CP$1+(Objects!$Y$4-$A11-1)*Objects!$X$4,0)</f>
        <v>0</v>
      </c>
      <c r="CQ11">
        <f ca="1">OFFSET(Objects!$HW$6,CQ$1+(Objects!$Y$4-$A11-1)*Objects!$X$4,0)</f>
        <v>0</v>
      </c>
      <c r="CR11">
        <f ca="1">OFFSET(Objects!$HW$6,CR$1+(Objects!$Y$4-$A11-1)*Objects!$X$4,0)</f>
        <v>0</v>
      </c>
      <c r="CS11">
        <f ca="1">OFFSET(Objects!$HW$6,CS$1+(Objects!$Y$4-$A11-1)*Objects!$X$4,0)</f>
        <v>0</v>
      </c>
      <c r="CT11">
        <f ca="1">OFFSET(Objects!$HW$6,CT$1+(Objects!$Y$4-$A11-1)*Objects!$X$4,0)</f>
        <v>0</v>
      </c>
      <c r="CU11">
        <f ca="1">OFFSET(Objects!$HW$6,CU$1+(Objects!$Y$4-$A11-1)*Objects!$X$4,0)</f>
        <v>0</v>
      </c>
      <c r="CV11">
        <f ca="1">OFFSET(Objects!$HW$6,CV$1+(Objects!$Y$4-$A11-1)*Objects!$X$4,0)</f>
        <v>0</v>
      </c>
      <c r="CW11">
        <f ca="1">OFFSET(Objects!$HW$6,CW$1+(Objects!$Y$4-$A11-1)*Objects!$X$4,0)</f>
        <v>0</v>
      </c>
      <c r="CX11">
        <f ca="1">OFFSET(Objects!$HW$6,CX$1+(Objects!$Y$4-$A11-1)*Objects!$X$4,0)</f>
        <v>0</v>
      </c>
      <c r="CY11">
        <f ca="1">OFFSET(Objects!$HW$6,CY$1+(Objects!$Y$4-$A11-1)*Objects!$X$4,0)</f>
        <v>0</v>
      </c>
      <c r="CZ11">
        <f ca="1">OFFSET(Objects!$HW$6,CZ$1+(Objects!$Y$4-$A11-1)*Objects!$X$4,0)</f>
        <v>0</v>
      </c>
      <c r="DA11">
        <f ca="1">OFFSET(Objects!$HW$6,DA$1+(Objects!$Y$4-$A11-1)*Objects!$X$4,0)</f>
        <v>0</v>
      </c>
      <c r="DB11">
        <f ca="1">OFFSET(Objects!$HW$6,DB$1+(Objects!$Y$4-$A11-1)*Objects!$X$4,0)</f>
        <v>0</v>
      </c>
      <c r="DC11">
        <f ca="1">OFFSET(Objects!$HW$6,DC$1+(Objects!$Y$4-$A11-1)*Objects!$X$4,0)</f>
        <v>0</v>
      </c>
      <c r="DD11">
        <f ca="1">OFFSET(Objects!$HW$6,DD$1+(Objects!$Y$4-$A11-1)*Objects!$X$4,0)</f>
        <v>0</v>
      </c>
      <c r="DE11">
        <f ca="1">OFFSET(Objects!$HW$6,DE$1+(Objects!$Y$4-$A11-1)*Objects!$X$4,0)</f>
        <v>0</v>
      </c>
      <c r="DF11">
        <f ca="1">OFFSET(Objects!$HW$6,DF$1+(Objects!$Y$4-$A11-1)*Objects!$X$4,0)</f>
        <v>0</v>
      </c>
      <c r="DG11">
        <f ca="1">OFFSET(Objects!$HW$6,DG$1+(Objects!$Y$4-$A11-1)*Objects!$X$4,0)</f>
        <v>0</v>
      </c>
      <c r="DH11">
        <f ca="1">OFFSET(Objects!$HW$6,DH$1+(Objects!$Y$4-$A11-1)*Objects!$X$4,0)</f>
        <v>0</v>
      </c>
      <c r="DI11">
        <f ca="1">OFFSET(Objects!$HW$6,DI$1+(Objects!$Y$4-$A11-1)*Objects!$X$4,0)</f>
        <v>0</v>
      </c>
      <c r="DJ11">
        <f ca="1">OFFSET(Objects!$HW$6,DJ$1+(Objects!$Y$4-$A11-1)*Objects!$X$4,0)</f>
        <v>0</v>
      </c>
      <c r="DK11">
        <f ca="1">OFFSET(Objects!$HW$6,DK$1+(Objects!$Y$4-$A11-1)*Objects!$X$4,0)</f>
        <v>0</v>
      </c>
      <c r="DL11">
        <f ca="1">OFFSET(Objects!$HW$6,DL$1+(Objects!$Y$4-$A11-1)*Objects!$X$4,0)</f>
        <v>0</v>
      </c>
      <c r="DM11">
        <f ca="1">OFFSET(Objects!$HW$6,DM$1+(Objects!$Y$4-$A11-1)*Objects!$X$4,0)</f>
        <v>0</v>
      </c>
      <c r="DN11">
        <f ca="1">OFFSET(Objects!$HW$6,DN$1+(Objects!$Y$4-$A11-1)*Objects!$X$4,0)</f>
        <v>0</v>
      </c>
      <c r="DO11">
        <f ca="1">OFFSET(Objects!$HW$6,DO$1+(Objects!$Y$4-$A11-1)*Objects!$X$4,0)</f>
        <v>0</v>
      </c>
      <c r="DP11">
        <f ca="1">OFFSET(Objects!$HW$6,DP$1+(Objects!$Y$4-$A11-1)*Objects!$X$4,0)</f>
        <v>0</v>
      </c>
      <c r="DQ11">
        <f ca="1">OFFSET(Objects!$HW$6,DQ$1+(Objects!$Y$4-$A11-1)*Objects!$X$4,0)</f>
        <v>0</v>
      </c>
      <c r="DR11">
        <f ca="1">OFFSET(Objects!$HW$6,DR$1+(Objects!$Y$4-$A11-1)*Objects!$X$4,0)</f>
        <v>0</v>
      </c>
      <c r="DS11">
        <f ca="1">OFFSET(Objects!$HW$6,DS$1+(Objects!$Y$4-$A11-1)*Objects!$X$4,0)</f>
        <v>0</v>
      </c>
      <c r="DT11">
        <f ca="1">OFFSET(Objects!$HW$6,DT$1+(Objects!$Y$4-$A11-1)*Objects!$X$4,0)</f>
        <v>0</v>
      </c>
      <c r="DU11">
        <f ca="1">OFFSET(Objects!$HW$6,DU$1+(Objects!$Y$4-$A11-1)*Objects!$X$4,0)</f>
        <v>0</v>
      </c>
      <c r="DV11">
        <f ca="1">OFFSET(Objects!$HW$6,DV$1+(Objects!$Y$4-$A11-1)*Objects!$X$4,0)</f>
        <v>0</v>
      </c>
      <c r="DW11">
        <f ca="1">OFFSET(Objects!$HW$6,DW$1+(Objects!$Y$4-$A11-1)*Objects!$X$4,0)</f>
        <v>0</v>
      </c>
      <c r="DX11">
        <f ca="1">OFFSET(Objects!$HW$6,DX$1+(Objects!$Y$4-$A11-1)*Objects!$X$4,0)</f>
        <v>0</v>
      </c>
      <c r="DY11">
        <f ca="1">OFFSET(Objects!$HW$6,DY$1+(Objects!$Y$4-$A11-1)*Objects!$X$4,0)</f>
        <v>0</v>
      </c>
      <c r="DZ11">
        <f ca="1">OFFSET(Objects!$HW$6,DZ$1+(Objects!$Y$4-$A11-1)*Objects!$X$4,0)</f>
        <v>0</v>
      </c>
      <c r="EA11">
        <f ca="1">OFFSET(Objects!$HW$6,EA$1+(Objects!$Y$4-$A11-1)*Objects!$X$4,0)</f>
        <v>0</v>
      </c>
      <c r="EB11">
        <f ca="1">OFFSET(Objects!$HW$6,EB$1+(Objects!$Y$4-$A11-1)*Objects!$X$4,0)</f>
        <v>0</v>
      </c>
      <c r="EC11">
        <f ca="1">OFFSET(Objects!$HW$6,EC$1+(Objects!$Y$4-$A11-1)*Objects!$X$4,0)</f>
        <v>0</v>
      </c>
      <c r="ED11">
        <f ca="1">OFFSET(Objects!$HW$6,ED$1+(Objects!$Y$4-$A11-1)*Objects!$X$4,0)</f>
        <v>0</v>
      </c>
      <c r="EE11">
        <f ca="1">OFFSET(Objects!$HW$6,EE$1+(Objects!$Y$4-$A11-1)*Objects!$X$4,0)</f>
        <v>0</v>
      </c>
      <c r="EF11">
        <f ca="1">OFFSET(Objects!$HW$6,EF$1+(Objects!$Y$4-$A11-1)*Objects!$X$4,0)</f>
        <v>0</v>
      </c>
      <c r="EG11">
        <f ca="1">OFFSET(Objects!$HW$6,EG$1+(Objects!$Y$4-$A11-1)*Objects!$X$4,0)</f>
        <v>0</v>
      </c>
      <c r="EH11">
        <f ca="1">OFFSET(Objects!$HW$6,EH$1+(Objects!$Y$4-$A11-1)*Objects!$X$4,0)</f>
        <v>0</v>
      </c>
      <c r="EI11">
        <f ca="1">OFFSET(Objects!$HW$6,EI$1+(Objects!$Y$4-$A11-1)*Objects!$X$4,0)</f>
        <v>0</v>
      </c>
      <c r="EJ11">
        <f ca="1">OFFSET(Objects!$HW$6,EJ$1+(Objects!$Y$4-$A11-1)*Objects!$X$4,0)</f>
        <v>0</v>
      </c>
      <c r="EK11">
        <f ca="1">OFFSET(Objects!$HW$6,EK$1+(Objects!$Y$4-$A11-1)*Objects!$X$4,0)</f>
        <v>0</v>
      </c>
      <c r="EL11">
        <f ca="1">OFFSET(Objects!$HW$6,EL$1+(Objects!$Y$4-$A11-1)*Objects!$X$4,0)</f>
        <v>0</v>
      </c>
      <c r="EM11">
        <f ca="1">OFFSET(Objects!$HW$6,EM$1+(Objects!$Y$4-$A11-1)*Objects!$X$4,0)</f>
        <v>0</v>
      </c>
      <c r="EN11">
        <f ca="1">OFFSET(Objects!$HW$6,EN$1+(Objects!$Y$4-$A11-1)*Objects!$X$4,0)</f>
        <v>0</v>
      </c>
      <c r="EO11">
        <f ca="1">OFFSET(Objects!$HW$6,EO$1+(Objects!$Y$4-$A11-1)*Objects!$X$4,0)</f>
        <v>0</v>
      </c>
      <c r="EP11">
        <f ca="1">OFFSET(Objects!$HW$6,EP$1+(Objects!$Y$4-$A11-1)*Objects!$X$4,0)</f>
        <v>0</v>
      </c>
      <c r="EQ11">
        <f ca="1">OFFSET(Objects!$HW$6,EQ$1+(Objects!$Y$4-$A11-1)*Objects!$X$4,0)</f>
        <v>0</v>
      </c>
      <c r="ER11">
        <f ca="1">OFFSET(Objects!$HW$6,ER$1+(Objects!$Y$4-$A11-1)*Objects!$X$4,0)</f>
        <v>0</v>
      </c>
      <c r="ES11">
        <f ca="1">OFFSET(Objects!$HW$6,ES$1+(Objects!$Y$4-$A11-1)*Objects!$X$4,0)</f>
        <v>0</v>
      </c>
      <c r="ET11">
        <f ca="1">OFFSET(Objects!$HW$6,ET$1+(Objects!$Y$4-$A11-1)*Objects!$X$4,0)</f>
        <v>0</v>
      </c>
      <c r="EU11">
        <f ca="1">OFFSET(Objects!$HW$6,EU$1+(Objects!$Y$4-$A11-1)*Objects!$X$4,0)</f>
        <v>0</v>
      </c>
      <c r="EV11">
        <f ca="1">OFFSET(Objects!$HW$6,EV$1+(Objects!$Y$4-$A11-1)*Objects!$X$4,0)</f>
        <v>0</v>
      </c>
      <c r="EW11">
        <f ca="1">OFFSET(Objects!$HW$6,EW$1+(Objects!$Y$4-$A11-1)*Objects!$X$4,0)</f>
        <v>0</v>
      </c>
      <c r="EX11">
        <f ca="1">OFFSET(Objects!$HW$6,EX$1+(Objects!$Y$4-$A11-1)*Objects!$X$4,0)</f>
        <v>0</v>
      </c>
      <c r="EY11">
        <f ca="1">OFFSET(Objects!$HW$6,EY$1+(Objects!$Y$4-$A11-1)*Objects!$X$4,0)</f>
        <v>0</v>
      </c>
      <c r="EZ11">
        <f ca="1">OFFSET(Objects!$HW$6,EZ$1+(Objects!$Y$4-$A11-1)*Objects!$X$4,0)</f>
        <v>0</v>
      </c>
      <c r="FA11">
        <f ca="1">OFFSET(Objects!$HW$6,FA$1+(Objects!$Y$4-$A11-1)*Objects!$X$4,0)</f>
        <v>0</v>
      </c>
      <c r="FB11">
        <f ca="1">OFFSET(Objects!$HW$6,FB$1+(Objects!$Y$4-$A11-1)*Objects!$X$4,0)</f>
        <v>0</v>
      </c>
      <c r="FC11">
        <f ca="1">OFFSET(Objects!$HW$6,FC$1+(Objects!$Y$4-$A11-1)*Objects!$X$4,0)</f>
        <v>0</v>
      </c>
      <c r="FD11">
        <f ca="1">OFFSET(Objects!$HW$6,FD$1+(Objects!$Y$4-$A11-1)*Objects!$X$4,0)</f>
        <v>0</v>
      </c>
      <c r="FE11" s="22">
        <f ca="1">OFFSET(Objects!$HW$6,FE$1+(Objects!$Y$4-$A11-1)*Objects!$X$4,0)</f>
        <v>0</v>
      </c>
    </row>
    <row r="12" spans="1:161" ht="4.5" customHeight="1" x14ac:dyDescent="0.25">
      <c r="A12">
        <v>10</v>
      </c>
      <c r="B12" s="21">
        <f ca="1">OFFSET(Objects!$HW$6,B$1+(Objects!$Y$4-$A12-1)*Objects!$X$4,0)</f>
        <v>0</v>
      </c>
      <c r="C12">
        <f ca="1">OFFSET(Objects!$HW$6,C$1+(Objects!$Y$4-$A12-1)*Objects!$X$4,0)</f>
        <v>0</v>
      </c>
      <c r="D12">
        <f ca="1">OFFSET(Objects!$HW$6,D$1+(Objects!$Y$4-$A12-1)*Objects!$X$4,0)</f>
        <v>0</v>
      </c>
      <c r="E12">
        <f ca="1">OFFSET(Objects!$HW$6,E$1+(Objects!$Y$4-$A12-1)*Objects!$X$4,0)</f>
        <v>0</v>
      </c>
      <c r="F12">
        <f ca="1">OFFSET(Objects!$HW$6,F$1+(Objects!$Y$4-$A12-1)*Objects!$X$4,0)</f>
        <v>0</v>
      </c>
      <c r="G12">
        <f ca="1">OFFSET(Objects!$HW$6,G$1+(Objects!$Y$4-$A12-1)*Objects!$X$4,0)</f>
        <v>0</v>
      </c>
      <c r="H12">
        <f ca="1">OFFSET(Objects!$HW$6,H$1+(Objects!$Y$4-$A12-1)*Objects!$X$4,0)</f>
        <v>0</v>
      </c>
      <c r="I12">
        <f ca="1">OFFSET(Objects!$HW$6,I$1+(Objects!$Y$4-$A12-1)*Objects!$X$4,0)</f>
        <v>0</v>
      </c>
      <c r="J12">
        <f ca="1">OFFSET(Objects!$HW$6,J$1+(Objects!$Y$4-$A12-1)*Objects!$X$4,0)</f>
        <v>0</v>
      </c>
      <c r="K12">
        <f ca="1">OFFSET(Objects!$HW$6,K$1+(Objects!$Y$4-$A12-1)*Objects!$X$4,0)</f>
        <v>0</v>
      </c>
      <c r="L12">
        <f ca="1">OFFSET(Objects!$HW$6,L$1+(Objects!$Y$4-$A12-1)*Objects!$X$4,0)</f>
        <v>0</v>
      </c>
      <c r="M12">
        <f ca="1">OFFSET(Objects!$HW$6,M$1+(Objects!$Y$4-$A12-1)*Objects!$X$4,0)</f>
        <v>0</v>
      </c>
      <c r="N12">
        <f ca="1">OFFSET(Objects!$HW$6,N$1+(Objects!$Y$4-$A12-1)*Objects!$X$4,0)</f>
        <v>0</v>
      </c>
      <c r="O12">
        <f ca="1">OFFSET(Objects!$HW$6,O$1+(Objects!$Y$4-$A12-1)*Objects!$X$4,0)</f>
        <v>0</v>
      </c>
      <c r="P12">
        <f ca="1">OFFSET(Objects!$HW$6,P$1+(Objects!$Y$4-$A12-1)*Objects!$X$4,0)</f>
        <v>0</v>
      </c>
      <c r="Q12">
        <f ca="1">OFFSET(Objects!$HW$6,Q$1+(Objects!$Y$4-$A12-1)*Objects!$X$4,0)</f>
        <v>0</v>
      </c>
      <c r="R12">
        <f ca="1">OFFSET(Objects!$HW$6,R$1+(Objects!$Y$4-$A12-1)*Objects!$X$4,0)</f>
        <v>0</v>
      </c>
      <c r="S12">
        <f ca="1">OFFSET(Objects!$HW$6,S$1+(Objects!$Y$4-$A12-1)*Objects!$X$4,0)</f>
        <v>0</v>
      </c>
      <c r="T12">
        <f ca="1">OFFSET(Objects!$HW$6,T$1+(Objects!$Y$4-$A12-1)*Objects!$X$4,0)</f>
        <v>0</v>
      </c>
      <c r="U12">
        <f ca="1">OFFSET(Objects!$HW$6,U$1+(Objects!$Y$4-$A12-1)*Objects!$X$4,0)</f>
        <v>0</v>
      </c>
      <c r="V12">
        <f ca="1">OFFSET(Objects!$HW$6,V$1+(Objects!$Y$4-$A12-1)*Objects!$X$4,0)</f>
        <v>0</v>
      </c>
      <c r="W12">
        <f ca="1">OFFSET(Objects!$HW$6,W$1+(Objects!$Y$4-$A12-1)*Objects!$X$4,0)</f>
        <v>0</v>
      </c>
      <c r="X12">
        <f ca="1">OFFSET(Objects!$HW$6,X$1+(Objects!$Y$4-$A12-1)*Objects!$X$4,0)</f>
        <v>0</v>
      </c>
      <c r="Y12">
        <f ca="1">OFFSET(Objects!$HW$6,Y$1+(Objects!$Y$4-$A12-1)*Objects!$X$4,0)</f>
        <v>0</v>
      </c>
      <c r="Z12">
        <f ca="1">OFFSET(Objects!$HW$6,Z$1+(Objects!$Y$4-$A12-1)*Objects!$X$4,0)</f>
        <v>0</v>
      </c>
      <c r="AA12">
        <f ca="1">OFFSET(Objects!$HW$6,AA$1+(Objects!$Y$4-$A12-1)*Objects!$X$4,0)</f>
        <v>0</v>
      </c>
      <c r="AB12">
        <f ca="1">OFFSET(Objects!$HW$6,AB$1+(Objects!$Y$4-$A12-1)*Objects!$X$4,0)</f>
        <v>0</v>
      </c>
      <c r="AC12">
        <f ca="1">OFFSET(Objects!$HW$6,AC$1+(Objects!$Y$4-$A12-1)*Objects!$X$4,0)</f>
        <v>0</v>
      </c>
      <c r="AD12">
        <f ca="1">OFFSET(Objects!$HW$6,AD$1+(Objects!$Y$4-$A12-1)*Objects!$X$4,0)</f>
        <v>0</v>
      </c>
      <c r="AE12">
        <f ca="1">OFFSET(Objects!$HW$6,AE$1+(Objects!$Y$4-$A12-1)*Objects!$X$4,0)</f>
        <v>0</v>
      </c>
      <c r="AF12">
        <f ca="1">OFFSET(Objects!$HW$6,AF$1+(Objects!$Y$4-$A12-1)*Objects!$X$4,0)</f>
        <v>0</v>
      </c>
      <c r="AG12">
        <f ca="1">OFFSET(Objects!$HW$6,AG$1+(Objects!$Y$4-$A12-1)*Objects!$X$4,0)</f>
        <v>0</v>
      </c>
      <c r="AH12">
        <f ca="1">OFFSET(Objects!$HW$6,AH$1+(Objects!$Y$4-$A12-1)*Objects!$X$4,0)</f>
        <v>0</v>
      </c>
      <c r="AI12">
        <f ca="1">OFFSET(Objects!$HW$6,AI$1+(Objects!$Y$4-$A12-1)*Objects!$X$4,0)</f>
        <v>0</v>
      </c>
      <c r="AJ12">
        <f ca="1">OFFSET(Objects!$HW$6,AJ$1+(Objects!$Y$4-$A12-1)*Objects!$X$4,0)</f>
        <v>0</v>
      </c>
      <c r="AK12">
        <f ca="1">OFFSET(Objects!$HW$6,AK$1+(Objects!$Y$4-$A12-1)*Objects!$X$4,0)</f>
        <v>0</v>
      </c>
      <c r="AL12">
        <f ca="1">OFFSET(Objects!$HW$6,AL$1+(Objects!$Y$4-$A12-1)*Objects!$X$4,0)</f>
        <v>0</v>
      </c>
      <c r="AM12">
        <f ca="1">OFFSET(Objects!$HW$6,AM$1+(Objects!$Y$4-$A12-1)*Objects!$X$4,0)</f>
        <v>0</v>
      </c>
      <c r="AN12">
        <f ca="1">OFFSET(Objects!$HW$6,AN$1+(Objects!$Y$4-$A12-1)*Objects!$X$4,0)</f>
        <v>0</v>
      </c>
      <c r="AO12">
        <f ca="1">OFFSET(Objects!$HW$6,AO$1+(Objects!$Y$4-$A12-1)*Objects!$X$4,0)</f>
        <v>0</v>
      </c>
      <c r="AP12">
        <f ca="1">OFFSET(Objects!$HW$6,AP$1+(Objects!$Y$4-$A12-1)*Objects!$X$4,0)</f>
        <v>0</v>
      </c>
      <c r="AQ12">
        <f ca="1">OFFSET(Objects!$HW$6,AQ$1+(Objects!$Y$4-$A12-1)*Objects!$X$4,0)</f>
        <v>0</v>
      </c>
      <c r="AR12">
        <f ca="1">OFFSET(Objects!$HW$6,AR$1+(Objects!$Y$4-$A12-1)*Objects!$X$4,0)</f>
        <v>0</v>
      </c>
      <c r="AS12">
        <f ca="1">OFFSET(Objects!$HW$6,AS$1+(Objects!$Y$4-$A12-1)*Objects!$X$4,0)</f>
        <v>0</v>
      </c>
      <c r="AT12">
        <f ca="1">OFFSET(Objects!$HW$6,AT$1+(Objects!$Y$4-$A12-1)*Objects!$X$4,0)</f>
        <v>0</v>
      </c>
      <c r="AU12">
        <f ca="1">OFFSET(Objects!$HW$6,AU$1+(Objects!$Y$4-$A12-1)*Objects!$X$4,0)</f>
        <v>0</v>
      </c>
      <c r="AV12">
        <f ca="1">OFFSET(Objects!$HW$6,AV$1+(Objects!$Y$4-$A12-1)*Objects!$X$4,0)</f>
        <v>0</v>
      </c>
      <c r="AW12">
        <f ca="1">OFFSET(Objects!$HW$6,AW$1+(Objects!$Y$4-$A12-1)*Objects!$X$4,0)</f>
        <v>0</v>
      </c>
      <c r="AX12">
        <f ca="1">OFFSET(Objects!$HW$6,AX$1+(Objects!$Y$4-$A12-1)*Objects!$X$4,0)</f>
        <v>0</v>
      </c>
      <c r="AY12">
        <f ca="1">OFFSET(Objects!$HW$6,AY$1+(Objects!$Y$4-$A12-1)*Objects!$X$4,0)</f>
        <v>0</v>
      </c>
      <c r="AZ12">
        <f ca="1">OFFSET(Objects!$HW$6,AZ$1+(Objects!$Y$4-$A12-1)*Objects!$X$4,0)</f>
        <v>0</v>
      </c>
      <c r="BA12">
        <f ca="1">OFFSET(Objects!$HW$6,BA$1+(Objects!$Y$4-$A12-1)*Objects!$X$4,0)</f>
        <v>0</v>
      </c>
      <c r="BB12">
        <f ca="1">OFFSET(Objects!$HW$6,BB$1+(Objects!$Y$4-$A12-1)*Objects!$X$4,0)</f>
        <v>0</v>
      </c>
      <c r="BC12">
        <f ca="1">OFFSET(Objects!$HW$6,BC$1+(Objects!$Y$4-$A12-1)*Objects!$X$4,0)</f>
        <v>0</v>
      </c>
      <c r="BD12">
        <f ca="1">OFFSET(Objects!$HW$6,BD$1+(Objects!$Y$4-$A12-1)*Objects!$X$4,0)</f>
        <v>0</v>
      </c>
      <c r="BE12">
        <f ca="1">OFFSET(Objects!$HW$6,BE$1+(Objects!$Y$4-$A12-1)*Objects!$X$4,0)</f>
        <v>0</v>
      </c>
      <c r="BF12">
        <f ca="1">OFFSET(Objects!$HW$6,BF$1+(Objects!$Y$4-$A12-1)*Objects!$X$4,0)</f>
        <v>0</v>
      </c>
      <c r="BG12">
        <f ca="1">OFFSET(Objects!$HW$6,BG$1+(Objects!$Y$4-$A12-1)*Objects!$X$4,0)</f>
        <v>0</v>
      </c>
      <c r="BH12">
        <f ca="1">OFFSET(Objects!$HW$6,BH$1+(Objects!$Y$4-$A12-1)*Objects!$X$4,0)</f>
        <v>0</v>
      </c>
      <c r="BI12">
        <f ca="1">OFFSET(Objects!$HW$6,BI$1+(Objects!$Y$4-$A12-1)*Objects!$X$4,0)</f>
        <v>0</v>
      </c>
      <c r="BJ12">
        <f ca="1">OFFSET(Objects!$HW$6,BJ$1+(Objects!$Y$4-$A12-1)*Objects!$X$4,0)</f>
        <v>0</v>
      </c>
      <c r="BK12">
        <f ca="1">OFFSET(Objects!$HW$6,BK$1+(Objects!$Y$4-$A12-1)*Objects!$X$4,0)</f>
        <v>0</v>
      </c>
      <c r="BL12">
        <f ca="1">OFFSET(Objects!$HW$6,BL$1+(Objects!$Y$4-$A12-1)*Objects!$X$4,0)</f>
        <v>0</v>
      </c>
      <c r="BM12">
        <f ca="1">OFFSET(Objects!$HW$6,BM$1+(Objects!$Y$4-$A12-1)*Objects!$X$4,0)</f>
        <v>0</v>
      </c>
      <c r="BN12">
        <f ca="1">OFFSET(Objects!$HW$6,BN$1+(Objects!$Y$4-$A12-1)*Objects!$X$4,0)</f>
        <v>0</v>
      </c>
      <c r="BO12">
        <f ca="1">OFFSET(Objects!$HW$6,BO$1+(Objects!$Y$4-$A12-1)*Objects!$X$4,0)</f>
        <v>0</v>
      </c>
      <c r="BP12">
        <f ca="1">OFFSET(Objects!$HW$6,BP$1+(Objects!$Y$4-$A12-1)*Objects!$X$4,0)</f>
        <v>0</v>
      </c>
      <c r="BQ12">
        <f ca="1">OFFSET(Objects!$HW$6,BQ$1+(Objects!$Y$4-$A12-1)*Objects!$X$4,0)</f>
        <v>0</v>
      </c>
      <c r="BR12">
        <f ca="1">OFFSET(Objects!$HW$6,BR$1+(Objects!$Y$4-$A12-1)*Objects!$X$4,0)</f>
        <v>0</v>
      </c>
      <c r="BS12">
        <f ca="1">OFFSET(Objects!$HW$6,BS$1+(Objects!$Y$4-$A12-1)*Objects!$X$4,0)</f>
        <v>0</v>
      </c>
      <c r="BT12">
        <f ca="1">OFFSET(Objects!$HW$6,BT$1+(Objects!$Y$4-$A12-1)*Objects!$X$4,0)</f>
        <v>0</v>
      </c>
      <c r="BU12">
        <f ca="1">OFFSET(Objects!$HW$6,BU$1+(Objects!$Y$4-$A12-1)*Objects!$X$4,0)</f>
        <v>0</v>
      </c>
      <c r="BV12">
        <f ca="1">OFFSET(Objects!$HW$6,BV$1+(Objects!$Y$4-$A12-1)*Objects!$X$4,0)</f>
        <v>0</v>
      </c>
      <c r="BW12">
        <f ca="1">OFFSET(Objects!$HW$6,BW$1+(Objects!$Y$4-$A12-1)*Objects!$X$4,0)</f>
        <v>0</v>
      </c>
      <c r="BX12">
        <f ca="1">OFFSET(Objects!$HW$6,BX$1+(Objects!$Y$4-$A12-1)*Objects!$X$4,0)</f>
        <v>0</v>
      </c>
      <c r="BY12">
        <f ca="1">OFFSET(Objects!$HW$6,BY$1+(Objects!$Y$4-$A12-1)*Objects!$X$4,0)</f>
        <v>0</v>
      </c>
      <c r="BZ12">
        <f ca="1">OFFSET(Objects!$HW$6,BZ$1+(Objects!$Y$4-$A12-1)*Objects!$X$4,0)</f>
        <v>0</v>
      </c>
      <c r="CA12">
        <f ca="1">OFFSET(Objects!$HW$6,CA$1+(Objects!$Y$4-$A12-1)*Objects!$X$4,0)</f>
        <v>0</v>
      </c>
      <c r="CB12">
        <f ca="1">OFFSET(Objects!$HW$6,CB$1+(Objects!$Y$4-$A12-1)*Objects!$X$4,0)</f>
        <v>0</v>
      </c>
      <c r="CC12">
        <f ca="1">OFFSET(Objects!$HW$6,CC$1+(Objects!$Y$4-$A12-1)*Objects!$X$4,0)</f>
        <v>0</v>
      </c>
      <c r="CD12">
        <f ca="1">OFFSET(Objects!$HW$6,CD$1+(Objects!$Y$4-$A12-1)*Objects!$X$4,0)</f>
        <v>0</v>
      </c>
      <c r="CE12">
        <f ca="1">OFFSET(Objects!$HW$6,CE$1+(Objects!$Y$4-$A12-1)*Objects!$X$4,0)</f>
        <v>0</v>
      </c>
      <c r="CF12">
        <f ca="1">OFFSET(Objects!$HW$6,CF$1+(Objects!$Y$4-$A12-1)*Objects!$X$4,0)</f>
        <v>0</v>
      </c>
      <c r="CG12">
        <f ca="1">OFFSET(Objects!$HW$6,CG$1+(Objects!$Y$4-$A12-1)*Objects!$X$4,0)</f>
        <v>0</v>
      </c>
      <c r="CH12">
        <f ca="1">OFFSET(Objects!$HW$6,CH$1+(Objects!$Y$4-$A12-1)*Objects!$X$4,0)</f>
        <v>0</v>
      </c>
      <c r="CI12">
        <f ca="1">OFFSET(Objects!$HW$6,CI$1+(Objects!$Y$4-$A12-1)*Objects!$X$4,0)</f>
        <v>0</v>
      </c>
      <c r="CJ12">
        <f ca="1">OFFSET(Objects!$HW$6,CJ$1+(Objects!$Y$4-$A12-1)*Objects!$X$4,0)</f>
        <v>0</v>
      </c>
      <c r="CK12">
        <f ca="1">OFFSET(Objects!$HW$6,CK$1+(Objects!$Y$4-$A12-1)*Objects!$X$4,0)</f>
        <v>0</v>
      </c>
      <c r="CL12">
        <f ca="1">OFFSET(Objects!$HW$6,CL$1+(Objects!$Y$4-$A12-1)*Objects!$X$4,0)</f>
        <v>0</v>
      </c>
      <c r="CM12">
        <f ca="1">OFFSET(Objects!$HW$6,CM$1+(Objects!$Y$4-$A12-1)*Objects!$X$4,0)</f>
        <v>0</v>
      </c>
      <c r="CN12">
        <f ca="1">OFFSET(Objects!$HW$6,CN$1+(Objects!$Y$4-$A12-1)*Objects!$X$4,0)</f>
        <v>0</v>
      </c>
      <c r="CO12">
        <f ca="1">OFFSET(Objects!$HW$6,CO$1+(Objects!$Y$4-$A12-1)*Objects!$X$4,0)</f>
        <v>0</v>
      </c>
      <c r="CP12">
        <f ca="1">OFFSET(Objects!$HW$6,CP$1+(Objects!$Y$4-$A12-1)*Objects!$X$4,0)</f>
        <v>0</v>
      </c>
      <c r="CQ12">
        <f ca="1">OFFSET(Objects!$HW$6,CQ$1+(Objects!$Y$4-$A12-1)*Objects!$X$4,0)</f>
        <v>0</v>
      </c>
      <c r="CR12">
        <f ca="1">OFFSET(Objects!$HW$6,CR$1+(Objects!$Y$4-$A12-1)*Objects!$X$4,0)</f>
        <v>0</v>
      </c>
      <c r="CS12">
        <f ca="1">OFFSET(Objects!$HW$6,CS$1+(Objects!$Y$4-$A12-1)*Objects!$X$4,0)</f>
        <v>0</v>
      </c>
      <c r="CT12">
        <f ca="1">OFFSET(Objects!$HW$6,CT$1+(Objects!$Y$4-$A12-1)*Objects!$X$4,0)</f>
        <v>0</v>
      </c>
      <c r="CU12">
        <f ca="1">OFFSET(Objects!$HW$6,CU$1+(Objects!$Y$4-$A12-1)*Objects!$X$4,0)</f>
        <v>0</v>
      </c>
      <c r="CV12">
        <f ca="1">OFFSET(Objects!$HW$6,CV$1+(Objects!$Y$4-$A12-1)*Objects!$X$4,0)</f>
        <v>0</v>
      </c>
      <c r="CW12">
        <f ca="1">OFFSET(Objects!$HW$6,CW$1+(Objects!$Y$4-$A12-1)*Objects!$X$4,0)</f>
        <v>0</v>
      </c>
      <c r="CX12">
        <f ca="1">OFFSET(Objects!$HW$6,CX$1+(Objects!$Y$4-$A12-1)*Objects!$X$4,0)</f>
        <v>0</v>
      </c>
      <c r="CY12">
        <f ca="1">OFFSET(Objects!$HW$6,CY$1+(Objects!$Y$4-$A12-1)*Objects!$X$4,0)</f>
        <v>0</v>
      </c>
      <c r="CZ12">
        <f ca="1">OFFSET(Objects!$HW$6,CZ$1+(Objects!$Y$4-$A12-1)*Objects!$X$4,0)</f>
        <v>0</v>
      </c>
      <c r="DA12">
        <f ca="1">OFFSET(Objects!$HW$6,DA$1+(Objects!$Y$4-$A12-1)*Objects!$X$4,0)</f>
        <v>0</v>
      </c>
      <c r="DB12">
        <f ca="1">OFFSET(Objects!$HW$6,DB$1+(Objects!$Y$4-$A12-1)*Objects!$X$4,0)</f>
        <v>0</v>
      </c>
      <c r="DC12">
        <f ca="1">OFFSET(Objects!$HW$6,DC$1+(Objects!$Y$4-$A12-1)*Objects!$X$4,0)</f>
        <v>0</v>
      </c>
      <c r="DD12">
        <f ca="1">OFFSET(Objects!$HW$6,DD$1+(Objects!$Y$4-$A12-1)*Objects!$X$4,0)</f>
        <v>0</v>
      </c>
      <c r="DE12">
        <f ca="1">OFFSET(Objects!$HW$6,DE$1+(Objects!$Y$4-$A12-1)*Objects!$X$4,0)</f>
        <v>0</v>
      </c>
      <c r="DF12">
        <f ca="1">OFFSET(Objects!$HW$6,DF$1+(Objects!$Y$4-$A12-1)*Objects!$X$4,0)</f>
        <v>0</v>
      </c>
      <c r="DG12">
        <f ca="1">OFFSET(Objects!$HW$6,DG$1+(Objects!$Y$4-$A12-1)*Objects!$X$4,0)</f>
        <v>0</v>
      </c>
      <c r="DH12">
        <f ca="1">OFFSET(Objects!$HW$6,DH$1+(Objects!$Y$4-$A12-1)*Objects!$X$4,0)</f>
        <v>0</v>
      </c>
      <c r="DI12">
        <f ca="1">OFFSET(Objects!$HW$6,DI$1+(Objects!$Y$4-$A12-1)*Objects!$X$4,0)</f>
        <v>0</v>
      </c>
      <c r="DJ12">
        <f ca="1">OFFSET(Objects!$HW$6,DJ$1+(Objects!$Y$4-$A12-1)*Objects!$X$4,0)</f>
        <v>0</v>
      </c>
      <c r="DK12">
        <f ca="1">OFFSET(Objects!$HW$6,DK$1+(Objects!$Y$4-$A12-1)*Objects!$X$4,0)</f>
        <v>0</v>
      </c>
      <c r="DL12">
        <f ca="1">OFFSET(Objects!$HW$6,DL$1+(Objects!$Y$4-$A12-1)*Objects!$X$4,0)</f>
        <v>0</v>
      </c>
      <c r="DM12">
        <f ca="1">OFFSET(Objects!$HW$6,DM$1+(Objects!$Y$4-$A12-1)*Objects!$X$4,0)</f>
        <v>0</v>
      </c>
      <c r="DN12">
        <f ca="1">OFFSET(Objects!$HW$6,DN$1+(Objects!$Y$4-$A12-1)*Objects!$X$4,0)</f>
        <v>0</v>
      </c>
      <c r="DO12">
        <f ca="1">OFFSET(Objects!$HW$6,DO$1+(Objects!$Y$4-$A12-1)*Objects!$X$4,0)</f>
        <v>0</v>
      </c>
      <c r="DP12">
        <f ca="1">OFFSET(Objects!$HW$6,DP$1+(Objects!$Y$4-$A12-1)*Objects!$X$4,0)</f>
        <v>0</v>
      </c>
      <c r="DQ12">
        <f ca="1">OFFSET(Objects!$HW$6,DQ$1+(Objects!$Y$4-$A12-1)*Objects!$X$4,0)</f>
        <v>0</v>
      </c>
      <c r="DR12">
        <f ca="1">OFFSET(Objects!$HW$6,DR$1+(Objects!$Y$4-$A12-1)*Objects!$X$4,0)</f>
        <v>0</v>
      </c>
      <c r="DS12">
        <f ca="1">OFFSET(Objects!$HW$6,DS$1+(Objects!$Y$4-$A12-1)*Objects!$X$4,0)</f>
        <v>0</v>
      </c>
      <c r="DT12">
        <f ca="1">OFFSET(Objects!$HW$6,DT$1+(Objects!$Y$4-$A12-1)*Objects!$X$4,0)</f>
        <v>0</v>
      </c>
      <c r="DU12">
        <f ca="1">OFFSET(Objects!$HW$6,DU$1+(Objects!$Y$4-$A12-1)*Objects!$X$4,0)</f>
        <v>0</v>
      </c>
      <c r="DV12">
        <f ca="1">OFFSET(Objects!$HW$6,DV$1+(Objects!$Y$4-$A12-1)*Objects!$X$4,0)</f>
        <v>0</v>
      </c>
      <c r="DW12">
        <f ca="1">OFFSET(Objects!$HW$6,DW$1+(Objects!$Y$4-$A12-1)*Objects!$X$4,0)</f>
        <v>0</v>
      </c>
      <c r="DX12">
        <f ca="1">OFFSET(Objects!$HW$6,DX$1+(Objects!$Y$4-$A12-1)*Objects!$X$4,0)</f>
        <v>0</v>
      </c>
      <c r="DY12">
        <f ca="1">OFFSET(Objects!$HW$6,DY$1+(Objects!$Y$4-$A12-1)*Objects!$X$4,0)</f>
        <v>0</v>
      </c>
      <c r="DZ12">
        <f ca="1">OFFSET(Objects!$HW$6,DZ$1+(Objects!$Y$4-$A12-1)*Objects!$X$4,0)</f>
        <v>0</v>
      </c>
      <c r="EA12">
        <f ca="1">OFFSET(Objects!$HW$6,EA$1+(Objects!$Y$4-$A12-1)*Objects!$X$4,0)</f>
        <v>0</v>
      </c>
      <c r="EB12">
        <f ca="1">OFFSET(Objects!$HW$6,EB$1+(Objects!$Y$4-$A12-1)*Objects!$X$4,0)</f>
        <v>0</v>
      </c>
      <c r="EC12">
        <f ca="1">OFFSET(Objects!$HW$6,EC$1+(Objects!$Y$4-$A12-1)*Objects!$X$4,0)</f>
        <v>0</v>
      </c>
      <c r="ED12">
        <f ca="1">OFFSET(Objects!$HW$6,ED$1+(Objects!$Y$4-$A12-1)*Objects!$X$4,0)</f>
        <v>0</v>
      </c>
      <c r="EE12">
        <f ca="1">OFFSET(Objects!$HW$6,EE$1+(Objects!$Y$4-$A12-1)*Objects!$X$4,0)</f>
        <v>0</v>
      </c>
      <c r="EF12">
        <f ca="1">OFFSET(Objects!$HW$6,EF$1+(Objects!$Y$4-$A12-1)*Objects!$X$4,0)</f>
        <v>0</v>
      </c>
      <c r="EG12">
        <f ca="1">OFFSET(Objects!$HW$6,EG$1+(Objects!$Y$4-$A12-1)*Objects!$X$4,0)</f>
        <v>0</v>
      </c>
      <c r="EH12">
        <f ca="1">OFFSET(Objects!$HW$6,EH$1+(Objects!$Y$4-$A12-1)*Objects!$X$4,0)</f>
        <v>0</v>
      </c>
      <c r="EI12">
        <f ca="1">OFFSET(Objects!$HW$6,EI$1+(Objects!$Y$4-$A12-1)*Objects!$X$4,0)</f>
        <v>0</v>
      </c>
      <c r="EJ12">
        <f ca="1">OFFSET(Objects!$HW$6,EJ$1+(Objects!$Y$4-$A12-1)*Objects!$X$4,0)</f>
        <v>0</v>
      </c>
      <c r="EK12">
        <f ca="1">OFFSET(Objects!$HW$6,EK$1+(Objects!$Y$4-$A12-1)*Objects!$X$4,0)</f>
        <v>0</v>
      </c>
      <c r="EL12">
        <f ca="1">OFFSET(Objects!$HW$6,EL$1+(Objects!$Y$4-$A12-1)*Objects!$X$4,0)</f>
        <v>0</v>
      </c>
      <c r="EM12">
        <f ca="1">OFFSET(Objects!$HW$6,EM$1+(Objects!$Y$4-$A12-1)*Objects!$X$4,0)</f>
        <v>0</v>
      </c>
      <c r="EN12">
        <f ca="1">OFFSET(Objects!$HW$6,EN$1+(Objects!$Y$4-$A12-1)*Objects!$X$4,0)</f>
        <v>0</v>
      </c>
      <c r="EO12">
        <f ca="1">OFFSET(Objects!$HW$6,EO$1+(Objects!$Y$4-$A12-1)*Objects!$X$4,0)</f>
        <v>0</v>
      </c>
      <c r="EP12">
        <f ca="1">OFFSET(Objects!$HW$6,EP$1+(Objects!$Y$4-$A12-1)*Objects!$X$4,0)</f>
        <v>0</v>
      </c>
      <c r="EQ12">
        <f ca="1">OFFSET(Objects!$HW$6,EQ$1+(Objects!$Y$4-$A12-1)*Objects!$X$4,0)</f>
        <v>0</v>
      </c>
      <c r="ER12">
        <f ca="1">OFFSET(Objects!$HW$6,ER$1+(Objects!$Y$4-$A12-1)*Objects!$X$4,0)</f>
        <v>0</v>
      </c>
      <c r="ES12">
        <f ca="1">OFFSET(Objects!$HW$6,ES$1+(Objects!$Y$4-$A12-1)*Objects!$X$4,0)</f>
        <v>0</v>
      </c>
      <c r="ET12">
        <f ca="1">OFFSET(Objects!$HW$6,ET$1+(Objects!$Y$4-$A12-1)*Objects!$X$4,0)</f>
        <v>0</v>
      </c>
      <c r="EU12">
        <f ca="1">OFFSET(Objects!$HW$6,EU$1+(Objects!$Y$4-$A12-1)*Objects!$X$4,0)</f>
        <v>0</v>
      </c>
      <c r="EV12">
        <f ca="1">OFFSET(Objects!$HW$6,EV$1+(Objects!$Y$4-$A12-1)*Objects!$X$4,0)</f>
        <v>0</v>
      </c>
      <c r="EW12">
        <f ca="1">OFFSET(Objects!$HW$6,EW$1+(Objects!$Y$4-$A12-1)*Objects!$X$4,0)</f>
        <v>0</v>
      </c>
      <c r="EX12">
        <f ca="1">OFFSET(Objects!$HW$6,EX$1+(Objects!$Y$4-$A12-1)*Objects!$X$4,0)</f>
        <v>0</v>
      </c>
      <c r="EY12">
        <f ca="1">OFFSET(Objects!$HW$6,EY$1+(Objects!$Y$4-$A12-1)*Objects!$X$4,0)</f>
        <v>0</v>
      </c>
      <c r="EZ12">
        <f ca="1">OFFSET(Objects!$HW$6,EZ$1+(Objects!$Y$4-$A12-1)*Objects!$X$4,0)</f>
        <v>0</v>
      </c>
      <c r="FA12">
        <f ca="1">OFFSET(Objects!$HW$6,FA$1+(Objects!$Y$4-$A12-1)*Objects!$X$4,0)</f>
        <v>0</v>
      </c>
      <c r="FB12">
        <f ca="1">OFFSET(Objects!$HW$6,FB$1+(Objects!$Y$4-$A12-1)*Objects!$X$4,0)</f>
        <v>0</v>
      </c>
      <c r="FC12">
        <f ca="1">OFFSET(Objects!$HW$6,FC$1+(Objects!$Y$4-$A12-1)*Objects!$X$4,0)</f>
        <v>0</v>
      </c>
      <c r="FD12">
        <f ca="1">OFFSET(Objects!$HW$6,FD$1+(Objects!$Y$4-$A12-1)*Objects!$X$4,0)</f>
        <v>0</v>
      </c>
      <c r="FE12" s="22">
        <f ca="1">OFFSET(Objects!$HW$6,FE$1+(Objects!$Y$4-$A12-1)*Objects!$X$4,0)</f>
        <v>0</v>
      </c>
    </row>
    <row r="13" spans="1:161" ht="4.5" customHeight="1" x14ac:dyDescent="0.25">
      <c r="A13">
        <v>11</v>
      </c>
      <c r="B13" s="21">
        <f ca="1">OFFSET(Objects!$HW$6,B$1+(Objects!$Y$4-$A13-1)*Objects!$X$4,0)</f>
        <v>0</v>
      </c>
      <c r="C13">
        <f ca="1">OFFSET(Objects!$HW$6,C$1+(Objects!$Y$4-$A13-1)*Objects!$X$4,0)</f>
        <v>0</v>
      </c>
      <c r="D13">
        <f ca="1">OFFSET(Objects!$HW$6,D$1+(Objects!$Y$4-$A13-1)*Objects!$X$4,0)</f>
        <v>0</v>
      </c>
      <c r="E13">
        <f ca="1">OFFSET(Objects!$HW$6,E$1+(Objects!$Y$4-$A13-1)*Objects!$X$4,0)</f>
        <v>0</v>
      </c>
      <c r="F13">
        <f ca="1">OFFSET(Objects!$HW$6,F$1+(Objects!$Y$4-$A13-1)*Objects!$X$4,0)</f>
        <v>0</v>
      </c>
      <c r="G13">
        <f ca="1">OFFSET(Objects!$HW$6,G$1+(Objects!$Y$4-$A13-1)*Objects!$X$4,0)</f>
        <v>0</v>
      </c>
      <c r="H13">
        <f ca="1">OFFSET(Objects!$HW$6,H$1+(Objects!$Y$4-$A13-1)*Objects!$X$4,0)</f>
        <v>0</v>
      </c>
      <c r="I13">
        <f ca="1">OFFSET(Objects!$HW$6,I$1+(Objects!$Y$4-$A13-1)*Objects!$X$4,0)</f>
        <v>0</v>
      </c>
      <c r="J13">
        <f ca="1">OFFSET(Objects!$HW$6,J$1+(Objects!$Y$4-$A13-1)*Objects!$X$4,0)</f>
        <v>0</v>
      </c>
      <c r="K13">
        <f ca="1">OFFSET(Objects!$HW$6,K$1+(Objects!$Y$4-$A13-1)*Objects!$X$4,0)</f>
        <v>0</v>
      </c>
      <c r="L13">
        <f ca="1">OFFSET(Objects!$HW$6,L$1+(Objects!$Y$4-$A13-1)*Objects!$X$4,0)</f>
        <v>0</v>
      </c>
      <c r="M13">
        <f ca="1">OFFSET(Objects!$HW$6,M$1+(Objects!$Y$4-$A13-1)*Objects!$X$4,0)</f>
        <v>0</v>
      </c>
      <c r="N13">
        <f ca="1">OFFSET(Objects!$HW$6,N$1+(Objects!$Y$4-$A13-1)*Objects!$X$4,0)</f>
        <v>0</v>
      </c>
      <c r="O13">
        <f ca="1">OFFSET(Objects!$HW$6,O$1+(Objects!$Y$4-$A13-1)*Objects!$X$4,0)</f>
        <v>0</v>
      </c>
      <c r="P13">
        <f ca="1">OFFSET(Objects!$HW$6,P$1+(Objects!$Y$4-$A13-1)*Objects!$X$4,0)</f>
        <v>0</v>
      </c>
      <c r="Q13">
        <f ca="1">OFFSET(Objects!$HW$6,Q$1+(Objects!$Y$4-$A13-1)*Objects!$X$4,0)</f>
        <v>0</v>
      </c>
      <c r="R13">
        <f ca="1">OFFSET(Objects!$HW$6,R$1+(Objects!$Y$4-$A13-1)*Objects!$X$4,0)</f>
        <v>0</v>
      </c>
      <c r="S13">
        <f ca="1">OFFSET(Objects!$HW$6,S$1+(Objects!$Y$4-$A13-1)*Objects!$X$4,0)</f>
        <v>0</v>
      </c>
      <c r="T13">
        <f ca="1">OFFSET(Objects!$HW$6,T$1+(Objects!$Y$4-$A13-1)*Objects!$X$4,0)</f>
        <v>0</v>
      </c>
      <c r="U13">
        <f ca="1">OFFSET(Objects!$HW$6,U$1+(Objects!$Y$4-$A13-1)*Objects!$X$4,0)</f>
        <v>0</v>
      </c>
      <c r="V13">
        <f ca="1">OFFSET(Objects!$HW$6,V$1+(Objects!$Y$4-$A13-1)*Objects!$X$4,0)</f>
        <v>0</v>
      </c>
      <c r="W13">
        <f ca="1">OFFSET(Objects!$HW$6,W$1+(Objects!$Y$4-$A13-1)*Objects!$X$4,0)</f>
        <v>0</v>
      </c>
      <c r="X13">
        <f ca="1">OFFSET(Objects!$HW$6,X$1+(Objects!$Y$4-$A13-1)*Objects!$X$4,0)</f>
        <v>0</v>
      </c>
      <c r="Y13">
        <f ca="1">OFFSET(Objects!$HW$6,Y$1+(Objects!$Y$4-$A13-1)*Objects!$X$4,0)</f>
        <v>0</v>
      </c>
      <c r="Z13">
        <f ca="1">OFFSET(Objects!$HW$6,Z$1+(Objects!$Y$4-$A13-1)*Objects!$X$4,0)</f>
        <v>0</v>
      </c>
      <c r="AA13">
        <f ca="1">OFFSET(Objects!$HW$6,AA$1+(Objects!$Y$4-$A13-1)*Objects!$X$4,0)</f>
        <v>0</v>
      </c>
      <c r="AB13">
        <f ca="1">OFFSET(Objects!$HW$6,AB$1+(Objects!$Y$4-$A13-1)*Objects!$X$4,0)</f>
        <v>0</v>
      </c>
      <c r="AC13">
        <f ca="1">OFFSET(Objects!$HW$6,AC$1+(Objects!$Y$4-$A13-1)*Objects!$X$4,0)</f>
        <v>0</v>
      </c>
      <c r="AD13">
        <f ca="1">OFFSET(Objects!$HW$6,AD$1+(Objects!$Y$4-$A13-1)*Objects!$X$4,0)</f>
        <v>0</v>
      </c>
      <c r="AE13">
        <f ca="1">OFFSET(Objects!$HW$6,AE$1+(Objects!$Y$4-$A13-1)*Objects!$X$4,0)</f>
        <v>0</v>
      </c>
      <c r="AF13">
        <f ca="1">OFFSET(Objects!$HW$6,AF$1+(Objects!$Y$4-$A13-1)*Objects!$X$4,0)</f>
        <v>0</v>
      </c>
      <c r="AG13">
        <f ca="1">OFFSET(Objects!$HW$6,AG$1+(Objects!$Y$4-$A13-1)*Objects!$X$4,0)</f>
        <v>0</v>
      </c>
      <c r="AH13">
        <f ca="1">OFFSET(Objects!$HW$6,AH$1+(Objects!$Y$4-$A13-1)*Objects!$X$4,0)</f>
        <v>0</v>
      </c>
      <c r="AI13">
        <f ca="1">OFFSET(Objects!$HW$6,AI$1+(Objects!$Y$4-$A13-1)*Objects!$X$4,0)</f>
        <v>0</v>
      </c>
      <c r="AJ13">
        <f ca="1">OFFSET(Objects!$HW$6,AJ$1+(Objects!$Y$4-$A13-1)*Objects!$X$4,0)</f>
        <v>0</v>
      </c>
      <c r="AK13">
        <f ca="1">OFFSET(Objects!$HW$6,AK$1+(Objects!$Y$4-$A13-1)*Objects!$X$4,0)</f>
        <v>0</v>
      </c>
      <c r="AL13">
        <f ca="1">OFFSET(Objects!$HW$6,AL$1+(Objects!$Y$4-$A13-1)*Objects!$X$4,0)</f>
        <v>0</v>
      </c>
      <c r="AM13">
        <f ca="1">OFFSET(Objects!$HW$6,AM$1+(Objects!$Y$4-$A13-1)*Objects!$X$4,0)</f>
        <v>0</v>
      </c>
      <c r="AN13">
        <f ca="1">OFFSET(Objects!$HW$6,AN$1+(Objects!$Y$4-$A13-1)*Objects!$X$4,0)</f>
        <v>0</v>
      </c>
      <c r="AO13">
        <f ca="1">OFFSET(Objects!$HW$6,AO$1+(Objects!$Y$4-$A13-1)*Objects!$X$4,0)</f>
        <v>0</v>
      </c>
      <c r="AP13">
        <f ca="1">OFFSET(Objects!$HW$6,AP$1+(Objects!$Y$4-$A13-1)*Objects!$X$4,0)</f>
        <v>0</v>
      </c>
      <c r="AQ13">
        <f ca="1">OFFSET(Objects!$HW$6,AQ$1+(Objects!$Y$4-$A13-1)*Objects!$X$4,0)</f>
        <v>0</v>
      </c>
      <c r="AR13">
        <f ca="1">OFFSET(Objects!$HW$6,AR$1+(Objects!$Y$4-$A13-1)*Objects!$X$4,0)</f>
        <v>0</v>
      </c>
      <c r="AS13">
        <f ca="1">OFFSET(Objects!$HW$6,AS$1+(Objects!$Y$4-$A13-1)*Objects!$X$4,0)</f>
        <v>0</v>
      </c>
      <c r="AT13">
        <f ca="1">OFFSET(Objects!$HW$6,AT$1+(Objects!$Y$4-$A13-1)*Objects!$X$4,0)</f>
        <v>0</v>
      </c>
      <c r="AU13">
        <f ca="1">OFFSET(Objects!$HW$6,AU$1+(Objects!$Y$4-$A13-1)*Objects!$X$4,0)</f>
        <v>0</v>
      </c>
      <c r="AV13">
        <f ca="1">OFFSET(Objects!$HW$6,AV$1+(Objects!$Y$4-$A13-1)*Objects!$X$4,0)</f>
        <v>0</v>
      </c>
      <c r="AW13">
        <f ca="1">OFFSET(Objects!$HW$6,AW$1+(Objects!$Y$4-$A13-1)*Objects!$X$4,0)</f>
        <v>0</v>
      </c>
      <c r="AX13">
        <f ca="1">OFFSET(Objects!$HW$6,AX$1+(Objects!$Y$4-$A13-1)*Objects!$X$4,0)</f>
        <v>0</v>
      </c>
      <c r="AY13">
        <f ca="1">OFFSET(Objects!$HW$6,AY$1+(Objects!$Y$4-$A13-1)*Objects!$X$4,0)</f>
        <v>0</v>
      </c>
      <c r="AZ13">
        <f ca="1">OFFSET(Objects!$HW$6,AZ$1+(Objects!$Y$4-$A13-1)*Objects!$X$4,0)</f>
        <v>0</v>
      </c>
      <c r="BA13">
        <f ca="1">OFFSET(Objects!$HW$6,BA$1+(Objects!$Y$4-$A13-1)*Objects!$X$4,0)</f>
        <v>0</v>
      </c>
      <c r="BB13">
        <f ca="1">OFFSET(Objects!$HW$6,BB$1+(Objects!$Y$4-$A13-1)*Objects!$X$4,0)</f>
        <v>0</v>
      </c>
      <c r="BC13">
        <f ca="1">OFFSET(Objects!$HW$6,BC$1+(Objects!$Y$4-$A13-1)*Objects!$X$4,0)</f>
        <v>0</v>
      </c>
      <c r="BD13">
        <f ca="1">OFFSET(Objects!$HW$6,BD$1+(Objects!$Y$4-$A13-1)*Objects!$X$4,0)</f>
        <v>0</v>
      </c>
      <c r="BE13">
        <f ca="1">OFFSET(Objects!$HW$6,BE$1+(Objects!$Y$4-$A13-1)*Objects!$X$4,0)</f>
        <v>0</v>
      </c>
      <c r="BF13">
        <f ca="1">OFFSET(Objects!$HW$6,BF$1+(Objects!$Y$4-$A13-1)*Objects!$X$4,0)</f>
        <v>0</v>
      </c>
      <c r="BG13">
        <f ca="1">OFFSET(Objects!$HW$6,BG$1+(Objects!$Y$4-$A13-1)*Objects!$X$4,0)</f>
        <v>0</v>
      </c>
      <c r="BH13">
        <f ca="1">OFFSET(Objects!$HW$6,BH$1+(Objects!$Y$4-$A13-1)*Objects!$X$4,0)</f>
        <v>0</v>
      </c>
      <c r="BI13">
        <f ca="1">OFFSET(Objects!$HW$6,BI$1+(Objects!$Y$4-$A13-1)*Objects!$X$4,0)</f>
        <v>0</v>
      </c>
      <c r="BJ13">
        <f ca="1">OFFSET(Objects!$HW$6,BJ$1+(Objects!$Y$4-$A13-1)*Objects!$X$4,0)</f>
        <v>0</v>
      </c>
      <c r="BK13">
        <f ca="1">OFFSET(Objects!$HW$6,BK$1+(Objects!$Y$4-$A13-1)*Objects!$X$4,0)</f>
        <v>0</v>
      </c>
      <c r="BL13">
        <f ca="1">OFFSET(Objects!$HW$6,BL$1+(Objects!$Y$4-$A13-1)*Objects!$X$4,0)</f>
        <v>0</v>
      </c>
      <c r="BM13">
        <f ca="1">OFFSET(Objects!$HW$6,BM$1+(Objects!$Y$4-$A13-1)*Objects!$X$4,0)</f>
        <v>0</v>
      </c>
      <c r="BN13">
        <f ca="1">OFFSET(Objects!$HW$6,BN$1+(Objects!$Y$4-$A13-1)*Objects!$X$4,0)</f>
        <v>0</v>
      </c>
      <c r="BO13">
        <f ca="1">OFFSET(Objects!$HW$6,BO$1+(Objects!$Y$4-$A13-1)*Objects!$X$4,0)</f>
        <v>0</v>
      </c>
      <c r="BP13">
        <f ca="1">OFFSET(Objects!$HW$6,BP$1+(Objects!$Y$4-$A13-1)*Objects!$X$4,0)</f>
        <v>0</v>
      </c>
      <c r="BQ13">
        <f ca="1">OFFSET(Objects!$HW$6,BQ$1+(Objects!$Y$4-$A13-1)*Objects!$X$4,0)</f>
        <v>0</v>
      </c>
      <c r="BR13">
        <f ca="1">OFFSET(Objects!$HW$6,BR$1+(Objects!$Y$4-$A13-1)*Objects!$X$4,0)</f>
        <v>0</v>
      </c>
      <c r="BS13">
        <f ca="1">OFFSET(Objects!$HW$6,BS$1+(Objects!$Y$4-$A13-1)*Objects!$X$4,0)</f>
        <v>0</v>
      </c>
      <c r="BT13">
        <f ca="1">OFFSET(Objects!$HW$6,BT$1+(Objects!$Y$4-$A13-1)*Objects!$X$4,0)</f>
        <v>0</v>
      </c>
      <c r="BU13">
        <f ca="1">OFFSET(Objects!$HW$6,BU$1+(Objects!$Y$4-$A13-1)*Objects!$X$4,0)</f>
        <v>0</v>
      </c>
      <c r="BV13">
        <f ca="1">OFFSET(Objects!$HW$6,BV$1+(Objects!$Y$4-$A13-1)*Objects!$X$4,0)</f>
        <v>0</v>
      </c>
      <c r="BW13">
        <f ca="1">OFFSET(Objects!$HW$6,BW$1+(Objects!$Y$4-$A13-1)*Objects!$X$4,0)</f>
        <v>0</v>
      </c>
      <c r="BX13">
        <f ca="1">OFFSET(Objects!$HW$6,BX$1+(Objects!$Y$4-$A13-1)*Objects!$X$4,0)</f>
        <v>0</v>
      </c>
      <c r="BY13">
        <f ca="1">OFFSET(Objects!$HW$6,BY$1+(Objects!$Y$4-$A13-1)*Objects!$X$4,0)</f>
        <v>0</v>
      </c>
      <c r="BZ13">
        <f ca="1">OFFSET(Objects!$HW$6,BZ$1+(Objects!$Y$4-$A13-1)*Objects!$X$4,0)</f>
        <v>0</v>
      </c>
      <c r="CA13">
        <f ca="1">OFFSET(Objects!$HW$6,CA$1+(Objects!$Y$4-$A13-1)*Objects!$X$4,0)</f>
        <v>0</v>
      </c>
      <c r="CB13">
        <f ca="1">OFFSET(Objects!$HW$6,CB$1+(Objects!$Y$4-$A13-1)*Objects!$X$4,0)</f>
        <v>0</v>
      </c>
      <c r="CC13">
        <f ca="1">OFFSET(Objects!$HW$6,CC$1+(Objects!$Y$4-$A13-1)*Objects!$X$4,0)</f>
        <v>0</v>
      </c>
      <c r="CD13">
        <f ca="1">OFFSET(Objects!$HW$6,CD$1+(Objects!$Y$4-$A13-1)*Objects!$X$4,0)</f>
        <v>0</v>
      </c>
      <c r="CE13">
        <f ca="1">OFFSET(Objects!$HW$6,CE$1+(Objects!$Y$4-$A13-1)*Objects!$X$4,0)</f>
        <v>0</v>
      </c>
      <c r="CF13">
        <f ca="1">OFFSET(Objects!$HW$6,CF$1+(Objects!$Y$4-$A13-1)*Objects!$X$4,0)</f>
        <v>0</v>
      </c>
      <c r="CG13">
        <f ca="1">OFFSET(Objects!$HW$6,CG$1+(Objects!$Y$4-$A13-1)*Objects!$X$4,0)</f>
        <v>0</v>
      </c>
      <c r="CH13">
        <f ca="1">OFFSET(Objects!$HW$6,CH$1+(Objects!$Y$4-$A13-1)*Objects!$X$4,0)</f>
        <v>0</v>
      </c>
      <c r="CI13">
        <f ca="1">OFFSET(Objects!$HW$6,CI$1+(Objects!$Y$4-$A13-1)*Objects!$X$4,0)</f>
        <v>0</v>
      </c>
      <c r="CJ13">
        <f ca="1">OFFSET(Objects!$HW$6,CJ$1+(Objects!$Y$4-$A13-1)*Objects!$X$4,0)</f>
        <v>0</v>
      </c>
      <c r="CK13">
        <f ca="1">OFFSET(Objects!$HW$6,CK$1+(Objects!$Y$4-$A13-1)*Objects!$X$4,0)</f>
        <v>0</v>
      </c>
      <c r="CL13">
        <f ca="1">OFFSET(Objects!$HW$6,CL$1+(Objects!$Y$4-$A13-1)*Objects!$X$4,0)</f>
        <v>0</v>
      </c>
      <c r="CM13">
        <f ca="1">OFFSET(Objects!$HW$6,CM$1+(Objects!$Y$4-$A13-1)*Objects!$X$4,0)</f>
        <v>0</v>
      </c>
      <c r="CN13">
        <f ca="1">OFFSET(Objects!$HW$6,CN$1+(Objects!$Y$4-$A13-1)*Objects!$X$4,0)</f>
        <v>0</v>
      </c>
      <c r="CO13">
        <f ca="1">OFFSET(Objects!$HW$6,CO$1+(Objects!$Y$4-$A13-1)*Objects!$X$4,0)</f>
        <v>0</v>
      </c>
      <c r="CP13">
        <f ca="1">OFFSET(Objects!$HW$6,CP$1+(Objects!$Y$4-$A13-1)*Objects!$X$4,0)</f>
        <v>0</v>
      </c>
      <c r="CQ13">
        <f ca="1">OFFSET(Objects!$HW$6,CQ$1+(Objects!$Y$4-$A13-1)*Objects!$X$4,0)</f>
        <v>0</v>
      </c>
      <c r="CR13">
        <f ca="1">OFFSET(Objects!$HW$6,CR$1+(Objects!$Y$4-$A13-1)*Objects!$X$4,0)</f>
        <v>0</v>
      </c>
      <c r="CS13">
        <f ca="1">OFFSET(Objects!$HW$6,CS$1+(Objects!$Y$4-$A13-1)*Objects!$X$4,0)</f>
        <v>0</v>
      </c>
      <c r="CT13">
        <f ca="1">OFFSET(Objects!$HW$6,CT$1+(Objects!$Y$4-$A13-1)*Objects!$X$4,0)</f>
        <v>0</v>
      </c>
      <c r="CU13">
        <f ca="1">OFFSET(Objects!$HW$6,CU$1+(Objects!$Y$4-$A13-1)*Objects!$X$4,0)</f>
        <v>0</v>
      </c>
      <c r="CV13">
        <f ca="1">OFFSET(Objects!$HW$6,CV$1+(Objects!$Y$4-$A13-1)*Objects!$X$4,0)</f>
        <v>0</v>
      </c>
      <c r="CW13">
        <f ca="1">OFFSET(Objects!$HW$6,CW$1+(Objects!$Y$4-$A13-1)*Objects!$X$4,0)</f>
        <v>0</v>
      </c>
      <c r="CX13">
        <f ca="1">OFFSET(Objects!$HW$6,CX$1+(Objects!$Y$4-$A13-1)*Objects!$X$4,0)</f>
        <v>0</v>
      </c>
      <c r="CY13">
        <f ca="1">OFFSET(Objects!$HW$6,CY$1+(Objects!$Y$4-$A13-1)*Objects!$X$4,0)</f>
        <v>0</v>
      </c>
      <c r="CZ13">
        <f ca="1">OFFSET(Objects!$HW$6,CZ$1+(Objects!$Y$4-$A13-1)*Objects!$X$4,0)</f>
        <v>0</v>
      </c>
      <c r="DA13">
        <f ca="1">OFFSET(Objects!$HW$6,DA$1+(Objects!$Y$4-$A13-1)*Objects!$X$4,0)</f>
        <v>0</v>
      </c>
      <c r="DB13">
        <f ca="1">OFFSET(Objects!$HW$6,DB$1+(Objects!$Y$4-$A13-1)*Objects!$X$4,0)</f>
        <v>0</v>
      </c>
      <c r="DC13">
        <f ca="1">OFFSET(Objects!$HW$6,DC$1+(Objects!$Y$4-$A13-1)*Objects!$X$4,0)</f>
        <v>0</v>
      </c>
      <c r="DD13">
        <f ca="1">OFFSET(Objects!$HW$6,DD$1+(Objects!$Y$4-$A13-1)*Objects!$X$4,0)</f>
        <v>0</v>
      </c>
      <c r="DE13">
        <f ca="1">OFFSET(Objects!$HW$6,DE$1+(Objects!$Y$4-$A13-1)*Objects!$X$4,0)</f>
        <v>0</v>
      </c>
      <c r="DF13">
        <f ca="1">OFFSET(Objects!$HW$6,DF$1+(Objects!$Y$4-$A13-1)*Objects!$X$4,0)</f>
        <v>0</v>
      </c>
      <c r="DG13">
        <f ca="1">OFFSET(Objects!$HW$6,DG$1+(Objects!$Y$4-$A13-1)*Objects!$X$4,0)</f>
        <v>0</v>
      </c>
      <c r="DH13">
        <f ca="1">OFFSET(Objects!$HW$6,DH$1+(Objects!$Y$4-$A13-1)*Objects!$X$4,0)</f>
        <v>0</v>
      </c>
      <c r="DI13">
        <f ca="1">OFFSET(Objects!$HW$6,DI$1+(Objects!$Y$4-$A13-1)*Objects!$X$4,0)</f>
        <v>0</v>
      </c>
      <c r="DJ13">
        <f ca="1">OFFSET(Objects!$HW$6,DJ$1+(Objects!$Y$4-$A13-1)*Objects!$X$4,0)</f>
        <v>0</v>
      </c>
      <c r="DK13">
        <f ca="1">OFFSET(Objects!$HW$6,DK$1+(Objects!$Y$4-$A13-1)*Objects!$X$4,0)</f>
        <v>0</v>
      </c>
      <c r="DL13">
        <f ca="1">OFFSET(Objects!$HW$6,DL$1+(Objects!$Y$4-$A13-1)*Objects!$X$4,0)</f>
        <v>0</v>
      </c>
      <c r="DM13">
        <f ca="1">OFFSET(Objects!$HW$6,DM$1+(Objects!$Y$4-$A13-1)*Objects!$X$4,0)</f>
        <v>0</v>
      </c>
      <c r="DN13">
        <f ca="1">OFFSET(Objects!$HW$6,DN$1+(Objects!$Y$4-$A13-1)*Objects!$X$4,0)</f>
        <v>0</v>
      </c>
      <c r="DO13">
        <f ca="1">OFFSET(Objects!$HW$6,DO$1+(Objects!$Y$4-$A13-1)*Objects!$X$4,0)</f>
        <v>0</v>
      </c>
      <c r="DP13">
        <f ca="1">OFFSET(Objects!$HW$6,DP$1+(Objects!$Y$4-$A13-1)*Objects!$X$4,0)</f>
        <v>0</v>
      </c>
      <c r="DQ13">
        <f ca="1">OFFSET(Objects!$HW$6,DQ$1+(Objects!$Y$4-$A13-1)*Objects!$X$4,0)</f>
        <v>0</v>
      </c>
      <c r="DR13">
        <f ca="1">OFFSET(Objects!$HW$6,DR$1+(Objects!$Y$4-$A13-1)*Objects!$X$4,0)</f>
        <v>0</v>
      </c>
      <c r="DS13">
        <f ca="1">OFFSET(Objects!$HW$6,DS$1+(Objects!$Y$4-$A13-1)*Objects!$X$4,0)</f>
        <v>0</v>
      </c>
      <c r="DT13">
        <f ca="1">OFFSET(Objects!$HW$6,DT$1+(Objects!$Y$4-$A13-1)*Objects!$X$4,0)</f>
        <v>0</v>
      </c>
      <c r="DU13">
        <f ca="1">OFFSET(Objects!$HW$6,DU$1+(Objects!$Y$4-$A13-1)*Objects!$X$4,0)</f>
        <v>0</v>
      </c>
      <c r="DV13">
        <f ca="1">OFFSET(Objects!$HW$6,DV$1+(Objects!$Y$4-$A13-1)*Objects!$X$4,0)</f>
        <v>0</v>
      </c>
      <c r="DW13">
        <f ca="1">OFFSET(Objects!$HW$6,DW$1+(Objects!$Y$4-$A13-1)*Objects!$X$4,0)</f>
        <v>0</v>
      </c>
      <c r="DX13">
        <f ca="1">OFFSET(Objects!$HW$6,DX$1+(Objects!$Y$4-$A13-1)*Objects!$X$4,0)</f>
        <v>0</v>
      </c>
      <c r="DY13">
        <f ca="1">OFFSET(Objects!$HW$6,DY$1+(Objects!$Y$4-$A13-1)*Objects!$X$4,0)</f>
        <v>0</v>
      </c>
      <c r="DZ13">
        <f ca="1">OFFSET(Objects!$HW$6,DZ$1+(Objects!$Y$4-$A13-1)*Objects!$X$4,0)</f>
        <v>0</v>
      </c>
      <c r="EA13">
        <f ca="1">OFFSET(Objects!$HW$6,EA$1+(Objects!$Y$4-$A13-1)*Objects!$X$4,0)</f>
        <v>0</v>
      </c>
      <c r="EB13">
        <f ca="1">OFFSET(Objects!$HW$6,EB$1+(Objects!$Y$4-$A13-1)*Objects!$X$4,0)</f>
        <v>0</v>
      </c>
      <c r="EC13">
        <f ca="1">OFFSET(Objects!$HW$6,EC$1+(Objects!$Y$4-$A13-1)*Objects!$X$4,0)</f>
        <v>0</v>
      </c>
      <c r="ED13">
        <f ca="1">OFFSET(Objects!$HW$6,ED$1+(Objects!$Y$4-$A13-1)*Objects!$X$4,0)</f>
        <v>0</v>
      </c>
      <c r="EE13">
        <f ca="1">OFFSET(Objects!$HW$6,EE$1+(Objects!$Y$4-$A13-1)*Objects!$X$4,0)</f>
        <v>0</v>
      </c>
      <c r="EF13">
        <f ca="1">OFFSET(Objects!$HW$6,EF$1+(Objects!$Y$4-$A13-1)*Objects!$X$4,0)</f>
        <v>0</v>
      </c>
      <c r="EG13">
        <f ca="1">OFFSET(Objects!$HW$6,EG$1+(Objects!$Y$4-$A13-1)*Objects!$X$4,0)</f>
        <v>0</v>
      </c>
      <c r="EH13">
        <f ca="1">OFFSET(Objects!$HW$6,EH$1+(Objects!$Y$4-$A13-1)*Objects!$X$4,0)</f>
        <v>0</v>
      </c>
      <c r="EI13">
        <f ca="1">OFFSET(Objects!$HW$6,EI$1+(Objects!$Y$4-$A13-1)*Objects!$X$4,0)</f>
        <v>0</v>
      </c>
      <c r="EJ13">
        <f ca="1">OFFSET(Objects!$HW$6,EJ$1+(Objects!$Y$4-$A13-1)*Objects!$X$4,0)</f>
        <v>0</v>
      </c>
      <c r="EK13">
        <f ca="1">OFFSET(Objects!$HW$6,EK$1+(Objects!$Y$4-$A13-1)*Objects!$X$4,0)</f>
        <v>0</v>
      </c>
      <c r="EL13">
        <f ca="1">OFFSET(Objects!$HW$6,EL$1+(Objects!$Y$4-$A13-1)*Objects!$X$4,0)</f>
        <v>0</v>
      </c>
      <c r="EM13">
        <f ca="1">OFFSET(Objects!$HW$6,EM$1+(Objects!$Y$4-$A13-1)*Objects!$X$4,0)</f>
        <v>0</v>
      </c>
      <c r="EN13">
        <f ca="1">OFFSET(Objects!$HW$6,EN$1+(Objects!$Y$4-$A13-1)*Objects!$X$4,0)</f>
        <v>0</v>
      </c>
      <c r="EO13">
        <f ca="1">OFFSET(Objects!$HW$6,EO$1+(Objects!$Y$4-$A13-1)*Objects!$X$4,0)</f>
        <v>0</v>
      </c>
      <c r="EP13">
        <f ca="1">OFFSET(Objects!$HW$6,EP$1+(Objects!$Y$4-$A13-1)*Objects!$X$4,0)</f>
        <v>0</v>
      </c>
      <c r="EQ13">
        <f ca="1">OFFSET(Objects!$HW$6,EQ$1+(Objects!$Y$4-$A13-1)*Objects!$X$4,0)</f>
        <v>0</v>
      </c>
      <c r="ER13">
        <f ca="1">OFFSET(Objects!$HW$6,ER$1+(Objects!$Y$4-$A13-1)*Objects!$X$4,0)</f>
        <v>0</v>
      </c>
      <c r="ES13">
        <f ca="1">OFFSET(Objects!$HW$6,ES$1+(Objects!$Y$4-$A13-1)*Objects!$X$4,0)</f>
        <v>0</v>
      </c>
      <c r="ET13">
        <f ca="1">OFFSET(Objects!$HW$6,ET$1+(Objects!$Y$4-$A13-1)*Objects!$X$4,0)</f>
        <v>0</v>
      </c>
      <c r="EU13">
        <f ca="1">OFFSET(Objects!$HW$6,EU$1+(Objects!$Y$4-$A13-1)*Objects!$X$4,0)</f>
        <v>0</v>
      </c>
      <c r="EV13">
        <f ca="1">OFFSET(Objects!$HW$6,EV$1+(Objects!$Y$4-$A13-1)*Objects!$X$4,0)</f>
        <v>0</v>
      </c>
      <c r="EW13">
        <f ca="1">OFFSET(Objects!$HW$6,EW$1+(Objects!$Y$4-$A13-1)*Objects!$X$4,0)</f>
        <v>0</v>
      </c>
      <c r="EX13">
        <f ca="1">OFFSET(Objects!$HW$6,EX$1+(Objects!$Y$4-$A13-1)*Objects!$X$4,0)</f>
        <v>0</v>
      </c>
      <c r="EY13">
        <f ca="1">OFFSET(Objects!$HW$6,EY$1+(Objects!$Y$4-$A13-1)*Objects!$X$4,0)</f>
        <v>0</v>
      </c>
      <c r="EZ13">
        <f ca="1">OFFSET(Objects!$HW$6,EZ$1+(Objects!$Y$4-$A13-1)*Objects!$X$4,0)</f>
        <v>0</v>
      </c>
      <c r="FA13">
        <f ca="1">OFFSET(Objects!$HW$6,FA$1+(Objects!$Y$4-$A13-1)*Objects!$X$4,0)</f>
        <v>0</v>
      </c>
      <c r="FB13">
        <f ca="1">OFFSET(Objects!$HW$6,FB$1+(Objects!$Y$4-$A13-1)*Objects!$X$4,0)</f>
        <v>0</v>
      </c>
      <c r="FC13">
        <f ca="1">OFFSET(Objects!$HW$6,FC$1+(Objects!$Y$4-$A13-1)*Objects!$X$4,0)</f>
        <v>0</v>
      </c>
      <c r="FD13">
        <f ca="1">OFFSET(Objects!$HW$6,FD$1+(Objects!$Y$4-$A13-1)*Objects!$X$4,0)</f>
        <v>0</v>
      </c>
      <c r="FE13" s="22">
        <f ca="1">OFFSET(Objects!$HW$6,FE$1+(Objects!$Y$4-$A13-1)*Objects!$X$4,0)</f>
        <v>0</v>
      </c>
    </row>
    <row r="14" spans="1:161" ht="4.5" customHeight="1" x14ac:dyDescent="0.25">
      <c r="A14">
        <v>12</v>
      </c>
      <c r="B14" s="21">
        <f ca="1">OFFSET(Objects!$HW$6,B$1+(Objects!$Y$4-$A14-1)*Objects!$X$4,0)</f>
        <v>0</v>
      </c>
      <c r="C14">
        <f ca="1">OFFSET(Objects!$HW$6,C$1+(Objects!$Y$4-$A14-1)*Objects!$X$4,0)</f>
        <v>0</v>
      </c>
      <c r="D14">
        <f ca="1">OFFSET(Objects!$HW$6,D$1+(Objects!$Y$4-$A14-1)*Objects!$X$4,0)</f>
        <v>0</v>
      </c>
      <c r="E14">
        <f ca="1">OFFSET(Objects!$HW$6,E$1+(Objects!$Y$4-$A14-1)*Objects!$X$4,0)</f>
        <v>0</v>
      </c>
      <c r="F14">
        <f ca="1">OFFSET(Objects!$HW$6,F$1+(Objects!$Y$4-$A14-1)*Objects!$X$4,0)</f>
        <v>0</v>
      </c>
      <c r="G14">
        <f ca="1">OFFSET(Objects!$HW$6,G$1+(Objects!$Y$4-$A14-1)*Objects!$X$4,0)</f>
        <v>0</v>
      </c>
      <c r="H14">
        <f ca="1">OFFSET(Objects!$HW$6,H$1+(Objects!$Y$4-$A14-1)*Objects!$X$4,0)</f>
        <v>0</v>
      </c>
      <c r="I14">
        <f ca="1">OFFSET(Objects!$HW$6,I$1+(Objects!$Y$4-$A14-1)*Objects!$X$4,0)</f>
        <v>0</v>
      </c>
      <c r="J14">
        <f ca="1">OFFSET(Objects!$HW$6,J$1+(Objects!$Y$4-$A14-1)*Objects!$X$4,0)</f>
        <v>0</v>
      </c>
      <c r="K14">
        <f ca="1">OFFSET(Objects!$HW$6,K$1+(Objects!$Y$4-$A14-1)*Objects!$X$4,0)</f>
        <v>0</v>
      </c>
      <c r="L14">
        <f ca="1">OFFSET(Objects!$HW$6,L$1+(Objects!$Y$4-$A14-1)*Objects!$X$4,0)</f>
        <v>0</v>
      </c>
      <c r="M14">
        <f ca="1">OFFSET(Objects!$HW$6,M$1+(Objects!$Y$4-$A14-1)*Objects!$X$4,0)</f>
        <v>0</v>
      </c>
      <c r="N14">
        <f ca="1">OFFSET(Objects!$HW$6,N$1+(Objects!$Y$4-$A14-1)*Objects!$X$4,0)</f>
        <v>0</v>
      </c>
      <c r="O14">
        <f ca="1">OFFSET(Objects!$HW$6,O$1+(Objects!$Y$4-$A14-1)*Objects!$X$4,0)</f>
        <v>0</v>
      </c>
      <c r="P14">
        <f ca="1">OFFSET(Objects!$HW$6,P$1+(Objects!$Y$4-$A14-1)*Objects!$X$4,0)</f>
        <v>0</v>
      </c>
      <c r="Q14">
        <f ca="1">OFFSET(Objects!$HW$6,Q$1+(Objects!$Y$4-$A14-1)*Objects!$X$4,0)</f>
        <v>0</v>
      </c>
      <c r="R14">
        <f ca="1">OFFSET(Objects!$HW$6,R$1+(Objects!$Y$4-$A14-1)*Objects!$X$4,0)</f>
        <v>0</v>
      </c>
      <c r="S14">
        <f ca="1">OFFSET(Objects!$HW$6,S$1+(Objects!$Y$4-$A14-1)*Objects!$X$4,0)</f>
        <v>0</v>
      </c>
      <c r="T14">
        <f ca="1">OFFSET(Objects!$HW$6,T$1+(Objects!$Y$4-$A14-1)*Objects!$X$4,0)</f>
        <v>0</v>
      </c>
      <c r="U14">
        <f ca="1">OFFSET(Objects!$HW$6,U$1+(Objects!$Y$4-$A14-1)*Objects!$X$4,0)</f>
        <v>0</v>
      </c>
      <c r="V14">
        <f ca="1">OFFSET(Objects!$HW$6,V$1+(Objects!$Y$4-$A14-1)*Objects!$X$4,0)</f>
        <v>0</v>
      </c>
      <c r="W14">
        <f ca="1">OFFSET(Objects!$HW$6,W$1+(Objects!$Y$4-$A14-1)*Objects!$X$4,0)</f>
        <v>0</v>
      </c>
      <c r="X14">
        <f ca="1">OFFSET(Objects!$HW$6,X$1+(Objects!$Y$4-$A14-1)*Objects!$X$4,0)</f>
        <v>0</v>
      </c>
      <c r="Y14">
        <f ca="1">OFFSET(Objects!$HW$6,Y$1+(Objects!$Y$4-$A14-1)*Objects!$X$4,0)</f>
        <v>0</v>
      </c>
      <c r="Z14">
        <f ca="1">OFFSET(Objects!$HW$6,Z$1+(Objects!$Y$4-$A14-1)*Objects!$X$4,0)</f>
        <v>0</v>
      </c>
      <c r="AA14">
        <f ca="1">OFFSET(Objects!$HW$6,AA$1+(Objects!$Y$4-$A14-1)*Objects!$X$4,0)</f>
        <v>0</v>
      </c>
      <c r="AB14">
        <f ca="1">OFFSET(Objects!$HW$6,AB$1+(Objects!$Y$4-$A14-1)*Objects!$X$4,0)</f>
        <v>0</v>
      </c>
      <c r="AC14">
        <f ca="1">OFFSET(Objects!$HW$6,AC$1+(Objects!$Y$4-$A14-1)*Objects!$X$4,0)</f>
        <v>0</v>
      </c>
      <c r="AD14">
        <f ca="1">OFFSET(Objects!$HW$6,AD$1+(Objects!$Y$4-$A14-1)*Objects!$X$4,0)</f>
        <v>0</v>
      </c>
      <c r="AE14">
        <f ca="1">OFFSET(Objects!$HW$6,AE$1+(Objects!$Y$4-$A14-1)*Objects!$X$4,0)</f>
        <v>0</v>
      </c>
      <c r="AF14">
        <f ca="1">OFFSET(Objects!$HW$6,AF$1+(Objects!$Y$4-$A14-1)*Objects!$X$4,0)</f>
        <v>0</v>
      </c>
      <c r="AG14">
        <f ca="1">OFFSET(Objects!$HW$6,AG$1+(Objects!$Y$4-$A14-1)*Objects!$X$4,0)</f>
        <v>0</v>
      </c>
      <c r="AH14">
        <f ca="1">OFFSET(Objects!$HW$6,AH$1+(Objects!$Y$4-$A14-1)*Objects!$X$4,0)</f>
        <v>0</v>
      </c>
      <c r="AI14">
        <f ca="1">OFFSET(Objects!$HW$6,AI$1+(Objects!$Y$4-$A14-1)*Objects!$X$4,0)</f>
        <v>0</v>
      </c>
      <c r="AJ14">
        <f ca="1">OFFSET(Objects!$HW$6,AJ$1+(Objects!$Y$4-$A14-1)*Objects!$X$4,0)</f>
        <v>0</v>
      </c>
      <c r="AK14">
        <f ca="1">OFFSET(Objects!$HW$6,AK$1+(Objects!$Y$4-$A14-1)*Objects!$X$4,0)</f>
        <v>0</v>
      </c>
      <c r="AL14">
        <f ca="1">OFFSET(Objects!$HW$6,AL$1+(Objects!$Y$4-$A14-1)*Objects!$X$4,0)</f>
        <v>0</v>
      </c>
      <c r="AM14">
        <f ca="1">OFFSET(Objects!$HW$6,AM$1+(Objects!$Y$4-$A14-1)*Objects!$X$4,0)</f>
        <v>0</v>
      </c>
      <c r="AN14">
        <f ca="1">OFFSET(Objects!$HW$6,AN$1+(Objects!$Y$4-$A14-1)*Objects!$X$4,0)</f>
        <v>0</v>
      </c>
      <c r="AO14">
        <f ca="1">OFFSET(Objects!$HW$6,AO$1+(Objects!$Y$4-$A14-1)*Objects!$X$4,0)</f>
        <v>0</v>
      </c>
      <c r="AP14">
        <f ca="1">OFFSET(Objects!$HW$6,AP$1+(Objects!$Y$4-$A14-1)*Objects!$X$4,0)</f>
        <v>0</v>
      </c>
      <c r="AQ14">
        <f ca="1">OFFSET(Objects!$HW$6,AQ$1+(Objects!$Y$4-$A14-1)*Objects!$X$4,0)</f>
        <v>0</v>
      </c>
      <c r="AR14">
        <f ca="1">OFFSET(Objects!$HW$6,AR$1+(Objects!$Y$4-$A14-1)*Objects!$X$4,0)</f>
        <v>0</v>
      </c>
      <c r="AS14">
        <f ca="1">OFFSET(Objects!$HW$6,AS$1+(Objects!$Y$4-$A14-1)*Objects!$X$4,0)</f>
        <v>0</v>
      </c>
      <c r="AT14">
        <f ca="1">OFFSET(Objects!$HW$6,AT$1+(Objects!$Y$4-$A14-1)*Objects!$X$4,0)</f>
        <v>0</v>
      </c>
      <c r="AU14">
        <f ca="1">OFFSET(Objects!$HW$6,AU$1+(Objects!$Y$4-$A14-1)*Objects!$X$4,0)</f>
        <v>0</v>
      </c>
      <c r="AV14">
        <f ca="1">OFFSET(Objects!$HW$6,AV$1+(Objects!$Y$4-$A14-1)*Objects!$X$4,0)</f>
        <v>0</v>
      </c>
      <c r="AW14">
        <f ca="1">OFFSET(Objects!$HW$6,AW$1+(Objects!$Y$4-$A14-1)*Objects!$X$4,0)</f>
        <v>0</v>
      </c>
      <c r="AX14">
        <f ca="1">OFFSET(Objects!$HW$6,AX$1+(Objects!$Y$4-$A14-1)*Objects!$X$4,0)</f>
        <v>0</v>
      </c>
      <c r="AY14">
        <f ca="1">OFFSET(Objects!$HW$6,AY$1+(Objects!$Y$4-$A14-1)*Objects!$X$4,0)</f>
        <v>0</v>
      </c>
      <c r="AZ14">
        <f ca="1">OFFSET(Objects!$HW$6,AZ$1+(Objects!$Y$4-$A14-1)*Objects!$X$4,0)</f>
        <v>0</v>
      </c>
      <c r="BA14">
        <f ca="1">OFFSET(Objects!$HW$6,BA$1+(Objects!$Y$4-$A14-1)*Objects!$X$4,0)</f>
        <v>0</v>
      </c>
      <c r="BB14">
        <f ca="1">OFFSET(Objects!$HW$6,BB$1+(Objects!$Y$4-$A14-1)*Objects!$X$4,0)</f>
        <v>0</v>
      </c>
      <c r="BC14">
        <f ca="1">OFFSET(Objects!$HW$6,BC$1+(Objects!$Y$4-$A14-1)*Objects!$X$4,0)</f>
        <v>0</v>
      </c>
      <c r="BD14">
        <f ca="1">OFFSET(Objects!$HW$6,BD$1+(Objects!$Y$4-$A14-1)*Objects!$X$4,0)</f>
        <v>0</v>
      </c>
      <c r="BE14">
        <f ca="1">OFFSET(Objects!$HW$6,BE$1+(Objects!$Y$4-$A14-1)*Objects!$X$4,0)</f>
        <v>0</v>
      </c>
      <c r="BF14">
        <f ca="1">OFFSET(Objects!$HW$6,BF$1+(Objects!$Y$4-$A14-1)*Objects!$X$4,0)</f>
        <v>0</v>
      </c>
      <c r="BG14">
        <f ca="1">OFFSET(Objects!$HW$6,BG$1+(Objects!$Y$4-$A14-1)*Objects!$X$4,0)</f>
        <v>0</v>
      </c>
      <c r="BH14">
        <f ca="1">OFFSET(Objects!$HW$6,BH$1+(Objects!$Y$4-$A14-1)*Objects!$X$4,0)</f>
        <v>0</v>
      </c>
      <c r="BI14">
        <f ca="1">OFFSET(Objects!$HW$6,BI$1+(Objects!$Y$4-$A14-1)*Objects!$X$4,0)</f>
        <v>0</v>
      </c>
      <c r="BJ14">
        <f ca="1">OFFSET(Objects!$HW$6,BJ$1+(Objects!$Y$4-$A14-1)*Objects!$X$4,0)</f>
        <v>0</v>
      </c>
      <c r="BK14">
        <f ca="1">OFFSET(Objects!$HW$6,BK$1+(Objects!$Y$4-$A14-1)*Objects!$X$4,0)</f>
        <v>0</v>
      </c>
      <c r="BL14">
        <f ca="1">OFFSET(Objects!$HW$6,BL$1+(Objects!$Y$4-$A14-1)*Objects!$X$4,0)</f>
        <v>0</v>
      </c>
      <c r="BM14">
        <f ca="1">OFFSET(Objects!$HW$6,BM$1+(Objects!$Y$4-$A14-1)*Objects!$X$4,0)</f>
        <v>0</v>
      </c>
      <c r="BN14">
        <f ca="1">OFFSET(Objects!$HW$6,BN$1+(Objects!$Y$4-$A14-1)*Objects!$X$4,0)</f>
        <v>0</v>
      </c>
      <c r="BO14">
        <f ca="1">OFFSET(Objects!$HW$6,BO$1+(Objects!$Y$4-$A14-1)*Objects!$X$4,0)</f>
        <v>0</v>
      </c>
      <c r="BP14">
        <f ca="1">OFFSET(Objects!$HW$6,BP$1+(Objects!$Y$4-$A14-1)*Objects!$X$4,0)</f>
        <v>0</v>
      </c>
      <c r="BQ14">
        <f ca="1">OFFSET(Objects!$HW$6,BQ$1+(Objects!$Y$4-$A14-1)*Objects!$X$4,0)</f>
        <v>0</v>
      </c>
      <c r="BR14">
        <f ca="1">OFFSET(Objects!$HW$6,BR$1+(Objects!$Y$4-$A14-1)*Objects!$X$4,0)</f>
        <v>0</v>
      </c>
      <c r="BS14">
        <f ca="1">OFFSET(Objects!$HW$6,BS$1+(Objects!$Y$4-$A14-1)*Objects!$X$4,0)</f>
        <v>0</v>
      </c>
      <c r="BT14">
        <f ca="1">OFFSET(Objects!$HW$6,BT$1+(Objects!$Y$4-$A14-1)*Objects!$X$4,0)</f>
        <v>0</v>
      </c>
      <c r="BU14">
        <f ca="1">OFFSET(Objects!$HW$6,BU$1+(Objects!$Y$4-$A14-1)*Objects!$X$4,0)</f>
        <v>0</v>
      </c>
      <c r="BV14">
        <f ca="1">OFFSET(Objects!$HW$6,BV$1+(Objects!$Y$4-$A14-1)*Objects!$X$4,0)</f>
        <v>0</v>
      </c>
      <c r="BW14">
        <f ca="1">OFFSET(Objects!$HW$6,BW$1+(Objects!$Y$4-$A14-1)*Objects!$X$4,0)</f>
        <v>0</v>
      </c>
      <c r="BX14">
        <f ca="1">OFFSET(Objects!$HW$6,BX$1+(Objects!$Y$4-$A14-1)*Objects!$X$4,0)</f>
        <v>0</v>
      </c>
      <c r="BY14">
        <f ca="1">OFFSET(Objects!$HW$6,BY$1+(Objects!$Y$4-$A14-1)*Objects!$X$4,0)</f>
        <v>0</v>
      </c>
      <c r="BZ14">
        <f ca="1">OFFSET(Objects!$HW$6,BZ$1+(Objects!$Y$4-$A14-1)*Objects!$X$4,0)</f>
        <v>0</v>
      </c>
      <c r="CA14">
        <f ca="1">OFFSET(Objects!$HW$6,CA$1+(Objects!$Y$4-$A14-1)*Objects!$X$4,0)</f>
        <v>0</v>
      </c>
      <c r="CB14">
        <f ca="1">OFFSET(Objects!$HW$6,CB$1+(Objects!$Y$4-$A14-1)*Objects!$X$4,0)</f>
        <v>0</v>
      </c>
      <c r="CC14">
        <f ca="1">OFFSET(Objects!$HW$6,CC$1+(Objects!$Y$4-$A14-1)*Objects!$X$4,0)</f>
        <v>0</v>
      </c>
      <c r="CD14">
        <f ca="1">OFFSET(Objects!$HW$6,CD$1+(Objects!$Y$4-$A14-1)*Objects!$X$4,0)</f>
        <v>0</v>
      </c>
      <c r="CE14">
        <f ca="1">OFFSET(Objects!$HW$6,CE$1+(Objects!$Y$4-$A14-1)*Objects!$X$4,0)</f>
        <v>0</v>
      </c>
      <c r="CF14">
        <f ca="1">OFFSET(Objects!$HW$6,CF$1+(Objects!$Y$4-$A14-1)*Objects!$X$4,0)</f>
        <v>0</v>
      </c>
      <c r="CG14">
        <f ca="1">OFFSET(Objects!$HW$6,CG$1+(Objects!$Y$4-$A14-1)*Objects!$X$4,0)</f>
        <v>0</v>
      </c>
      <c r="CH14">
        <f ca="1">OFFSET(Objects!$HW$6,CH$1+(Objects!$Y$4-$A14-1)*Objects!$X$4,0)</f>
        <v>0</v>
      </c>
      <c r="CI14">
        <f ca="1">OFFSET(Objects!$HW$6,CI$1+(Objects!$Y$4-$A14-1)*Objects!$X$4,0)</f>
        <v>0</v>
      </c>
      <c r="CJ14">
        <f ca="1">OFFSET(Objects!$HW$6,CJ$1+(Objects!$Y$4-$A14-1)*Objects!$X$4,0)</f>
        <v>0</v>
      </c>
      <c r="CK14">
        <f ca="1">OFFSET(Objects!$HW$6,CK$1+(Objects!$Y$4-$A14-1)*Objects!$X$4,0)</f>
        <v>0</v>
      </c>
      <c r="CL14">
        <f ca="1">OFFSET(Objects!$HW$6,CL$1+(Objects!$Y$4-$A14-1)*Objects!$X$4,0)</f>
        <v>0</v>
      </c>
      <c r="CM14">
        <f ca="1">OFFSET(Objects!$HW$6,CM$1+(Objects!$Y$4-$A14-1)*Objects!$X$4,0)</f>
        <v>0</v>
      </c>
      <c r="CN14">
        <f ca="1">OFFSET(Objects!$HW$6,CN$1+(Objects!$Y$4-$A14-1)*Objects!$X$4,0)</f>
        <v>0</v>
      </c>
      <c r="CO14">
        <f ca="1">OFFSET(Objects!$HW$6,CO$1+(Objects!$Y$4-$A14-1)*Objects!$X$4,0)</f>
        <v>0</v>
      </c>
      <c r="CP14">
        <f ca="1">OFFSET(Objects!$HW$6,CP$1+(Objects!$Y$4-$A14-1)*Objects!$X$4,0)</f>
        <v>0</v>
      </c>
      <c r="CQ14">
        <f ca="1">OFFSET(Objects!$HW$6,CQ$1+(Objects!$Y$4-$A14-1)*Objects!$X$4,0)</f>
        <v>0</v>
      </c>
      <c r="CR14">
        <f ca="1">OFFSET(Objects!$HW$6,CR$1+(Objects!$Y$4-$A14-1)*Objects!$X$4,0)</f>
        <v>0</v>
      </c>
      <c r="CS14">
        <f ca="1">OFFSET(Objects!$HW$6,CS$1+(Objects!$Y$4-$A14-1)*Objects!$X$4,0)</f>
        <v>0</v>
      </c>
      <c r="CT14">
        <f ca="1">OFFSET(Objects!$HW$6,CT$1+(Objects!$Y$4-$A14-1)*Objects!$X$4,0)</f>
        <v>0</v>
      </c>
      <c r="CU14">
        <f ca="1">OFFSET(Objects!$HW$6,CU$1+(Objects!$Y$4-$A14-1)*Objects!$X$4,0)</f>
        <v>0</v>
      </c>
      <c r="CV14">
        <f ca="1">OFFSET(Objects!$HW$6,CV$1+(Objects!$Y$4-$A14-1)*Objects!$X$4,0)</f>
        <v>0</v>
      </c>
      <c r="CW14">
        <f ca="1">OFFSET(Objects!$HW$6,CW$1+(Objects!$Y$4-$A14-1)*Objects!$X$4,0)</f>
        <v>0</v>
      </c>
      <c r="CX14">
        <f ca="1">OFFSET(Objects!$HW$6,CX$1+(Objects!$Y$4-$A14-1)*Objects!$X$4,0)</f>
        <v>0</v>
      </c>
      <c r="CY14">
        <f ca="1">OFFSET(Objects!$HW$6,CY$1+(Objects!$Y$4-$A14-1)*Objects!$X$4,0)</f>
        <v>0</v>
      </c>
      <c r="CZ14">
        <f ca="1">OFFSET(Objects!$HW$6,CZ$1+(Objects!$Y$4-$A14-1)*Objects!$X$4,0)</f>
        <v>0</v>
      </c>
      <c r="DA14">
        <f ca="1">OFFSET(Objects!$HW$6,DA$1+(Objects!$Y$4-$A14-1)*Objects!$X$4,0)</f>
        <v>0</v>
      </c>
      <c r="DB14">
        <f ca="1">OFFSET(Objects!$HW$6,DB$1+(Objects!$Y$4-$A14-1)*Objects!$X$4,0)</f>
        <v>0</v>
      </c>
      <c r="DC14">
        <f ca="1">OFFSET(Objects!$HW$6,DC$1+(Objects!$Y$4-$A14-1)*Objects!$X$4,0)</f>
        <v>0</v>
      </c>
      <c r="DD14">
        <f ca="1">OFFSET(Objects!$HW$6,DD$1+(Objects!$Y$4-$A14-1)*Objects!$X$4,0)</f>
        <v>0</v>
      </c>
      <c r="DE14">
        <f ca="1">OFFSET(Objects!$HW$6,DE$1+(Objects!$Y$4-$A14-1)*Objects!$X$4,0)</f>
        <v>0</v>
      </c>
      <c r="DF14">
        <f ca="1">OFFSET(Objects!$HW$6,DF$1+(Objects!$Y$4-$A14-1)*Objects!$X$4,0)</f>
        <v>0</v>
      </c>
      <c r="DG14">
        <f ca="1">OFFSET(Objects!$HW$6,DG$1+(Objects!$Y$4-$A14-1)*Objects!$X$4,0)</f>
        <v>0</v>
      </c>
      <c r="DH14">
        <f ca="1">OFFSET(Objects!$HW$6,DH$1+(Objects!$Y$4-$A14-1)*Objects!$X$4,0)</f>
        <v>0</v>
      </c>
      <c r="DI14">
        <f ca="1">OFFSET(Objects!$HW$6,DI$1+(Objects!$Y$4-$A14-1)*Objects!$X$4,0)</f>
        <v>0</v>
      </c>
      <c r="DJ14">
        <f ca="1">OFFSET(Objects!$HW$6,DJ$1+(Objects!$Y$4-$A14-1)*Objects!$X$4,0)</f>
        <v>0</v>
      </c>
      <c r="DK14">
        <f ca="1">OFFSET(Objects!$HW$6,DK$1+(Objects!$Y$4-$A14-1)*Objects!$X$4,0)</f>
        <v>0</v>
      </c>
      <c r="DL14">
        <f ca="1">OFFSET(Objects!$HW$6,DL$1+(Objects!$Y$4-$A14-1)*Objects!$X$4,0)</f>
        <v>0</v>
      </c>
      <c r="DM14">
        <f ca="1">OFFSET(Objects!$HW$6,DM$1+(Objects!$Y$4-$A14-1)*Objects!$X$4,0)</f>
        <v>0</v>
      </c>
      <c r="DN14">
        <f ca="1">OFFSET(Objects!$HW$6,DN$1+(Objects!$Y$4-$A14-1)*Objects!$X$4,0)</f>
        <v>0</v>
      </c>
      <c r="DO14">
        <f ca="1">OFFSET(Objects!$HW$6,DO$1+(Objects!$Y$4-$A14-1)*Objects!$X$4,0)</f>
        <v>0</v>
      </c>
      <c r="DP14">
        <f ca="1">OFFSET(Objects!$HW$6,DP$1+(Objects!$Y$4-$A14-1)*Objects!$X$4,0)</f>
        <v>0</v>
      </c>
      <c r="DQ14">
        <f ca="1">OFFSET(Objects!$HW$6,DQ$1+(Objects!$Y$4-$A14-1)*Objects!$X$4,0)</f>
        <v>0</v>
      </c>
      <c r="DR14">
        <f ca="1">OFFSET(Objects!$HW$6,DR$1+(Objects!$Y$4-$A14-1)*Objects!$X$4,0)</f>
        <v>0</v>
      </c>
      <c r="DS14">
        <f ca="1">OFFSET(Objects!$HW$6,DS$1+(Objects!$Y$4-$A14-1)*Objects!$X$4,0)</f>
        <v>0</v>
      </c>
      <c r="DT14">
        <f ca="1">OFFSET(Objects!$HW$6,DT$1+(Objects!$Y$4-$A14-1)*Objects!$X$4,0)</f>
        <v>0</v>
      </c>
      <c r="DU14">
        <f ca="1">OFFSET(Objects!$HW$6,DU$1+(Objects!$Y$4-$A14-1)*Objects!$X$4,0)</f>
        <v>0</v>
      </c>
      <c r="DV14">
        <f ca="1">OFFSET(Objects!$HW$6,DV$1+(Objects!$Y$4-$A14-1)*Objects!$X$4,0)</f>
        <v>0</v>
      </c>
      <c r="DW14">
        <f ca="1">OFFSET(Objects!$HW$6,DW$1+(Objects!$Y$4-$A14-1)*Objects!$X$4,0)</f>
        <v>0</v>
      </c>
      <c r="DX14">
        <f ca="1">OFFSET(Objects!$HW$6,DX$1+(Objects!$Y$4-$A14-1)*Objects!$X$4,0)</f>
        <v>0</v>
      </c>
      <c r="DY14">
        <f ca="1">OFFSET(Objects!$HW$6,DY$1+(Objects!$Y$4-$A14-1)*Objects!$X$4,0)</f>
        <v>0</v>
      </c>
      <c r="DZ14">
        <f ca="1">OFFSET(Objects!$HW$6,DZ$1+(Objects!$Y$4-$A14-1)*Objects!$X$4,0)</f>
        <v>0</v>
      </c>
      <c r="EA14">
        <f ca="1">OFFSET(Objects!$HW$6,EA$1+(Objects!$Y$4-$A14-1)*Objects!$X$4,0)</f>
        <v>0</v>
      </c>
      <c r="EB14">
        <f ca="1">OFFSET(Objects!$HW$6,EB$1+(Objects!$Y$4-$A14-1)*Objects!$X$4,0)</f>
        <v>0</v>
      </c>
      <c r="EC14">
        <f ca="1">OFFSET(Objects!$HW$6,EC$1+(Objects!$Y$4-$A14-1)*Objects!$X$4,0)</f>
        <v>0</v>
      </c>
      <c r="ED14">
        <f ca="1">OFFSET(Objects!$HW$6,ED$1+(Objects!$Y$4-$A14-1)*Objects!$X$4,0)</f>
        <v>0</v>
      </c>
      <c r="EE14">
        <f ca="1">OFFSET(Objects!$HW$6,EE$1+(Objects!$Y$4-$A14-1)*Objects!$X$4,0)</f>
        <v>0</v>
      </c>
      <c r="EF14">
        <f ca="1">OFFSET(Objects!$HW$6,EF$1+(Objects!$Y$4-$A14-1)*Objects!$X$4,0)</f>
        <v>0</v>
      </c>
      <c r="EG14">
        <f ca="1">OFFSET(Objects!$HW$6,EG$1+(Objects!$Y$4-$A14-1)*Objects!$X$4,0)</f>
        <v>0</v>
      </c>
      <c r="EH14">
        <f ca="1">OFFSET(Objects!$HW$6,EH$1+(Objects!$Y$4-$A14-1)*Objects!$X$4,0)</f>
        <v>0</v>
      </c>
      <c r="EI14">
        <f ca="1">OFFSET(Objects!$HW$6,EI$1+(Objects!$Y$4-$A14-1)*Objects!$X$4,0)</f>
        <v>0</v>
      </c>
      <c r="EJ14">
        <f ca="1">OFFSET(Objects!$HW$6,EJ$1+(Objects!$Y$4-$A14-1)*Objects!$X$4,0)</f>
        <v>0</v>
      </c>
      <c r="EK14">
        <f ca="1">OFFSET(Objects!$HW$6,EK$1+(Objects!$Y$4-$A14-1)*Objects!$X$4,0)</f>
        <v>0</v>
      </c>
      <c r="EL14">
        <f ca="1">OFFSET(Objects!$HW$6,EL$1+(Objects!$Y$4-$A14-1)*Objects!$X$4,0)</f>
        <v>0</v>
      </c>
      <c r="EM14">
        <f ca="1">OFFSET(Objects!$HW$6,EM$1+(Objects!$Y$4-$A14-1)*Objects!$X$4,0)</f>
        <v>0</v>
      </c>
      <c r="EN14">
        <f ca="1">OFFSET(Objects!$HW$6,EN$1+(Objects!$Y$4-$A14-1)*Objects!$X$4,0)</f>
        <v>0</v>
      </c>
      <c r="EO14">
        <f ca="1">OFFSET(Objects!$HW$6,EO$1+(Objects!$Y$4-$A14-1)*Objects!$X$4,0)</f>
        <v>0</v>
      </c>
      <c r="EP14">
        <f ca="1">OFFSET(Objects!$HW$6,EP$1+(Objects!$Y$4-$A14-1)*Objects!$X$4,0)</f>
        <v>0</v>
      </c>
      <c r="EQ14">
        <f ca="1">OFFSET(Objects!$HW$6,EQ$1+(Objects!$Y$4-$A14-1)*Objects!$X$4,0)</f>
        <v>0</v>
      </c>
      <c r="ER14">
        <f ca="1">OFFSET(Objects!$HW$6,ER$1+(Objects!$Y$4-$A14-1)*Objects!$X$4,0)</f>
        <v>0</v>
      </c>
      <c r="ES14">
        <f ca="1">OFFSET(Objects!$HW$6,ES$1+(Objects!$Y$4-$A14-1)*Objects!$X$4,0)</f>
        <v>0</v>
      </c>
      <c r="ET14">
        <f ca="1">OFFSET(Objects!$HW$6,ET$1+(Objects!$Y$4-$A14-1)*Objects!$X$4,0)</f>
        <v>0</v>
      </c>
      <c r="EU14">
        <f ca="1">OFFSET(Objects!$HW$6,EU$1+(Objects!$Y$4-$A14-1)*Objects!$X$4,0)</f>
        <v>0</v>
      </c>
      <c r="EV14">
        <f ca="1">OFFSET(Objects!$HW$6,EV$1+(Objects!$Y$4-$A14-1)*Objects!$X$4,0)</f>
        <v>0</v>
      </c>
      <c r="EW14">
        <f ca="1">OFFSET(Objects!$HW$6,EW$1+(Objects!$Y$4-$A14-1)*Objects!$X$4,0)</f>
        <v>0</v>
      </c>
      <c r="EX14">
        <f ca="1">OFFSET(Objects!$HW$6,EX$1+(Objects!$Y$4-$A14-1)*Objects!$X$4,0)</f>
        <v>0</v>
      </c>
      <c r="EY14">
        <f ca="1">OFFSET(Objects!$HW$6,EY$1+(Objects!$Y$4-$A14-1)*Objects!$X$4,0)</f>
        <v>0</v>
      </c>
      <c r="EZ14">
        <f ca="1">OFFSET(Objects!$HW$6,EZ$1+(Objects!$Y$4-$A14-1)*Objects!$X$4,0)</f>
        <v>0</v>
      </c>
      <c r="FA14">
        <f ca="1">OFFSET(Objects!$HW$6,FA$1+(Objects!$Y$4-$A14-1)*Objects!$X$4,0)</f>
        <v>0</v>
      </c>
      <c r="FB14">
        <f ca="1">OFFSET(Objects!$HW$6,FB$1+(Objects!$Y$4-$A14-1)*Objects!$X$4,0)</f>
        <v>0</v>
      </c>
      <c r="FC14">
        <f ca="1">OFFSET(Objects!$HW$6,FC$1+(Objects!$Y$4-$A14-1)*Objects!$X$4,0)</f>
        <v>0</v>
      </c>
      <c r="FD14">
        <f ca="1">OFFSET(Objects!$HW$6,FD$1+(Objects!$Y$4-$A14-1)*Objects!$X$4,0)</f>
        <v>0</v>
      </c>
      <c r="FE14" s="22">
        <f ca="1">OFFSET(Objects!$HW$6,FE$1+(Objects!$Y$4-$A14-1)*Objects!$X$4,0)</f>
        <v>0</v>
      </c>
    </row>
    <row r="15" spans="1:161" ht="4.5" customHeight="1" x14ac:dyDescent="0.25">
      <c r="A15">
        <v>13</v>
      </c>
      <c r="B15" s="21">
        <f ca="1">OFFSET(Objects!$HW$6,B$1+(Objects!$Y$4-$A15-1)*Objects!$X$4,0)</f>
        <v>0</v>
      </c>
      <c r="C15">
        <f ca="1">OFFSET(Objects!$HW$6,C$1+(Objects!$Y$4-$A15-1)*Objects!$X$4,0)</f>
        <v>0</v>
      </c>
      <c r="D15">
        <f ca="1">OFFSET(Objects!$HW$6,D$1+(Objects!$Y$4-$A15-1)*Objects!$X$4,0)</f>
        <v>0</v>
      </c>
      <c r="E15">
        <f ca="1">OFFSET(Objects!$HW$6,E$1+(Objects!$Y$4-$A15-1)*Objects!$X$4,0)</f>
        <v>0</v>
      </c>
      <c r="F15">
        <f ca="1">OFFSET(Objects!$HW$6,F$1+(Objects!$Y$4-$A15-1)*Objects!$X$4,0)</f>
        <v>0</v>
      </c>
      <c r="G15">
        <f ca="1">OFFSET(Objects!$HW$6,G$1+(Objects!$Y$4-$A15-1)*Objects!$X$4,0)</f>
        <v>0</v>
      </c>
      <c r="H15">
        <f ca="1">OFFSET(Objects!$HW$6,H$1+(Objects!$Y$4-$A15-1)*Objects!$X$4,0)</f>
        <v>0</v>
      </c>
      <c r="I15">
        <f ca="1">OFFSET(Objects!$HW$6,I$1+(Objects!$Y$4-$A15-1)*Objects!$X$4,0)</f>
        <v>0</v>
      </c>
      <c r="J15">
        <f ca="1">OFFSET(Objects!$HW$6,J$1+(Objects!$Y$4-$A15-1)*Objects!$X$4,0)</f>
        <v>0</v>
      </c>
      <c r="K15">
        <f ca="1">OFFSET(Objects!$HW$6,K$1+(Objects!$Y$4-$A15-1)*Objects!$X$4,0)</f>
        <v>0</v>
      </c>
      <c r="L15">
        <f ca="1">OFFSET(Objects!$HW$6,L$1+(Objects!$Y$4-$A15-1)*Objects!$X$4,0)</f>
        <v>0</v>
      </c>
      <c r="M15">
        <f ca="1">OFFSET(Objects!$HW$6,M$1+(Objects!$Y$4-$A15-1)*Objects!$X$4,0)</f>
        <v>0</v>
      </c>
      <c r="N15">
        <f ca="1">OFFSET(Objects!$HW$6,N$1+(Objects!$Y$4-$A15-1)*Objects!$X$4,0)</f>
        <v>0</v>
      </c>
      <c r="O15">
        <f ca="1">OFFSET(Objects!$HW$6,O$1+(Objects!$Y$4-$A15-1)*Objects!$X$4,0)</f>
        <v>0</v>
      </c>
      <c r="P15">
        <f ca="1">OFFSET(Objects!$HW$6,P$1+(Objects!$Y$4-$A15-1)*Objects!$X$4,0)</f>
        <v>0</v>
      </c>
      <c r="Q15">
        <f ca="1">OFFSET(Objects!$HW$6,Q$1+(Objects!$Y$4-$A15-1)*Objects!$X$4,0)</f>
        <v>0</v>
      </c>
      <c r="R15">
        <f ca="1">OFFSET(Objects!$HW$6,R$1+(Objects!$Y$4-$A15-1)*Objects!$X$4,0)</f>
        <v>0</v>
      </c>
      <c r="S15">
        <f ca="1">OFFSET(Objects!$HW$6,S$1+(Objects!$Y$4-$A15-1)*Objects!$X$4,0)</f>
        <v>0</v>
      </c>
      <c r="T15">
        <f ca="1">OFFSET(Objects!$HW$6,T$1+(Objects!$Y$4-$A15-1)*Objects!$X$4,0)</f>
        <v>0</v>
      </c>
      <c r="U15">
        <f ca="1">OFFSET(Objects!$HW$6,U$1+(Objects!$Y$4-$A15-1)*Objects!$X$4,0)</f>
        <v>0</v>
      </c>
      <c r="V15">
        <f ca="1">OFFSET(Objects!$HW$6,V$1+(Objects!$Y$4-$A15-1)*Objects!$X$4,0)</f>
        <v>0</v>
      </c>
      <c r="W15">
        <f ca="1">OFFSET(Objects!$HW$6,W$1+(Objects!$Y$4-$A15-1)*Objects!$X$4,0)</f>
        <v>0</v>
      </c>
      <c r="X15">
        <f ca="1">OFFSET(Objects!$HW$6,X$1+(Objects!$Y$4-$A15-1)*Objects!$X$4,0)</f>
        <v>0</v>
      </c>
      <c r="Y15">
        <f ca="1">OFFSET(Objects!$HW$6,Y$1+(Objects!$Y$4-$A15-1)*Objects!$X$4,0)</f>
        <v>0</v>
      </c>
      <c r="Z15">
        <f ca="1">OFFSET(Objects!$HW$6,Z$1+(Objects!$Y$4-$A15-1)*Objects!$X$4,0)</f>
        <v>0</v>
      </c>
      <c r="AA15">
        <f ca="1">OFFSET(Objects!$HW$6,AA$1+(Objects!$Y$4-$A15-1)*Objects!$X$4,0)</f>
        <v>0</v>
      </c>
      <c r="AB15">
        <f ca="1">OFFSET(Objects!$HW$6,AB$1+(Objects!$Y$4-$A15-1)*Objects!$X$4,0)</f>
        <v>0</v>
      </c>
      <c r="AC15">
        <f ca="1">OFFSET(Objects!$HW$6,AC$1+(Objects!$Y$4-$A15-1)*Objects!$X$4,0)</f>
        <v>0</v>
      </c>
      <c r="AD15">
        <f ca="1">OFFSET(Objects!$HW$6,AD$1+(Objects!$Y$4-$A15-1)*Objects!$X$4,0)</f>
        <v>0</v>
      </c>
      <c r="AE15">
        <f ca="1">OFFSET(Objects!$HW$6,AE$1+(Objects!$Y$4-$A15-1)*Objects!$X$4,0)</f>
        <v>0</v>
      </c>
      <c r="AF15">
        <f ca="1">OFFSET(Objects!$HW$6,AF$1+(Objects!$Y$4-$A15-1)*Objects!$X$4,0)</f>
        <v>0</v>
      </c>
      <c r="AG15">
        <f ca="1">OFFSET(Objects!$HW$6,AG$1+(Objects!$Y$4-$A15-1)*Objects!$X$4,0)</f>
        <v>0</v>
      </c>
      <c r="AH15">
        <f ca="1">OFFSET(Objects!$HW$6,AH$1+(Objects!$Y$4-$A15-1)*Objects!$X$4,0)</f>
        <v>0</v>
      </c>
      <c r="AI15">
        <f ca="1">OFFSET(Objects!$HW$6,AI$1+(Objects!$Y$4-$A15-1)*Objects!$X$4,0)</f>
        <v>0</v>
      </c>
      <c r="AJ15">
        <f ca="1">OFFSET(Objects!$HW$6,AJ$1+(Objects!$Y$4-$A15-1)*Objects!$X$4,0)</f>
        <v>0</v>
      </c>
      <c r="AK15">
        <f ca="1">OFFSET(Objects!$HW$6,AK$1+(Objects!$Y$4-$A15-1)*Objects!$X$4,0)</f>
        <v>0</v>
      </c>
      <c r="AL15">
        <f ca="1">OFFSET(Objects!$HW$6,AL$1+(Objects!$Y$4-$A15-1)*Objects!$X$4,0)</f>
        <v>0</v>
      </c>
      <c r="AM15">
        <f ca="1">OFFSET(Objects!$HW$6,AM$1+(Objects!$Y$4-$A15-1)*Objects!$X$4,0)</f>
        <v>0</v>
      </c>
      <c r="AN15">
        <f ca="1">OFFSET(Objects!$HW$6,AN$1+(Objects!$Y$4-$A15-1)*Objects!$X$4,0)</f>
        <v>0</v>
      </c>
      <c r="AO15">
        <f ca="1">OFFSET(Objects!$HW$6,AO$1+(Objects!$Y$4-$A15-1)*Objects!$X$4,0)</f>
        <v>0</v>
      </c>
      <c r="AP15">
        <f ca="1">OFFSET(Objects!$HW$6,AP$1+(Objects!$Y$4-$A15-1)*Objects!$X$4,0)</f>
        <v>0</v>
      </c>
      <c r="AQ15">
        <f ca="1">OFFSET(Objects!$HW$6,AQ$1+(Objects!$Y$4-$A15-1)*Objects!$X$4,0)</f>
        <v>0</v>
      </c>
      <c r="AR15">
        <f ca="1">OFFSET(Objects!$HW$6,AR$1+(Objects!$Y$4-$A15-1)*Objects!$X$4,0)</f>
        <v>0</v>
      </c>
      <c r="AS15">
        <f ca="1">OFFSET(Objects!$HW$6,AS$1+(Objects!$Y$4-$A15-1)*Objects!$X$4,0)</f>
        <v>0</v>
      </c>
      <c r="AT15">
        <f ca="1">OFFSET(Objects!$HW$6,AT$1+(Objects!$Y$4-$A15-1)*Objects!$X$4,0)</f>
        <v>0</v>
      </c>
      <c r="AU15">
        <f ca="1">OFFSET(Objects!$HW$6,AU$1+(Objects!$Y$4-$A15-1)*Objects!$X$4,0)</f>
        <v>0</v>
      </c>
      <c r="AV15">
        <f ca="1">OFFSET(Objects!$HW$6,AV$1+(Objects!$Y$4-$A15-1)*Objects!$X$4,0)</f>
        <v>0</v>
      </c>
      <c r="AW15">
        <f ca="1">OFFSET(Objects!$HW$6,AW$1+(Objects!$Y$4-$A15-1)*Objects!$X$4,0)</f>
        <v>0</v>
      </c>
      <c r="AX15">
        <f ca="1">OFFSET(Objects!$HW$6,AX$1+(Objects!$Y$4-$A15-1)*Objects!$X$4,0)</f>
        <v>0</v>
      </c>
      <c r="AY15">
        <f ca="1">OFFSET(Objects!$HW$6,AY$1+(Objects!$Y$4-$A15-1)*Objects!$X$4,0)</f>
        <v>0</v>
      </c>
      <c r="AZ15">
        <f ca="1">OFFSET(Objects!$HW$6,AZ$1+(Objects!$Y$4-$A15-1)*Objects!$X$4,0)</f>
        <v>0</v>
      </c>
      <c r="BA15">
        <f ca="1">OFFSET(Objects!$HW$6,BA$1+(Objects!$Y$4-$A15-1)*Objects!$X$4,0)</f>
        <v>0</v>
      </c>
      <c r="BB15">
        <f ca="1">OFFSET(Objects!$HW$6,BB$1+(Objects!$Y$4-$A15-1)*Objects!$X$4,0)</f>
        <v>0</v>
      </c>
      <c r="BC15">
        <f ca="1">OFFSET(Objects!$HW$6,BC$1+(Objects!$Y$4-$A15-1)*Objects!$X$4,0)</f>
        <v>0</v>
      </c>
      <c r="BD15">
        <f ca="1">OFFSET(Objects!$HW$6,BD$1+(Objects!$Y$4-$A15-1)*Objects!$X$4,0)</f>
        <v>0</v>
      </c>
      <c r="BE15">
        <f ca="1">OFFSET(Objects!$HW$6,BE$1+(Objects!$Y$4-$A15-1)*Objects!$X$4,0)</f>
        <v>0</v>
      </c>
      <c r="BF15">
        <f ca="1">OFFSET(Objects!$HW$6,BF$1+(Objects!$Y$4-$A15-1)*Objects!$X$4,0)</f>
        <v>0</v>
      </c>
      <c r="BG15">
        <f ca="1">OFFSET(Objects!$HW$6,BG$1+(Objects!$Y$4-$A15-1)*Objects!$X$4,0)</f>
        <v>0</v>
      </c>
      <c r="BH15">
        <f ca="1">OFFSET(Objects!$HW$6,BH$1+(Objects!$Y$4-$A15-1)*Objects!$X$4,0)</f>
        <v>0</v>
      </c>
      <c r="BI15">
        <f ca="1">OFFSET(Objects!$HW$6,BI$1+(Objects!$Y$4-$A15-1)*Objects!$X$4,0)</f>
        <v>0</v>
      </c>
      <c r="BJ15">
        <f ca="1">OFFSET(Objects!$HW$6,BJ$1+(Objects!$Y$4-$A15-1)*Objects!$X$4,0)</f>
        <v>0</v>
      </c>
      <c r="BK15">
        <f ca="1">OFFSET(Objects!$HW$6,BK$1+(Objects!$Y$4-$A15-1)*Objects!$X$4,0)</f>
        <v>0</v>
      </c>
      <c r="BL15">
        <f ca="1">OFFSET(Objects!$HW$6,BL$1+(Objects!$Y$4-$A15-1)*Objects!$X$4,0)</f>
        <v>0</v>
      </c>
      <c r="BM15">
        <f ca="1">OFFSET(Objects!$HW$6,BM$1+(Objects!$Y$4-$A15-1)*Objects!$X$4,0)</f>
        <v>0</v>
      </c>
      <c r="BN15">
        <f ca="1">OFFSET(Objects!$HW$6,BN$1+(Objects!$Y$4-$A15-1)*Objects!$X$4,0)</f>
        <v>0</v>
      </c>
      <c r="BO15">
        <f ca="1">OFFSET(Objects!$HW$6,BO$1+(Objects!$Y$4-$A15-1)*Objects!$X$4,0)</f>
        <v>0</v>
      </c>
      <c r="BP15">
        <f ca="1">OFFSET(Objects!$HW$6,BP$1+(Objects!$Y$4-$A15-1)*Objects!$X$4,0)</f>
        <v>0</v>
      </c>
      <c r="BQ15">
        <f ca="1">OFFSET(Objects!$HW$6,BQ$1+(Objects!$Y$4-$A15-1)*Objects!$X$4,0)</f>
        <v>0</v>
      </c>
      <c r="BR15">
        <f ca="1">OFFSET(Objects!$HW$6,BR$1+(Objects!$Y$4-$A15-1)*Objects!$X$4,0)</f>
        <v>0</v>
      </c>
      <c r="BS15">
        <f ca="1">OFFSET(Objects!$HW$6,BS$1+(Objects!$Y$4-$A15-1)*Objects!$X$4,0)</f>
        <v>0</v>
      </c>
      <c r="BT15">
        <f ca="1">OFFSET(Objects!$HW$6,BT$1+(Objects!$Y$4-$A15-1)*Objects!$X$4,0)</f>
        <v>0</v>
      </c>
      <c r="BU15">
        <f ca="1">OFFSET(Objects!$HW$6,BU$1+(Objects!$Y$4-$A15-1)*Objects!$X$4,0)</f>
        <v>0</v>
      </c>
      <c r="BV15">
        <f ca="1">OFFSET(Objects!$HW$6,BV$1+(Objects!$Y$4-$A15-1)*Objects!$X$4,0)</f>
        <v>0</v>
      </c>
      <c r="BW15">
        <f ca="1">OFFSET(Objects!$HW$6,BW$1+(Objects!$Y$4-$A15-1)*Objects!$X$4,0)</f>
        <v>0</v>
      </c>
      <c r="BX15">
        <f ca="1">OFFSET(Objects!$HW$6,BX$1+(Objects!$Y$4-$A15-1)*Objects!$X$4,0)</f>
        <v>0</v>
      </c>
      <c r="BY15">
        <f ca="1">OFFSET(Objects!$HW$6,BY$1+(Objects!$Y$4-$A15-1)*Objects!$X$4,0)</f>
        <v>0</v>
      </c>
      <c r="BZ15">
        <f ca="1">OFFSET(Objects!$HW$6,BZ$1+(Objects!$Y$4-$A15-1)*Objects!$X$4,0)</f>
        <v>0</v>
      </c>
      <c r="CA15">
        <f ca="1">OFFSET(Objects!$HW$6,CA$1+(Objects!$Y$4-$A15-1)*Objects!$X$4,0)</f>
        <v>0</v>
      </c>
      <c r="CB15">
        <f ca="1">OFFSET(Objects!$HW$6,CB$1+(Objects!$Y$4-$A15-1)*Objects!$X$4,0)</f>
        <v>0</v>
      </c>
      <c r="CC15">
        <f ca="1">OFFSET(Objects!$HW$6,CC$1+(Objects!$Y$4-$A15-1)*Objects!$X$4,0)</f>
        <v>0</v>
      </c>
      <c r="CD15">
        <f ca="1">OFFSET(Objects!$HW$6,CD$1+(Objects!$Y$4-$A15-1)*Objects!$X$4,0)</f>
        <v>0</v>
      </c>
      <c r="CE15">
        <f ca="1">OFFSET(Objects!$HW$6,CE$1+(Objects!$Y$4-$A15-1)*Objects!$X$4,0)</f>
        <v>0</v>
      </c>
      <c r="CF15">
        <f ca="1">OFFSET(Objects!$HW$6,CF$1+(Objects!$Y$4-$A15-1)*Objects!$X$4,0)</f>
        <v>0</v>
      </c>
      <c r="CG15">
        <f ca="1">OFFSET(Objects!$HW$6,CG$1+(Objects!$Y$4-$A15-1)*Objects!$X$4,0)</f>
        <v>0</v>
      </c>
      <c r="CH15">
        <f ca="1">OFFSET(Objects!$HW$6,CH$1+(Objects!$Y$4-$A15-1)*Objects!$X$4,0)</f>
        <v>0</v>
      </c>
      <c r="CI15">
        <f ca="1">OFFSET(Objects!$HW$6,CI$1+(Objects!$Y$4-$A15-1)*Objects!$X$4,0)</f>
        <v>0</v>
      </c>
      <c r="CJ15">
        <f ca="1">OFFSET(Objects!$HW$6,CJ$1+(Objects!$Y$4-$A15-1)*Objects!$X$4,0)</f>
        <v>0</v>
      </c>
      <c r="CK15">
        <f ca="1">OFFSET(Objects!$HW$6,CK$1+(Objects!$Y$4-$A15-1)*Objects!$X$4,0)</f>
        <v>0</v>
      </c>
      <c r="CL15">
        <f ca="1">OFFSET(Objects!$HW$6,CL$1+(Objects!$Y$4-$A15-1)*Objects!$X$4,0)</f>
        <v>0</v>
      </c>
      <c r="CM15">
        <f ca="1">OFFSET(Objects!$HW$6,CM$1+(Objects!$Y$4-$A15-1)*Objects!$X$4,0)</f>
        <v>0</v>
      </c>
      <c r="CN15">
        <f ca="1">OFFSET(Objects!$HW$6,CN$1+(Objects!$Y$4-$A15-1)*Objects!$X$4,0)</f>
        <v>0</v>
      </c>
      <c r="CO15">
        <f ca="1">OFFSET(Objects!$HW$6,CO$1+(Objects!$Y$4-$A15-1)*Objects!$X$4,0)</f>
        <v>0</v>
      </c>
      <c r="CP15">
        <f ca="1">OFFSET(Objects!$HW$6,CP$1+(Objects!$Y$4-$A15-1)*Objects!$X$4,0)</f>
        <v>0</v>
      </c>
      <c r="CQ15">
        <f ca="1">OFFSET(Objects!$HW$6,CQ$1+(Objects!$Y$4-$A15-1)*Objects!$X$4,0)</f>
        <v>0</v>
      </c>
      <c r="CR15">
        <f ca="1">OFFSET(Objects!$HW$6,CR$1+(Objects!$Y$4-$A15-1)*Objects!$X$4,0)</f>
        <v>0</v>
      </c>
      <c r="CS15">
        <f ca="1">OFFSET(Objects!$HW$6,CS$1+(Objects!$Y$4-$A15-1)*Objects!$X$4,0)</f>
        <v>0</v>
      </c>
      <c r="CT15">
        <f ca="1">OFFSET(Objects!$HW$6,CT$1+(Objects!$Y$4-$A15-1)*Objects!$X$4,0)</f>
        <v>0</v>
      </c>
      <c r="CU15">
        <f ca="1">OFFSET(Objects!$HW$6,CU$1+(Objects!$Y$4-$A15-1)*Objects!$X$4,0)</f>
        <v>0</v>
      </c>
      <c r="CV15">
        <f ca="1">OFFSET(Objects!$HW$6,CV$1+(Objects!$Y$4-$A15-1)*Objects!$X$4,0)</f>
        <v>0</v>
      </c>
      <c r="CW15">
        <f ca="1">OFFSET(Objects!$HW$6,CW$1+(Objects!$Y$4-$A15-1)*Objects!$X$4,0)</f>
        <v>0</v>
      </c>
      <c r="CX15">
        <f ca="1">OFFSET(Objects!$HW$6,CX$1+(Objects!$Y$4-$A15-1)*Objects!$X$4,0)</f>
        <v>0</v>
      </c>
      <c r="CY15">
        <f ca="1">OFFSET(Objects!$HW$6,CY$1+(Objects!$Y$4-$A15-1)*Objects!$X$4,0)</f>
        <v>0</v>
      </c>
      <c r="CZ15">
        <f ca="1">OFFSET(Objects!$HW$6,CZ$1+(Objects!$Y$4-$A15-1)*Objects!$X$4,0)</f>
        <v>0</v>
      </c>
      <c r="DA15">
        <f ca="1">OFFSET(Objects!$HW$6,DA$1+(Objects!$Y$4-$A15-1)*Objects!$X$4,0)</f>
        <v>0</v>
      </c>
      <c r="DB15">
        <f ca="1">OFFSET(Objects!$HW$6,DB$1+(Objects!$Y$4-$A15-1)*Objects!$X$4,0)</f>
        <v>0</v>
      </c>
      <c r="DC15">
        <f ca="1">OFFSET(Objects!$HW$6,DC$1+(Objects!$Y$4-$A15-1)*Objects!$X$4,0)</f>
        <v>0</v>
      </c>
      <c r="DD15">
        <f ca="1">OFFSET(Objects!$HW$6,DD$1+(Objects!$Y$4-$A15-1)*Objects!$X$4,0)</f>
        <v>0</v>
      </c>
      <c r="DE15">
        <f ca="1">OFFSET(Objects!$HW$6,DE$1+(Objects!$Y$4-$A15-1)*Objects!$X$4,0)</f>
        <v>0</v>
      </c>
      <c r="DF15">
        <f ca="1">OFFSET(Objects!$HW$6,DF$1+(Objects!$Y$4-$A15-1)*Objects!$X$4,0)</f>
        <v>0</v>
      </c>
      <c r="DG15">
        <f ca="1">OFFSET(Objects!$HW$6,DG$1+(Objects!$Y$4-$A15-1)*Objects!$X$4,0)</f>
        <v>0</v>
      </c>
      <c r="DH15">
        <f ca="1">OFFSET(Objects!$HW$6,DH$1+(Objects!$Y$4-$A15-1)*Objects!$X$4,0)</f>
        <v>0</v>
      </c>
      <c r="DI15">
        <f ca="1">OFFSET(Objects!$HW$6,DI$1+(Objects!$Y$4-$A15-1)*Objects!$X$4,0)</f>
        <v>0</v>
      </c>
      <c r="DJ15">
        <f ca="1">OFFSET(Objects!$HW$6,DJ$1+(Objects!$Y$4-$A15-1)*Objects!$X$4,0)</f>
        <v>0</v>
      </c>
      <c r="DK15">
        <f ca="1">OFFSET(Objects!$HW$6,DK$1+(Objects!$Y$4-$A15-1)*Objects!$X$4,0)</f>
        <v>0</v>
      </c>
      <c r="DL15">
        <f ca="1">OFFSET(Objects!$HW$6,DL$1+(Objects!$Y$4-$A15-1)*Objects!$X$4,0)</f>
        <v>0</v>
      </c>
      <c r="DM15">
        <f ca="1">OFFSET(Objects!$HW$6,DM$1+(Objects!$Y$4-$A15-1)*Objects!$X$4,0)</f>
        <v>0</v>
      </c>
      <c r="DN15">
        <f ca="1">OFFSET(Objects!$HW$6,DN$1+(Objects!$Y$4-$A15-1)*Objects!$X$4,0)</f>
        <v>0</v>
      </c>
      <c r="DO15">
        <f ca="1">OFFSET(Objects!$HW$6,DO$1+(Objects!$Y$4-$A15-1)*Objects!$X$4,0)</f>
        <v>0</v>
      </c>
      <c r="DP15">
        <f ca="1">OFFSET(Objects!$HW$6,DP$1+(Objects!$Y$4-$A15-1)*Objects!$X$4,0)</f>
        <v>0</v>
      </c>
      <c r="DQ15">
        <f ca="1">OFFSET(Objects!$HW$6,DQ$1+(Objects!$Y$4-$A15-1)*Objects!$X$4,0)</f>
        <v>0</v>
      </c>
      <c r="DR15">
        <f ca="1">OFFSET(Objects!$HW$6,DR$1+(Objects!$Y$4-$A15-1)*Objects!$X$4,0)</f>
        <v>0</v>
      </c>
      <c r="DS15">
        <f ca="1">OFFSET(Objects!$HW$6,DS$1+(Objects!$Y$4-$A15-1)*Objects!$X$4,0)</f>
        <v>0</v>
      </c>
      <c r="DT15">
        <f ca="1">OFFSET(Objects!$HW$6,DT$1+(Objects!$Y$4-$A15-1)*Objects!$X$4,0)</f>
        <v>0</v>
      </c>
      <c r="DU15">
        <f ca="1">OFFSET(Objects!$HW$6,DU$1+(Objects!$Y$4-$A15-1)*Objects!$X$4,0)</f>
        <v>0</v>
      </c>
      <c r="DV15">
        <f ca="1">OFFSET(Objects!$HW$6,DV$1+(Objects!$Y$4-$A15-1)*Objects!$X$4,0)</f>
        <v>0</v>
      </c>
      <c r="DW15">
        <f ca="1">OFFSET(Objects!$HW$6,DW$1+(Objects!$Y$4-$A15-1)*Objects!$X$4,0)</f>
        <v>0</v>
      </c>
      <c r="DX15">
        <f ca="1">OFFSET(Objects!$HW$6,DX$1+(Objects!$Y$4-$A15-1)*Objects!$X$4,0)</f>
        <v>0</v>
      </c>
      <c r="DY15">
        <f ca="1">OFFSET(Objects!$HW$6,DY$1+(Objects!$Y$4-$A15-1)*Objects!$X$4,0)</f>
        <v>0</v>
      </c>
      <c r="DZ15">
        <f ca="1">OFFSET(Objects!$HW$6,DZ$1+(Objects!$Y$4-$A15-1)*Objects!$X$4,0)</f>
        <v>0</v>
      </c>
      <c r="EA15">
        <f ca="1">OFFSET(Objects!$HW$6,EA$1+(Objects!$Y$4-$A15-1)*Objects!$X$4,0)</f>
        <v>0</v>
      </c>
      <c r="EB15">
        <f ca="1">OFFSET(Objects!$HW$6,EB$1+(Objects!$Y$4-$A15-1)*Objects!$X$4,0)</f>
        <v>0</v>
      </c>
      <c r="EC15">
        <f ca="1">OFFSET(Objects!$HW$6,EC$1+(Objects!$Y$4-$A15-1)*Objects!$X$4,0)</f>
        <v>0</v>
      </c>
      <c r="ED15">
        <f ca="1">OFFSET(Objects!$HW$6,ED$1+(Objects!$Y$4-$A15-1)*Objects!$X$4,0)</f>
        <v>0</v>
      </c>
      <c r="EE15">
        <f ca="1">OFFSET(Objects!$HW$6,EE$1+(Objects!$Y$4-$A15-1)*Objects!$X$4,0)</f>
        <v>0</v>
      </c>
      <c r="EF15">
        <f ca="1">OFFSET(Objects!$HW$6,EF$1+(Objects!$Y$4-$A15-1)*Objects!$X$4,0)</f>
        <v>0</v>
      </c>
      <c r="EG15">
        <f ca="1">OFFSET(Objects!$HW$6,EG$1+(Objects!$Y$4-$A15-1)*Objects!$X$4,0)</f>
        <v>0</v>
      </c>
      <c r="EH15">
        <f ca="1">OFFSET(Objects!$HW$6,EH$1+(Objects!$Y$4-$A15-1)*Objects!$X$4,0)</f>
        <v>0</v>
      </c>
      <c r="EI15">
        <f ca="1">OFFSET(Objects!$HW$6,EI$1+(Objects!$Y$4-$A15-1)*Objects!$X$4,0)</f>
        <v>0</v>
      </c>
      <c r="EJ15">
        <f ca="1">OFFSET(Objects!$HW$6,EJ$1+(Objects!$Y$4-$A15-1)*Objects!$X$4,0)</f>
        <v>0</v>
      </c>
      <c r="EK15">
        <f ca="1">OFFSET(Objects!$HW$6,EK$1+(Objects!$Y$4-$A15-1)*Objects!$X$4,0)</f>
        <v>0</v>
      </c>
      <c r="EL15">
        <f ca="1">OFFSET(Objects!$HW$6,EL$1+(Objects!$Y$4-$A15-1)*Objects!$X$4,0)</f>
        <v>0</v>
      </c>
      <c r="EM15">
        <f ca="1">OFFSET(Objects!$HW$6,EM$1+(Objects!$Y$4-$A15-1)*Objects!$X$4,0)</f>
        <v>0</v>
      </c>
      <c r="EN15">
        <f ca="1">OFFSET(Objects!$HW$6,EN$1+(Objects!$Y$4-$A15-1)*Objects!$X$4,0)</f>
        <v>0</v>
      </c>
      <c r="EO15">
        <f ca="1">OFFSET(Objects!$HW$6,EO$1+(Objects!$Y$4-$A15-1)*Objects!$X$4,0)</f>
        <v>0</v>
      </c>
      <c r="EP15">
        <f ca="1">OFFSET(Objects!$HW$6,EP$1+(Objects!$Y$4-$A15-1)*Objects!$X$4,0)</f>
        <v>0</v>
      </c>
      <c r="EQ15">
        <f ca="1">OFFSET(Objects!$HW$6,EQ$1+(Objects!$Y$4-$A15-1)*Objects!$X$4,0)</f>
        <v>0</v>
      </c>
      <c r="ER15">
        <f ca="1">OFFSET(Objects!$HW$6,ER$1+(Objects!$Y$4-$A15-1)*Objects!$X$4,0)</f>
        <v>0</v>
      </c>
      <c r="ES15">
        <f ca="1">OFFSET(Objects!$HW$6,ES$1+(Objects!$Y$4-$A15-1)*Objects!$X$4,0)</f>
        <v>0</v>
      </c>
      <c r="ET15">
        <f ca="1">OFFSET(Objects!$HW$6,ET$1+(Objects!$Y$4-$A15-1)*Objects!$X$4,0)</f>
        <v>0</v>
      </c>
      <c r="EU15">
        <f ca="1">OFFSET(Objects!$HW$6,EU$1+(Objects!$Y$4-$A15-1)*Objects!$X$4,0)</f>
        <v>0</v>
      </c>
      <c r="EV15">
        <f ca="1">OFFSET(Objects!$HW$6,EV$1+(Objects!$Y$4-$A15-1)*Objects!$X$4,0)</f>
        <v>0</v>
      </c>
      <c r="EW15">
        <f ca="1">OFFSET(Objects!$HW$6,EW$1+(Objects!$Y$4-$A15-1)*Objects!$X$4,0)</f>
        <v>0</v>
      </c>
      <c r="EX15">
        <f ca="1">OFFSET(Objects!$HW$6,EX$1+(Objects!$Y$4-$A15-1)*Objects!$X$4,0)</f>
        <v>0</v>
      </c>
      <c r="EY15">
        <f ca="1">OFFSET(Objects!$HW$6,EY$1+(Objects!$Y$4-$A15-1)*Objects!$X$4,0)</f>
        <v>0</v>
      </c>
      <c r="EZ15">
        <f ca="1">OFFSET(Objects!$HW$6,EZ$1+(Objects!$Y$4-$A15-1)*Objects!$X$4,0)</f>
        <v>0</v>
      </c>
      <c r="FA15">
        <f ca="1">OFFSET(Objects!$HW$6,FA$1+(Objects!$Y$4-$A15-1)*Objects!$X$4,0)</f>
        <v>0</v>
      </c>
      <c r="FB15">
        <f ca="1">OFFSET(Objects!$HW$6,FB$1+(Objects!$Y$4-$A15-1)*Objects!$X$4,0)</f>
        <v>0</v>
      </c>
      <c r="FC15">
        <f ca="1">OFFSET(Objects!$HW$6,FC$1+(Objects!$Y$4-$A15-1)*Objects!$X$4,0)</f>
        <v>0</v>
      </c>
      <c r="FD15">
        <f ca="1">OFFSET(Objects!$HW$6,FD$1+(Objects!$Y$4-$A15-1)*Objects!$X$4,0)</f>
        <v>0</v>
      </c>
      <c r="FE15" s="22">
        <f ca="1">OFFSET(Objects!$HW$6,FE$1+(Objects!$Y$4-$A15-1)*Objects!$X$4,0)</f>
        <v>0</v>
      </c>
    </row>
    <row r="16" spans="1:161" ht="4.5" customHeight="1" x14ac:dyDescent="0.25">
      <c r="A16">
        <v>14</v>
      </c>
      <c r="B16" s="21">
        <f ca="1">OFFSET(Objects!$HW$6,B$1+(Objects!$Y$4-$A16-1)*Objects!$X$4,0)</f>
        <v>0</v>
      </c>
      <c r="C16">
        <f ca="1">OFFSET(Objects!$HW$6,C$1+(Objects!$Y$4-$A16-1)*Objects!$X$4,0)</f>
        <v>0</v>
      </c>
      <c r="D16">
        <f ca="1">OFFSET(Objects!$HW$6,D$1+(Objects!$Y$4-$A16-1)*Objects!$X$4,0)</f>
        <v>0</v>
      </c>
      <c r="E16">
        <f ca="1">OFFSET(Objects!$HW$6,E$1+(Objects!$Y$4-$A16-1)*Objects!$X$4,0)</f>
        <v>0</v>
      </c>
      <c r="F16">
        <f ca="1">OFFSET(Objects!$HW$6,F$1+(Objects!$Y$4-$A16-1)*Objects!$X$4,0)</f>
        <v>0</v>
      </c>
      <c r="G16">
        <f ca="1">OFFSET(Objects!$HW$6,G$1+(Objects!$Y$4-$A16-1)*Objects!$X$4,0)</f>
        <v>0</v>
      </c>
      <c r="H16">
        <f ca="1">OFFSET(Objects!$HW$6,H$1+(Objects!$Y$4-$A16-1)*Objects!$X$4,0)</f>
        <v>0</v>
      </c>
      <c r="I16">
        <f ca="1">OFFSET(Objects!$HW$6,I$1+(Objects!$Y$4-$A16-1)*Objects!$X$4,0)</f>
        <v>0</v>
      </c>
      <c r="J16">
        <f ca="1">OFFSET(Objects!$HW$6,J$1+(Objects!$Y$4-$A16-1)*Objects!$X$4,0)</f>
        <v>0</v>
      </c>
      <c r="K16">
        <f ca="1">OFFSET(Objects!$HW$6,K$1+(Objects!$Y$4-$A16-1)*Objects!$X$4,0)</f>
        <v>0</v>
      </c>
      <c r="L16">
        <f ca="1">OFFSET(Objects!$HW$6,L$1+(Objects!$Y$4-$A16-1)*Objects!$X$4,0)</f>
        <v>0</v>
      </c>
      <c r="M16">
        <f ca="1">OFFSET(Objects!$HW$6,M$1+(Objects!$Y$4-$A16-1)*Objects!$X$4,0)</f>
        <v>0</v>
      </c>
      <c r="N16">
        <f ca="1">OFFSET(Objects!$HW$6,N$1+(Objects!$Y$4-$A16-1)*Objects!$X$4,0)</f>
        <v>0</v>
      </c>
      <c r="O16">
        <f ca="1">OFFSET(Objects!$HW$6,O$1+(Objects!$Y$4-$A16-1)*Objects!$X$4,0)</f>
        <v>0</v>
      </c>
      <c r="P16">
        <f ca="1">OFFSET(Objects!$HW$6,P$1+(Objects!$Y$4-$A16-1)*Objects!$X$4,0)</f>
        <v>0</v>
      </c>
      <c r="Q16">
        <f ca="1">OFFSET(Objects!$HW$6,Q$1+(Objects!$Y$4-$A16-1)*Objects!$X$4,0)</f>
        <v>0</v>
      </c>
      <c r="R16">
        <f ca="1">OFFSET(Objects!$HW$6,R$1+(Objects!$Y$4-$A16-1)*Objects!$X$4,0)</f>
        <v>0</v>
      </c>
      <c r="S16">
        <f ca="1">OFFSET(Objects!$HW$6,S$1+(Objects!$Y$4-$A16-1)*Objects!$X$4,0)</f>
        <v>0</v>
      </c>
      <c r="T16">
        <f ca="1">OFFSET(Objects!$HW$6,T$1+(Objects!$Y$4-$A16-1)*Objects!$X$4,0)</f>
        <v>0</v>
      </c>
      <c r="U16">
        <f ca="1">OFFSET(Objects!$HW$6,U$1+(Objects!$Y$4-$A16-1)*Objects!$X$4,0)</f>
        <v>0</v>
      </c>
      <c r="V16">
        <f ca="1">OFFSET(Objects!$HW$6,V$1+(Objects!$Y$4-$A16-1)*Objects!$X$4,0)</f>
        <v>0</v>
      </c>
      <c r="W16">
        <f ca="1">OFFSET(Objects!$HW$6,W$1+(Objects!$Y$4-$A16-1)*Objects!$X$4,0)</f>
        <v>0</v>
      </c>
      <c r="X16">
        <f ca="1">OFFSET(Objects!$HW$6,X$1+(Objects!$Y$4-$A16-1)*Objects!$X$4,0)</f>
        <v>0</v>
      </c>
      <c r="Y16">
        <f ca="1">OFFSET(Objects!$HW$6,Y$1+(Objects!$Y$4-$A16-1)*Objects!$X$4,0)</f>
        <v>0</v>
      </c>
      <c r="Z16">
        <f ca="1">OFFSET(Objects!$HW$6,Z$1+(Objects!$Y$4-$A16-1)*Objects!$X$4,0)</f>
        <v>0</v>
      </c>
      <c r="AA16">
        <f ca="1">OFFSET(Objects!$HW$6,AA$1+(Objects!$Y$4-$A16-1)*Objects!$X$4,0)</f>
        <v>0</v>
      </c>
      <c r="AB16">
        <f ca="1">OFFSET(Objects!$HW$6,AB$1+(Objects!$Y$4-$A16-1)*Objects!$X$4,0)</f>
        <v>0</v>
      </c>
      <c r="AC16">
        <f ca="1">OFFSET(Objects!$HW$6,AC$1+(Objects!$Y$4-$A16-1)*Objects!$X$4,0)</f>
        <v>0</v>
      </c>
      <c r="AD16">
        <f ca="1">OFFSET(Objects!$HW$6,AD$1+(Objects!$Y$4-$A16-1)*Objects!$X$4,0)</f>
        <v>0</v>
      </c>
      <c r="AE16">
        <f ca="1">OFFSET(Objects!$HW$6,AE$1+(Objects!$Y$4-$A16-1)*Objects!$X$4,0)</f>
        <v>0</v>
      </c>
      <c r="AF16">
        <f ca="1">OFFSET(Objects!$HW$6,AF$1+(Objects!$Y$4-$A16-1)*Objects!$X$4,0)</f>
        <v>0</v>
      </c>
      <c r="AG16">
        <f ca="1">OFFSET(Objects!$HW$6,AG$1+(Objects!$Y$4-$A16-1)*Objects!$X$4,0)</f>
        <v>0</v>
      </c>
      <c r="AH16">
        <f ca="1">OFFSET(Objects!$HW$6,AH$1+(Objects!$Y$4-$A16-1)*Objects!$X$4,0)</f>
        <v>0</v>
      </c>
      <c r="AI16">
        <f ca="1">OFFSET(Objects!$HW$6,AI$1+(Objects!$Y$4-$A16-1)*Objects!$X$4,0)</f>
        <v>0</v>
      </c>
      <c r="AJ16">
        <f ca="1">OFFSET(Objects!$HW$6,AJ$1+(Objects!$Y$4-$A16-1)*Objects!$X$4,0)</f>
        <v>0</v>
      </c>
      <c r="AK16">
        <f ca="1">OFFSET(Objects!$HW$6,AK$1+(Objects!$Y$4-$A16-1)*Objects!$X$4,0)</f>
        <v>0</v>
      </c>
      <c r="AL16">
        <f ca="1">OFFSET(Objects!$HW$6,AL$1+(Objects!$Y$4-$A16-1)*Objects!$X$4,0)</f>
        <v>0</v>
      </c>
      <c r="AM16">
        <f ca="1">OFFSET(Objects!$HW$6,AM$1+(Objects!$Y$4-$A16-1)*Objects!$X$4,0)</f>
        <v>0</v>
      </c>
      <c r="AN16">
        <f ca="1">OFFSET(Objects!$HW$6,AN$1+(Objects!$Y$4-$A16-1)*Objects!$X$4,0)</f>
        <v>0</v>
      </c>
      <c r="AO16">
        <f ca="1">OFFSET(Objects!$HW$6,AO$1+(Objects!$Y$4-$A16-1)*Objects!$X$4,0)</f>
        <v>0</v>
      </c>
      <c r="AP16">
        <f ca="1">OFFSET(Objects!$HW$6,AP$1+(Objects!$Y$4-$A16-1)*Objects!$X$4,0)</f>
        <v>0</v>
      </c>
      <c r="AQ16">
        <f ca="1">OFFSET(Objects!$HW$6,AQ$1+(Objects!$Y$4-$A16-1)*Objects!$X$4,0)</f>
        <v>0</v>
      </c>
      <c r="AR16">
        <f ca="1">OFFSET(Objects!$HW$6,AR$1+(Objects!$Y$4-$A16-1)*Objects!$X$4,0)</f>
        <v>0</v>
      </c>
      <c r="AS16">
        <f ca="1">OFFSET(Objects!$HW$6,AS$1+(Objects!$Y$4-$A16-1)*Objects!$X$4,0)</f>
        <v>0</v>
      </c>
      <c r="AT16">
        <f ca="1">OFFSET(Objects!$HW$6,AT$1+(Objects!$Y$4-$A16-1)*Objects!$X$4,0)</f>
        <v>0</v>
      </c>
      <c r="AU16">
        <f ca="1">OFFSET(Objects!$HW$6,AU$1+(Objects!$Y$4-$A16-1)*Objects!$X$4,0)</f>
        <v>0</v>
      </c>
      <c r="AV16">
        <f ca="1">OFFSET(Objects!$HW$6,AV$1+(Objects!$Y$4-$A16-1)*Objects!$X$4,0)</f>
        <v>0</v>
      </c>
      <c r="AW16">
        <f ca="1">OFFSET(Objects!$HW$6,AW$1+(Objects!$Y$4-$A16-1)*Objects!$X$4,0)</f>
        <v>0</v>
      </c>
      <c r="AX16">
        <f ca="1">OFFSET(Objects!$HW$6,AX$1+(Objects!$Y$4-$A16-1)*Objects!$X$4,0)</f>
        <v>0</v>
      </c>
      <c r="AY16">
        <f ca="1">OFFSET(Objects!$HW$6,AY$1+(Objects!$Y$4-$A16-1)*Objects!$X$4,0)</f>
        <v>0</v>
      </c>
      <c r="AZ16">
        <f ca="1">OFFSET(Objects!$HW$6,AZ$1+(Objects!$Y$4-$A16-1)*Objects!$X$4,0)</f>
        <v>0</v>
      </c>
      <c r="BA16">
        <f ca="1">OFFSET(Objects!$HW$6,BA$1+(Objects!$Y$4-$A16-1)*Objects!$X$4,0)</f>
        <v>0</v>
      </c>
      <c r="BB16">
        <f ca="1">OFFSET(Objects!$HW$6,BB$1+(Objects!$Y$4-$A16-1)*Objects!$X$4,0)</f>
        <v>0</v>
      </c>
      <c r="BC16">
        <f ca="1">OFFSET(Objects!$HW$6,BC$1+(Objects!$Y$4-$A16-1)*Objects!$X$4,0)</f>
        <v>0</v>
      </c>
      <c r="BD16">
        <f ca="1">OFFSET(Objects!$HW$6,BD$1+(Objects!$Y$4-$A16-1)*Objects!$X$4,0)</f>
        <v>0</v>
      </c>
      <c r="BE16">
        <f ca="1">OFFSET(Objects!$HW$6,BE$1+(Objects!$Y$4-$A16-1)*Objects!$X$4,0)</f>
        <v>0</v>
      </c>
      <c r="BF16">
        <f ca="1">OFFSET(Objects!$HW$6,BF$1+(Objects!$Y$4-$A16-1)*Objects!$X$4,0)</f>
        <v>0</v>
      </c>
      <c r="BG16">
        <f ca="1">OFFSET(Objects!$HW$6,BG$1+(Objects!$Y$4-$A16-1)*Objects!$X$4,0)</f>
        <v>0</v>
      </c>
      <c r="BH16">
        <f ca="1">OFFSET(Objects!$HW$6,BH$1+(Objects!$Y$4-$A16-1)*Objects!$X$4,0)</f>
        <v>0</v>
      </c>
      <c r="BI16">
        <f ca="1">OFFSET(Objects!$HW$6,BI$1+(Objects!$Y$4-$A16-1)*Objects!$X$4,0)</f>
        <v>0</v>
      </c>
      <c r="BJ16">
        <f ca="1">OFFSET(Objects!$HW$6,BJ$1+(Objects!$Y$4-$A16-1)*Objects!$X$4,0)</f>
        <v>0</v>
      </c>
      <c r="BK16">
        <f ca="1">OFFSET(Objects!$HW$6,BK$1+(Objects!$Y$4-$A16-1)*Objects!$X$4,0)</f>
        <v>0</v>
      </c>
      <c r="BL16">
        <f ca="1">OFFSET(Objects!$HW$6,BL$1+(Objects!$Y$4-$A16-1)*Objects!$X$4,0)</f>
        <v>0</v>
      </c>
      <c r="BM16">
        <f ca="1">OFFSET(Objects!$HW$6,BM$1+(Objects!$Y$4-$A16-1)*Objects!$X$4,0)</f>
        <v>0</v>
      </c>
      <c r="BN16">
        <f ca="1">OFFSET(Objects!$HW$6,BN$1+(Objects!$Y$4-$A16-1)*Objects!$X$4,0)</f>
        <v>0</v>
      </c>
      <c r="BO16">
        <f ca="1">OFFSET(Objects!$HW$6,BO$1+(Objects!$Y$4-$A16-1)*Objects!$X$4,0)</f>
        <v>0</v>
      </c>
      <c r="BP16">
        <f ca="1">OFFSET(Objects!$HW$6,BP$1+(Objects!$Y$4-$A16-1)*Objects!$X$4,0)</f>
        <v>0</v>
      </c>
      <c r="BQ16">
        <f ca="1">OFFSET(Objects!$HW$6,BQ$1+(Objects!$Y$4-$A16-1)*Objects!$X$4,0)</f>
        <v>0</v>
      </c>
      <c r="BR16">
        <f ca="1">OFFSET(Objects!$HW$6,BR$1+(Objects!$Y$4-$A16-1)*Objects!$X$4,0)</f>
        <v>0</v>
      </c>
      <c r="BS16">
        <f ca="1">OFFSET(Objects!$HW$6,BS$1+(Objects!$Y$4-$A16-1)*Objects!$X$4,0)</f>
        <v>0</v>
      </c>
      <c r="BT16">
        <f ca="1">OFFSET(Objects!$HW$6,BT$1+(Objects!$Y$4-$A16-1)*Objects!$X$4,0)</f>
        <v>0</v>
      </c>
      <c r="BU16">
        <f ca="1">OFFSET(Objects!$HW$6,BU$1+(Objects!$Y$4-$A16-1)*Objects!$X$4,0)</f>
        <v>0</v>
      </c>
      <c r="BV16">
        <f ca="1">OFFSET(Objects!$HW$6,BV$1+(Objects!$Y$4-$A16-1)*Objects!$X$4,0)</f>
        <v>0</v>
      </c>
      <c r="BW16">
        <f ca="1">OFFSET(Objects!$HW$6,BW$1+(Objects!$Y$4-$A16-1)*Objects!$X$4,0)</f>
        <v>0</v>
      </c>
      <c r="BX16">
        <f ca="1">OFFSET(Objects!$HW$6,BX$1+(Objects!$Y$4-$A16-1)*Objects!$X$4,0)</f>
        <v>0</v>
      </c>
      <c r="BY16">
        <f ca="1">OFFSET(Objects!$HW$6,BY$1+(Objects!$Y$4-$A16-1)*Objects!$X$4,0)</f>
        <v>0</v>
      </c>
      <c r="BZ16">
        <f ca="1">OFFSET(Objects!$HW$6,BZ$1+(Objects!$Y$4-$A16-1)*Objects!$X$4,0)</f>
        <v>0</v>
      </c>
      <c r="CA16">
        <f ca="1">OFFSET(Objects!$HW$6,CA$1+(Objects!$Y$4-$A16-1)*Objects!$X$4,0)</f>
        <v>0</v>
      </c>
      <c r="CB16">
        <f ca="1">OFFSET(Objects!$HW$6,CB$1+(Objects!$Y$4-$A16-1)*Objects!$X$4,0)</f>
        <v>0</v>
      </c>
      <c r="CC16">
        <f ca="1">OFFSET(Objects!$HW$6,CC$1+(Objects!$Y$4-$A16-1)*Objects!$X$4,0)</f>
        <v>0</v>
      </c>
      <c r="CD16">
        <f ca="1">OFFSET(Objects!$HW$6,CD$1+(Objects!$Y$4-$A16-1)*Objects!$X$4,0)</f>
        <v>0</v>
      </c>
      <c r="CE16">
        <f ca="1">OFFSET(Objects!$HW$6,CE$1+(Objects!$Y$4-$A16-1)*Objects!$X$4,0)</f>
        <v>0</v>
      </c>
      <c r="CF16">
        <f ca="1">OFFSET(Objects!$HW$6,CF$1+(Objects!$Y$4-$A16-1)*Objects!$X$4,0)</f>
        <v>0</v>
      </c>
      <c r="CG16">
        <f ca="1">OFFSET(Objects!$HW$6,CG$1+(Objects!$Y$4-$A16-1)*Objects!$X$4,0)</f>
        <v>0</v>
      </c>
      <c r="CH16">
        <f ca="1">OFFSET(Objects!$HW$6,CH$1+(Objects!$Y$4-$A16-1)*Objects!$X$4,0)</f>
        <v>0</v>
      </c>
      <c r="CI16">
        <f ca="1">OFFSET(Objects!$HW$6,CI$1+(Objects!$Y$4-$A16-1)*Objects!$X$4,0)</f>
        <v>0</v>
      </c>
      <c r="CJ16">
        <f ca="1">OFFSET(Objects!$HW$6,CJ$1+(Objects!$Y$4-$A16-1)*Objects!$X$4,0)</f>
        <v>0</v>
      </c>
      <c r="CK16">
        <f ca="1">OFFSET(Objects!$HW$6,CK$1+(Objects!$Y$4-$A16-1)*Objects!$X$4,0)</f>
        <v>0</v>
      </c>
      <c r="CL16">
        <f ca="1">OFFSET(Objects!$HW$6,CL$1+(Objects!$Y$4-$A16-1)*Objects!$X$4,0)</f>
        <v>0</v>
      </c>
      <c r="CM16">
        <f ca="1">OFFSET(Objects!$HW$6,CM$1+(Objects!$Y$4-$A16-1)*Objects!$X$4,0)</f>
        <v>0</v>
      </c>
      <c r="CN16">
        <f ca="1">OFFSET(Objects!$HW$6,CN$1+(Objects!$Y$4-$A16-1)*Objects!$X$4,0)</f>
        <v>0</v>
      </c>
      <c r="CO16">
        <f ca="1">OFFSET(Objects!$HW$6,CO$1+(Objects!$Y$4-$A16-1)*Objects!$X$4,0)</f>
        <v>0</v>
      </c>
      <c r="CP16">
        <f ca="1">OFFSET(Objects!$HW$6,CP$1+(Objects!$Y$4-$A16-1)*Objects!$X$4,0)</f>
        <v>0</v>
      </c>
      <c r="CQ16">
        <f ca="1">OFFSET(Objects!$HW$6,CQ$1+(Objects!$Y$4-$A16-1)*Objects!$X$4,0)</f>
        <v>0</v>
      </c>
      <c r="CR16">
        <f ca="1">OFFSET(Objects!$HW$6,CR$1+(Objects!$Y$4-$A16-1)*Objects!$X$4,0)</f>
        <v>0</v>
      </c>
      <c r="CS16">
        <f ca="1">OFFSET(Objects!$HW$6,CS$1+(Objects!$Y$4-$A16-1)*Objects!$X$4,0)</f>
        <v>0</v>
      </c>
      <c r="CT16">
        <f ca="1">OFFSET(Objects!$HW$6,CT$1+(Objects!$Y$4-$A16-1)*Objects!$X$4,0)</f>
        <v>0</v>
      </c>
      <c r="CU16">
        <f ca="1">OFFSET(Objects!$HW$6,CU$1+(Objects!$Y$4-$A16-1)*Objects!$X$4,0)</f>
        <v>0</v>
      </c>
      <c r="CV16">
        <f ca="1">OFFSET(Objects!$HW$6,CV$1+(Objects!$Y$4-$A16-1)*Objects!$X$4,0)</f>
        <v>0</v>
      </c>
      <c r="CW16">
        <f ca="1">OFFSET(Objects!$HW$6,CW$1+(Objects!$Y$4-$A16-1)*Objects!$X$4,0)</f>
        <v>0</v>
      </c>
      <c r="CX16">
        <f ca="1">OFFSET(Objects!$HW$6,CX$1+(Objects!$Y$4-$A16-1)*Objects!$X$4,0)</f>
        <v>0</v>
      </c>
      <c r="CY16">
        <f ca="1">OFFSET(Objects!$HW$6,CY$1+(Objects!$Y$4-$A16-1)*Objects!$X$4,0)</f>
        <v>0</v>
      </c>
      <c r="CZ16">
        <f ca="1">OFFSET(Objects!$HW$6,CZ$1+(Objects!$Y$4-$A16-1)*Objects!$X$4,0)</f>
        <v>0</v>
      </c>
      <c r="DA16">
        <f ca="1">OFFSET(Objects!$HW$6,DA$1+(Objects!$Y$4-$A16-1)*Objects!$X$4,0)</f>
        <v>0</v>
      </c>
      <c r="DB16">
        <f ca="1">OFFSET(Objects!$HW$6,DB$1+(Objects!$Y$4-$A16-1)*Objects!$X$4,0)</f>
        <v>0</v>
      </c>
      <c r="DC16">
        <f ca="1">OFFSET(Objects!$HW$6,DC$1+(Objects!$Y$4-$A16-1)*Objects!$X$4,0)</f>
        <v>0</v>
      </c>
      <c r="DD16">
        <f ca="1">OFFSET(Objects!$HW$6,DD$1+(Objects!$Y$4-$A16-1)*Objects!$X$4,0)</f>
        <v>0</v>
      </c>
      <c r="DE16">
        <f ca="1">OFFSET(Objects!$HW$6,DE$1+(Objects!$Y$4-$A16-1)*Objects!$X$4,0)</f>
        <v>0</v>
      </c>
      <c r="DF16">
        <f ca="1">OFFSET(Objects!$HW$6,DF$1+(Objects!$Y$4-$A16-1)*Objects!$X$4,0)</f>
        <v>0</v>
      </c>
      <c r="DG16">
        <f ca="1">OFFSET(Objects!$HW$6,DG$1+(Objects!$Y$4-$A16-1)*Objects!$X$4,0)</f>
        <v>0</v>
      </c>
      <c r="DH16">
        <f ca="1">OFFSET(Objects!$HW$6,DH$1+(Objects!$Y$4-$A16-1)*Objects!$X$4,0)</f>
        <v>0</v>
      </c>
      <c r="DI16">
        <f ca="1">OFFSET(Objects!$HW$6,DI$1+(Objects!$Y$4-$A16-1)*Objects!$X$4,0)</f>
        <v>0</v>
      </c>
      <c r="DJ16">
        <f ca="1">OFFSET(Objects!$HW$6,DJ$1+(Objects!$Y$4-$A16-1)*Objects!$X$4,0)</f>
        <v>0</v>
      </c>
      <c r="DK16">
        <f ca="1">OFFSET(Objects!$HW$6,DK$1+(Objects!$Y$4-$A16-1)*Objects!$X$4,0)</f>
        <v>0</v>
      </c>
      <c r="DL16">
        <f ca="1">OFFSET(Objects!$HW$6,DL$1+(Objects!$Y$4-$A16-1)*Objects!$X$4,0)</f>
        <v>0</v>
      </c>
      <c r="DM16">
        <f ca="1">OFFSET(Objects!$HW$6,DM$1+(Objects!$Y$4-$A16-1)*Objects!$X$4,0)</f>
        <v>0</v>
      </c>
      <c r="DN16">
        <f ca="1">OFFSET(Objects!$HW$6,DN$1+(Objects!$Y$4-$A16-1)*Objects!$X$4,0)</f>
        <v>0</v>
      </c>
      <c r="DO16">
        <f ca="1">OFFSET(Objects!$HW$6,DO$1+(Objects!$Y$4-$A16-1)*Objects!$X$4,0)</f>
        <v>0</v>
      </c>
      <c r="DP16">
        <f ca="1">OFFSET(Objects!$HW$6,DP$1+(Objects!$Y$4-$A16-1)*Objects!$X$4,0)</f>
        <v>0</v>
      </c>
      <c r="DQ16">
        <f ca="1">OFFSET(Objects!$HW$6,DQ$1+(Objects!$Y$4-$A16-1)*Objects!$X$4,0)</f>
        <v>0</v>
      </c>
      <c r="DR16">
        <f ca="1">OFFSET(Objects!$HW$6,DR$1+(Objects!$Y$4-$A16-1)*Objects!$X$4,0)</f>
        <v>0</v>
      </c>
      <c r="DS16">
        <f ca="1">OFFSET(Objects!$HW$6,DS$1+(Objects!$Y$4-$A16-1)*Objects!$X$4,0)</f>
        <v>0</v>
      </c>
      <c r="DT16">
        <f ca="1">OFFSET(Objects!$HW$6,DT$1+(Objects!$Y$4-$A16-1)*Objects!$X$4,0)</f>
        <v>0</v>
      </c>
      <c r="DU16">
        <f ca="1">OFFSET(Objects!$HW$6,DU$1+(Objects!$Y$4-$A16-1)*Objects!$X$4,0)</f>
        <v>0</v>
      </c>
      <c r="DV16">
        <f ca="1">OFFSET(Objects!$HW$6,DV$1+(Objects!$Y$4-$A16-1)*Objects!$X$4,0)</f>
        <v>0</v>
      </c>
      <c r="DW16">
        <f ca="1">OFFSET(Objects!$HW$6,DW$1+(Objects!$Y$4-$A16-1)*Objects!$X$4,0)</f>
        <v>0</v>
      </c>
      <c r="DX16">
        <f ca="1">OFFSET(Objects!$HW$6,DX$1+(Objects!$Y$4-$A16-1)*Objects!$X$4,0)</f>
        <v>0</v>
      </c>
      <c r="DY16">
        <f ca="1">OFFSET(Objects!$HW$6,DY$1+(Objects!$Y$4-$A16-1)*Objects!$X$4,0)</f>
        <v>0</v>
      </c>
      <c r="DZ16">
        <f ca="1">OFFSET(Objects!$HW$6,DZ$1+(Objects!$Y$4-$A16-1)*Objects!$X$4,0)</f>
        <v>0</v>
      </c>
      <c r="EA16">
        <f ca="1">OFFSET(Objects!$HW$6,EA$1+(Objects!$Y$4-$A16-1)*Objects!$X$4,0)</f>
        <v>0</v>
      </c>
      <c r="EB16">
        <f ca="1">OFFSET(Objects!$HW$6,EB$1+(Objects!$Y$4-$A16-1)*Objects!$X$4,0)</f>
        <v>0</v>
      </c>
      <c r="EC16">
        <f ca="1">OFFSET(Objects!$HW$6,EC$1+(Objects!$Y$4-$A16-1)*Objects!$X$4,0)</f>
        <v>0</v>
      </c>
      <c r="ED16">
        <f ca="1">OFFSET(Objects!$HW$6,ED$1+(Objects!$Y$4-$A16-1)*Objects!$X$4,0)</f>
        <v>0</v>
      </c>
      <c r="EE16">
        <f ca="1">OFFSET(Objects!$HW$6,EE$1+(Objects!$Y$4-$A16-1)*Objects!$X$4,0)</f>
        <v>0</v>
      </c>
      <c r="EF16">
        <f ca="1">OFFSET(Objects!$HW$6,EF$1+(Objects!$Y$4-$A16-1)*Objects!$X$4,0)</f>
        <v>0</v>
      </c>
      <c r="EG16">
        <f ca="1">OFFSET(Objects!$HW$6,EG$1+(Objects!$Y$4-$A16-1)*Objects!$X$4,0)</f>
        <v>0</v>
      </c>
      <c r="EH16">
        <f ca="1">OFFSET(Objects!$HW$6,EH$1+(Objects!$Y$4-$A16-1)*Objects!$X$4,0)</f>
        <v>0</v>
      </c>
      <c r="EI16">
        <f ca="1">OFFSET(Objects!$HW$6,EI$1+(Objects!$Y$4-$A16-1)*Objects!$X$4,0)</f>
        <v>0</v>
      </c>
      <c r="EJ16">
        <f ca="1">OFFSET(Objects!$HW$6,EJ$1+(Objects!$Y$4-$A16-1)*Objects!$X$4,0)</f>
        <v>0</v>
      </c>
      <c r="EK16">
        <f ca="1">OFFSET(Objects!$HW$6,EK$1+(Objects!$Y$4-$A16-1)*Objects!$X$4,0)</f>
        <v>0</v>
      </c>
      <c r="EL16">
        <f ca="1">OFFSET(Objects!$HW$6,EL$1+(Objects!$Y$4-$A16-1)*Objects!$X$4,0)</f>
        <v>0</v>
      </c>
      <c r="EM16">
        <f ca="1">OFFSET(Objects!$HW$6,EM$1+(Objects!$Y$4-$A16-1)*Objects!$X$4,0)</f>
        <v>0</v>
      </c>
      <c r="EN16">
        <f ca="1">OFFSET(Objects!$HW$6,EN$1+(Objects!$Y$4-$A16-1)*Objects!$X$4,0)</f>
        <v>0</v>
      </c>
      <c r="EO16">
        <f ca="1">OFFSET(Objects!$HW$6,EO$1+(Objects!$Y$4-$A16-1)*Objects!$X$4,0)</f>
        <v>0</v>
      </c>
      <c r="EP16">
        <f ca="1">OFFSET(Objects!$HW$6,EP$1+(Objects!$Y$4-$A16-1)*Objects!$X$4,0)</f>
        <v>0</v>
      </c>
      <c r="EQ16">
        <f ca="1">OFFSET(Objects!$HW$6,EQ$1+(Objects!$Y$4-$A16-1)*Objects!$X$4,0)</f>
        <v>0</v>
      </c>
      <c r="ER16">
        <f ca="1">OFFSET(Objects!$HW$6,ER$1+(Objects!$Y$4-$A16-1)*Objects!$X$4,0)</f>
        <v>0</v>
      </c>
      <c r="ES16">
        <f ca="1">OFFSET(Objects!$HW$6,ES$1+(Objects!$Y$4-$A16-1)*Objects!$X$4,0)</f>
        <v>0</v>
      </c>
      <c r="ET16">
        <f ca="1">OFFSET(Objects!$HW$6,ET$1+(Objects!$Y$4-$A16-1)*Objects!$X$4,0)</f>
        <v>0</v>
      </c>
      <c r="EU16">
        <f ca="1">OFFSET(Objects!$HW$6,EU$1+(Objects!$Y$4-$A16-1)*Objects!$X$4,0)</f>
        <v>0</v>
      </c>
      <c r="EV16">
        <f ca="1">OFFSET(Objects!$HW$6,EV$1+(Objects!$Y$4-$A16-1)*Objects!$X$4,0)</f>
        <v>0</v>
      </c>
      <c r="EW16">
        <f ca="1">OFFSET(Objects!$HW$6,EW$1+(Objects!$Y$4-$A16-1)*Objects!$X$4,0)</f>
        <v>0</v>
      </c>
      <c r="EX16">
        <f ca="1">OFFSET(Objects!$HW$6,EX$1+(Objects!$Y$4-$A16-1)*Objects!$X$4,0)</f>
        <v>0</v>
      </c>
      <c r="EY16">
        <f ca="1">OFFSET(Objects!$HW$6,EY$1+(Objects!$Y$4-$A16-1)*Objects!$X$4,0)</f>
        <v>0</v>
      </c>
      <c r="EZ16">
        <f ca="1">OFFSET(Objects!$HW$6,EZ$1+(Objects!$Y$4-$A16-1)*Objects!$X$4,0)</f>
        <v>0</v>
      </c>
      <c r="FA16">
        <f ca="1">OFFSET(Objects!$HW$6,FA$1+(Objects!$Y$4-$A16-1)*Objects!$X$4,0)</f>
        <v>0</v>
      </c>
      <c r="FB16">
        <f ca="1">OFFSET(Objects!$HW$6,FB$1+(Objects!$Y$4-$A16-1)*Objects!$X$4,0)</f>
        <v>0</v>
      </c>
      <c r="FC16">
        <f ca="1">OFFSET(Objects!$HW$6,FC$1+(Objects!$Y$4-$A16-1)*Objects!$X$4,0)</f>
        <v>0</v>
      </c>
      <c r="FD16">
        <f ca="1">OFFSET(Objects!$HW$6,FD$1+(Objects!$Y$4-$A16-1)*Objects!$X$4,0)</f>
        <v>0</v>
      </c>
      <c r="FE16" s="22">
        <f ca="1">OFFSET(Objects!$HW$6,FE$1+(Objects!$Y$4-$A16-1)*Objects!$X$4,0)</f>
        <v>0</v>
      </c>
    </row>
    <row r="17" spans="1:161" ht="4.5" customHeight="1" x14ac:dyDescent="0.25">
      <c r="A17">
        <v>15</v>
      </c>
      <c r="B17" s="21">
        <f ca="1">OFFSET(Objects!$HW$6,B$1+(Objects!$Y$4-$A17-1)*Objects!$X$4,0)</f>
        <v>0</v>
      </c>
      <c r="C17">
        <f ca="1">OFFSET(Objects!$HW$6,C$1+(Objects!$Y$4-$A17-1)*Objects!$X$4,0)</f>
        <v>0</v>
      </c>
      <c r="D17">
        <f ca="1">OFFSET(Objects!$HW$6,D$1+(Objects!$Y$4-$A17-1)*Objects!$X$4,0)</f>
        <v>0</v>
      </c>
      <c r="E17">
        <f ca="1">OFFSET(Objects!$HW$6,E$1+(Objects!$Y$4-$A17-1)*Objects!$X$4,0)</f>
        <v>0</v>
      </c>
      <c r="F17">
        <f ca="1">OFFSET(Objects!$HW$6,F$1+(Objects!$Y$4-$A17-1)*Objects!$X$4,0)</f>
        <v>0</v>
      </c>
      <c r="G17">
        <f ca="1">OFFSET(Objects!$HW$6,G$1+(Objects!$Y$4-$A17-1)*Objects!$X$4,0)</f>
        <v>0</v>
      </c>
      <c r="H17">
        <f ca="1">OFFSET(Objects!$HW$6,H$1+(Objects!$Y$4-$A17-1)*Objects!$X$4,0)</f>
        <v>0</v>
      </c>
      <c r="I17">
        <f ca="1">OFFSET(Objects!$HW$6,I$1+(Objects!$Y$4-$A17-1)*Objects!$X$4,0)</f>
        <v>0</v>
      </c>
      <c r="J17">
        <f ca="1">OFFSET(Objects!$HW$6,J$1+(Objects!$Y$4-$A17-1)*Objects!$X$4,0)</f>
        <v>0</v>
      </c>
      <c r="K17">
        <f ca="1">OFFSET(Objects!$HW$6,K$1+(Objects!$Y$4-$A17-1)*Objects!$X$4,0)</f>
        <v>0</v>
      </c>
      <c r="L17">
        <f ca="1">OFFSET(Objects!$HW$6,L$1+(Objects!$Y$4-$A17-1)*Objects!$X$4,0)</f>
        <v>0</v>
      </c>
      <c r="M17">
        <f ca="1">OFFSET(Objects!$HW$6,M$1+(Objects!$Y$4-$A17-1)*Objects!$X$4,0)</f>
        <v>0</v>
      </c>
      <c r="N17">
        <f ca="1">OFFSET(Objects!$HW$6,N$1+(Objects!$Y$4-$A17-1)*Objects!$X$4,0)</f>
        <v>0</v>
      </c>
      <c r="O17">
        <f ca="1">OFFSET(Objects!$HW$6,O$1+(Objects!$Y$4-$A17-1)*Objects!$X$4,0)</f>
        <v>0</v>
      </c>
      <c r="P17">
        <f ca="1">OFFSET(Objects!$HW$6,P$1+(Objects!$Y$4-$A17-1)*Objects!$X$4,0)</f>
        <v>0</v>
      </c>
      <c r="Q17">
        <f ca="1">OFFSET(Objects!$HW$6,Q$1+(Objects!$Y$4-$A17-1)*Objects!$X$4,0)</f>
        <v>0</v>
      </c>
      <c r="R17">
        <f ca="1">OFFSET(Objects!$HW$6,R$1+(Objects!$Y$4-$A17-1)*Objects!$X$4,0)</f>
        <v>0</v>
      </c>
      <c r="S17">
        <f ca="1">OFFSET(Objects!$HW$6,S$1+(Objects!$Y$4-$A17-1)*Objects!$X$4,0)</f>
        <v>0</v>
      </c>
      <c r="T17">
        <f ca="1">OFFSET(Objects!$HW$6,T$1+(Objects!$Y$4-$A17-1)*Objects!$X$4,0)</f>
        <v>0</v>
      </c>
      <c r="U17">
        <f ca="1">OFFSET(Objects!$HW$6,U$1+(Objects!$Y$4-$A17-1)*Objects!$X$4,0)</f>
        <v>0</v>
      </c>
      <c r="V17">
        <f ca="1">OFFSET(Objects!$HW$6,V$1+(Objects!$Y$4-$A17-1)*Objects!$X$4,0)</f>
        <v>0</v>
      </c>
      <c r="W17">
        <f ca="1">OFFSET(Objects!$HW$6,W$1+(Objects!$Y$4-$A17-1)*Objects!$X$4,0)</f>
        <v>0</v>
      </c>
      <c r="X17">
        <f ca="1">OFFSET(Objects!$HW$6,X$1+(Objects!$Y$4-$A17-1)*Objects!$X$4,0)</f>
        <v>0</v>
      </c>
      <c r="Y17">
        <f ca="1">OFFSET(Objects!$HW$6,Y$1+(Objects!$Y$4-$A17-1)*Objects!$X$4,0)</f>
        <v>0</v>
      </c>
      <c r="Z17">
        <f ca="1">OFFSET(Objects!$HW$6,Z$1+(Objects!$Y$4-$A17-1)*Objects!$X$4,0)</f>
        <v>0</v>
      </c>
      <c r="AA17">
        <f ca="1">OFFSET(Objects!$HW$6,AA$1+(Objects!$Y$4-$A17-1)*Objects!$X$4,0)</f>
        <v>0</v>
      </c>
      <c r="AB17">
        <f ca="1">OFFSET(Objects!$HW$6,AB$1+(Objects!$Y$4-$A17-1)*Objects!$X$4,0)</f>
        <v>0</v>
      </c>
      <c r="AC17">
        <f ca="1">OFFSET(Objects!$HW$6,AC$1+(Objects!$Y$4-$A17-1)*Objects!$X$4,0)</f>
        <v>0</v>
      </c>
      <c r="AD17">
        <f ca="1">OFFSET(Objects!$HW$6,AD$1+(Objects!$Y$4-$A17-1)*Objects!$X$4,0)</f>
        <v>0</v>
      </c>
      <c r="AE17">
        <f ca="1">OFFSET(Objects!$HW$6,AE$1+(Objects!$Y$4-$A17-1)*Objects!$X$4,0)</f>
        <v>0</v>
      </c>
      <c r="AF17">
        <f ca="1">OFFSET(Objects!$HW$6,AF$1+(Objects!$Y$4-$A17-1)*Objects!$X$4,0)</f>
        <v>0</v>
      </c>
      <c r="AG17">
        <f ca="1">OFFSET(Objects!$HW$6,AG$1+(Objects!$Y$4-$A17-1)*Objects!$X$4,0)</f>
        <v>0</v>
      </c>
      <c r="AH17">
        <f ca="1">OFFSET(Objects!$HW$6,AH$1+(Objects!$Y$4-$A17-1)*Objects!$X$4,0)</f>
        <v>0</v>
      </c>
      <c r="AI17">
        <f ca="1">OFFSET(Objects!$HW$6,AI$1+(Objects!$Y$4-$A17-1)*Objects!$X$4,0)</f>
        <v>0</v>
      </c>
      <c r="AJ17">
        <f ca="1">OFFSET(Objects!$HW$6,AJ$1+(Objects!$Y$4-$A17-1)*Objects!$X$4,0)</f>
        <v>0</v>
      </c>
      <c r="AK17">
        <f ca="1">OFFSET(Objects!$HW$6,AK$1+(Objects!$Y$4-$A17-1)*Objects!$X$4,0)</f>
        <v>0</v>
      </c>
      <c r="AL17">
        <f ca="1">OFFSET(Objects!$HW$6,AL$1+(Objects!$Y$4-$A17-1)*Objects!$X$4,0)</f>
        <v>0</v>
      </c>
      <c r="AM17">
        <f ca="1">OFFSET(Objects!$HW$6,AM$1+(Objects!$Y$4-$A17-1)*Objects!$X$4,0)</f>
        <v>0</v>
      </c>
      <c r="AN17">
        <f ca="1">OFFSET(Objects!$HW$6,AN$1+(Objects!$Y$4-$A17-1)*Objects!$X$4,0)</f>
        <v>0</v>
      </c>
      <c r="AO17">
        <f ca="1">OFFSET(Objects!$HW$6,AO$1+(Objects!$Y$4-$A17-1)*Objects!$X$4,0)</f>
        <v>0</v>
      </c>
      <c r="AP17">
        <f ca="1">OFFSET(Objects!$HW$6,AP$1+(Objects!$Y$4-$A17-1)*Objects!$X$4,0)</f>
        <v>0</v>
      </c>
      <c r="AQ17">
        <f ca="1">OFFSET(Objects!$HW$6,AQ$1+(Objects!$Y$4-$A17-1)*Objects!$X$4,0)</f>
        <v>0</v>
      </c>
      <c r="AR17">
        <f ca="1">OFFSET(Objects!$HW$6,AR$1+(Objects!$Y$4-$A17-1)*Objects!$X$4,0)</f>
        <v>0</v>
      </c>
      <c r="AS17">
        <f ca="1">OFFSET(Objects!$HW$6,AS$1+(Objects!$Y$4-$A17-1)*Objects!$X$4,0)</f>
        <v>0</v>
      </c>
      <c r="AT17">
        <f ca="1">OFFSET(Objects!$HW$6,AT$1+(Objects!$Y$4-$A17-1)*Objects!$X$4,0)</f>
        <v>0</v>
      </c>
      <c r="AU17">
        <f ca="1">OFFSET(Objects!$HW$6,AU$1+(Objects!$Y$4-$A17-1)*Objects!$X$4,0)</f>
        <v>0</v>
      </c>
      <c r="AV17">
        <f ca="1">OFFSET(Objects!$HW$6,AV$1+(Objects!$Y$4-$A17-1)*Objects!$X$4,0)</f>
        <v>0</v>
      </c>
      <c r="AW17">
        <f ca="1">OFFSET(Objects!$HW$6,AW$1+(Objects!$Y$4-$A17-1)*Objects!$X$4,0)</f>
        <v>0</v>
      </c>
      <c r="AX17">
        <f ca="1">OFFSET(Objects!$HW$6,AX$1+(Objects!$Y$4-$A17-1)*Objects!$X$4,0)</f>
        <v>0</v>
      </c>
      <c r="AY17">
        <f ca="1">OFFSET(Objects!$HW$6,AY$1+(Objects!$Y$4-$A17-1)*Objects!$X$4,0)</f>
        <v>0</v>
      </c>
      <c r="AZ17">
        <f ca="1">OFFSET(Objects!$HW$6,AZ$1+(Objects!$Y$4-$A17-1)*Objects!$X$4,0)</f>
        <v>0</v>
      </c>
      <c r="BA17">
        <f ca="1">OFFSET(Objects!$HW$6,BA$1+(Objects!$Y$4-$A17-1)*Objects!$X$4,0)</f>
        <v>0</v>
      </c>
      <c r="BB17">
        <f ca="1">OFFSET(Objects!$HW$6,BB$1+(Objects!$Y$4-$A17-1)*Objects!$X$4,0)</f>
        <v>0</v>
      </c>
      <c r="BC17">
        <f ca="1">OFFSET(Objects!$HW$6,BC$1+(Objects!$Y$4-$A17-1)*Objects!$X$4,0)</f>
        <v>0</v>
      </c>
      <c r="BD17">
        <f ca="1">OFFSET(Objects!$HW$6,BD$1+(Objects!$Y$4-$A17-1)*Objects!$X$4,0)</f>
        <v>0</v>
      </c>
      <c r="BE17">
        <f ca="1">OFFSET(Objects!$HW$6,BE$1+(Objects!$Y$4-$A17-1)*Objects!$X$4,0)</f>
        <v>0</v>
      </c>
      <c r="BF17">
        <f ca="1">OFFSET(Objects!$HW$6,BF$1+(Objects!$Y$4-$A17-1)*Objects!$X$4,0)</f>
        <v>0</v>
      </c>
      <c r="BG17">
        <f ca="1">OFFSET(Objects!$HW$6,BG$1+(Objects!$Y$4-$A17-1)*Objects!$X$4,0)</f>
        <v>0</v>
      </c>
      <c r="BH17">
        <f ca="1">OFFSET(Objects!$HW$6,BH$1+(Objects!$Y$4-$A17-1)*Objects!$X$4,0)</f>
        <v>0</v>
      </c>
      <c r="BI17">
        <f ca="1">OFFSET(Objects!$HW$6,BI$1+(Objects!$Y$4-$A17-1)*Objects!$X$4,0)</f>
        <v>0</v>
      </c>
      <c r="BJ17">
        <f ca="1">OFFSET(Objects!$HW$6,BJ$1+(Objects!$Y$4-$A17-1)*Objects!$X$4,0)</f>
        <v>0</v>
      </c>
      <c r="BK17">
        <f ca="1">OFFSET(Objects!$HW$6,BK$1+(Objects!$Y$4-$A17-1)*Objects!$X$4,0)</f>
        <v>0</v>
      </c>
      <c r="BL17">
        <f ca="1">OFFSET(Objects!$HW$6,BL$1+(Objects!$Y$4-$A17-1)*Objects!$X$4,0)</f>
        <v>0</v>
      </c>
      <c r="BM17">
        <f ca="1">OFFSET(Objects!$HW$6,BM$1+(Objects!$Y$4-$A17-1)*Objects!$X$4,0)</f>
        <v>0</v>
      </c>
      <c r="BN17">
        <f ca="1">OFFSET(Objects!$HW$6,BN$1+(Objects!$Y$4-$A17-1)*Objects!$X$4,0)</f>
        <v>0</v>
      </c>
      <c r="BO17">
        <f ca="1">OFFSET(Objects!$HW$6,BO$1+(Objects!$Y$4-$A17-1)*Objects!$X$4,0)</f>
        <v>0</v>
      </c>
      <c r="BP17">
        <f ca="1">OFFSET(Objects!$HW$6,BP$1+(Objects!$Y$4-$A17-1)*Objects!$X$4,0)</f>
        <v>0</v>
      </c>
      <c r="BQ17">
        <f ca="1">OFFSET(Objects!$HW$6,BQ$1+(Objects!$Y$4-$A17-1)*Objects!$X$4,0)</f>
        <v>0</v>
      </c>
      <c r="BR17">
        <f ca="1">OFFSET(Objects!$HW$6,BR$1+(Objects!$Y$4-$A17-1)*Objects!$X$4,0)</f>
        <v>0</v>
      </c>
      <c r="BS17">
        <f ca="1">OFFSET(Objects!$HW$6,BS$1+(Objects!$Y$4-$A17-1)*Objects!$X$4,0)</f>
        <v>0</v>
      </c>
      <c r="BT17">
        <f ca="1">OFFSET(Objects!$HW$6,BT$1+(Objects!$Y$4-$A17-1)*Objects!$X$4,0)</f>
        <v>0</v>
      </c>
      <c r="BU17">
        <f ca="1">OFFSET(Objects!$HW$6,BU$1+(Objects!$Y$4-$A17-1)*Objects!$X$4,0)</f>
        <v>0</v>
      </c>
      <c r="BV17">
        <f ca="1">OFFSET(Objects!$HW$6,BV$1+(Objects!$Y$4-$A17-1)*Objects!$X$4,0)</f>
        <v>0</v>
      </c>
      <c r="BW17">
        <f ca="1">OFFSET(Objects!$HW$6,BW$1+(Objects!$Y$4-$A17-1)*Objects!$X$4,0)</f>
        <v>0</v>
      </c>
      <c r="BX17">
        <f ca="1">OFFSET(Objects!$HW$6,BX$1+(Objects!$Y$4-$A17-1)*Objects!$X$4,0)</f>
        <v>0</v>
      </c>
      <c r="BY17">
        <f ca="1">OFFSET(Objects!$HW$6,BY$1+(Objects!$Y$4-$A17-1)*Objects!$X$4,0)</f>
        <v>0</v>
      </c>
      <c r="BZ17">
        <f ca="1">OFFSET(Objects!$HW$6,BZ$1+(Objects!$Y$4-$A17-1)*Objects!$X$4,0)</f>
        <v>0</v>
      </c>
      <c r="CA17">
        <f ca="1">OFFSET(Objects!$HW$6,CA$1+(Objects!$Y$4-$A17-1)*Objects!$X$4,0)</f>
        <v>0</v>
      </c>
      <c r="CB17">
        <f ca="1">OFFSET(Objects!$HW$6,CB$1+(Objects!$Y$4-$A17-1)*Objects!$X$4,0)</f>
        <v>0</v>
      </c>
      <c r="CC17">
        <f ca="1">OFFSET(Objects!$HW$6,CC$1+(Objects!$Y$4-$A17-1)*Objects!$X$4,0)</f>
        <v>0</v>
      </c>
      <c r="CD17">
        <f ca="1">OFFSET(Objects!$HW$6,CD$1+(Objects!$Y$4-$A17-1)*Objects!$X$4,0)</f>
        <v>0</v>
      </c>
      <c r="CE17">
        <f ca="1">OFFSET(Objects!$HW$6,CE$1+(Objects!$Y$4-$A17-1)*Objects!$X$4,0)</f>
        <v>0</v>
      </c>
      <c r="CF17">
        <f ca="1">OFFSET(Objects!$HW$6,CF$1+(Objects!$Y$4-$A17-1)*Objects!$X$4,0)</f>
        <v>0</v>
      </c>
      <c r="CG17">
        <f ca="1">OFFSET(Objects!$HW$6,CG$1+(Objects!$Y$4-$A17-1)*Objects!$X$4,0)</f>
        <v>0</v>
      </c>
      <c r="CH17">
        <f ca="1">OFFSET(Objects!$HW$6,CH$1+(Objects!$Y$4-$A17-1)*Objects!$X$4,0)</f>
        <v>0</v>
      </c>
      <c r="CI17">
        <f ca="1">OFFSET(Objects!$HW$6,CI$1+(Objects!$Y$4-$A17-1)*Objects!$X$4,0)</f>
        <v>0</v>
      </c>
      <c r="CJ17">
        <f ca="1">OFFSET(Objects!$HW$6,CJ$1+(Objects!$Y$4-$A17-1)*Objects!$X$4,0)</f>
        <v>0</v>
      </c>
      <c r="CK17">
        <f ca="1">OFFSET(Objects!$HW$6,CK$1+(Objects!$Y$4-$A17-1)*Objects!$X$4,0)</f>
        <v>0</v>
      </c>
      <c r="CL17">
        <f ca="1">OFFSET(Objects!$HW$6,CL$1+(Objects!$Y$4-$A17-1)*Objects!$X$4,0)</f>
        <v>0</v>
      </c>
      <c r="CM17">
        <f ca="1">OFFSET(Objects!$HW$6,CM$1+(Objects!$Y$4-$A17-1)*Objects!$X$4,0)</f>
        <v>0</v>
      </c>
      <c r="CN17">
        <f ca="1">OFFSET(Objects!$HW$6,CN$1+(Objects!$Y$4-$A17-1)*Objects!$X$4,0)</f>
        <v>0</v>
      </c>
      <c r="CO17">
        <f ca="1">OFFSET(Objects!$HW$6,CO$1+(Objects!$Y$4-$A17-1)*Objects!$X$4,0)</f>
        <v>0</v>
      </c>
      <c r="CP17">
        <f ca="1">OFFSET(Objects!$HW$6,CP$1+(Objects!$Y$4-$A17-1)*Objects!$X$4,0)</f>
        <v>0</v>
      </c>
      <c r="CQ17">
        <f ca="1">OFFSET(Objects!$HW$6,CQ$1+(Objects!$Y$4-$A17-1)*Objects!$X$4,0)</f>
        <v>0</v>
      </c>
      <c r="CR17">
        <f ca="1">OFFSET(Objects!$HW$6,CR$1+(Objects!$Y$4-$A17-1)*Objects!$X$4,0)</f>
        <v>0</v>
      </c>
      <c r="CS17">
        <f ca="1">OFFSET(Objects!$HW$6,CS$1+(Objects!$Y$4-$A17-1)*Objects!$X$4,0)</f>
        <v>0</v>
      </c>
      <c r="CT17">
        <f ca="1">OFFSET(Objects!$HW$6,CT$1+(Objects!$Y$4-$A17-1)*Objects!$X$4,0)</f>
        <v>0</v>
      </c>
      <c r="CU17">
        <f ca="1">OFFSET(Objects!$HW$6,CU$1+(Objects!$Y$4-$A17-1)*Objects!$X$4,0)</f>
        <v>0</v>
      </c>
      <c r="CV17">
        <f ca="1">OFFSET(Objects!$HW$6,CV$1+(Objects!$Y$4-$A17-1)*Objects!$X$4,0)</f>
        <v>0</v>
      </c>
      <c r="CW17">
        <f ca="1">OFFSET(Objects!$HW$6,CW$1+(Objects!$Y$4-$A17-1)*Objects!$X$4,0)</f>
        <v>0</v>
      </c>
      <c r="CX17">
        <f ca="1">OFFSET(Objects!$HW$6,CX$1+(Objects!$Y$4-$A17-1)*Objects!$X$4,0)</f>
        <v>0</v>
      </c>
      <c r="CY17">
        <f ca="1">OFFSET(Objects!$HW$6,CY$1+(Objects!$Y$4-$A17-1)*Objects!$X$4,0)</f>
        <v>0</v>
      </c>
      <c r="CZ17">
        <f ca="1">OFFSET(Objects!$HW$6,CZ$1+(Objects!$Y$4-$A17-1)*Objects!$X$4,0)</f>
        <v>0</v>
      </c>
      <c r="DA17">
        <f ca="1">OFFSET(Objects!$HW$6,DA$1+(Objects!$Y$4-$A17-1)*Objects!$X$4,0)</f>
        <v>0</v>
      </c>
      <c r="DB17">
        <f ca="1">OFFSET(Objects!$HW$6,DB$1+(Objects!$Y$4-$A17-1)*Objects!$X$4,0)</f>
        <v>0</v>
      </c>
      <c r="DC17">
        <f ca="1">OFFSET(Objects!$HW$6,DC$1+(Objects!$Y$4-$A17-1)*Objects!$X$4,0)</f>
        <v>0</v>
      </c>
      <c r="DD17">
        <f ca="1">OFFSET(Objects!$HW$6,DD$1+(Objects!$Y$4-$A17-1)*Objects!$X$4,0)</f>
        <v>0</v>
      </c>
      <c r="DE17">
        <f ca="1">OFFSET(Objects!$HW$6,DE$1+(Objects!$Y$4-$A17-1)*Objects!$X$4,0)</f>
        <v>0</v>
      </c>
      <c r="DF17">
        <f ca="1">OFFSET(Objects!$HW$6,DF$1+(Objects!$Y$4-$A17-1)*Objects!$X$4,0)</f>
        <v>0</v>
      </c>
      <c r="DG17">
        <f ca="1">OFFSET(Objects!$HW$6,DG$1+(Objects!$Y$4-$A17-1)*Objects!$X$4,0)</f>
        <v>0</v>
      </c>
      <c r="DH17">
        <f ca="1">OFFSET(Objects!$HW$6,DH$1+(Objects!$Y$4-$A17-1)*Objects!$X$4,0)</f>
        <v>0</v>
      </c>
      <c r="DI17">
        <f ca="1">OFFSET(Objects!$HW$6,DI$1+(Objects!$Y$4-$A17-1)*Objects!$X$4,0)</f>
        <v>0</v>
      </c>
      <c r="DJ17">
        <f ca="1">OFFSET(Objects!$HW$6,DJ$1+(Objects!$Y$4-$A17-1)*Objects!$X$4,0)</f>
        <v>0</v>
      </c>
      <c r="DK17">
        <f ca="1">OFFSET(Objects!$HW$6,DK$1+(Objects!$Y$4-$A17-1)*Objects!$X$4,0)</f>
        <v>0</v>
      </c>
      <c r="DL17">
        <f ca="1">OFFSET(Objects!$HW$6,DL$1+(Objects!$Y$4-$A17-1)*Objects!$X$4,0)</f>
        <v>0</v>
      </c>
      <c r="DM17">
        <f ca="1">OFFSET(Objects!$HW$6,DM$1+(Objects!$Y$4-$A17-1)*Objects!$X$4,0)</f>
        <v>0</v>
      </c>
      <c r="DN17">
        <f ca="1">OFFSET(Objects!$HW$6,DN$1+(Objects!$Y$4-$A17-1)*Objects!$X$4,0)</f>
        <v>0</v>
      </c>
      <c r="DO17">
        <f ca="1">OFFSET(Objects!$HW$6,DO$1+(Objects!$Y$4-$A17-1)*Objects!$X$4,0)</f>
        <v>0</v>
      </c>
      <c r="DP17">
        <f ca="1">OFFSET(Objects!$HW$6,DP$1+(Objects!$Y$4-$A17-1)*Objects!$X$4,0)</f>
        <v>0</v>
      </c>
      <c r="DQ17">
        <f ca="1">OFFSET(Objects!$HW$6,DQ$1+(Objects!$Y$4-$A17-1)*Objects!$X$4,0)</f>
        <v>0</v>
      </c>
      <c r="DR17">
        <f ca="1">OFFSET(Objects!$HW$6,DR$1+(Objects!$Y$4-$A17-1)*Objects!$X$4,0)</f>
        <v>0</v>
      </c>
      <c r="DS17">
        <f ca="1">OFFSET(Objects!$HW$6,DS$1+(Objects!$Y$4-$A17-1)*Objects!$X$4,0)</f>
        <v>0</v>
      </c>
      <c r="DT17">
        <f ca="1">OFFSET(Objects!$HW$6,DT$1+(Objects!$Y$4-$A17-1)*Objects!$X$4,0)</f>
        <v>0</v>
      </c>
      <c r="DU17">
        <f ca="1">OFFSET(Objects!$HW$6,DU$1+(Objects!$Y$4-$A17-1)*Objects!$X$4,0)</f>
        <v>0</v>
      </c>
      <c r="DV17">
        <f ca="1">OFFSET(Objects!$HW$6,DV$1+(Objects!$Y$4-$A17-1)*Objects!$X$4,0)</f>
        <v>0</v>
      </c>
      <c r="DW17">
        <f ca="1">OFFSET(Objects!$HW$6,DW$1+(Objects!$Y$4-$A17-1)*Objects!$X$4,0)</f>
        <v>0</v>
      </c>
      <c r="DX17">
        <f ca="1">OFFSET(Objects!$HW$6,DX$1+(Objects!$Y$4-$A17-1)*Objects!$X$4,0)</f>
        <v>0</v>
      </c>
      <c r="DY17">
        <f ca="1">OFFSET(Objects!$HW$6,DY$1+(Objects!$Y$4-$A17-1)*Objects!$X$4,0)</f>
        <v>0</v>
      </c>
      <c r="DZ17">
        <f ca="1">OFFSET(Objects!$HW$6,DZ$1+(Objects!$Y$4-$A17-1)*Objects!$X$4,0)</f>
        <v>0</v>
      </c>
      <c r="EA17">
        <f ca="1">OFFSET(Objects!$HW$6,EA$1+(Objects!$Y$4-$A17-1)*Objects!$X$4,0)</f>
        <v>0</v>
      </c>
      <c r="EB17">
        <f ca="1">OFFSET(Objects!$HW$6,EB$1+(Objects!$Y$4-$A17-1)*Objects!$X$4,0)</f>
        <v>0</v>
      </c>
      <c r="EC17">
        <f ca="1">OFFSET(Objects!$HW$6,EC$1+(Objects!$Y$4-$A17-1)*Objects!$X$4,0)</f>
        <v>0</v>
      </c>
      <c r="ED17">
        <f ca="1">OFFSET(Objects!$HW$6,ED$1+(Objects!$Y$4-$A17-1)*Objects!$X$4,0)</f>
        <v>0</v>
      </c>
      <c r="EE17">
        <f ca="1">OFFSET(Objects!$HW$6,EE$1+(Objects!$Y$4-$A17-1)*Objects!$X$4,0)</f>
        <v>0</v>
      </c>
      <c r="EF17">
        <f ca="1">OFFSET(Objects!$HW$6,EF$1+(Objects!$Y$4-$A17-1)*Objects!$X$4,0)</f>
        <v>0</v>
      </c>
      <c r="EG17">
        <f ca="1">OFFSET(Objects!$HW$6,EG$1+(Objects!$Y$4-$A17-1)*Objects!$X$4,0)</f>
        <v>0</v>
      </c>
      <c r="EH17">
        <f ca="1">OFFSET(Objects!$HW$6,EH$1+(Objects!$Y$4-$A17-1)*Objects!$X$4,0)</f>
        <v>0</v>
      </c>
      <c r="EI17">
        <f ca="1">OFFSET(Objects!$HW$6,EI$1+(Objects!$Y$4-$A17-1)*Objects!$X$4,0)</f>
        <v>0</v>
      </c>
      <c r="EJ17">
        <f ca="1">OFFSET(Objects!$HW$6,EJ$1+(Objects!$Y$4-$A17-1)*Objects!$X$4,0)</f>
        <v>0</v>
      </c>
      <c r="EK17">
        <f ca="1">OFFSET(Objects!$HW$6,EK$1+(Objects!$Y$4-$A17-1)*Objects!$X$4,0)</f>
        <v>0</v>
      </c>
      <c r="EL17">
        <f ca="1">OFFSET(Objects!$HW$6,EL$1+(Objects!$Y$4-$A17-1)*Objects!$X$4,0)</f>
        <v>0</v>
      </c>
      <c r="EM17">
        <f ca="1">OFFSET(Objects!$HW$6,EM$1+(Objects!$Y$4-$A17-1)*Objects!$X$4,0)</f>
        <v>0</v>
      </c>
      <c r="EN17">
        <f ca="1">OFFSET(Objects!$HW$6,EN$1+(Objects!$Y$4-$A17-1)*Objects!$X$4,0)</f>
        <v>0</v>
      </c>
      <c r="EO17">
        <f ca="1">OFFSET(Objects!$HW$6,EO$1+(Objects!$Y$4-$A17-1)*Objects!$X$4,0)</f>
        <v>0</v>
      </c>
      <c r="EP17">
        <f ca="1">OFFSET(Objects!$HW$6,EP$1+(Objects!$Y$4-$A17-1)*Objects!$X$4,0)</f>
        <v>0</v>
      </c>
      <c r="EQ17">
        <f ca="1">OFFSET(Objects!$HW$6,EQ$1+(Objects!$Y$4-$A17-1)*Objects!$X$4,0)</f>
        <v>0</v>
      </c>
      <c r="ER17">
        <f ca="1">OFFSET(Objects!$HW$6,ER$1+(Objects!$Y$4-$A17-1)*Objects!$X$4,0)</f>
        <v>0</v>
      </c>
      <c r="ES17">
        <f ca="1">OFFSET(Objects!$HW$6,ES$1+(Objects!$Y$4-$A17-1)*Objects!$X$4,0)</f>
        <v>0</v>
      </c>
      <c r="ET17">
        <f ca="1">OFFSET(Objects!$HW$6,ET$1+(Objects!$Y$4-$A17-1)*Objects!$X$4,0)</f>
        <v>0</v>
      </c>
      <c r="EU17">
        <f ca="1">OFFSET(Objects!$HW$6,EU$1+(Objects!$Y$4-$A17-1)*Objects!$X$4,0)</f>
        <v>0</v>
      </c>
      <c r="EV17">
        <f ca="1">OFFSET(Objects!$HW$6,EV$1+(Objects!$Y$4-$A17-1)*Objects!$X$4,0)</f>
        <v>0</v>
      </c>
      <c r="EW17">
        <f ca="1">OFFSET(Objects!$HW$6,EW$1+(Objects!$Y$4-$A17-1)*Objects!$X$4,0)</f>
        <v>0</v>
      </c>
      <c r="EX17">
        <f ca="1">OFFSET(Objects!$HW$6,EX$1+(Objects!$Y$4-$A17-1)*Objects!$X$4,0)</f>
        <v>0</v>
      </c>
      <c r="EY17">
        <f ca="1">OFFSET(Objects!$HW$6,EY$1+(Objects!$Y$4-$A17-1)*Objects!$X$4,0)</f>
        <v>0</v>
      </c>
      <c r="EZ17">
        <f ca="1">OFFSET(Objects!$HW$6,EZ$1+(Objects!$Y$4-$A17-1)*Objects!$X$4,0)</f>
        <v>0</v>
      </c>
      <c r="FA17">
        <f ca="1">OFFSET(Objects!$HW$6,FA$1+(Objects!$Y$4-$A17-1)*Objects!$X$4,0)</f>
        <v>0</v>
      </c>
      <c r="FB17">
        <f ca="1">OFFSET(Objects!$HW$6,FB$1+(Objects!$Y$4-$A17-1)*Objects!$X$4,0)</f>
        <v>0</v>
      </c>
      <c r="FC17">
        <f ca="1">OFFSET(Objects!$HW$6,FC$1+(Objects!$Y$4-$A17-1)*Objects!$X$4,0)</f>
        <v>0</v>
      </c>
      <c r="FD17">
        <f ca="1">OFFSET(Objects!$HW$6,FD$1+(Objects!$Y$4-$A17-1)*Objects!$X$4,0)</f>
        <v>0</v>
      </c>
      <c r="FE17" s="22">
        <f ca="1">OFFSET(Objects!$HW$6,FE$1+(Objects!$Y$4-$A17-1)*Objects!$X$4,0)</f>
        <v>0</v>
      </c>
    </row>
    <row r="18" spans="1:161" ht="4.5" customHeight="1" x14ac:dyDescent="0.25">
      <c r="A18">
        <v>16</v>
      </c>
      <c r="B18" s="21">
        <f ca="1">OFFSET(Objects!$HW$6,B$1+(Objects!$Y$4-$A18-1)*Objects!$X$4,0)</f>
        <v>0</v>
      </c>
      <c r="C18">
        <f ca="1">OFFSET(Objects!$HW$6,C$1+(Objects!$Y$4-$A18-1)*Objects!$X$4,0)</f>
        <v>0</v>
      </c>
      <c r="D18">
        <f ca="1">OFFSET(Objects!$HW$6,D$1+(Objects!$Y$4-$A18-1)*Objects!$X$4,0)</f>
        <v>0</v>
      </c>
      <c r="E18">
        <f ca="1">OFFSET(Objects!$HW$6,E$1+(Objects!$Y$4-$A18-1)*Objects!$X$4,0)</f>
        <v>0</v>
      </c>
      <c r="F18">
        <f ca="1">OFFSET(Objects!$HW$6,F$1+(Objects!$Y$4-$A18-1)*Objects!$X$4,0)</f>
        <v>0</v>
      </c>
      <c r="G18">
        <f ca="1">OFFSET(Objects!$HW$6,G$1+(Objects!$Y$4-$A18-1)*Objects!$X$4,0)</f>
        <v>0</v>
      </c>
      <c r="H18">
        <f ca="1">OFFSET(Objects!$HW$6,H$1+(Objects!$Y$4-$A18-1)*Objects!$X$4,0)</f>
        <v>0</v>
      </c>
      <c r="I18">
        <f ca="1">OFFSET(Objects!$HW$6,I$1+(Objects!$Y$4-$A18-1)*Objects!$X$4,0)</f>
        <v>0</v>
      </c>
      <c r="J18">
        <f ca="1">OFFSET(Objects!$HW$6,J$1+(Objects!$Y$4-$A18-1)*Objects!$X$4,0)</f>
        <v>0</v>
      </c>
      <c r="K18">
        <f ca="1">OFFSET(Objects!$HW$6,K$1+(Objects!$Y$4-$A18-1)*Objects!$X$4,0)</f>
        <v>0</v>
      </c>
      <c r="L18">
        <f ca="1">OFFSET(Objects!$HW$6,L$1+(Objects!$Y$4-$A18-1)*Objects!$X$4,0)</f>
        <v>0</v>
      </c>
      <c r="M18">
        <f ca="1">OFFSET(Objects!$HW$6,M$1+(Objects!$Y$4-$A18-1)*Objects!$X$4,0)</f>
        <v>0</v>
      </c>
      <c r="N18">
        <f ca="1">OFFSET(Objects!$HW$6,N$1+(Objects!$Y$4-$A18-1)*Objects!$X$4,0)</f>
        <v>0</v>
      </c>
      <c r="O18">
        <f ca="1">OFFSET(Objects!$HW$6,O$1+(Objects!$Y$4-$A18-1)*Objects!$X$4,0)</f>
        <v>0</v>
      </c>
      <c r="P18">
        <f ca="1">OFFSET(Objects!$HW$6,P$1+(Objects!$Y$4-$A18-1)*Objects!$X$4,0)</f>
        <v>0</v>
      </c>
      <c r="Q18">
        <f ca="1">OFFSET(Objects!$HW$6,Q$1+(Objects!$Y$4-$A18-1)*Objects!$X$4,0)</f>
        <v>0</v>
      </c>
      <c r="R18">
        <f ca="1">OFFSET(Objects!$HW$6,R$1+(Objects!$Y$4-$A18-1)*Objects!$X$4,0)</f>
        <v>0</v>
      </c>
      <c r="S18">
        <f ca="1">OFFSET(Objects!$HW$6,S$1+(Objects!$Y$4-$A18-1)*Objects!$X$4,0)</f>
        <v>0</v>
      </c>
      <c r="T18">
        <f ca="1">OFFSET(Objects!$HW$6,T$1+(Objects!$Y$4-$A18-1)*Objects!$X$4,0)</f>
        <v>0</v>
      </c>
      <c r="U18">
        <f ca="1">OFFSET(Objects!$HW$6,U$1+(Objects!$Y$4-$A18-1)*Objects!$X$4,0)</f>
        <v>0</v>
      </c>
      <c r="V18">
        <f ca="1">OFFSET(Objects!$HW$6,V$1+(Objects!$Y$4-$A18-1)*Objects!$X$4,0)</f>
        <v>0</v>
      </c>
      <c r="W18">
        <f ca="1">OFFSET(Objects!$HW$6,W$1+(Objects!$Y$4-$A18-1)*Objects!$X$4,0)</f>
        <v>0</v>
      </c>
      <c r="X18">
        <f ca="1">OFFSET(Objects!$HW$6,X$1+(Objects!$Y$4-$A18-1)*Objects!$X$4,0)</f>
        <v>0</v>
      </c>
      <c r="Y18">
        <f ca="1">OFFSET(Objects!$HW$6,Y$1+(Objects!$Y$4-$A18-1)*Objects!$X$4,0)</f>
        <v>0</v>
      </c>
      <c r="Z18">
        <f ca="1">OFFSET(Objects!$HW$6,Z$1+(Objects!$Y$4-$A18-1)*Objects!$X$4,0)</f>
        <v>0</v>
      </c>
      <c r="AA18">
        <f ca="1">OFFSET(Objects!$HW$6,AA$1+(Objects!$Y$4-$A18-1)*Objects!$X$4,0)</f>
        <v>0</v>
      </c>
      <c r="AB18">
        <f ca="1">OFFSET(Objects!$HW$6,AB$1+(Objects!$Y$4-$A18-1)*Objects!$X$4,0)</f>
        <v>0</v>
      </c>
      <c r="AC18">
        <f ca="1">OFFSET(Objects!$HW$6,AC$1+(Objects!$Y$4-$A18-1)*Objects!$X$4,0)</f>
        <v>0</v>
      </c>
      <c r="AD18">
        <f ca="1">OFFSET(Objects!$HW$6,AD$1+(Objects!$Y$4-$A18-1)*Objects!$X$4,0)</f>
        <v>0</v>
      </c>
      <c r="AE18">
        <f ca="1">OFFSET(Objects!$HW$6,AE$1+(Objects!$Y$4-$A18-1)*Objects!$X$4,0)</f>
        <v>0</v>
      </c>
      <c r="AF18">
        <f ca="1">OFFSET(Objects!$HW$6,AF$1+(Objects!$Y$4-$A18-1)*Objects!$X$4,0)</f>
        <v>0</v>
      </c>
      <c r="AG18">
        <f ca="1">OFFSET(Objects!$HW$6,AG$1+(Objects!$Y$4-$A18-1)*Objects!$X$4,0)</f>
        <v>0</v>
      </c>
      <c r="AH18">
        <f ca="1">OFFSET(Objects!$HW$6,AH$1+(Objects!$Y$4-$A18-1)*Objects!$X$4,0)</f>
        <v>0</v>
      </c>
      <c r="AI18">
        <f ca="1">OFFSET(Objects!$HW$6,AI$1+(Objects!$Y$4-$A18-1)*Objects!$X$4,0)</f>
        <v>0</v>
      </c>
      <c r="AJ18">
        <f ca="1">OFFSET(Objects!$HW$6,AJ$1+(Objects!$Y$4-$A18-1)*Objects!$X$4,0)</f>
        <v>0</v>
      </c>
      <c r="AK18">
        <f ca="1">OFFSET(Objects!$HW$6,AK$1+(Objects!$Y$4-$A18-1)*Objects!$X$4,0)</f>
        <v>0</v>
      </c>
      <c r="AL18">
        <f ca="1">OFFSET(Objects!$HW$6,AL$1+(Objects!$Y$4-$A18-1)*Objects!$X$4,0)</f>
        <v>0</v>
      </c>
      <c r="AM18">
        <f ca="1">OFFSET(Objects!$HW$6,AM$1+(Objects!$Y$4-$A18-1)*Objects!$X$4,0)</f>
        <v>0</v>
      </c>
      <c r="AN18">
        <f ca="1">OFFSET(Objects!$HW$6,AN$1+(Objects!$Y$4-$A18-1)*Objects!$X$4,0)</f>
        <v>0</v>
      </c>
      <c r="AO18">
        <f ca="1">OFFSET(Objects!$HW$6,AO$1+(Objects!$Y$4-$A18-1)*Objects!$X$4,0)</f>
        <v>0</v>
      </c>
      <c r="AP18">
        <f ca="1">OFFSET(Objects!$HW$6,AP$1+(Objects!$Y$4-$A18-1)*Objects!$X$4,0)</f>
        <v>0</v>
      </c>
      <c r="AQ18">
        <f ca="1">OFFSET(Objects!$HW$6,AQ$1+(Objects!$Y$4-$A18-1)*Objects!$X$4,0)</f>
        <v>0</v>
      </c>
      <c r="AR18">
        <f ca="1">OFFSET(Objects!$HW$6,AR$1+(Objects!$Y$4-$A18-1)*Objects!$X$4,0)</f>
        <v>0</v>
      </c>
      <c r="AS18">
        <f ca="1">OFFSET(Objects!$HW$6,AS$1+(Objects!$Y$4-$A18-1)*Objects!$X$4,0)</f>
        <v>0</v>
      </c>
      <c r="AT18">
        <f ca="1">OFFSET(Objects!$HW$6,AT$1+(Objects!$Y$4-$A18-1)*Objects!$X$4,0)</f>
        <v>0</v>
      </c>
      <c r="AU18">
        <f ca="1">OFFSET(Objects!$HW$6,AU$1+(Objects!$Y$4-$A18-1)*Objects!$X$4,0)</f>
        <v>0</v>
      </c>
      <c r="AV18">
        <f ca="1">OFFSET(Objects!$HW$6,AV$1+(Objects!$Y$4-$A18-1)*Objects!$X$4,0)</f>
        <v>0</v>
      </c>
      <c r="AW18">
        <f ca="1">OFFSET(Objects!$HW$6,AW$1+(Objects!$Y$4-$A18-1)*Objects!$X$4,0)</f>
        <v>0</v>
      </c>
      <c r="AX18">
        <f ca="1">OFFSET(Objects!$HW$6,AX$1+(Objects!$Y$4-$A18-1)*Objects!$X$4,0)</f>
        <v>0</v>
      </c>
      <c r="AY18">
        <f ca="1">OFFSET(Objects!$HW$6,AY$1+(Objects!$Y$4-$A18-1)*Objects!$X$4,0)</f>
        <v>0</v>
      </c>
      <c r="AZ18">
        <f ca="1">OFFSET(Objects!$HW$6,AZ$1+(Objects!$Y$4-$A18-1)*Objects!$X$4,0)</f>
        <v>0</v>
      </c>
      <c r="BA18">
        <f ca="1">OFFSET(Objects!$HW$6,BA$1+(Objects!$Y$4-$A18-1)*Objects!$X$4,0)</f>
        <v>0</v>
      </c>
      <c r="BB18">
        <f ca="1">OFFSET(Objects!$HW$6,BB$1+(Objects!$Y$4-$A18-1)*Objects!$X$4,0)</f>
        <v>0</v>
      </c>
      <c r="BC18">
        <f ca="1">OFFSET(Objects!$HW$6,BC$1+(Objects!$Y$4-$A18-1)*Objects!$X$4,0)</f>
        <v>0</v>
      </c>
      <c r="BD18">
        <f ca="1">OFFSET(Objects!$HW$6,BD$1+(Objects!$Y$4-$A18-1)*Objects!$X$4,0)</f>
        <v>0</v>
      </c>
      <c r="BE18">
        <f ca="1">OFFSET(Objects!$HW$6,BE$1+(Objects!$Y$4-$A18-1)*Objects!$X$4,0)</f>
        <v>0</v>
      </c>
      <c r="BF18">
        <f ca="1">OFFSET(Objects!$HW$6,BF$1+(Objects!$Y$4-$A18-1)*Objects!$X$4,0)</f>
        <v>0</v>
      </c>
      <c r="BG18">
        <f ca="1">OFFSET(Objects!$HW$6,BG$1+(Objects!$Y$4-$A18-1)*Objects!$X$4,0)</f>
        <v>0</v>
      </c>
      <c r="BH18">
        <f ca="1">OFFSET(Objects!$HW$6,BH$1+(Objects!$Y$4-$A18-1)*Objects!$X$4,0)</f>
        <v>0</v>
      </c>
      <c r="BI18">
        <f ca="1">OFFSET(Objects!$HW$6,BI$1+(Objects!$Y$4-$A18-1)*Objects!$X$4,0)</f>
        <v>0</v>
      </c>
      <c r="BJ18">
        <f ca="1">OFFSET(Objects!$HW$6,BJ$1+(Objects!$Y$4-$A18-1)*Objects!$X$4,0)</f>
        <v>0</v>
      </c>
      <c r="BK18">
        <f ca="1">OFFSET(Objects!$HW$6,BK$1+(Objects!$Y$4-$A18-1)*Objects!$X$4,0)</f>
        <v>0</v>
      </c>
      <c r="BL18">
        <f ca="1">OFFSET(Objects!$HW$6,BL$1+(Objects!$Y$4-$A18-1)*Objects!$X$4,0)</f>
        <v>0</v>
      </c>
      <c r="BM18">
        <f ca="1">OFFSET(Objects!$HW$6,BM$1+(Objects!$Y$4-$A18-1)*Objects!$X$4,0)</f>
        <v>0</v>
      </c>
      <c r="BN18">
        <f ca="1">OFFSET(Objects!$HW$6,BN$1+(Objects!$Y$4-$A18-1)*Objects!$X$4,0)</f>
        <v>0</v>
      </c>
      <c r="BO18">
        <f ca="1">OFFSET(Objects!$HW$6,BO$1+(Objects!$Y$4-$A18-1)*Objects!$X$4,0)</f>
        <v>0</v>
      </c>
      <c r="BP18">
        <f ca="1">OFFSET(Objects!$HW$6,BP$1+(Objects!$Y$4-$A18-1)*Objects!$X$4,0)</f>
        <v>0</v>
      </c>
      <c r="BQ18">
        <f ca="1">OFFSET(Objects!$HW$6,BQ$1+(Objects!$Y$4-$A18-1)*Objects!$X$4,0)</f>
        <v>0</v>
      </c>
      <c r="BR18">
        <f ca="1">OFFSET(Objects!$HW$6,BR$1+(Objects!$Y$4-$A18-1)*Objects!$X$4,0)</f>
        <v>0</v>
      </c>
      <c r="BS18">
        <f ca="1">OFFSET(Objects!$HW$6,BS$1+(Objects!$Y$4-$A18-1)*Objects!$X$4,0)</f>
        <v>0</v>
      </c>
      <c r="BT18">
        <f ca="1">OFFSET(Objects!$HW$6,BT$1+(Objects!$Y$4-$A18-1)*Objects!$X$4,0)</f>
        <v>0</v>
      </c>
      <c r="BU18">
        <f ca="1">OFFSET(Objects!$HW$6,BU$1+(Objects!$Y$4-$A18-1)*Objects!$X$4,0)</f>
        <v>0</v>
      </c>
      <c r="BV18">
        <f ca="1">OFFSET(Objects!$HW$6,BV$1+(Objects!$Y$4-$A18-1)*Objects!$X$4,0)</f>
        <v>0</v>
      </c>
      <c r="BW18">
        <f ca="1">OFFSET(Objects!$HW$6,BW$1+(Objects!$Y$4-$A18-1)*Objects!$X$4,0)</f>
        <v>0</v>
      </c>
      <c r="BX18">
        <f ca="1">OFFSET(Objects!$HW$6,BX$1+(Objects!$Y$4-$A18-1)*Objects!$X$4,0)</f>
        <v>0</v>
      </c>
      <c r="BY18">
        <f ca="1">OFFSET(Objects!$HW$6,BY$1+(Objects!$Y$4-$A18-1)*Objects!$X$4,0)</f>
        <v>0</v>
      </c>
      <c r="BZ18">
        <f ca="1">OFFSET(Objects!$HW$6,BZ$1+(Objects!$Y$4-$A18-1)*Objects!$X$4,0)</f>
        <v>0</v>
      </c>
      <c r="CA18">
        <f ca="1">OFFSET(Objects!$HW$6,CA$1+(Objects!$Y$4-$A18-1)*Objects!$X$4,0)</f>
        <v>0</v>
      </c>
      <c r="CB18">
        <f ca="1">OFFSET(Objects!$HW$6,CB$1+(Objects!$Y$4-$A18-1)*Objects!$X$4,0)</f>
        <v>0</v>
      </c>
      <c r="CC18">
        <f ca="1">OFFSET(Objects!$HW$6,CC$1+(Objects!$Y$4-$A18-1)*Objects!$X$4,0)</f>
        <v>0</v>
      </c>
      <c r="CD18">
        <f ca="1">OFFSET(Objects!$HW$6,CD$1+(Objects!$Y$4-$A18-1)*Objects!$X$4,0)</f>
        <v>0</v>
      </c>
      <c r="CE18">
        <f ca="1">OFFSET(Objects!$HW$6,CE$1+(Objects!$Y$4-$A18-1)*Objects!$X$4,0)</f>
        <v>0</v>
      </c>
      <c r="CF18">
        <f ca="1">OFFSET(Objects!$HW$6,CF$1+(Objects!$Y$4-$A18-1)*Objects!$X$4,0)</f>
        <v>0</v>
      </c>
      <c r="CG18">
        <f ca="1">OFFSET(Objects!$HW$6,CG$1+(Objects!$Y$4-$A18-1)*Objects!$X$4,0)</f>
        <v>0</v>
      </c>
      <c r="CH18">
        <f ca="1">OFFSET(Objects!$HW$6,CH$1+(Objects!$Y$4-$A18-1)*Objects!$X$4,0)</f>
        <v>0</v>
      </c>
      <c r="CI18">
        <f ca="1">OFFSET(Objects!$HW$6,CI$1+(Objects!$Y$4-$A18-1)*Objects!$X$4,0)</f>
        <v>0</v>
      </c>
      <c r="CJ18">
        <f ca="1">OFFSET(Objects!$HW$6,CJ$1+(Objects!$Y$4-$A18-1)*Objects!$X$4,0)</f>
        <v>0</v>
      </c>
      <c r="CK18">
        <f ca="1">OFFSET(Objects!$HW$6,CK$1+(Objects!$Y$4-$A18-1)*Objects!$X$4,0)</f>
        <v>0</v>
      </c>
      <c r="CL18">
        <f ca="1">OFFSET(Objects!$HW$6,CL$1+(Objects!$Y$4-$A18-1)*Objects!$X$4,0)</f>
        <v>0</v>
      </c>
      <c r="CM18">
        <f ca="1">OFFSET(Objects!$HW$6,CM$1+(Objects!$Y$4-$A18-1)*Objects!$X$4,0)</f>
        <v>0</v>
      </c>
      <c r="CN18">
        <f ca="1">OFFSET(Objects!$HW$6,CN$1+(Objects!$Y$4-$A18-1)*Objects!$X$4,0)</f>
        <v>0</v>
      </c>
      <c r="CO18">
        <f ca="1">OFFSET(Objects!$HW$6,CO$1+(Objects!$Y$4-$A18-1)*Objects!$X$4,0)</f>
        <v>0</v>
      </c>
      <c r="CP18">
        <f ca="1">OFFSET(Objects!$HW$6,CP$1+(Objects!$Y$4-$A18-1)*Objects!$X$4,0)</f>
        <v>0</v>
      </c>
      <c r="CQ18">
        <f ca="1">OFFSET(Objects!$HW$6,CQ$1+(Objects!$Y$4-$A18-1)*Objects!$X$4,0)</f>
        <v>0</v>
      </c>
      <c r="CR18">
        <f ca="1">OFFSET(Objects!$HW$6,CR$1+(Objects!$Y$4-$A18-1)*Objects!$X$4,0)</f>
        <v>0</v>
      </c>
      <c r="CS18">
        <f ca="1">OFFSET(Objects!$HW$6,CS$1+(Objects!$Y$4-$A18-1)*Objects!$X$4,0)</f>
        <v>0</v>
      </c>
      <c r="CT18">
        <f ca="1">OFFSET(Objects!$HW$6,CT$1+(Objects!$Y$4-$A18-1)*Objects!$X$4,0)</f>
        <v>0</v>
      </c>
      <c r="CU18">
        <f ca="1">OFFSET(Objects!$HW$6,CU$1+(Objects!$Y$4-$A18-1)*Objects!$X$4,0)</f>
        <v>0</v>
      </c>
      <c r="CV18">
        <f ca="1">OFFSET(Objects!$HW$6,CV$1+(Objects!$Y$4-$A18-1)*Objects!$X$4,0)</f>
        <v>0</v>
      </c>
      <c r="CW18">
        <f ca="1">OFFSET(Objects!$HW$6,CW$1+(Objects!$Y$4-$A18-1)*Objects!$X$4,0)</f>
        <v>0</v>
      </c>
      <c r="CX18">
        <f ca="1">OFFSET(Objects!$HW$6,CX$1+(Objects!$Y$4-$A18-1)*Objects!$X$4,0)</f>
        <v>0</v>
      </c>
      <c r="CY18">
        <f ca="1">OFFSET(Objects!$HW$6,CY$1+(Objects!$Y$4-$A18-1)*Objects!$X$4,0)</f>
        <v>0</v>
      </c>
      <c r="CZ18">
        <f ca="1">OFFSET(Objects!$HW$6,CZ$1+(Objects!$Y$4-$A18-1)*Objects!$X$4,0)</f>
        <v>0</v>
      </c>
      <c r="DA18">
        <f ca="1">OFFSET(Objects!$HW$6,DA$1+(Objects!$Y$4-$A18-1)*Objects!$X$4,0)</f>
        <v>0</v>
      </c>
      <c r="DB18">
        <f ca="1">OFFSET(Objects!$HW$6,DB$1+(Objects!$Y$4-$A18-1)*Objects!$X$4,0)</f>
        <v>0</v>
      </c>
      <c r="DC18">
        <f ca="1">OFFSET(Objects!$HW$6,DC$1+(Objects!$Y$4-$A18-1)*Objects!$X$4,0)</f>
        <v>0</v>
      </c>
      <c r="DD18">
        <f ca="1">OFFSET(Objects!$HW$6,DD$1+(Objects!$Y$4-$A18-1)*Objects!$X$4,0)</f>
        <v>0</v>
      </c>
      <c r="DE18">
        <f ca="1">OFFSET(Objects!$HW$6,DE$1+(Objects!$Y$4-$A18-1)*Objects!$X$4,0)</f>
        <v>0</v>
      </c>
      <c r="DF18">
        <f ca="1">OFFSET(Objects!$HW$6,DF$1+(Objects!$Y$4-$A18-1)*Objects!$X$4,0)</f>
        <v>0</v>
      </c>
      <c r="DG18">
        <f ca="1">OFFSET(Objects!$HW$6,DG$1+(Objects!$Y$4-$A18-1)*Objects!$X$4,0)</f>
        <v>0</v>
      </c>
      <c r="DH18">
        <f ca="1">OFFSET(Objects!$HW$6,DH$1+(Objects!$Y$4-$A18-1)*Objects!$X$4,0)</f>
        <v>0</v>
      </c>
      <c r="DI18">
        <f ca="1">OFFSET(Objects!$HW$6,DI$1+(Objects!$Y$4-$A18-1)*Objects!$X$4,0)</f>
        <v>0</v>
      </c>
      <c r="DJ18">
        <f ca="1">OFFSET(Objects!$HW$6,DJ$1+(Objects!$Y$4-$A18-1)*Objects!$X$4,0)</f>
        <v>0</v>
      </c>
      <c r="DK18">
        <f ca="1">OFFSET(Objects!$HW$6,DK$1+(Objects!$Y$4-$A18-1)*Objects!$X$4,0)</f>
        <v>0</v>
      </c>
      <c r="DL18">
        <f ca="1">OFFSET(Objects!$HW$6,DL$1+(Objects!$Y$4-$A18-1)*Objects!$X$4,0)</f>
        <v>0</v>
      </c>
      <c r="DM18">
        <f ca="1">OFFSET(Objects!$HW$6,DM$1+(Objects!$Y$4-$A18-1)*Objects!$X$4,0)</f>
        <v>0</v>
      </c>
      <c r="DN18">
        <f ca="1">OFFSET(Objects!$HW$6,DN$1+(Objects!$Y$4-$A18-1)*Objects!$X$4,0)</f>
        <v>0</v>
      </c>
      <c r="DO18">
        <f ca="1">OFFSET(Objects!$HW$6,DO$1+(Objects!$Y$4-$A18-1)*Objects!$X$4,0)</f>
        <v>0</v>
      </c>
      <c r="DP18">
        <f ca="1">OFFSET(Objects!$HW$6,DP$1+(Objects!$Y$4-$A18-1)*Objects!$X$4,0)</f>
        <v>0</v>
      </c>
      <c r="DQ18">
        <f ca="1">OFFSET(Objects!$HW$6,DQ$1+(Objects!$Y$4-$A18-1)*Objects!$X$4,0)</f>
        <v>0</v>
      </c>
      <c r="DR18">
        <f ca="1">OFFSET(Objects!$HW$6,DR$1+(Objects!$Y$4-$A18-1)*Objects!$X$4,0)</f>
        <v>0</v>
      </c>
      <c r="DS18">
        <f ca="1">OFFSET(Objects!$HW$6,DS$1+(Objects!$Y$4-$A18-1)*Objects!$X$4,0)</f>
        <v>0</v>
      </c>
      <c r="DT18">
        <f ca="1">OFFSET(Objects!$HW$6,DT$1+(Objects!$Y$4-$A18-1)*Objects!$X$4,0)</f>
        <v>0</v>
      </c>
      <c r="DU18">
        <f ca="1">OFFSET(Objects!$HW$6,DU$1+(Objects!$Y$4-$A18-1)*Objects!$X$4,0)</f>
        <v>0</v>
      </c>
      <c r="DV18">
        <f ca="1">OFFSET(Objects!$HW$6,DV$1+(Objects!$Y$4-$A18-1)*Objects!$X$4,0)</f>
        <v>0</v>
      </c>
      <c r="DW18">
        <f ca="1">OFFSET(Objects!$HW$6,DW$1+(Objects!$Y$4-$A18-1)*Objects!$X$4,0)</f>
        <v>0</v>
      </c>
      <c r="DX18">
        <f ca="1">OFFSET(Objects!$HW$6,DX$1+(Objects!$Y$4-$A18-1)*Objects!$X$4,0)</f>
        <v>0</v>
      </c>
      <c r="DY18">
        <f ca="1">OFFSET(Objects!$HW$6,DY$1+(Objects!$Y$4-$A18-1)*Objects!$X$4,0)</f>
        <v>0</v>
      </c>
      <c r="DZ18">
        <f ca="1">OFFSET(Objects!$HW$6,DZ$1+(Objects!$Y$4-$A18-1)*Objects!$X$4,0)</f>
        <v>0</v>
      </c>
      <c r="EA18">
        <f ca="1">OFFSET(Objects!$HW$6,EA$1+(Objects!$Y$4-$A18-1)*Objects!$X$4,0)</f>
        <v>0</v>
      </c>
      <c r="EB18">
        <f ca="1">OFFSET(Objects!$HW$6,EB$1+(Objects!$Y$4-$A18-1)*Objects!$X$4,0)</f>
        <v>0</v>
      </c>
      <c r="EC18">
        <f ca="1">OFFSET(Objects!$HW$6,EC$1+(Objects!$Y$4-$A18-1)*Objects!$X$4,0)</f>
        <v>0</v>
      </c>
      <c r="ED18">
        <f ca="1">OFFSET(Objects!$HW$6,ED$1+(Objects!$Y$4-$A18-1)*Objects!$X$4,0)</f>
        <v>0</v>
      </c>
      <c r="EE18">
        <f ca="1">OFFSET(Objects!$HW$6,EE$1+(Objects!$Y$4-$A18-1)*Objects!$X$4,0)</f>
        <v>0</v>
      </c>
      <c r="EF18">
        <f ca="1">OFFSET(Objects!$HW$6,EF$1+(Objects!$Y$4-$A18-1)*Objects!$X$4,0)</f>
        <v>0</v>
      </c>
      <c r="EG18">
        <f ca="1">OFFSET(Objects!$HW$6,EG$1+(Objects!$Y$4-$A18-1)*Objects!$X$4,0)</f>
        <v>0</v>
      </c>
      <c r="EH18">
        <f ca="1">OFFSET(Objects!$HW$6,EH$1+(Objects!$Y$4-$A18-1)*Objects!$X$4,0)</f>
        <v>0</v>
      </c>
      <c r="EI18">
        <f ca="1">OFFSET(Objects!$HW$6,EI$1+(Objects!$Y$4-$A18-1)*Objects!$X$4,0)</f>
        <v>0</v>
      </c>
      <c r="EJ18">
        <f ca="1">OFFSET(Objects!$HW$6,EJ$1+(Objects!$Y$4-$A18-1)*Objects!$X$4,0)</f>
        <v>0</v>
      </c>
      <c r="EK18">
        <f ca="1">OFFSET(Objects!$HW$6,EK$1+(Objects!$Y$4-$A18-1)*Objects!$X$4,0)</f>
        <v>0</v>
      </c>
      <c r="EL18">
        <f ca="1">OFFSET(Objects!$HW$6,EL$1+(Objects!$Y$4-$A18-1)*Objects!$X$4,0)</f>
        <v>0</v>
      </c>
      <c r="EM18">
        <f ca="1">OFFSET(Objects!$HW$6,EM$1+(Objects!$Y$4-$A18-1)*Objects!$X$4,0)</f>
        <v>0</v>
      </c>
      <c r="EN18">
        <f ca="1">OFFSET(Objects!$HW$6,EN$1+(Objects!$Y$4-$A18-1)*Objects!$X$4,0)</f>
        <v>0</v>
      </c>
      <c r="EO18">
        <f ca="1">OFFSET(Objects!$HW$6,EO$1+(Objects!$Y$4-$A18-1)*Objects!$X$4,0)</f>
        <v>0</v>
      </c>
      <c r="EP18">
        <f ca="1">OFFSET(Objects!$HW$6,EP$1+(Objects!$Y$4-$A18-1)*Objects!$X$4,0)</f>
        <v>0</v>
      </c>
      <c r="EQ18">
        <f ca="1">OFFSET(Objects!$HW$6,EQ$1+(Objects!$Y$4-$A18-1)*Objects!$X$4,0)</f>
        <v>0</v>
      </c>
      <c r="ER18">
        <f ca="1">OFFSET(Objects!$HW$6,ER$1+(Objects!$Y$4-$A18-1)*Objects!$X$4,0)</f>
        <v>0</v>
      </c>
      <c r="ES18">
        <f ca="1">OFFSET(Objects!$HW$6,ES$1+(Objects!$Y$4-$A18-1)*Objects!$X$4,0)</f>
        <v>0</v>
      </c>
      <c r="ET18">
        <f ca="1">OFFSET(Objects!$HW$6,ET$1+(Objects!$Y$4-$A18-1)*Objects!$X$4,0)</f>
        <v>0</v>
      </c>
      <c r="EU18">
        <f ca="1">OFFSET(Objects!$HW$6,EU$1+(Objects!$Y$4-$A18-1)*Objects!$X$4,0)</f>
        <v>0</v>
      </c>
      <c r="EV18">
        <f ca="1">OFFSET(Objects!$HW$6,EV$1+(Objects!$Y$4-$A18-1)*Objects!$X$4,0)</f>
        <v>0</v>
      </c>
      <c r="EW18">
        <f ca="1">OFFSET(Objects!$HW$6,EW$1+(Objects!$Y$4-$A18-1)*Objects!$X$4,0)</f>
        <v>0</v>
      </c>
      <c r="EX18">
        <f ca="1">OFFSET(Objects!$HW$6,EX$1+(Objects!$Y$4-$A18-1)*Objects!$X$4,0)</f>
        <v>0</v>
      </c>
      <c r="EY18">
        <f ca="1">OFFSET(Objects!$HW$6,EY$1+(Objects!$Y$4-$A18-1)*Objects!$X$4,0)</f>
        <v>0</v>
      </c>
      <c r="EZ18">
        <f ca="1">OFFSET(Objects!$HW$6,EZ$1+(Objects!$Y$4-$A18-1)*Objects!$X$4,0)</f>
        <v>0</v>
      </c>
      <c r="FA18">
        <f ca="1">OFFSET(Objects!$HW$6,FA$1+(Objects!$Y$4-$A18-1)*Objects!$X$4,0)</f>
        <v>0</v>
      </c>
      <c r="FB18">
        <f ca="1">OFFSET(Objects!$HW$6,FB$1+(Objects!$Y$4-$A18-1)*Objects!$X$4,0)</f>
        <v>0</v>
      </c>
      <c r="FC18">
        <f ca="1">OFFSET(Objects!$HW$6,FC$1+(Objects!$Y$4-$A18-1)*Objects!$X$4,0)</f>
        <v>0</v>
      </c>
      <c r="FD18">
        <f ca="1">OFFSET(Objects!$HW$6,FD$1+(Objects!$Y$4-$A18-1)*Objects!$X$4,0)</f>
        <v>0</v>
      </c>
      <c r="FE18" s="22">
        <f ca="1">OFFSET(Objects!$HW$6,FE$1+(Objects!$Y$4-$A18-1)*Objects!$X$4,0)</f>
        <v>0</v>
      </c>
    </row>
    <row r="19" spans="1:161" ht="4.5" customHeight="1" x14ac:dyDescent="0.25">
      <c r="A19">
        <v>17</v>
      </c>
      <c r="B19" s="21">
        <f ca="1">OFFSET(Objects!$HW$6,B$1+(Objects!$Y$4-$A19-1)*Objects!$X$4,0)</f>
        <v>0</v>
      </c>
      <c r="C19">
        <f ca="1">OFFSET(Objects!$HW$6,C$1+(Objects!$Y$4-$A19-1)*Objects!$X$4,0)</f>
        <v>0</v>
      </c>
      <c r="D19">
        <f ca="1">OFFSET(Objects!$HW$6,D$1+(Objects!$Y$4-$A19-1)*Objects!$X$4,0)</f>
        <v>0</v>
      </c>
      <c r="E19">
        <f ca="1">OFFSET(Objects!$HW$6,E$1+(Objects!$Y$4-$A19-1)*Objects!$X$4,0)</f>
        <v>0</v>
      </c>
      <c r="F19">
        <f ca="1">OFFSET(Objects!$HW$6,F$1+(Objects!$Y$4-$A19-1)*Objects!$X$4,0)</f>
        <v>0</v>
      </c>
      <c r="G19">
        <f ca="1">OFFSET(Objects!$HW$6,G$1+(Objects!$Y$4-$A19-1)*Objects!$X$4,0)</f>
        <v>0</v>
      </c>
      <c r="H19">
        <f ca="1">OFFSET(Objects!$HW$6,H$1+(Objects!$Y$4-$A19-1)*Objects!$X$4,0)</f>
        <v>0</v>
      </c>
      <c r="I19">
        <f ca="1">OFFSET(Objects!$HW$6,I$1+(Objects!$Y$4-$A19-1)*Objects!$X$4,0)</f>
        <v>0</v>
      </c>
      <c r="J19">
        <f ca="1">OFFSET(Objects!$HW$6,J$1+(Objects!$Y$4-$A19-1)*Objects!$X$4,0)</f>
        <v>0</v>
      </c>
      <c r="K19">
        <f ca="1">OFFSET(Objects!$HW$6,K$1+(Objects!$Y$4-$A19-1)*Objects!$X$4,0)</f>
        <v>0</v>
      </c>
      <c r="L19">
        <f ca="1">OFFSET(Objects!$HW$6,L$1+(Objects!$Y$4-$A19-1)*Objects!$X$4,0)</f>
        <v>0</v>
      </c>
      <c r="M19">
        <f ca="1">OFFSET(Objects!$HW$6,M$1+(Objects!$Y$4-$A19-1)*Objects!$X$4,0)</f>
        <v>0</v>
      </c>
      <c r="N19">
        <f ca="1">OFFSET(Objects!$HW$6,N$1+(Objects!$Y$4-$A19-1)*Objects!$X$4,0)</f>
        <v>0</v>
      </c>
      <c r="O19">
        <f ca="1">OFFSET(Objects!$HW$6,O$1+(Objects!$Y$4-$A19-1)*Objects!$X$4,0)</f>
        <v>0</v>
      </c>
      <c r="P19">
        <f ca="1">OFFSET(Objects!$HW$6,P$1+(Objects!$Y$4-$A19-1)*Objects!$X$4,0)</f>
        <v>0</v>
      </c>
      <c r="Q19">
        <f ca="1">OFFSET(Objects!$HW$6,Q$1+(Objects!$Y$4-$A19-1)*Objects!$X$4,0)</f>
        <v>0</v>
      </c>
      <c r="R19">
        <f ca="1">OFFSET(Objects!$HW$6,R$1+(Objects!$Y$4-$A19-1)*Objects!$X$4,0)</f>
        <v>0</v>
      </c>
      <c r="S19">
        <f ca="1">OFFSET(Objects!$HW$6,S$1+(Objects!$Y$4-$A19-1)*Objects!$X$4,0)</f>
        <v>0</v>
      </c>
      <c r="T19">
        <f ca="1">OFFSET(Objects!$HW$6,T$1+(Objects!$Y$4-$A19-1)*Objects!$X$4,0)</f>
        <v>0</v>
      </c>
      <c r="U19">
        <f ca="1">OFFSET(Objects!$HW$6,U$1+(Objects!$Y$4-$A19-1)*Objects!$X$4,0)</f>
        <v>0</v>
      </c>
      <c r="V19">
        <f ca="1">OFFSET(Objects!$HW$6,V$1+(Objects!$Y$4-$A19-1)*Objects!$X$4,0)</f>
        <v>0</v>
      </c>
      <c r="W19">
        <f ca="1">OFFSET(Objects!$HW$6,W$1+(Objects!$Y$4-$A19-1)*Objects!$X$4,0)</f>
        <v>0</v>
      </c>
      <c r="X19">
        <f ca="1">OFFSET(Objects!$HW$6,X$1+(Objects!$Y$4-$A19-1)*Objects!$X$4,0)</f>
        <v>0</v>
      </c>
      <c r="Y19">
        <f ca="1">OFFSET(Objects!$HW$6,Y$1+(Objects!$Y$4-$A19-1)*Objects!$X$4,0)</f>
        <v>0</v>
      </c>
      <c r="Z19">
        <f ca="1">OFFSET(Objects!$HW$6,Z$1+(Objects!$Y$4-$A19-1)*Objects!$X$4,0)</f>
        <v>0</v>
      </c>
      <c r="AA19">
        <f ca="1">OFFSET(Objects!$HW$6,AA$1+(Objects!$Y$4-$A19-1)*Objects!$X$4,0)</f>
        <v>0</v>
      </c>
      <c r="AB19">
        <f ca="1">OFFSET(Objects!$HW$6,AB$1+(Objects!$Y$4-$A19-1)*Objects!$X$4,0)</f>
        <v>0</v>
      </c>
      <c r="AC19">
        <f ca="1">OFFSET(Objects!$HW$6,AC$1+(Objects!$Y$4-$A19-1)*Objects!$X$4,0)</f>
        <v>0</v>
      </c>
      <c r="AD19">
        <f ca="1">OFFSET(Objects!$HW$6,AD$1+(Objects!$Y$4-$A19-1)*Objects!$X$4,0)</f>
        <v>0</v>
      </c>
      <c r="AE19">
        <f ca="1">OFFSET(Objects!$HW$6,AE$1+(Objects!$Y$4-$A19-1)*Objects!$X$4,0)</f>
        <v>0</v>
      </c>
      <c r="AF19">
        <f ca="1">OFFSET(Objects!$HW$6,AF$1+(Objects!$Y$4-$A19-1)*Objects!$X$4,0)</f>
        <v>0</v>
      </c>
      <c r="AG19">
        <f ca="1">OFFSET(Objects!$HW$6,AG$1+(Objects!$Y$4-$A19-1)*Objects!$X$4,0)</f>
        <v>0</v>
      </c>
      <c r="AH19">
        <f ca="1">OFFSET(Objects!$HW$6,AH$1+(Objects!$Y$4-$A19-1)*Objects!$X$4,0)</f>
        <v>0</v>
      </c>
      <c r="AI19">
        <f ca="1">OFFSET(Objects!$HW$6,AI$1+(Objects!$Y$4-$A19-1)*Objects!$X$4,0)</f>
        <v>0</v>
      </c>
      <c r="AJ19">
        <f ca="1">OFFSET(Objects!$HW$6,AJ$1+(Objects!$Y$4-$A19-1)*Objects!$X$4,0)</f>
        <v>0</v>
      </c>
      <c r="AK19">
        <f ca="1">OFFSET(Objects!$HW$6,AK$1+(Objects!$Y$4-$A19-1)*Objects!$X$4,0)</f>
        <v>0</v>
      </c>
      <c r="AL19">
        <f ca="1">OFFSET(Objects!$HW$6,AL$1+(Objects!$Y$4-$A19-1)*Objects!$X$4,0)</f>
        <v>0</v>
      </c>
      <c r="AM19">
        <f ca="1">OFFSET(Objects!$HW$6,AM$1+(Objects!$Y$4-$A19-1)*Objects!$X$4,0)</f>
        <v>0</v>
      </c>
      <c r="AN19">
        <f ca="1">OFFSET(Objects!$HW$6,AN$1+(Objects!$Y$4-$A19-1)*Objects!$X$4,0)</f>
        <v>0</v>
      </c>
      <c r="AO19">
        <f ca="1">OFFSET(Objects!$HW$6,AO$1+(Objects!$Y$4-$A19-1)*Objects!$X$4,0)</f>
        <v>0</v>
      </c>
      <c r="AP19">
        <f ca="1">OFFSET(Objects!$HW$6,AP$1+(Objects!$Y$4-$A19-1)*Objects!$X$4,0)</f>
        <v>0</v>
      </c>
      <c r="AQ19">
        <f ca="1">OFFSET(Objects!$HW$6,AQ$1+(Objects!$Y$4-$A19-1)*Objects!$X$4,0)</f>
        <v>0</v>
      </c>
      <c r="AR19">
        <f ca="1">OFFSET(Objects!$HW$6,AR$1+(Objects!$Y$4-$A19-1)*Objects!$X$4,0)</f>
        <v>0</v>
      </c>
      <c r="AS19">
        <f ca="1">OFFSET(Objects!$HW$6,AS$1+(Objects!$Y$4-$A19-1)*Objects!$X$4,0)</f>
        <v>0</v>
      </c>
      <c r="AT19">
        <f ca="1">OFFSET(Objects!$HW$6,AT$1+(Objects!$Y$4-$A19-1)*Objects!$X$4,0)</f>
        <v>0</v>
      </c>
      <c r="AU19">
        <f ca="1">OFFSET(Objects!$HW$6,AU$1+(Objects!$Y$4-$A19-1)*Objects!$X$4,0)</f>
        <v>0</v>
      </c>
      <c r="AV19">
        <f ca="1">OFFSET(Objects!$HW$6,AV$1+(Objects!$Y$4-$A19-1)*Objects!$X$4,0)</f>
        <v>0</v>
      </c>
      <c r="AW19">
        <f ca="1">OFFSET(Objects!$HW$6,AW$1+(Objects!$Y$4-$A19-1)*Objects!$X$4,0)</f>
        <v>0</v>
      </c>
      <c r="AX19">
        <f ca="1">OFFSET(Objects!$HW$6,AX$1+(Objects!$Y$4-$A19-1)*Objects!$X$4,0)</f>
        <v>0</v>
      </c>
      <c r="AY19">
        <f ca="1">OFFSET(Objects!$HW$6,AY$1+(Objects!$Y$4-$A19-1)*Objects!$X$4,0)</f>
        <v>0</v>
      </c>
      <c r="AZ19">
        <f ca="1">OFFSET(Objects!$HW$6,AZ$1+(Objects!$Y$4-$A19-1)*Objects!$X$4,0)</f>
        <v>0</v>
      </c>
      <c r="BA19">
        <f ca="1">OFFSET(Objects!$HW$6,BA$1+(Objects!$Y$4-$A19-1)*Objects!$X$4,0)</f>
        <v>0</v>
      </c>
      <c r="BB19">
        <f ca="1">OFFSET(Objects!$HW$6,BB$1+(Objects!$Y$4-$A19-1)*Objects!$X$4,0)</f>
        <v>0</v>
      </c>
      <c r="BC19">
        <f ca="1">OFFSET(Objects!$HW$6,BC$1+(Objects!$Y$4-$A19-1)*Objects!$X$4,0)</f>
        <v>0</v>
      </c>
      <c r="BD19">
        <f ca="1">OFFSET(Objects!$HW$6,BD$1+(Objects!$Y$4-$A19-1)*Objects!$X$4,0)</f>
        <v>0</v>
      </c>
      <c r="BE19">
        <f ca="1">OFFSET(Objects!$HW$6,BE$1+(Objects!$Y$4-$A19-1)*Objects!$X$4,0)</f>
        <v>0</v>
      </c>
      <c r="BF19">
        <f ca="1">OFFSET(Objects!$HW$6,BF$1+(Objects!$Y$4-$A19-1)*Objects!$X$4,0)</f>
        <v>0</v>
      </c>
      <c r="BG19">
        <f ca="1">OFFSET(Objects!$HW$6,BG$1+(Objects!$Y$4-$A19-1)*Objects!$X$4,0)</f>
        <v>0</v>
      </c>
      <c r="BH19">
        <f ca="1">OFFSET(Objects!$HW$6,BH$1+(Objects!$Y$4-$A19-1)*Objects!$X$4,0)</f>
        <v>0</v>
      </c>
      <c r="BI19">
        <f ca="1">OFFSET(Objects!$HW$6,BI$1+(Objects!$Y$4-$A19-1)*Objects!$X$4,0)</f>
        <v>0</v>
      </c>
      <c r="BJ19">
        <f ca="1">OFFSET(Objects!$HW$6,BJ$1+(Objects!$Y$4-$A19-1)*Objects!$X$4,0)</f>
        <v>0</v>
      </c>
      <c r="BK19">
        <f ca="1">OFFSET(Objects!$HW$6,BK$1+(Objects!$Y$4-$A19-1)*Objects!$X$4,0)</f>
        <v>0</v>
      </c>
      <c r="BL19">
        <f ca="1">OFFSET(Objects!$HW$6,BL$1+(Objects!$Y$4-$A19-1)*Objects!$X$4,0)</f>
        <v>0</v>
      </c>
      <c r="BM19">
        <f ca="1">OFFSET(Objects!$HW$6,BM$1+(Objects!$Y$4-$A19-1)*Objects!$X$4,0)</f>
        <v>0</v>
      </c>
      <c r="BN19">
        <f ca="1">OFFSET(Objects!$HW$6,BN$1+(Objects!$Y$4-$A19-1)*Objects!$X$4,0)</f>
        <v>0</v>
      </c>
      <c r="BO19">
        <f ca="1">OFFSET(Objects!$HW$6,BO$1+(Objects!$Y$4-$A19-1)*Objects!$X$4,0)</f>
        <v>0</v>
      </c>
      <c r="BP19">
        <f ca="1">OFFSET(Objects!$HW$6,BP$1+(Objects!$Y$4-$A19-1)*Objects!$X$4,0)</f>
        <v>0</v>
      </c>
      <c r="BQ19">
        <f ca="1">OFFSET(Objects!$HW$6,BQ$1+(Objects!$Y$4-$A19-1)*Objects!$X$4,0)</f>
        <v>0</v>
      </c>
      <c r="BR19">
        <f ca="1">OFFSET(Objects!$HW$6,BR$1+(Objects!$Y$4-$A19-1)*Objects!$X$4,0)</f>
        <v>0</v>
      </c>
      <c r="BS19">
        <f ca="1">OFFSET(Objects!$HW$6,BS$1+(Objects!$Y$4-$A19-1)*Objects!$X$4,0)</f>
        <v>0</v>
      </c>
      <c r="BT19">
        <f ca="1">OFFSET(Objects!$HW$6,BT$1+(Objects!$Y$4-$A19-1)*Objects!$X$4,0)</f>
        <v>0</v>
      </c>
      <c r="BU19">
        <f ca="1">OFFSET(Objects!$HW$6,BU$1+(Objects!$Y$4-$A19-1)*Objects!$X$4,0)</f>
        <v>0</v>
      </c>
      <c r="BV19">
        <f ca="1">OFFSET(Objects!$HW$6,BV$1+(Objects!$Y$4-$A19-1)*Objects!$X$4,0)</f>
        <v>0</v>
      </c>
      <c r="BW19">
        <f ca="1">OFFSET(Objects!$HW$6,BW$1+(Objects!$Y$4-$A19-1)*Objects!$X$4,0)</f>
        <v>0</v>
      </c>
      <c r="BX19">
        <f ca="1">OFFSET(Objects!$HW$6,BX$1+(Objects!$Y$4-$A19-1)*Objects!$X$4,0)</f>
        <v>0</v>
      </c>
      <c r="BY19">
        <f ca="1">OFFSET(Objects!$HW$6,BY$1+(Objects!$Y$4-$A19-1)*Objects!$X$4,0)</f>
        <v>0</v>
      </c>
      <c r="BZ19">
        <f ca="1">OFFSET(Objects!$HW$6,BZ$1+(Objects!$Y$4-$A19-1)*Objects!$X$4,0)</f>
        <v>0</v>
      </c>
      <c r="CA19">
        <f ca="1">OFFSET(Objects!$HW$6,CA$1+(Objects!$Y$4-$A19-1)*Objects!$X$4,0)</f>
        <v>0</v>
      </c>
      <c r="CB19">
        <f ca="1">OFFSET(Objects!$HW$6,CB$1+(Objects!$Y$4-$A19-1)*Objects!$X$4,0)</f>
        <v>0</v>
      </c>
      <c r="CC19">
        <f ca="1">OFFSET(Objects!$HW$6,CC$1+(Objects!$Y$4-$A19-1)*Objects!$X$4,0)</f>
        <v>0</v>
      </c>
      <c r="CD19">
        <f ca="1">OFFSET(Objects!$HW$6,CD$1+(Objects!$Y$4-$A19-1)*Objects!$X$4,0)</f>
        <v>0</v>
      </c>
      <c r="CE19">
        <f ca="1">OFFSET(Objects!$HW$6,CE$1+(Objects!$Y$4-$A19-1)*Objects!$X$4,0)</f>
        <v>0</v>
      </c>
      <c r="CF19">
        <f ca="1">OFFSET(Objects!$HW$6,CF$1+(Objects!$Y$4-$A19-1)*Objects!$X$4,0)</f>
        <v>0</v>
      </c>
      <c r="CG19">
        <f ca="1">OFFSET(Objects!$HW$6,CG$1+(Objects!$Y$4-$A19-1)*Objects!$X$4,0)</f>
        <v>0</v>
      </c>
      <c r="CH19">
        <f ca="1">OFFSET(Objects!$HW$6,CH$1+(Objects!$Y$4-$A19-1)*Objects!$X$4,0)</f>
        <v>0</v>
      </c>
      <c r="CI19">
        <f ca="1">OFFSET(Objects!$HW$6,CI$1+(Objects!$Y$4-$A19-1)*Objects!$X$4,0)</f>
        <v>0</v>
      </c>
      <c r="CJ19">
        <f ca="1">OFFSET(Objects!$HW$6,CJ$1+(Objects!$Y$4-$A19-1)*Objects!$X$4,0)</f>
        <v>0</v>
      </c>
      <c r="CK19">
        <f ca="1">OFFSET(Objects!$HW$6,CK$1+(Objects!$Y$4-$A19-1)*Objects!$X$4,0)</f>
        <v>0</v>
      </c>
      <c r="CL19">
        <f ca="1">OFFSET(Objects!$HW$6,CL$1+(Objects!$Y$4-$A19-1)*Objects!$X$4,0)</f>
        <v>0</v>
      </c>
      <c r="CM19">
        <f ca="1">OFFSET(Objects!$HW$6,CM$1+(Objects!$Y$4-$A19-1)*Objects!$X$4,0)</f>
        <v>0</v>
      </c>
      <c r="CN19">
        <f ca="1">OFFSET(Objects!$HW$6,CN$1+(Objects!$Y$4-$A19-1)*Objects!$X$4,0)</f>
        <v>0</v>
      </c>
      <c r="CO19">
        <f ca="1">OFFSET(Objects!$HW$6,CO$1+(Objects!$Y$4-$A19-1)*Objects!$X$4,0)</f>
        <v>0</v>
      </c>
      <c r="CP19">
        <f ca="1">OFFSET(Objects!$HW$6,CP$1+(Objects!$Y$4-$A19-1)*Objects!$X$4,0)</f>
        <v>0</v>
      </c>
      <c r="CQ19">
        <f ca="1">OFFSET(Objects!$HW$6,CQ$1+(Objects!$Y$4-$A19-1)*Objects!$X$4,0)</f>
        <v>0</v>
      </c>
      <c r="CR19">
        <f ca="1">OFFSET(Objects!$HW$6,CR$1+(Objects!$Y$4-$A19-1)*Objects!$X$4,0)</f>
        <v>0</v>
      </c>
      <c r="CS19">
        <f ca="1">OFFSET(Objects!$HW$6,CS$1+(Objects!$Y$4-$A19-1)*Objects!$X$4,0)</f>
        <v>0</v>
      </c>
      <c r="CT19">
        <f ca="1">OFFSET(Objects!$HW$6,CT$1+(Objects!$Y$4-$A19-1)*Objects!$X$4,0)</f>
        <v>0</v>
      </c>
      <c r="CU19">
        <f ca="1">OFFSET(Objects!$HW$6,CU$1+(Objects!$Y$4-$A19-1)*Objects!$X$4,0)</f>
        <v>0</v>
      </c>
      <c r="CV19">
        <f ca="1">OFFSET(Objects!$HW$6,CV$1+(Objects!$Y$4-$A19-1)*Objects!$X$4,0)</f>
        <v>0</v>
      </c>
      <c r="CW19">
        <f ca="1">OFFSET(Objects!$HW$6,CW$1+(Objects!$Y$4-$A19-1)*Objects!$X$4,0)</f>
        <v>0</v>
      </c>
      <c r="CX19">
        <f ca="1">OFFSET(Objects!$HW$6,CX$1+(Objects!$Y$4-$A19-1)*Objects!$X$4,0)</f>
        <v>0</v>
      </c>
      <c r="CY19">
        <f ca="1">OFFSET(Objects!$HW$6,CY$1+(Objects!$Y$4-$A19-1)*Objects!$X$4,0)</f>
        <v>0</v>
      </c>
      <c r="CZ19">
        <f ca="1">OFFSET(Objects!$HW$6,CZ$1+(Objects!$Y$4-$A19-1)*Objects!$X$4,0)</f>
        <v>0</v>
      </c>
      <c r="DA19">
        <f ca="1">OFFSET(Objects!$HW$6,DA$1+(Objects!$Y$4-$A19-1)*Objects!$X$4,0)</f>
        <v>0</v>
      </c>
      <c r="DB19">
        <f ca="1">OFFSET(Objects!$HW$6,DB$1+(Objects!$Y$4-$A19-1)*Objects!$X$4,0)</f>
        <v>0</v>
      </c>
      <c r="DC19">
        <f ca="1">OFFSET(Objects!$HW$6,DC$1+(Objects!$Y$4-$A19-1)*Objects!$X$4,0)</f>
        <v>0</v>
      </c>
      <c r="DD19">
        <f ca="1">OFFSET(Objects!$HW$6,DD$1+(Objects!$Y$4-$A19-1)*Objects!$X$4,0)</f>
        <v>0</v>
      </c>
      <c r="DE19">
        <f ca="1">OFFSET(Objects!$HW$6,DE$1+(Objects!$Y$4-$A19-1)*Objects!$X$4,0)</f>
        <v>0</v>
      </c>
      <c r="DF19">
        <f ca="1">OFFSET(Objects!$HW$6,DF$1+(Objects!$Y$4-$A19-1)*Objects!$X$4,0)</f>
        <v>0</v>
      </c>
      <c r="DG19">
        <f ca="1">OFFSET(Objects!$HW$6,DG$1+(Objects!$Y$4-$A19-1)*Objects!$X$4,0)</f>
        <v>0</v>
      </c>
      <c r="DH19">
        <f ca="1">OFFSET(Objects!$HW$6,DH$1+(Objects!$Y$4-$A19-1)*Objects!$X$4,0)</f>
        <v>0</v>
      </c>
      <c r="DI19">
        <f ca="1">OFFSET(Objects!$HW$6,DI$1+(Objects!$Y$4-$A19-1)*Objects!$X$4,0)</f>
        <v>0</v>
      </c>
      <c r="DJ19">
        <f ca="1">OFFSET(Objects!$HW$6,DJ$1+(Objects!$Y$4-$A19-1)*Objects!$X$4,0)</f>
        <v>0</v>
      </c>
      <c r="DK19">
        <f ca="1">OFFSET(Objects!$HW$6,DK$1+(Objects!$Y$4-$A19-1)*Objects!$X$4,0)</f>
        <v>0</v>
      </c>
      <c r="DL19">
        <f ca="1">OFFSET(Objects!$HW$6,DL$1+(Objects!$Y$4-$A19-1)*Objects!$X$4,0)</f>
        <v>0</v>
      </c>
      <c r="DM19">
        <f ca="1">OFFSET(Objects!$HW$6,DM$1+(Objects!$Y$4-$A19-1)*Objects!$X$4,0)</f>
        <v>0</v>
      </c>
      <c r="DN19">
        <f ca="1">OFFSET(Objects!$HW$6,DN$1+(Objects!$Y$4-$A19-1)*Objects!$X$4,0)</f>
        <v>0</v>
      </c>
      <c r="DO19">
        <f ca="1">OFFSET(Objects!$HW$6,DO$1+(Objects!$Y$4-$A19-1)*Objects!$X$4,0)</f>
        <v>0</v>
      </c>
      <c r="DP19">
        <f ca="1">OFFSET(Objects!$HW$6,DP$1+(Objects!$Y$4-$A19-1)*Objects!$X$4,0)</f>
        <v>0</v>
      </c>
      <c r="DQ19">
        <f ca="1">OFFSET(Objects!$HW$6,DQ$1+(Objects!$Y$4-$A19-1)*Objects!$X$4,0)</f>
        <v>0</v>
      </c>
      <c r="DR19">
        <f ca="1">OFFSET(Objects!$HW$6,DR$1+(Objects!$Y$4-$A19-1)*Objects!$X$4,0)</f>
        <v>0</v>
      </c>
      <c r="DS19">
        <f ca="1">OFFSET(Objects!$HW$6,DS$1+(Objects!$Y$4-$A19-1)*Objects!$X$4,0)</f>
        <v>0</v>
      </c>
      <c r="DT19">
        <f ca="1">OFFSET(Objects!$HW$6,DT$1+(Objects!$Y$4-$A19-1)*Objects!$X$4,0)</f>
        <v>0</v>
      </c>
      <c r="DU19">
        <f ca="1">OFFSET(Objects!$HW$6,DU$1+(Objects!$Y$4-$A19-1)*Objects!$X$4,0)</f>
        <v>0</v>
      </c>
      <c r="DV19">
        <f ca="1">OFFSET(Objects!$HW$6,DV$1+(Objects!$Y$4-$A19-1)*Objects!$X$4,0)</f>
        <v>0</v>
      </c>
      <c r="DW19">
        <f ca="1">OFFSET(Objects!$HW$6,DW$1+(Objects!$Y$4-$A19-1)*Objects!$X$4,0)</f>
        <v>0</v>
      </c>
      <c r="DX19">
        <f ca="1">OFFSET(Objects!$HW$6,DX$1+(Objects!$Y$4-$A19-1)*Objects!$X$4,0)</f>
        <v>0</v>
      </c>
      <c r="DY19">
        <f ca="1">OFFSET(Objects!$HW$6,DY$1+(Objects!$Y$4-$A19-1)*Objects!$X$4,0)</f>
        <v>0</v>
      </c>
      <c r="DZ19">
        <f ca="1">OFFSET(Objects!$HW$6,DZ$1+(Objects!$Y$4-$A19-1)*Objects!$X$4,0)</f>
        <v>0</v>
      </c>
      <c r="EA19">
        <f ca="1">OFFSET(Objects!$HW$6,EA$1+(Objects!$Y$4-$A19-1)*Objects!$X$4,0)</f>
        <v>0</v>
      </c>
      <c r="EB19">
        <f ca="1">OFFSET(Objects!$HW$6,EB$1+(Objects!$Y$4-$A19-1)*Objects!$X$4,0)</f>
        <v>0</v>
      </c>
      <c r="EC19">
        <f ca="1">OFFSET(Objects!$HW$6,EC$1+(Objects!$Y$4-$A19-1)*Objects!$X$4,0)</f>
        <v>0</v>
      </c>
      <c r="ED19">
        <f ca="1">OFFSET(Objects!$HW$6,ED$1+(Objects!$Y$4-$A19-1)*Objects!$X$4,0)</f>
        <v>0</v>
      </c>
      <c r="EE19">
        <f ca="1">OFFSET(Objects!$HW$6,EE$1+(Objects!$Y$4-$A19-1)*Objects!$X$4,0)</f>
        <v>0</v>
      </c>
      <c r="EF19">
        <f ca="1">OFFSET(Objects!$HW$6,EF$1+(Objects!$Y$4-$A19-1)*Objects!$X$4,0)</f>
        <v>0</v>
      </c>
      <c r="EG19">
        <f ca="1">OFFSET(Objects!$HW$6,EG$1+(Objects!$Y$4-$A19-1)*Objects!$X$4,0)</f>
        <v>0</v>
      </c>
      <c r="EH19">
        <f ca="1">OFFSET(Objects!$HW$6,EH$1+(Objects!$Y$4-$A19-1)*Objects!$X$4,0)</f>
        <v>0</v>
      </c>
      <c r="EI19">
        <f ca="1">OFFSET(Objects!$HW$6,EI$1+(Objects!$Y$4-$A19-1)*Objects!$X$4,0)</f>
        <v>0</v>
      </c>
      <c r="EJ19">
        <f ca="1">OFFSET(Objects!$HW$6,EJ$1+(Objects!$Y$4-$A19-1)*Objects!$X$4,0)</f>
        <v>0</v>
      </c>
      <c r="EK19">
        <f ca="1">OFFSET(Objects!$HW$6,EK$1+(Objects!$Y$4-$A19-1)*Objects!$X$4,0)</f>
        <v>0</v>
      </c>
      <c r="EL19">
        <f ca="1">OFFSET(Objects!$HW$6,EL$1+(Objects!$Y$4-$A19-1)*Objects!$X$4,0)</f>
        <v>0</v>
      </c>
      <c r="EM19">
        <f ca="1">OFFSET(Objects!$HW$6,EM$1+(Objects!$Y$4-$A19-1)*Objects!$X$4,0)</f>
        <v>0</v>
      </c>
      <c r="EN19">
        <f ca="1">OFFSET(Objects!$HW$6,EN$1+(Objects!$Y$4-$A19-1)*Objects!$X$4,0)</f>
        <v>0</v>
      </c>
      <c r="EO19">
        <f ca="1">OFFSET(Objects!$HW$6,EO$1+(Objects!$Y$4-$A19-1)*Objects!$X$4,0)</f>
        <v>0</v>
      </c>
      <c r="EP19">
        <f ca="1">OFFSET(Objects!$HW$6,EP$1+(Objects!$Y$4-$A19-1)*Objects!$X$4,0)</f>
        <v>0</v>
      </c>
      <c r="EQ19">
        <f ca="1">OFFSET(Objects!$HW$6,EQ$1+(Objects!$Y$4-$A19-1)*Objects!$X$4,0)</f>
        <v>0</v>
      </c>
      <c r="ER19">
        <f ca="1">OFFSET(Objects!$HW$6,ER$1+(Objects!$Y$4-$A19-1)*Objects!$X$4,0)</f>
        <v>0</v>
      </c>
      <c r="ES19">
        <f ca="1">OFFSET(Objects!$HW$6,ES$1+(Objects!$Y$4-$A19-1)*Objects!$X$4,0)</f>
        <v>0</v>
      </c>
      <c r="ET19">
        <f ca="1">OFFSET(Objects!$HW$6,ET$1+(Objects!$Y$4-$A19-1)*Objects!$X$4,0)</f>
        <v>0</v>
      </c>
      <c r="EU19">
        <f ca="1">OFFSET(Objects!$HW$6,EU$1+(Objects!$Y$4-$A19-1)*Objects!$X$4,0)</f>
        <v>0</v>
      </c>
      <c r="EV19">
        <f ca="1">OFFSET(Objects!$HW$6,EV$1+(Objects!$Y$4-$A19-1)*Objects!$X$4,0)</f>
        <v>0</v>
      </c>
      <c r="EW19">
        <f ca="1">OFFSET(Objects!$HW$6,EW$1+(Objects!$Y$4-$A19-1)*Objects!$X$4,0)</f>
        <v>0</v>
      </c>
      <c r="EX19">
        <f ca="1">OFFSET(Objects!$HW$6,EX$1+(Objects!$Y$4-$A19-1)*Objects!$X$4,0)</f>
        <v>0</v>
      </c>
      <c r="EY19">
        <f ca="1">OFFSET(Objects!$HW$6,EY$1+(Objects!$Y$4-$A19-1)*Objects!$X$4,0)</f>
        <v>0</v>
      </c>
      <c r="EZ19">
        <f ca="1">OFFSET(Objects!$HW$6,EZ$1+(Objects!$Y$4-$A19-1)*Objects!$X$4,0)</f>
        <v>0</v>
      </c>
      <c r="FA19">
        <f ca="1">OFFSET(Objects!$HW$6,FA$1+(Objects!$Y$4-$A19-1)*Objects!$X$4,0)</f>
        <v>0</v>
      </c>
      <c r="FB19">
        <f ca="1">OFFSET(Objects!$HW$6,FB$1+(Objects!$Y$4-$A19-1)*Objects!$X$4,0)</f>
        <v>0</v>
      </c>
      <c r="FC19">
        <f ca="1">OFFSET(Objects!$HW$6,FC$1+(Objects!$Y$4-$A19-1)*Objects!$X$4,0)</f>
        <v>0</v>
      </c>
      <c r="FD19">
        <f ca="1">OFFSET(Objects!$HW$6,FD$1+(Objects!$Y$4-$A19-1)*Objects!$X$4,0)</f>
        <v>0</v>
      </c>
      <c r="FE19" s="22">
        <f ca="1">OFFSET(Objects!$HW$6,FE$1+(Objects!$Y$4-$A19-1)*Objects!$X$4,0)</f>
        <v>0</v>
      </c>
    </row>
    <row r="20" spans="1:161" ht="4.5" customHeight="1" x14ac:dyDescent="0.25">
      <c r="A20">
        <v>18</v>
      </c>
      <c r="B20" s="21">
        <f ca="1">OFFSET(Objects!$HW$6,B$1+(Objects!$Y$4-$A20-1)*Objects!$X$4,0)</f>
        <v>0</v>
      </c>
      <c r="C20">
        <f ca="1">OFFSET(Objects!$HW$6,C$1+(Objects!$Y$4-$A20-1)*Objects!$X$4,0)</f>
        <v>0</v>
      </c>
      <c r="D20">
        <f ca="1">OFFSET(Objects!$HW$6,D$1+(Objects!$Y$4-$A20-1)*Objects!$X$4,0)</f>
        <v>0</v>
      </c>
      <c r="E20">
        <f ca="1">OFFSET(Objects!$HW$6,E$1+(Objects!$Y$4-$A20-1)*Objects!$X$4,0)</f>
        <v>0</v>
      </c>
      <c r="F20">
        <f ca="1">OFFSET(Objects!$HW$6,F$1+(Objects!$Y$4-$A20-1)*Objects!$X$4,0)</f>
        <v>0</v>
      </c>
      <c r="G20">
        <f ca="1">OFFSET(Objects!$HW$6,G$1+(Objects!$Y$4-$A20-1)*Objects!$X$4,0)</f>
        <v>0</v>
      </c>
      <c r="H20">
        <f ca="1">OFFSET(Objects!$HW$6,H$1+(Objects!$Y$4-$A20-1)*Objects!$X$4,0)</f>
        <v>0</v>
      </c>
      <c r="I20">
        <f ca="1">OFFSET(Objects!$HW$6,I$1+(Objects!$Y$4-$A20-1)*Objects!$X$4,0)</f>
        <v>0</v>
      </c>
      <c r="J20">
        <f ca="1">OFFSET(Objects!$HW$6,J$1+(Objects!$Y$4-$A20-1)*Objects!$X$4,0)</f>
        <v>0</v>
      </c>
      <c r="K20">
        <f ca="1">OFFSET(Objects!$HW$6,K$1+(Objects!$Y$4-$A20-1)*Objects!$X$4,0)</f>
        <v>0</v>
      </c>
      <c r="L20">
        <f ca="1">OFFSET(Objects!$HW$6,L$1+(Objects!$Y$4-$A20-1)*Objects!$X$4,0)</f>
        <v>0</v>
      </c>
      <c r="M20">
        <f ca="1">OFFSET(Objects!$HW$6,M$1+(Objects!$Y$4-$A20-1)*Objects!$X$4,0)</f>
        <v>0</v>
      </c>
      <c r="N20">
        <f ca="1">OFFSET(Objects!$HW$6,N$1+(Objects!$Y$4-$A20-1)*Objects!$X$4,0)</f>
        <v>0</v>
      </c>
      <c r="O20">
        <f ca="1">OFFSET(Objects!$HW$6,O$1+(Objects!$Y$4-$A20-1)*Objects!$X$4,0)</f>
        <v>0</v>
      </c>
      <c r="P20">
        <f ca="1">OFFSET(Objects!$HW$6,P$1+(Objects!$Y$4-$A20-1)*Objects!$X$4,0)</f>
        <v>0</v>
      </c>
      <c r="Q20">
        <f ca="1">OFFSET(Objects!$HW$6,Q$1+(Objects!$Y$4-$A20-1)*Objects!$X$4,0)</f>
        <v>0</v>
      </c>
      <c r="R20">
        <f ca="1">OFFSET(Objects!$HW$6,R$1+(Objects!$Y$4-$A20-1)*Objects!$X$4,0)</f>
        <v>0</v>
      </c>
      <c r="S20">
        <f ca="1">OFFSET(Objects!$HW$6,S$1+(Objects!$Y$4-$A20-1)*Objects!$X$4,0)</f>
        <v>0</v>
      </c>
      <c r="T20">
        <f ca="1">OFFSET(Objects!$HW$6,T$1+(Objects!$Y$4-$A20-1)*Objects!$X$4,0)</f>
        <v>0</v>
      </c>
      <c r="U20">
        <f ca="1">OFFSET(Objects!$HW$6,U$1+(Objects!$Y$4-$A20-1)*Objects!$X$4,0)</f>
        <v>0</v>
      </c>
      <c r="V20">
        <f ca="1">OFFSET(Objects!$HW$6,V$1+(Objects!$Y$4-$A20-1)*Objects!$X$4,0)</f>
        <v>0</v>
      </c>
      <c r="W20">
        <f ca="1">OFFSET(Objects!$HW$6,W$1+(Objects!$Y$4-$A20-1)*Objects!$X$4,0)</f>
        <v>0</v>
      </c>
      <c r="X20">
        <f ca="1">OFFSET(Objects!$HW$6,X$1+(Objects!$Y$4-$A20-1)*Objects!$X$4,0)</f>
        <v>0</v>
      </c>
      <c r="Y20">
        <f ca="1">OFFSET(Objects!$HW$6,Y$1+(Objects!$Y$4-$A20-1)*Objects!$X$4,0)</f>
        <v>0</v>
      </c>
      <c r="Z20">
        <f ca="1">OFFSET(Objects!$HW$6,Z$1+(Objects!$Y$4-$A20-1)*Objects!$X$4,0)</f>
        <v>0</v>
      </c>
      <c r="AA20">
        <f ca="1">OFFSET(Objects!$HW$6,AA$1+(Objects!$Y$4-$A20-1)*Objects!$X$4,0)</f>
        <v>0</v>
      </c>
      <c r="AB20">
        <f ca="1">OFFSET(Objects!$HW$6,AB$1+(Objects!$Y$4-$A20-1)*Objects!$X$4,0)</f>
        <v>0</v>
      </c>
      <c r="AC20">
        <f ca="1">OFFSET(Objects!$HW$6,AC$1+(Objects!$Y$4-$A20-1)*Objects!$X$4,0)</f>
        <v>0</v>
      </c>
      <c r="AD20">
        <f ca="1">OFFSET(Objects!$HW$6,AD$1+(Objects!$Y$4-$A20-1)*Objects!$X$4,0)</f>
        <v>0</v>
      </c>
      <c r="AE20">
        <f ca="1">OFFSET(Objects!$HW$6,AE$1+(Objects!$Y$4-$A20-1)*Objects!$X$4,0)</f>
        <v>0</v>
      </c>
      <c r="AF20">
        <f ca="1">OFFSET(Objects!$HW$6,AF$1+(Objects!$Y$4-$A20-1)*Objects!$X$4,0)</f>
        <v>0</v>
      </c>
      <c r="AG20">
        <f ca="1">OFFSET(Objects!$HW$6,AG$1+(Objects!$Y$4-$A20-1)*Objects!$X$4,0)</f>
        <v>0</v>
      </c>
      <c r="AH20">
        <f ca="1">OFFSET(Objects!$HW$6,AH$1+(Objects!$Y$4-$A20-1)*Objects!$X$4,0)</f>
        <v>0</v>
      </c>
      <c r="AI20">
        <f ca="1">OFFSET(Objects!$HW$6,AI$1+(Objects!$Y$4-$A20-1)*Objects!$X$4,0)</f>
        <v>0</v>
      </c>
      <c r="AJ20">
        <f ca="1">OFFSET(Objects!$HW$6,AJ$1+(Objects!$Y$4-$A20-1)*Objects!$X$4,0)</f>
        <v>0</v>
      </c>
      <c r="AK20">
        <f ca="1">OFFSET(Objects!$HW$6,AK$1+(Objects!$Y$4-$A20-1)*Objects!$X$4,0)</f>
        <v>0</v>
      </c>
      <c r="AL20">
        <f ca="1">OFFSET(Objects!$HW$6,AL$1+(Objects!$Y$4-$A20-1)*Objects!$X$4,0)</f>
        <v>0</v>
      </c>
      <c r="AM20">
        <f ca="1">OFFSET(Objects!$HW$6,AM$1+(Objects!$Y$4-$A20-1)*Objects!$X$4,0)</f>
        <v>0</v>
      </c>
      <c r="AN20">
        <f ca="1">OFFSET(Objects!$HW$6,AN$1+(Objects!$Y$4-$A20-1)*Objects!$X$4,0)</f>
        <v>0</v>
      </c>
      <c r="AO20">
        <f ca="1">OFFSET(Objects!$HW$6,AO$1+(Objects!$Y$4-$A20-1)*Objects!$X$4,0)</f>
        <v>0</v>
      </c>
      <c r="AP20">
        <f ca="1">OFFSET(Objects!$HW$6,AP$1+(Objects!$Y$4-$A20-1)*Objects!$X$4,0)</f>
        <v>0</v>
      </c>
      <c r="AQ20">
        <f ca="1">OFFSET(Objects!$HW$6,AQ$1+(Objects!$Y$4-$A20-1)*Objects!$X$4,0)</f>
        <v>0</v>
      </c>
      <c r="AR20">
        <f ca="1">OFFSET(Objects!$HW$6,AR$1+(Objects!$Y$4-$A20-1)*Objects!$X$4,0)</f>
        <v>0</v>
      </c>
      <c r="AS20">
        <f ca="1">OFFSET(Objects!$HW$6,AS$1+(Objects!$Y$4-$A20-1)*Objects!$X$4,0)</f>
        <v>0</v>
      </c>
      <c r="AT20">
        <f ca="1">OFFSET(Objects!$HW$6,AT$1+(Objects!$Y$4-$A20-1)*Objects!$X$4,0)</f>
        <v>0</v>
      </c>
      <c r="AU20">
        <f ca="1">OFFSET(Objects!$HW$6,AU$1+(Objects!$Y$4-$A20-1)*Objects!$X$4,0)</f>
        <v>0</v>
      </c>
      <c r="AV20">
        <f ca="1">OFFSET(Objects!$HW$6,AV$1+(Objects!$Y$4-$A20-1)*Objects!$X$4,0)</f>
        <v>0</v>
      </c>
      <c r="AW20">
        <f ca="1">OFFSET(Objects!$HW$6,AW$1+(Objects!$Y$4-$A20-1)*Objects!$X$4,0)</f>
        <v>0</v>
      </c>
      <c r="AX20">
        <f ca="1">OFFSET(Objects!$HW$6,AX$1+(Objects!$Y$4-$A20-1)*Objects!$X$4,0)</f>
        <v>0</v>
      </c>
      <c r="AY20">
        <f ca="1">OFFSET(Objects!$HW$6,AY$1+(Objects!$Y$4-$A20-1)*Objects!$X$4,0)</f>
        <v>0</v>
      </c>
      <c r="AZ20">
        <f ca="1">OFFSET(Objects!$HW$6,AZ$1+(Objects!$Y$4-$A20-1)*Objects!$X$4,0)</f>
        <v>0</v>
      </c>
      <c r="BA20">
        <f ca="1">OFFSET(Objects!$HW$6,BA$1+(Objects!$Y$4-$A20-1)*Objects!$X$4,0)</f>
        <v>0</v>
      </c>
      <c r="BB20">
        <f ca="1">OFFSET(Objects!$HW$6,BB$1+(Objects!$Y$4-$A20-1)*Objects!$X$4,0)</f>
        <v>0</v>
      </c>
      <c r="BC20">
        <f ca="1">OFFSET(Objects!$HW$6,BC$1+(Objects!$Y$4-$A20-1)*Objects!$X$4,0)</f>
        <v>0</v>
      </c>
      <c r="BD20">
        <f ca="1">OFFSET(Objects!$HW$6,BD$1+(Objects!$Y$4-$A20-1)*Objects!$X$4,0)</f>
        <v>0</v>
      </c>
      <c r="BE20">
        <f ca="1">OFFSET(Objects!$HW$6,BE$1+(Objects!$Y$4-$A20-1)*Objects!$X$4,0)</f>
        <v>0</v>
      </c>
      <c r="BF20">
        <f ca="1">OFFSET(Objects!$HW$6,BF$1+(Objects!$Y$4-$A20-1)*Objects!$X$4,0)</f>
        <v>0</v>
      </c>
      <c r="BG20">
        <f ca="1">OFFSET(Objects!$HW$6,BG$1+(Objects!$Y$4-$A20-1)*Objects!$X$4,0)</f>
        <v>0</v>
      </c>
      <c r="BH20">
        <f ca="1">OFFSET(Objects!$HW$6,BH$1+(Objects!$Y$4-$A20-1)*Objects!$X$4,0)</f>
        <v>0</v>
      </c>
      <c r="BI20">
        <f ca="1">OFFSET(Objects!$HW$6,BI$1+(Objects!$Y$4-$A20-1)*Objects!$X$4,0)</f>
        <v>0</v>
      </c>
      <c r="BJ20">
        <f ca="1">OFFSET(Objects!$HW$6,BJ$1+(Objects!$Y$4-$A20-1)*Objects!$X$4,0)</f>
        <v>0</v>
      </c>
      <c r="BK20">
        <f ca="1">OFFSET(Objects!$HW$6,BK$1+(Objects!$Y$4-$A20-1)*Objects!$X$4,0)</f>
        <v>0</v>
      </c>
      <c r="BL20">
        <f ca="1">OFFSET(Objects!$HW$6,BL$1+(Objects!$Y$4-$A20-1)*Objects!$X$4,0)</f>
        <v>0</v>
      </c>
      <c r="BM20">
        <f ca="1">OFFSET(Objects!$HW$6,BM$1+(Objects!$Y$4-$A20-1)*Objects!$X$4,0)</f>
        <v>0</v>
      </c>
      <c r="BN20">
        <f ca="1">OFFSET(Objects!$HW$6,BN$1+(Objects!$Y$4-$A20-1)*Objects!$X$4,0)</f>
        <v>0</v>
      </c>
      <c r="BO20">
        <f ca="1">OFFSET(Objects!$HW$6,BO$1+(Objects!$Y$4-$A20-1)*Objects!$X$4,0)</f>
        <v>0</v>
      </c>
      <c r="BP20">
        <f ca="1">OFFSET(Objects!$HW$6,BP$1+(Objects!$Y$4-$A20-1)*Objects!$X$4,0)</f>
        <v>0</v>
      </c>
      <c r="BQ20">
        <f ca="1">OFFSET(Objects!$HW$6,BQ$1+(Objects!$Y$4-$A20-1)*Objects!$X$4,0)</f>
        <v>0</v>
      </c>
      <c r="BR20">
        <f ca="1">OFFSET(Objects!$HW$6,BR$1+(Objects!$Y$4-$A20-1)*Objects!$X$4,0)</f>
        <v>0</v>
      </c>
      <c r="BS20">
        <f ca="1">OFFSET(Objects!$HW$6,BS$1+(Objects!$Y$4-$A20-1)*Objects!$X$4,0)</f>
        <v>0</v>
      </c>
      <c r="BT20">
        <f ca="1">OFFSET(Objects!$HW$6,BT$1+(Objects!$Y$4-$A20-1)*Objects!$X$4,0)</f>
        <v>0</v>
      </c>
      <c r="BU20">
        <f ca="1">OFFSET(Objects!$HW$6,BU$1+(Objects!$Y$4-$A20-1)*Objects!$X$4,0)</f>
        <v>0</v>
      </c>
      <c r="BV20">
        <f ca="1">OFFSET(Objects!$HW$6,BV$1+(Objects!$Y$4-$A20-1)*Objects!$X$4,0)</f>
        <v>0</v>
      </c>
      <c r="BW20">
        <f ca="1">OFFSET(Objects!$HW$6,BW$1+(Objects!$Y$4-$A20-1)*Objects!$X$4,0)</f>
        <v>0</v>
      </c>
      <c r="BX20">
        <f ca="1">OFFSET(Objects!$HW$6,BX$1+(Objects!$Y$4-$A20-1)*Objects!$X$4,0)</f>
        <v>0</v>
      </c>
      <c r="BY20">
        <f ca="1">OFFSET(Objects!$HW$6,BY$1+(Objects!$Y$4-$A20-1)*Objects!$X$4,0)</f>
        <v>0</v>
      </c>
      <c r="BZ20">
        <f ca="1">OFFSET(Objects!$HW$6,BZ$1+(Objects!$Y$4-$A20-1)*Objects!$X$4,0)</f>
        <v>0</v>
      </c>
      <c r="CA20">
        <f ca="1">OFFSET(Objects!$HW$6,CA$1+(Objects!$Y$4-$A20-1)*Objects!$X$4,0)</f>
        <v>0</v>
      </c>
      <c r="CB20">
        <f ca="1">OFFSET(Objects!$HW$6,CB$1+(Objects!$Y$4-$A20-1)*Objects!$X$4,0)</f>
        <v>0</v>
      </c>
      <c r="CC20">
        <f ca="1">OFFSET(Objects!$HW$6,CC$1+(Objects!$Y$4-$A20-1)*Objects!$X$4,0)</f>
        <v>0</v>
      </c>
      <c r="CD20">
        <f ca="1">OFFSET(Objects!$HW$6,CD$1+(Objects!$Y$4-$A20-1)*Objects!$X$4,0)</f>
        <v>0</v>
      </c>
      <c r="CE20">
        <f ca="1">OFFSET(Objects!$HW$6,CE$1+(Objects!$Y$4-$A20-1)*Objects!$X$4,0)</f>
        <v>0</v>
      </c>
      <c r="CF20">
        <f ca="1">OFFSET(Objects!$HW$6,CF$1+(Objects!$Y$4-$A20-1)*Objects!$X$4,0)</f>
        <v>0</v>
      </c>
      <c r="CG20">
        <f ca="1">OFFSET(Objects!$HW$6,CG$1+(Objects!$Y$4-$A20-1)*Objects!$X$4,0)</f>
        <v>0</v>
      </c>
      <c r="CH20">
        <f ca="1">OFFSET(Objects!$HW$6,CH$1+(Objects!$Y$4-$A20-1)*Objects!$X$4,0)</f>
        <v>0</v>
      </c>
      <c r="CI20">
        <f ca="1">OFFSET(Objects!$HW$6,CI$1+(Objects!$Y$4-$A20-1)*Objects!$X$4,0)</f>
        <v>0</v>
      </c>
      <c r="CJ20">
        <f ca="1">OFFSET(Objects!$HW$6,CJ$1+(Objects!$Y$4-$A20-1)*Objects!$X$4,0)</f>
        <v>0</v>
      </c>
      <c r="CK20">
        <f ca="1">OFFSET(Objects!$HW$6,CK$1+(Objects!$Y$4-$A20-1)*Objects!$X$4,0)</f>
        <v>0</v>
      </c>
      <c r="CL20">
        <f ca="1">OFFSET(Objects!$HW$6,CL$1+(Objects!$Y$4-$A20-1)*Objects!$X$4,0)</f>
        <v>0</v>
      </c>
      <c r="CM20">
        <f ca="1">OFFSET(Objects!$HW$6,CM$1+(Objects!$Y$4-$A20-1)*Objects!$X$4,0)</f>
        <v>0</v>
      </c>
      <c r="CN20">
        <f ca="1">OFFSET(Objects!$HW$6,CN$1+(Objects!$Y$4-$A20-1)*Objects!$X$4,0)</f>
        <v>0</v>
      </c>
      <c r="CO20">
        <f ca="1">OFFSET(Objects!$HW$6,CO$1+(Objects!$Y$4-$A20-1)*Objects!$X$4,0)</f>
        <v>0</v>
      </c>
      <c r="CP20">
        <f ca="1">OFFSET(Objects!$HW$6,CP$1+(Objects!$Y$4-$A20-1)*Objects!$X$4,0)</f>
        <v>0</v>
      </c>
      <c r="CQ20">
        <f ca="1">OFFSET(Objects!$HW$6,CQ$1+(Objects!$Y$4-$A20-1)*Objects!$X$4,0)</f>
        <v>0</v>
      </c>
      <c r="CR20">
        <f ca="1">OFFSET(Objects!$HW$6,CR$1+(Objects!$Y$4-$A20-1)*Objects!$X$4,0)</f>
        <v>0</v>
      </c>
      <c r="CS20">
        <f ca="1">OFFSET(Objects!$HW$6,CS$1+(Objects!$Y$4-$A20-1)*Objects!$X$4,0)</f>
        <v>0</v>
      </c>
      <c r="CT20">
        <f ca="1">OFFSET(Objects!$HW$6,CT$1+(Objects!$Y$4-$A20-1)*Objects!$X$4,0)</f>
        <v>0</v>
      </c>
      <c r="CU20">
        <f ca="1">OFFSET(Objects!$HW$6,CU$1+(Objects!$Y$4-$A20-1)*Objects!$X$4,0)</f>
        <v>0</v>
      </c>
      <c r="CV20">
        <f ca="1">OFFSET(Objects!$HW$6,CV$1+(Objects!$Y$4-$A20-1)*Objects!$X$4,0)</f>
        <v>0</v>
      </c>
      <c r="CW20">
        <f ca="1">OFFSET(Objects!$HW$6,CW$1+(Objects!$Y$4-$A20-1)*Objects!$X$4,0)</f>
        <v>0</v>
      </c>
      <c r="CX20">
        <f ca="1">OFFSET(Objects!$HW$6,CX$1+(Objects!$Y$4-$A20-1)*Objects!$X$4,0)</f>
        <v>0</v>
      </c>
      <c r="CY20">
        <f ca="1">OFFSET(Objects!$HW$6,CY$1+(Objects!$Y$4-$A20-1)*Objects!$X$4,0)</f>
        <v>0</v>
      </c>
      <c r="CZ20">
        <f ca="1">OFFSET(Objects!$HW$6,CZ$1+(Objects!$Y$4-$A20-1)*Objects!$X$4,0)</f>
        <v>0</v>
      </c>
      <c r="DA20">
        <f ca="1">OFFSET(Objects!$HW$6,DA$1+(Objects!$Y$4-$A20-1)*Objects!$X$4,0)</f>
        <v>0</v>
      </c>
      <c r="DB20">
        <f ca="1">OFFSET(Objects!$HW$6,DB$1+(Objects!$Y$4-$A20-1)*Objects!$X$4,0)</f>
        <v>0</v>
      </c>
      <c r="DC20">
        <f ca="1">OFFSET(Objects!$HW$6,DC$1+(Objects!$Y$4-$A20-1)*Objects!$X$4,0)</f>
        <v>0</v>
      </c>
      <c r="DD20">
        <f ca="1">OFFSET(Objects!$HW$6,DD$1+(Objects!$Y$4-$A20-1)*Objects!$X$4,0)</f>
        <v>0</v>
      </c>
      <c r="DE20">
        <f ca="1">OFFSET(Objects!$HW$6,DE$1+(Objects!$Y$4-$A20-1)*Objects!$X$4,0)</f>
        <v>0</v>
      </c>
      <c r="DF20">
        <f ca="1">OFFSET(Objects!$HW$6,DF$1+(Objects!$Y$4-$A20-1)*Objects!$X$4,0)</f>
        <v>0</v>
      </c>
      <c r="DG20">
        <f ca="1">OFFSET(Objects!$HW$6,DG$1+(Objects!$Y$4-$A20-1)*Objects!$X$4,0)</f>
        <v>0</v>
      </c>
      <c r="DH20">
        <f ca="1">OFFSET(Objects!$HW$6,DH$1+(Objects!$Y$4-$A20-1)*Objects!$X$4,0)</f>
        <v>0</v>
      </c>
      <c r="DI20">
        <f ca="1">OFFSET(Objects!$HW$6,DI$1+(Objects!$Y$4-$A20-1)*Objects!$X$4,0)</f>
        <v>0</v>
      </c>
      <c r="DJ20">
        <f ca="1">OFFSET(Objects!$HW$6,DJ$1+(Objects!$Y$4-$A20-1)*Objects!$X$4,0)</f>
        <v>0</v>
      </c>
      <c r="DK20">
        <f ca="1">OFFSET(Objects!$HW$6,DK$1+(Objects!$Y$4-$A20-1)*Objects!$X$4,0)</f>
        <v>0</v>
      </c>
      <c r="DL20">
        <f ca="1">OFFSET(Objects!$HW$6,DL$1+(Objects!$Y$4-$A20-1)*Objects!$X$4,0)</f>
        <v>0</v>
      </c>
      <c r="DM20">
        <f ca="1">OFFSET(Objects!$HW$6,DM$1+(Objects!$Y$4-$A20-1)*Objects!$X$4,0)</f>
        <v>0</v>
      </c>
      <c r="DN20">
        <f ca="1">OFFSET(Objects!$HW$6,DN$1+(Objects!$Y$4-$A20-1)*Objects!$X$4,0)</f>
        <v>0</v>
      </c>
      <c r="DO20">
        <f ca="1">OFFSET(Objects!$HW$6,DO$1+(Objects!$Y$4-$A20-1)*Objects!$X$4,0)</f>
        <v>0</v>
      </c>
      <c r="DP20">
        <f ca="1">OFFSET(Objects!$HW$6,DP$1+(Objects!$Y$4-$A20-1)*Objects!$X$4,0)</f>
        <v>0</v>
      </c>
      <c r="DQ20">
        <f ca="1">OFFSET(Objects!$HW$6,DQ$1+(Objects!$Y$4-$A20-1)*Objects!$X$4,0)</f>
        <v>0</v>
      </c>
      <c r="DR20">
        <f ca="1">OFFSET(Objects!$HW$6,DR$1+(Objects!$Y$4-$A20-1)*Objects!$X$4,0)</f>
        <v>0</v>
      </c>
      <c r="DS20">
        <f ca="1">OFFSET(Objects!$HW$6,DS$1+(Objects!$Y$4-$A20-1)*Objects!$X$4,0)</f>
        <v>0</v>
      </c>
      <c r="DT20">
        <f ca="1">OFFSET(Objects!$HW$6,DT$1+(Objects!$Y$4-$A20-1)*Objects!$X$4,0)</f>
        <v>0</v>
      </c>
      <c r="DU20">
        <f ca="1">OFFSET(Objects!$HW$6,DU$1+(Objects!$Y$4-$A20-1)*Objects!$X$4,0)</f>
        <v>0</v>
      </c>
      <c r="DV20">
        <f ca="1">OFFSET(Objects!$HW$6,DV$1+(Objects!$Y$4-$A20-1)*Objects!$X$4,0)</f>
        <v>0</v>
      </c>
      <c r="DW20">
        <f ca="1">OFFSET(Objects!$HW$6,DW$1+(Objects!$Y$4-$A20-1)*Objects!$X$4,0)</f>
        <v>0</v>
      </c>
      <c r="DX20">
        <f ca="1">OFFSET(Objects!$HW$6,DX$1+(Objects!$Y$4-$A20-1)*Objects!$X$4,0)</f>
        <v>0</v>
      </c>
      <c r="DY20">
        <f ca="1">OFFSET(Objects!$HW$6,DY$1+(Objects!$Y$4-$A20-1)*Objects!$X$4,0)</f>
        <v>0</v>
      </c>
      <c r="DZ20">
        <f ca="1">OFFSET(Objects!$HW$6,DZ$1+(Objects!$Y$4-$A20-1)*Objects!$X$4,0)</f>
        <v>0</v>
      </c>
      <c r="EA20">
        <f ca="1">OFFSET(Objects!$HW$6,EA$1+(Objects!$Y$4-$A20-1)*Objects!$X$4,0)</f>
        <v>0</v>
      </c>
      <c r="EB20">
        <f ca="1">OFFSET(Objects!$HW$6,EB$1+(Objects!$Y$4-$A20-1)*Objects!$X$4,0)</f>
        <v>0</v>
      </c>
      <c r="EC20">
        <f ca="1">OFFSET(Objects!$HW$6,EC$1+(Objects!$Y$4-$A20-1)*Objects!$X$4,0)</f>
        <v>0</v>
      </c>
      <c r="ED20">
        <f ca="1">OFFSET(Objects!$HW$6,ED$1+(Objects!$Y$4-$A20-1)*Objects!$X$4,0)</f>
        <v>0</v>
      </c>
      <c r="EE20">
        <f ca="1">OFFSET(Objects!$HW$6,EE$1+(Objects!$Y$4-$A20-1)*Objects!$X$4,0)</f>
        <v>0</v>
      </c>
      <c r="EF20">
        <f ca="1">OFFSET(Objects!$HW$6,EF$1+(Objects!$Y$4-$A20-1)*Objects!$X$4,0)</f>
        <v>0</v>
      </c>
      <c r="EG20">
        <f ca="1">OFFSET(Objects!$HW$6,EG$1+(Objects!$Y$4-$A20-1)*Objects!$X$4,0)</f>
        <v>0</v>
      </c>
      <c r="EH20">
        <f ca="1">OFFSET(Objects!$HW$6,EH$1+(Objects!$Y$4-$A20-1)*Objects!$X$4,0)</f>
        <v>0</v>
      </c>
      <c r="EI20">
        <f ca="1">OFFSET(Objects!$HW$6,EI$1+(Objects!$Y$4-$A20-1)*Objects!$X$4,0)</f>
        <v>0</v>
      </c>
      <c r="EJ20">
        <f ca="1">OFFSET(Objects!$HW$6,EJ$1+(Objects!$Y$4-$A20-1)*Objects!$X$4,0)</f>
        <v>0</v>
      </c>
      <c r="EK20">
        <f ca="1">OFFSET(Objects!$HW$6,EK$1+(Objects!$Y$4-$A20-1)*Objects!$X$4,0)</f>
        <v>0</v>
      </c>
      <c r="EL20">
        <f ca="1">OFFSET(Objects!$HW$6,EL$1+(Objects!$Y$4-$A20-1)*Objects!$X$4,0)</f>
        <v>0</v>
      </c>
      <c r="EM20">
        <f ca="1">OFFSET(Objects!$HW$6,EM$1+(Objects!$Y$4-$A20-1)*Objects!$X$4,0)</f>
        <v>0</v>
      </c>
      <c r="EN20">
        <f ca="1">OFFSET(Objects!$HW$6,EN$1+(Objects!$Y$4-$A20-1)*Objects!$X$4,0)</f>
        <v>0</v>
      </c>
      <c r="EO20">
        <f ca="1">OFFSET(Objects!$HW$6,EO$1+(Objects!$Y$4-$A20-1)*Objects!$X$4,0)</f>
        <v>0</v>
      </c>
      <c r="EP20">
        <f ca="1">OFFSET(Objects!$HW$6,EP$1+(Objects!$Y$4-$A20-1)*Objects!$X$4,0)</f>
        <v>0</v>
      </c>
      <c r="EQ20">
        <f ca="1">OFFSET(Objects!$HW$6,EQ$1+(Objects!$Y$4-$A20-1)*Objects!$X$4,0)</f>
        <v>0</v>
      </c>
      <c r="ER20">
        <f ca="1">OFFSET(Objects!$HW$6,ER$1+(Objects!$Y$4-$A20-1)*Objects!$X$4,0)</f>
        <v>0</v>
      </c>
      <c r="ES20">
        <f ca="1">OFFSET(Objects!$HW$6,ES$1+(Objects!$Y$4-$A20-1)*Objects!$X$4,0)</f>
        <v>0</v>
      </c>
      <c r="ET20">
        <f ca="1">OFFSET(Objects!$HW$6,ET$1+(Objects!$Y$4-$A20-1)*Objects!$X$4,0)</f>
        <v>0</v>
      </c>
      <c r="EU20">
        <f ca="1">OFFSET(Objects!$HW$6,EU$1+(Objects!$Y$4-$A20-1)*Objects!$X$4,0)</f>
        <v>0</v>
      </c>
      <c r="EV20">
        <f ca="1">OFFSET(Objects!$HW$6,EV$1+(Objects!$Y$4-$A20-1)*Objects!$X$4,0)</f>
        <v>0</v>
      </c>
      <c r="EW20">
        <f ca="1">OFFSET(Objects!$HW$6,EW$1+(Objects!$Y$4-$A20-1)*Objects!$X$4,0)</f>
        <v>0</v>
      </c>
      <c r="EX20">
        <f ca="1">OFFSET(Objects!$HW$6,EX$1+(Objects!$Y$4-$A20-1)*Objects!$X$4,0)</f>
        <v>0</v>
      </c>
      <c r="EY20">
        <f ca="1">OFFSET(Objects!$HW$6,EY$1+(Objects!$Y$4-$A20-1)*Objects!$X$4,0)</f>
        <v>0</v>
      </c>
      <c r="EZ20">
        <f ca="1">OFFSET(Objects!$HW$6,EZ$1+(Objects!$Y$4-$A20-1)*Objects!$X$4,0)</f>
        <v>0</v>
      </c>
      <c r="FA20">
        <f ca="1">OFFSET(Objects!$HW$6,FA$1+(Objects!$Y$4-$A20-1)*Objects!$X$4,0)</f>
        <v>0</v>
      </c>
      <c r="FB20">
        <f ca="1">OFFSET(Objects!$HW$6,FB$1+(Objects!$Y$4-$A20-1)*Objects!$X$4,0)</f>
        <v>0</v>
      </c>
      <c r="FC20">
        <f ca="1">OFFSET(Objects!$HW$6,FC$1+(Objects!$Y$4-$A20-1)*Objects!$X$4,0)</f>
        <v>0</v>
      </c>
      <c r="FD20">
        <f ca="1">OFFSET(Objects!$HW$6,FD$1+(Objects!$Y$4-$A20-1)*Objects!$X$4,0)</f>
        <v>0</v>
      </c>
      <c r="FE20" s="22">
        <f ca="1">OFFSET(Objects!$HW$6,FE$1+(Objects!$Y$4-$A20-1)*Objects!$X$4,0)</f>
        <v>0</v>
      </c>
    </row>
    <row r="21" spans="1:161" ht="4.5" customHeight="1" x14ac:dyDescent="0.25">
      <c r="A21">
        <v>19</v>
      </c>
      <c r="B21" s="21">
        <f ca="1">OFFSET(Objects!$HW$6,B$1+(Objects!$Y$4-$A21-1)*Objects!$X$4,0)</f>
        <v>0</v>
      </c>
      <c r="C21">
        <f ca="1">OFFSET(Objects!$HW$6,C$1+(Objects!$Y$4-$A21-1)*Objects!$X$4,0)</f>
        <v>0</v>
      </c>
      <c r="D21">
        <f ca="1">OFFSET(Objects!$HW$6,D$1+(Objects!$Y$4-$A21-1)*Objects!$X$4,0)</f>
        <v>0</v>
      </c>
      <c r="E21">
        <f ca="1">OFFSET(Objects!$HW$6,E$1+(Objects!$Y$4-$A21-1)*Objects!$X$4,0)</f>
        <v>0</v>
      </c>
      <c r="F21">
        <f ca="1">OFFSET(Objects!$HW$6,F$1+(Objects!$Y$4-$A21-1)*Objects!$X$4,0)</f>
        <v>0</v>
      </c>
      <c r="G21">
        <f ca="1">OFFSET(Objects!$HW$6,G$1+(Objects!$Y$4-$A21-1)*Objects!$X$4,0)</f>
        <v>0</v>
      </c>
      <c r="H21">
        <f ca="1">OFFSET(Objects!$HW$6,H$1+(Objects!$Y$4-$A21-1)*Objects!$X$4,0)</f>
        <v>0</v>
      </c>
      <c r="I21">
        <f ca="1">OFFSET(Objects!$HW$6,I$1+(Objects!$Y$4-$A21-1)*Objects!$X$4,0)</f>
        <v>0</v>
      </c>
      <c r="J21">
        <f ca="1">OFFSET(Objects!$HW$6,J$1+(Objects!$Y$4-$A21-1)*Objects!$X$4,0)</f>
        <v>0</v>
      </c>
      <c r="K21">
        <f ca="1">OFFSET(Objects!$HW$6,K$1+(Objects!$Y$4-$A21-1)*Objects!$X$4,0)</f>
        <v>0</v>
      </c>
      <c r="L21">
        <f ca="1">OFFSET(Objects!$HW$6,L$1+(Objects!$Y$4-$A21-1)*Objects!$X$4,0)</f>
        <v>0</v>
      </c>
      <c r="M21">
        <f ca="1">OFFSET(Objects!$HW$6,M$1+(Objects!$Y$4-$A21-1)*Objects!$X$4,0)</f>
        <v>0</v>
      </c>
      <c r="N21">
        <f ca="1">OFFSET(Objects!$HW$6,N$1+(Objects!$Y$4-$A21-1)*Objects!$X$4,0)</f>
        <v>0</v>
      </c>
      <c r="O21">
        <f ca="1">OFFSET(Objects!$HW$6,O$1+(Objects!$Y$4-$A21-1)*Objects!$X$4,0)</f>
        <v>0</v>
      </c>
      <c r="P21">
        <f ca="1">OFFSET(Objects!$HW$6,P$1+(Objects!$Y$4-$A21-1)*Objects!$X$4,0)</f>
        <v>0</v>
      </c>
      <c r="Q21">
        <f ca="1">OFFSET(Objects!$HW$6,Q$1+(Objects!$Y$4-$A21-1)*Objects!$X$4,0)</f>
        <v>0</v>
      </c>
      <c r="R21">
        <f ca="1">OFFSET(Objects!$HW$6,R$1+(Objects!$Y$4-$A21-1)*Objects!$X$4,0)</f>
        <v>0</v>
      </c>
      <c r="S21">
        <f ca="1">OFFSET(Objects!$HW$6,S$1+(Objects!$Y$4-$A21-1)*Objects!$X$4,0)</f>
        <v>0</v>
      </c>
      <c r="T21">
        <f ca="1">OFFSET(Objects!$HW$6,T$1+(Objects!$Y$4-$A21-1)*Objects!$X$4,0)</f>
        <v>0</v>
      </c>
      <c r="U21">
        <f ca="1">OFFSET(Objects!$HW$6,U$1+(Objects!$Y$4-$A21-1)*Objects!$X$4,0)</f>
        <v>0</v>
      </c>
      <c r="V21">
        <f ca="1">OFFSET(Objects!$HW$6,V$1+(Objects!$Y$4-$A21-1)*Objects!$X$4,0)</f>
        <v>0</v>
      </c>
      <c r="W21">
        <f ca="1">OFFSET(Objects!$HW$6,W$1+(Objects!$Y$4-$A21-1)*Objects!$X$4,0)</f>
        <v>0</v>
      </c>
      <c r="X21">
        <f ca="1">OFFSET(Objects!$HW$6,X$1+(Objects!$Y$4-$A21-1)*Objects!$X$4,0)</f>
        <v>0</v>
      </c>
      <c r="Y21">
        <f ca="1">OFFSET(Objects!$HW$6,Y$1+(Objects!$Y$4-$A21-1)*Objects!$X$4,0)</f>
        <v>0</v>
      </c>
      <c r="Z21">
        <f ca="1">OFFSET(Objects!$HW$6,Z$1+(Objects!$Y$4-$A21-1)*Objects!$X$4,0)</f>
        <v>0</v>
      </c>
      <c r="AA21">
        <f ca="1">OFFSET(Objects!$HW$6,AA$1+(Objects!$Y$4-$A21-1)*Objects!$X$4,0)</f>
        <v>0</v>
      </c>
      <c r="AB21">
        <f ca="1">OFFSET(Objects!$HW$6,AB$1+(Objects!$Y$4-$A21-1)*Objects!$X$4,0)</f>
        <v>0</v>
      </c>
      <c r="AC21">
        <f ca="1">OFFSET(Objects!$HW$6,AC$1+(Objects!$Y$4-$A21-1)*Objects!$X$4,0)</f>
        <v>0</v>
      </c>
      <c r="AD21">
        <f ca="1">OFFSET(Objects!$HW$6,AD$1+(Objects!$Y$4-$A21-1)*Objects!$X$4,0)</f>
        <v>0</v>
      </c>
      <c r="AE21">
        <f ca="1">OFFSET(Objects!$HW$6,AE$1+(Objects!$Y$4-$A21-1)*Objects!$X$4,0)</f>
        <v>0</v>
      </c>
      <c r="AF21">
        <f ca="1">OFFSET(Objects!$HW$6,AF$1+(Objects!$Y$4-$A21-1)*Objects!$X$4,0)</f>
        <v>0</v>
      </c>
      <c r="AG21">
        <f ca="1">OFFSET(Objects!$HW$6,AG$1+(Objects!$Y$4-$A21-1)*Objects!$X$4,0)</f>
        <v>0</v>
      </c>
      <c r="AH21">
        <f ca="1">OFFSET(Objects!$HW$6,AH$1+(Objects!$Y$4-$A21-1)*Objects!$X$4,0)</f>
        <v>0</v>
      </c>
      <c r="AI21">
        <f ca="1">OFFSET(Objects!$HW$6,AI$1+(Objects!$Y$4-$A21-1)*Objects!$X$4,0)</f>
        <v>0</v>
      </c>
      <c r="AJ21">
        <f ca="1">OFFSET(Objects!$HW$6,AJ$1+(Objects!$Y$4-$A21-1)*Objects!$X$4,0)</f>
        <v>0</v>
      </c>
      <c r="AK21">
        <f ca="1">OFFSET(Objects!$HW$6,AK$1+(Objects!$Y$4-$A21-1)*Objects!$X$4,0)</f>
        <v>0</v>
      </c>
      <c r="AL21">
        <f ca="1">OFFSET(Objects!$HW$6,AL$1+(Objects!$Y$4-$A21-1)*Objects!$X$4,0)</f>
        <v>0</v>
      </c>
      <c r="AM21">
        <f ca="1">OFFSET(Objects!$HW$6,AM$1+(Objects!$Y$4-$A21-1)*Objects!$X$4,0)</f>
        <v>0</v>
      </c>
      <c r="AN21">
        <f ca="1">OFFSET(Objects!$HW$6,AN$1+(Objects!$Y$4-$A21-1)*Objects!$X$4,0)</f>
        <v>0</v>
      </c>
      <c r="AO21">
        <f ca="1">OFFSET(Objects!$HW$6,AO$1+(Objects!$Y$4-$A21-1)*Objects!$X$4,0)</f>
        <v>0</v>
      </c>
      <c r="AP21">
        <f ca="1">OFFSET(Objects!$HW$6,AP$1+(Objects!$Y$4-$A21-1)*Objects!$X$4,0)</f>
        <v>0</v>
      </c>
      <c r="AQ21">
        <f ca="1">OFFSET(Objects!$HW$6,AQ$1+(Objects!$Y$4-$A21-1)*Objects!$X$4,0)</f>
        <v>0</v>
      </c>
      <c r="AR21">
        <f ca="1">OFFSET(Objects!$HW$6,AR$1+(Objects!$Y$4-$A21-1)*Objects!$X$4,0)</f>
        <v>0</v>
      </c>
      <c r="AS21">
        <f ca="1">OFFSET(Objects!$HW$6,AS$1+(Objects!$Y$4-$A21-1)*Objects!$X$4,0)</f>
        <v>0</v>
      </c>
      <c r="AT21">
        <f ca="1">OFFSET(Objects!$HW$6,AT$1+(Objects!$Y$4-$A21-1)*Objects!$X$4,0)</f>
        <v>0</v>
      </c>
      <c r="AU21">
        <f ca="1">OFFSET(Objects!$HW$6,AU$1+(Objects!$Y$4-$A21-1)*Objects!$X$4,0)</f>
        <v>0</v>
      </c>
      <c r="AV21">
        <f ca="1">OFFSET(Objects!$HW$6,AV$1+(Objects!$Y$4-$A21-1)*Objects!$X$4,0)</f>
        <v>0</v>
      </c>
      <c r="AW21">
        <f ca="1">OFFSET(Objects!$HW$6,AW$1+(Objects!$Y$4-$A21-1)*Objects!$X$4,0)</f>
        <v>0</v>
      </c>
      <c r="AX21">
        <f ca="1">OFFSET(Objects!$HW$6,AX$1+(Objects!$Y$4-$A21-1)*Objects!$X$4,0)</f>
        <v>0</v>
      </c>
      <c r="AY21">
        <f ca="1">OFFSET(Objects!$HW$6,AY$1+(Objects!$Y$4-$A21-1)*Objects!$X$4,0)</f>
        <v>0</v>
      </c>
      <c r="AZ21">
        <f ca="1">OFFSET(Objects!$HW$6,AZ$1+(Objects!$Y$4-$A21-1)*Objects!$X$4,0)</f>
        <v>0</v>
      </c>
      <c r="BA21">
        <f ca="1">OFFSET(Objects!$HW$6,BA$1+(Objects!$Y$4-$A21-1)*Objects!$X$4,0)</f>
        <v>0</v>
      </c>
      <c r="BB21">
        <f ca="1">OFFSET(Objects!$HW$6,BB$1+(Objects!$Y$4-$A21-1)*Objects!$X$4,0)</f>
        <v>0</v>
      </c>
      <c r="BC21">
        <f ca="1">OFFSET(Objects!$HW$6,BC$1+(Objects!$Y$4-$A21-1)*Objects!$X$4,0)</f>
        <v>0</v>
      </c>
      <c r="BD21">
        <f ca="1">OFFSET(Objects!$HW$6,BD$1+(Objects!$Y$4-$A21-1)*Objects!$X$4,0)</f>
        <v>0</v>
      </c>
      <c r="BE21">
        <f ca="1">OFFSET(Objects!$HW$6,BE$1+(Objects!$Y$4-$A21-1)*Objects!$X$4,0)</f>
        <v>0</v>
      </c>
      <c r="BF21">
        <f ca="1">OFFSET(Objects!$HW$6,BF$1+(Objects!$Y$4-$A21-1)*Objects!$X$4,0)</f>
        <v>0</v>
      </c>
      <c r="BG21">
        <f ca="1">OFFSET(Objects!$HW$6,BG$1+(Objects!$Y$4-$A21-1)*Objects!$X$4,0)</f>
        <v>0</v>
      </c>
      <c r="BH21">
        <f ca="1">OFFSET(Objects!$HW$6,BH$1+(Objects!$Y$4-$A21-1)*Objects!$X$4,0)</f>
        <v>0</v>
      </c>
      <c r="BI21">
        <f ca="1">OFFSET(Objects!$HW$6,BI$1+(Objects!$Y$4-$A21-1)*Objects!$X$4,0)</f>
        <v>0</v>
      </c>
      <c r="BJ21">
        <f ca="1">OFFSET(Objects!$HW$6,BJ$1+(Objects!$Y$4-$A21-1)*Objects!$X$4,0)</f>
        <v>0</v>
      </c>
      <c r="BK21">
        <f ca="1">OFFSET(Objects!$HW$6,BK$1+(Objects!$Y$4-$A21-1)*Objects!$X$4,0)</f>
        <v>0</v>
      </c>
      <c r="BL21">
        <f ca="1">OFFSET(Objects!$HW$6,BL$1+(Objects!$Y$4-$A21-1)*Objects!$X$4,0)</f>
        <v>0</v>
      </c>
      <c r="BM21">
        <f ca="1">OFFSET(Objects!$HW$6,BM$1+(Objects!$Y$4-$A21-1)*Objects!$X$4,0)</f>
        <v>0</v>
      </c>
      <c r="BN21">
        <f ca="1">OFFSET(Objects!$HW$6,BN$1+(Objects!$Y$4-$A21-1)*Objects!$X$4,0)</f>
        <v>0</v>
      </c>
      <c r="BO21">
        <f ca="1">OFFSET(Objects!$HW$6,BO$1+(Objects!$Y$4-$A21-1)*Objects!$X$4,0)</f>
        <v>0</v>
      </c>
      <c r="BP21">
        <f ca="1">OFFSET(Objects!$HW$6,BP$1+(Objects!$Y$4-$A21-1)*Objects!$X$4,0)</f>
        <v>0</v>
      </c>
      <c r="BQ21">
        <f ca="1">OFFSET(Objects!$HW$6,BQ$1+(Objects!$Y$4-$A21-1)*Objects!$X$4,0)</f>
        <v>0</v>
      </c>
      <c r="BR21">
        <f ca="1">OFFSET(Objects!$HW$6,BR$1+(Objects!$Y$4-$A21-1)*Objects!$X$4,0)</f>
        <v>0</v>
      </c>
      <c r="BS21">
        <f ca="1">OFFSET(Objects!$HW$6,BS$1+(Objects!$Y$4-$A21-1)*Objects!$X$4,0)</f>
        <v>0</v>
      </c>
      <c r="BT21">
        <f ca="1">OFFSET(Objects!$HW$6,BT$1+(Objects!$Y$4-$A21-1)*Objects!$X$4,0)</f>
        <v>0</v>
      </c>
      <c r="BU21">
        <f ca="1">OFFSET(Objects!$HW$6,BU$1+(Objects!$Y$4-$A21-1)*Objects!$X$4,0)</f>
        <v>0</v>
      </c>
      <c r="BV21">
        <f ca="1">OFFSET(Objects!$HW$6,BV$1+(Objects!$Y$4-$A21-1)*Objects!$X$4,0)</f>
        <v>0</v>
      </c>
      <c r="BW21">
        <f ca="1">OFFSET(Objects!$HW$6,BW$1+(Objects!$Y$4-$A21-1)*Objects!$X$4,0)</f>
        <v>0</v>
      </c>
      <c r="BX21">
        <f ca="1">OFFSET(Objects!$HW$6,BX$1+(Objects!$Y$4-$A21-1)*Objects!$X$4,0)</f>
        <v>0</v>
      </c>
      <c r="BY21">
        <f ca="1">OFFSET(Objects!$HW$6,BY$1+(Objects!$Y$4-$A21-1)*Objects!$X$4,0)</f>
        <v>0</v>
      </c>
      <c r="BZ21">
        <f ca="1">OFFSET(Objects!$HW$6,BZ$1+(Objects!$Y$4-$A21-1)*Objects!$X$4,0)</f>
        <v>0</v>
      </c>
      <c r="CA21">
        <f ca="1">OFFSET(Objects!$HW$6,CA$1+(Objects!$Y$4-$A21-1)*Objects!$X$4,0)</f>
        <v>0</v>
      </c>
      <c r="CB21">
        <f ca="1">OFFSET(Objects!$HW$6,CB$1+(Objects!$Y$4-$A21-1)*Objects!$X$4,0)</f>
        <v>0</v>
      </c>
      <c r="CC21">
        <f ca="1">OFFSET(Objects!$HW$6,CC$1+(Objects!$Y$4-$A21-1)*Objects!$X$4,0)</f>
        <v>0</v>
      </c>
      <c r="CD21">
        <f ca="1">OFFSET(Objects!$HW$6,CD$1+(Objects!$Y$4-$A21-1)*Objects!$X$4,0)</f>
        <v>0</v>
      </c>
      <c r="CE21">
        <f ca="1">OFFSET(Objects!$HW$6,CE$1+(Objects!$Y$4-$A21-1)*Objects!$X$4,0)</f>
        <v>0</v>
      </c>
      <c r="CF21">
        <f ca="1">OFFSET(Objects!$HW$6,CF$1+(Objects!$Y$4-$A21-1)*Objects!$X$4,0)</f>
        <v>0</v>
      </c>
      <c r="CG21">
        <f ca="1">OFFSET(Objects!$HW$6,CG$1+(Objects!$Y$4-$A21-1)*Objects!$X$4,0)</f>
        <v>0</v>
      </c>
      <c r="CH21">
        <f ca="1">OFFSET(Objects!$HW$6,CH$1+(Objects!$Y$4-$A21-1)*Objects!$X$4,0)</f>
        <v>0</v>
      </c>
      <c r="CI21">
        <f ca="1">OFFSET(Objects!$HW$6,CI$1+(Objects!$Y$4-$A21-1)*Objects!$X$4,0)</f>
        <v>0</v>
      </c>
      <c r="CJ21">
        <f ca="1">OFFSET(Objects!$HW$6,CJ$1+(Objects!$Y$4-$A21-1)*Objects!$X$4,0)</f>
        <v>0</v>
      </c>
      <c r="CK21">
        <f ca="1">OFFSET(Objects!$HW$6,CK$1+(Objects!$Y$4-$A21-1)*Objects!$X$4,0)</f>
        <v>0</v>
      </c>
      <c r="CL21">
        <f ca="1">OFFSET(Objects!$HW$6,CL$1+(Objects!$Y$4-$A21-1)*Objects!$X$4,0)</f>
        <v>0</v>
      </c>
      <c r="CM21">
        <f ca="1">OFFSET(Objects!$HW$6,CM$1+(Objects!$Y$4-$A21-1)*Objects!$X$4,0)</f>
        <v>0</v>
      </c>
      <c r="CN21">
        <f ca="1">OFFSET(Objects!$HW$6,CN$1+(Objects!$Y$4-$A21-1)*Objects!$X$4,0)</f>
        <v>0</v>
      </c>
      <c r="CO21">
        <f ca="1">OFFSET(Objects!$HW$6,CO$1+(Objects!$Y$4-$A21-1)*Objects!$X$4,0)</f>
        <v>0</v>
      </c>
      <c r="CP21">
        <f ca="1">OFFSET(Objects!$HW$6,CP$1+(Objects!$Y$4-$A21-1)*Objects!$X$4,0)</f>
        <v>0</v>
      </c>
      <c r="CQ21">
        <f ca="1">OFFSET(Objects!$HW$6,CQ$1+(Objects!$Y$4-$A21-1)*Objects!$X$4,0)</f>
        <v>0</v>
      </c>
      <c r="CR21">
        <f ca="1">OFFSET(Objects!$HW$6,CR$1+(Objects!$Y$4-$A21-1)*Objects!$X$4,0)</f>
        <v>0</v>
      </c>
      <c r="CS21">
        <f ca="1">OFFSET(Objects!$HW$6,CS$1+(Objects!$Y$4-$A21-1)*Objects!$X$4,0)</f>
        <v>0</v>
      </c>
      <c r="CT21">
        <f ca="1">OFFSET(Objects!$HW$6,CT$1+(Objects!$Y$4-$A21-1)*Objects!$X$4,0)</f>
        <v>0</v>
      </c>
      <c r="CU21">
        <f ca="1">OFFSET(Objects!$HW$6,CU$1+(Objects!$Y$4-$A21-1)*Objects!$X$4,0)</f>
        <v>0</v>
      </c>
      <c r="CV21">
        <f ca="1">OFFSET(Objects!$HW$6,CV$1+(Objects!$Y$4-$A21-1)*Objects!$X$4,0)</f>
        <v>0</v>
      </c>
      <c r="CW21">
        <f ca="1">OFFSET(Objects!$HW$6,CW$1+(Objects!$Y$4-$A21-1)*Objects!$X$4,0)</f>
        <v>0</v>
      </c>
      <c r="CX21">
        <f ca="1">OFFSET(Objects!$HW$6,CX$1+(Objects!$Y$4-$A21-1)*Objects!$X$4,0)</f>
        <v>0</v>
      </c>
      <c r="CY21">
        <f ca="1">OFFSET(Objects!$HW$6,CY$1+(Objects!$Y$4-$A21-1)*Objects!$X$4,0)</f>
        <v>0</v>
      </c>
      <c r="CZ21">
        <f ca="1">OFFSET(Objects!$HW$6,CZ$1+(Objects!$Y$4-$A21-1)*Objects!$X$4,0)</f>
        <v>0</v>
      </c>
      <c r="DA21">
        <f ca="1">OFFSET(Objects!$HW$6,DA$1+(Objects!$Y$4-$A21-1)*Objects!$X$4,0)</f>
        <v>0</v>
      </c>
      <c r="DB21">
        <f ca="1">OFFSET(Objects!$HW$6,DB$1+(Objects!$Y$4-$A21-1)*Objects!$X$4,0)</f>
        <v>0</v>
      </c>
      <c r="DC21">
        <f ca="1">OFFSET(Objects!$HW$6,DC$1+(Objects!$Y$4-$A21-1)*Objects!$X$4,0)</f>
        <v>0</v>
      </c>
      <c r="DD21">
        <f ca="1">OFFSET(Objects!$HW$6,DD$1+(Objects!$Y$4-$A21-1)*Objects!$X$4,0)</f>
        <v>0</v>
      </c>
      <c r="DE21">
        <f ca="1">OFFSET(Objects!$HW$6,DE$1+(Objects!$Y$4-$A21-1)*Objects!$X$4,0)</f>
        <v>0</v>
      </c>
      <c r="DF21">
        <f ca="1">OFFSET(Objects!$HW$6,DF$1+(Objects!$Y$4-$A21-1)*Objects!$X$4,0)</f>
        <v>0</v>
      </c>
      <c r="DG21">
        <f ca="1">OFFSET(Objects!$HW$6,DG$1+(Objects!$Y$4-$A21-1)*Objects!$X$4,0)</f>
        <v>0</v>
      </c>
      <c r="DH21">
        <f ca="1">OFFSET(Objects!$HW$6,DH$1+(Objects!$Y$4-$A21-1)*Objects!$X$4,0)</f>
        <v>0</v>
      </c>
      <c r="DI21">
        <f ca="1">OFFSET(Objects!$HW$6,DI$1+(Objects!$Y$4-$A21-1)*Objects!$X$4,0)</f>
        <v>0</v>
      </c>
      <c r="DJ21">
        <f ca="1">OFFSET(Objects!$HW$6,DJ$1+(Objects!$Y$4-$A21-1)*Objects!$X$4,0)</f>
        <v>0</v>
      </c>
      <c r="DK21">
        <f ca="1">OFFSET(Objects!$HW$6,DK$1+(Objects!$Y$4-$A21-1)*Objects!$X$4,0)</f>
        <v>0</v>
      </c>
      <c r="DL21">
        <f ca="1">OFFSET(Objects!$HW$6,DL$1+(Objects!$Y$4-$A21-1)*Objects!$X$4,0)</f>
        <v>0</v>
      </c>
      <c r="DM21">
        <f ca="1">OFFSET(Objects!$HW$6,DM$1+(Objects!$Y$4-$A21-1)*Objects!$X$4,0)</f>
        <v>0</v>
      </c>
      <c r="DN21">
        <f ca="1">OFFSET(Objects!$HW$6,DN$1+(Objects!$Y$4-$A21-1)*Objects!$X$4,0)</f>
        <v>0</v>
      </c>
      <c r="DO21">
        <f ca="1">OFFSET(Objects!$HW$6,DO$1+(Objects!$Y$4-$A21-1)*Objects!$X$4,0)</f>
        <v>0</v>
      </c>
      <c r="DP21">
        <f ca="1">OFFSET(Objects!$HW$6,DP$1+(Objects!$Y$4-$A21-1)*Objects!$X$4,0)</f>
        <v>0</v>
      </c>
      <c r="DQ21">
        <f ca="1">OFFSET(Objects!$HW$6,DQ$1+(Objects!$Y$4-$A21-1)*Objects!$X$4,0)</f>
        <v>0</v>
      </c>
      <c r="DR21">
        <f ca="1">OFFSET(Objects!$HW$6,DR$1+(Objects!$Y$4-$A21-1)*Objects!$X$4,0)</f>
        <v>0</v>
      </c>
      <c r="DS21">
        <f ca="1">OFFSET(Objects!$HW$6,DS$1+(Objects!$Y$4-$A21-1)*Objects!$X$4,0)</f>
        <v>0</v>
      </c>
      <c r="DT21">
        <f ca="1">OFFSET(Objects!$HW$6,DT$1+(Objects!$Y$4-$A21-1)*Objects!$X$4,0)</f>
        <v>0</v>
      </c>
      <c r="DU21">
        <f ca="1">OFFSET(Objects!$HW$6,DU$1+(Objects!$Y$4-$A21-1)*Objects!$X$4,0)</f>
        <v>0</v>
      </c>
      <c r="DV21">
        <f ca="1">OFFSET(Objects!$HW$6,DV$1+(Objects!$Y$4-$A21-1)*Objects!$X$4,0)</f>
        <v>0</v>
      </c>
      <c r="DW21">
        <f ca="1">OFFSET(Objects!$HW$6,DW$1+(Objects!$Y$4-$A21-1)*Objects!$X$4,0)</f>
        <v>0</v>
      </c>
      <c r="DX21">
        <f ca="1">OFFSET(Objects!$HW$6,DX$1+(Objects!$Y$4-$A21-1)*Objects!$X$4,0)</f>
        <v>0</v>
      </c>
      <c r="DY21">
        <f ca="1">OFFSET(Objects!$HW$6,DY$1+(Objects!$Y$4-$A21-1)*Objects!$X$4,0)</f>
        <v>0</v>
      </c>
      <c r="DZ21">
        <f ca="1">OFFSET(Objects!$HW$6,DZ$1+(Objects!$Y$4-$A21-1)*Objects!$X$4,0)</f>
        <v>0</v>
      </c>
      <c r="EA21">
        <f ca="1">OFFSET(Objects!$HW$6,EA$1+(Objects!$Y$4-$A21-1)*Objects!$X$4,0)</f>
        <v>0</v>
      </c>
      <c r="EB21">
        <f ca="1">OFFSET(Objects!$HW$6,EB$1+(Objects!$Y$4-$A21-1)*Objects!$X$4,0)</f>
        <v>0</v>
      </c>
      <c r="EC21">
        <f ca="1">OFFSET(Objects!$HW$6,EC$1+(Objects!$Y$4-$A21-1)*Objects!$X$4,0)</f>
        <v>0</v>
      </c>
      <c r="ED21">
        <f ca="1">OFFSET(Objects!$HW$6,ED$1+(Objects!$Y$4-$A21-1)*Objects!$X$4,0)</f>
        <v>0</v>
      </c>
      <c r="EE21">
        <f ca="1">OFFSET(Objects!$HW$6,EE$1+(Objects!$Y$4-$A21-1)*Objects!$X$4,0)</f>
        <v>0</v>
      </c>
      <c r="EF21">
        <f ca="1">OFFSET(Objects!$HW$6,EF$1+(Objects!$Y$4-$A21-1)*Objects!$X$4,0)</f>
        <v>0</v>
      </c>
      <c r="EG21">
        <f ca="1">OFFSET(Objects!$HW$6,EG$1+(Objects!$Y$4-$A21-1)*Objects!$X$4,0)</f>
        <v>0</v>
      </c>
      <c r="EH21">
        <f ca="1">OFFSET(Objects!$HW$6,EH$1+(Objects!$Y$4-$A21-1)*Objects!$X$4,0)</f>
        <v>0</v>
      </c>
      <c r="EI21">
        <f ca="1">OFFSET(Objects!$HW$6,EI$1+(Objects!$Y$4-$A21-1)*Objects!$X$4,0)</f>
        <v>0</v>
      </c>
      <c r="EJ21">
        <f ca="1">OFFSET(Objects!$HW$6,EJ$1+(Objects!$Y$4-$A21-1)*Objects!$X$4,0)</f>
        <v>0</v>
      </c>
      <c r="EK21">
        <f ca="1">OFFSET(Objects!$HW$6,EK$1+(Objects!$Y$4-$A21-1)*Objects!$X$4,0)</f>
        <v>0</v>
      </c>
      <c r="EL21">
        <f ca="1">OFFSET(Objects!$HW$6,EL$1+(Objects!$Y$4-$A21-1)*Objects!$X$4,0)</f>
        <v>0</v>
      </c>
      <c r="EM21">
        <f ca="1">OFFSET(Objects!$HW$6,EM$1+(Objects!$Y$4-$A21-1)*Objects!$X$4,0)</f>
        <v>0</v>
      </c>
      <c r="EN21">
        <f ca="1">OFFSET(Objects!$HW$6,EN$1+(Objects!$Y$4-$A21-1)*Objects!$X$4,0)</f>
        <v>0</v>
      </c>
      <c r="EO21">
        <f ca="1">OFFSET(Objects!$HW$6,EO$1+(Objects!$Y$4-$A21-1)*Objects!$X$4,0)</f>
        <v>0</v>
      </c>
      <c r="EP21">
        <f ca="1">OFFSET(Objects!$HW$6,EP$1+(Objects!$Y$4-$A21-1)*Objects!$X$4,0)</f>
        <v>0</v>
      </c>
      <c r="EQ21">
        <f ca="1">OFFSET(Objects!$HW$6,EQ$1+(Objects!$Y$4-$A21-1)*Objects!$X$4,0)</f>
        <v>0</v>
      </c>
      <c r="ER21">
        <f ca="1">OFFSET(Objects!$HW$6,ER$1+(Objects!$Y$4-$A21-1)*Objects!$X$4,0)</f>
        <v>0</v>
      </c>
      <c r="ES21">
        <f ca="1">OFFSET(Objects!$HW$6,ES$1+(Objects!$Y$4-$A21-1)*Objects!$X$4,0)</f>
        <v>0</v>
      </c>
      <c r="ET21">
        <f ca="1">OFFSET(Objects!$HW$6,ET$1+(Objects!$Y$4-$A21-1)*Objects!$X$4,0)</f>
        <v>0</v>
      </c>
      <c r="EU21">
        <f ca="1">OFFSET(Objects!$HW$6,EU$1+(Objects!$Y$4-$A21-1)*Objects!$X$4,0)</f>
        <v>0</v>
      </c>
      <c r="EV21">
        <f ca="1">OFFSET(Objects!$HW$6,EV$1+(Objects!$Y$4-$A21-1)*Objects!$X$4,0)</f>
        <v>0</v>
      </c>
      <c r="EW21">
        <f ca="1">OFFSET(Objects!$HW$6,EW$1+(Objects!$Y$4-$A21-1)*Objects!$X$4,0)</f>
        <v>0</v>
      </c>
      <c r="EX21">
        <f ca="1">OFFSET(Objects!$HW$6,EX$1+(Objects!$Y$4-$A21-1)*Objects!$X$4,0)</f>
        <v>0</v>
      </c>
      <c r="EY21">
        <f ca="1">OFFSET(Objects!$HW$6,EY$1+(Objects!$Y$4-$A21-1)*Objects!$X$4,0)</f>
        <v>0</v>
      </c>
      <c r="EZ21">
        <f ca="1">OFFSET(Objects!$HW$6,EZ$1+(Objects!$Y$4-$A21-1)*Objects!$X$4,0)</f>
        <v>0</v>
      </c>
      <c r="FA21">
        <f ca="1">OFFSET(Objects!$HW$6,FA$1+(Objects!$Y$4-$A21-1)*Objects!$X$4,0)</f>
        <v>0</v>
      </c>
      <c r="FB21">
        <f ca="1">OFFSET(Objects!$HW$6,FB$1+(Objects!$Y$4-$A21-1)*Objects!$X$4,0)</f>
        <v>0</v>
      </c>
      <c r="FC21">
        <f ca="1">OFFSET(Objects!$HW$6,FC$1+(Objects!$Y$4-$A21-1)*Objects!$X$4,0)</f>
        <v>0</v>
      </c>
      <c r="FD21">
        <f ca="1">OFFSET(Objects!$HW$6,FD$1+(Objects!$Y$4-$A21-1)*Objects!$X$4,0)</f>
        <v>0</v>
      </c>
      <c r="FE21" s="22">
        <f ca="1">OFFSET(Objects!$HW$6,FE$1+(Objects!$Y$4-$A21-1)*Objects!$X$4,0)</f>
        <v>0</v>
      </c>
    </row>
    <row r="22" spans="1:161" ht="4.5" customHeight="1" x14ac:dyDescent="0.25">
      <c r="A22">
        <v>20</v>
      </c>
      <c r="B22" s="21">
        <f ca="1">OFFSET(Objects!$HW$6,B$1+(Objects!$Y$4-$A22-1)*Objects!$X$4,0)</f>
        <v>0</v>
      </c>
      <c r="C22">
        <f ca="1">OFFSET(Objects!$HW$6,C$1+(Objects!$Y$4-$A22-1)*Objects!$X$4,0)</f>
        <v>0</v>
      </c>
      <c r="D22">
        <f ca="1">OFFSET(Objects!$HW$6,D$1+(Objects!$Y$4-$A22-1)*Objects!$X$4,0)</f>
        <v>0</v>
      </c>
      <c r="E22">
        <f ca="1">OFFSET(Objects!$HW$6,E$1+(Objects!$Y$4-$A22-1)*Objects!$X$4,0)</f>
        <v>0</v>
      </c>
      <c r="F22">
        <f ca="1">OFFSET(Objects!$HW$6,F$1+(Objects!$Y$4-$A22-1)*Objects!$X$4,0)</f>
        <v>0</v>
      </c>
      <c r="G22">
        <f ca="1">OFFSET(Objects!$HW$6,G$1+(Objects!$Y$4-$A22-1)*Objects!$X$4,0)</f>
        <v>0</v>
      </c>
      <c r="H22">
        <f ca="1">OFFSET(Objects!$HW$6,H$1+(Objects!$Y$4-$A22-1)*Objects!$X$4,0)</f>
        <v>0</v>
      </c>
      <c r="I22">
        <f ca="1">OFFSET(Objects!$HW$6,I$1+(Objects!$Y$4-$A22-1)*Objects!$X$4,0)</f>
        <v>0</v>
      </c>
      <c r="J22">
        <f ca="1">OFFSET(Objects!$HW$6,J$1+(Objects!$Y$4-$A22-1)*Objects!$X$4,0)</f>
        <v>0</v>
      </c>
      <c r="K22">
        <f ca="1">OFFSET(Objects!$HW$6,K$1+(Objects!$Y$4-$A22-1)*Objects!$X$4,0)</f>
        <v>0</v>
      </c>
      <c r="L22">
        <f ca="1">OFFSET(Objects!$HW$6,L$1+(Objects!$Y$4-$A22-1)*Objects!$X$4,0)</f>
        <v>0</v>
      </c>
      <c r="M22">
        <f ca="1">OFFSET(Objects!$HW$6,M$1+(Objects!$Y$4-$A22-1)*Objects!$X$4,0)</f>
        <v>0</v>
      </c>
      <c r="N22">
        <f ca="1">OFFSET(Objects!$HW$6,N$1+(Objects!$Y$4-$A22-1)*Objects!$X$4,0)</f>
        <v>0</v>
      </c>
      <c r="O22">
        <f ca="1">OFFSET(Objects!$HW$6,O$1+(Objects!$Y$4-$A22-1)*Objects!$X$4,0)</f>
        <v>0</v>
      </c>
      <c r="P22">
        <f ca="1">OFFSET(Objects!$HW$6,P$1+(Objects!$Y$4-$A22-1)*Objects!$X$4,0)</f>
        <v>0</v>
      </c>
      <c r="Q22">
        <f ca="1">OFFSET(Objects!$HW$6,Q$1+(Objects!$Y$4-$A22-1)*Objects!$X$4,0)</f>
        <v>0</v>
      </c>
      <c r="R22">
        <f ca="1">OFFSET(Objects!$HW$6,R$1+(Objects!$Y$4-$A22-1)*Objects!$X$4,0)</f>
        <v>0</v>
      </c>
      <c r="S22">
        <f ca="1">OFFSET(Objects!$HW$6,S$1+(Objects!$Y$4-$A22-1)*Objects!$X$4,0)</f>
        <v>0</v>
      </c>
      <c r="T22">
        <f ca="1">OFFSET(Objects!$HW$6,T$1+(Objects!$Y$4-$A22-1)*Objects!$X$4,0)</f>
        <v>0</v>
      </c>
      <c r="U22">
        <f ca="1">OFFSET(Objects!$HW$6,U$1+(Objects!$Y$4-$A22-1)*Objects!$X$4,0)</f>
        <v>0</v>
      </c>
      <c r="V22">
        <f ca="1">OFFSET(Objects!$HW$6,V$1+(Objects!$Y$4-$A22-1)*Objects!$X$4,0)</f>
        <v>0</v>
      </c>
      <c r="W22">
        <f ca="1">OFFSET(Objects!$HW$6,W$1+(Objects!$Y$4-$A22-1)*Objects!$X$4,0)</f>
        <v>0</v>
      </c>
      <c r="X22">
        <f ca="1">OFFSET(Objects!$HW$6,X$1+(Objects!$Y$4-$A22-1)*Objects!$X$4,0)</f>
        <v>0</v>
      </c>
      <c r="Y22">
        <f ca="1">OFFSET(Objects!$HW$6,Y$1+(Objects!$Y$4-$A22-1)*Objects!$X$4,0)</f>
        <v>0</v>
      </c>
      <c r="Z22">
        <f ca="1">OFFSET(Objects!$HW$6,Z$1+(Objects!$Y$4-$A22-1)*Objects!$X$4,0)</f>
        <v>0</v>
      </c>
      <c r="AA22">
        <f ca="1">OFFSET(Objects!$HW$6,AA$1+(Objects!$Y$4-$A22-1)*Objects!$X$4,0)</f>
        <v>0</v>
      </c>
      <c r="AB22">
        <f ca="1">OFFSET(Objects!$HW$6,AB$1+(Objects!$Y$4-$A22-1)*Objects!$X$4,0)</f>
        <v>0</v>
      </c>
      <c r="AC22">
        <f ca="1">OFFSET(Objects!$HW$6,AC$1+(Objects!$Y$4-$A22-1)*Objects!$X$4,0)</f>
        <v>0</v>
      </c>
      <c r="AD22">
        <f ca="1">OFFSET(Objects!$HW$6,AD$1+(Objects!$Y$4-$A22-1)*Objects!$X$4,0)</f>
        <v>0</v>
      </c>
      <c r="AE22">
        <f ca="1">OFFSET(Objects!$HW$6,AE$1+(Objects!$Y$4-$A22-1)*Objects!$X$4,0)</f>
        <v>0</v>
      </c>
      <c r="AF22">
        <f ca="1">OFFSET(Objects!$HW$6,AF$1+(Objects!$Y$4-$A22-1)*Objects!$X$4,0)</f>
        <v>0</v>
      </c>
      <c r="AG22">
        <f ca="1">OFFSET(Objects!$HW$6,AG$1+(Objects!$Y$4-$A22-1)*Objects!$X$4,0)</f>
        <v>0</v>
      </c>
      <c r="AH22">
        <f ca="1">OFFSET(Objects!$HW$6,AH$1+(Objects!$Y$4-$A22-1)*Objects!$X$4,0)</f>
        <v>0</v>
      </c>
      <c r="AI22">
        <f ca="1">OFFSET(Objects!$HW$6,AI$1+(Objects!$Y$4-$A22-1)*Objects!$X$4,0)</f>
        <v>0</v>
      </c>
      <c r="AJ22">
        <f ca="1">OFFSET(Objects!$HW$6,AJ$1+(Objects!$Y$4-$A22-1)*Objects!$X$4,0)</f>
        <v>0</v>
      </c>
      <c r="AK22">
        <f ca="1">OFFSET(Objects!$HW$6,AK$1+(Objects!$Y$4-$A22-1)*Objects!$X$4,0)</f>
        <v>0</v>
      </c>
      <c r="AL22">
        <f ca="1">OFFSET(Objects!$HW$6,AL$1+(Objects!$Y$4-$A22-1)*Objects!$X$4,0)</f>
        <v>0</v>
      </c>
      <c r="AM22">
        <f ca="1">OFFSET(Objects!$HW$6,AM$1+(Objects!$Y$4-$A22-1)*Objects!$X$4,0)</f>
        <v>0</v>
      </c>
      <c r="AN22">
        <f ca="1">OFFSET(Objects!$HW$6,AN$1+(Objects!$Y$4-$A22-1)*Objects!$X$4,0)</f>
        <v>0</v>
      </c>
      <c r="AO22">
        <f ca="1">OFFSET(Objects!$HW$6,AO$1+(Objects!$Y$4-$A22-1)*Objects!$X$4,0)</f>
        <v>0</v>
      </c>
      <c r="AP22">
        <f ca="1">OFFSET(Objects!$HW$6,AP$1+(Objects!$Y$4-$A22-1)*Objects!$X$4,0)</f>
        <v>0</v>
      </c>
      <c r="AQ22">
        <f ca="1">OFFSET(Objects!$HW$6,AQ$1+(Objects!$Y$4-$A22-1)*Objects!$X$4,0)</f>
        <v>0</v>
      </c>
      <c r="AR22">
        <f ca="1">OFFSET(Objects!$HW$6,AR$1+(Objects!$Y$4-$A22-1)*Objects!$X$4,0)</f>
        <v>0</v>
      </c>
      <c r="AS22">
        <f ca="1">OFFSET(Objects!$HW$6,AS$1+(Objects!$Y$4-$A22-1)*Objects!$X$4,0)</f>
        <v>0</v>
      </c>
      <c r="AT22">
        <f ca="1">OFFSET(Objects!$HW$6,AT$1+(Objects!$Y$4-$A22-1)*Objects!$X$4,0)</f>
        <v>0</v>
      </c>
      <c r="AU22">
        <f ca="1">OFFSET(Objects!$HW$6,AU$1+(Objects!$Y$4-$A22-1)*Objects!$X$4,0)</f>
        <v>0</v>
      </c>
      <c r="AV22">
        <f ca="1">OFFSET(Objects!$HW$6,AV$1+(Objects!$Y$4-$A22-1)*Objects!$X$4,0)</f>
        <v>0</v>
      </c>
      <c r="AW22">
        <f ca="1">OFFSET(Objects!$HW$6,AW$1+(Objects!$Y$4-$A22-1)*Objects!$X$4,0)</f>
        <v>0</v>
      </c>
      <c r="AX22">
        <f ca="1">OFFSET(Objects!$HW$6,AX$1+(Objects!$Y$4-$A22-1)*Objects!$X$4,0)</f>
        <v>0</v>
      </c>
      <c r="AY22">
        <f ca="1">OFFSET(Objects!$HW$6,AY$1+(Objects!$Y$4-$A22-1)*Objects!$X$4,0)</f>
        <v>0</v>
      </c>
      <c r="AZ22">
        <f ca="1">OFFSET(Objects!$HW$6,AZ$1+(Objects!$Y$4-$A22-1)*Objects!$X$4,0)</f>
        <v>0</v>
      </c>
      <c r="BA22">
        <f ca="1">OFFSET(Objects!$HW$6,BA$1+(Objects!$Y$4-$A22-1)*Objects!$X$4,0)</f>
        <v>0</v>
      </c>
      <c r="BB22">
        <f ca="1">OFFSET(Objects!$HW$6,BB$1+(Objects!$Y$4-$A22-1)*Objects!$X$4,0)</f>
        <v>0</v>
      </c>
      <c r="BC22">
        <f ca="1">OFFSET(Objects!$HW$6,BC$1+(Objects!$Y$4-$A22-1)*Objects!$X$4,0)</f>
        <v>0</v>
      </c>
      <c r="BD22">
        <f ca="1">OFFSET(Objects!$HW$6,BD$1+(Objects!$Y$4-$A22-1)*Objects!$X$4,0)</f>
        <v>0</v>
      </c>
      <c r="BE22">
        <f ca="1">OFFSET(Objects!$HW$6,BE$1+(Objects!$Y$4-$A22-1)*Objects!$X$4,0)</f>
        <v>0</v>
      </c>
      <c r="BF22">
        <f ca="1">OFFSET(Objects!$HW$6,BF$1+(Objects!$Y$4-$A22-1)*Objects!$X$4,0)</f>
        <v>0</v>
      </c>
      <c r="BG22">
        <f ca="1">OFFSET(Objects!$HW$6,BG$1+(Objects!$Y$4-$A22-1)*Objects!$X$4,0)</f>
        <v>0</v>
      </c>
      <c r="BH22">
        <f ca="1">OFFSET(Objects!$HW$6,BH$1+(Objects!$Y$4-$A22-1)*Objects!$X$4,0)</f>
        <v>0</v>
      </c>
      <c r="BI22">
        <f ca="1">OFFSET(Objects!$HW$6,BI$1+(Objects!$Y$4-$A22-1)*Objects!$X$4,0)</f>
        <v>0</v>
      </c>
      <c r="BJ22">
        <f ca="1">OFFSET(Objects!$HW$6,BJ$1+(Objects!$Y$4-$A22-1)*Objects!$X$4,0)</f>
        <v>0</v>
      </c>
      <c r="BK22">
        <f ca="1">OFFSET(Objects!$HW$6,BK$1+(Objects!$Y$4-$A22-1)*Objects!$X$4,0)</f>
        <v>0</v>
      </c>
      <c r="BL22">
        <f ca="1">OFFSET(Objects!$HW$6,BL$1+(Objects!$Y$4-$A22-1)*Objects!$X$4,0)</f>
        <v>0</v>
      </c>
      <c r="BM22">
        <f ca="1">OFFSET(Objects!$HW$6,BM$1+(Objects!$Y$4-$A22-1)*Objects!$X$4,0)</f>
        <v>0</v>
      </c>
      <c r="BN22">
        <f ca="1">OFFSET(Objects!$HW$6,BN$1+(Objects!$Y$4-$A22-1)*Objects!$X$4,0)</f>
        <v>0</v>
      </c>
      <c r="BO22">
        <f ca="1">OFFSET(Objects!$HW$6,BO$1+(Objects!$Y$4-$A22-1)*Objects!$X$4,0)</f>
        <v>0</v>
      </c>
      <c r="BP22">
        <f ca="1">OFFSET(Objects!$HW$6,BP$1+(Objects!$Y$4-$A22-1)*Objects!$X$4,0)</f>
        <v>0</v>
      </c>
      <c r="BQ22">
        <f ca="1">OFFSET(Objects!$HW$6,BQ$1+(Objects!$Y$4-$A22-1)*Objects!$X$4,0)</f>
        <v>0</v>
      </c>
      <c r="BR22">
        <f ca="1">OFFSET(Objects!$HW$6,BR$1+(Objects!$Y$4-$A22-1)*Objects!$X$4,0)</f>
        <v>0</v>
      </c>
      <c r="BS22">
        <f ca="1">OFFSET(Objects!$HW$6,BS$1+(Objects!$Y$4-$A22-1)*Objects!$X$4,0)</f>
        <v>0</v>
      </c>
      <c r="BT22">
        <f ca="1">OFFSET(Objects!$HW$6,BT$1+(Objects!$Y$4-$A22-1)*Objects!$X$4,0)</f>
        <v>0</v>
      </c>
      <c r="BU22">
        <f ca="1">OFFSET(Objects!$HW$6,BU$1+(Objects!$Y$4-$A22-1)*Objects!$X$4,0)</f>
        <v>0</v>
      </c>
      <c r="BV22">
        <f ca="1">OFFSET(Objects!$HW$6,BV$1+(Objects!$Y$4-$A22-1)*Objects!$X$4,0)</f>
        <v>0</v>
      </c>
      <c r="BW22">
        <f ca="1">OFFSET(Objects!$HW$6,BW$1+(Objects!$Y$4-$A22-1)*Objects!$X$4,0)</f>
        <v>0</v>
      </c>
      <c r="BX22">
        <f ca="1">OFFSET(Objects!$HW$6,BX$1+(Objects!$Y$4-$A22-1)*Objects!$X$4,0)</f>
        <v>0</v>
      </c>
      <c r="BY22">
        <f ca="1">OFFSET(Objects!$HW$6,BY$1+(Objects!$Y$4-$A22-1)*Objects!$X$4,0)</f>
        <v>0</v>
      </c>
      <c r="BZ22">
        <f ca="1">OFFSET(Objects!$HW$6,BZ$1+(Objects!$Y$4-$A22-1)*Objects!$X$4,0)</f>
        <v>0</v>
      </c>
      <c r="CA22">
        <f ca="1">OFFSET(Objects!$HW$6,CA$1+(Objects!$Y$4-$A22-1)*Objects!$X$4,0)</f>
        <v>0</v>
      </c>
      <c r="CB22">
        <f ca="1">OFFSET(Objects!$HW$6,CB$1+(Objects!$Y$4-$A22-1)*Objects!$X$4,0)</f>
        <v>0</v>
      </c>
      <c r="CC22">
        <f ca="1">OFFSET(Objects!$HW$6,CC$1+(Objects!$Y$4-$A22-1)*Objects!$X$4,0)</f>
        <v>0</v>
      </c>
      <c r="CD22">
        <f ca="1">OFFSET(Objects!$HW$6,CD$1+(Objects!$Y$4-$A22-1)*Objects!$X$4,0)</f>
        <v>0</v>
      </c>
      <c r="CE22">
        <f ca="1">OFFSET(Objects!$HW$6,CE$1+(Objects!$Y$4-$A22-1)*Objects!$X$4,0)</f>
        <v>0</v>
      </c>
      <c r="CF22">
        <f ca="1">OFFSET(Objects!$HW$6,CF$1+(Objects!$Y$4-$A22-1)*Objects!$X$4,0)</f>
        <v>0</v>
      </c>
      <c r="CG22">
        <f ca="1">OFFSET(Objects!$HW$6,CG$1+(Objects!$Y$4-$A22-1)*Objects!$X$4,0)</f>
        <v>0</v>
      </c>
      <c r="CH22">
        <f ca="1">OFFSET(Objects!$HW$6,CH$1+(Objects!$Y$4-$A22-1)*Objects!$X$4,0)</f>
        <v>0</v>
      </c>
      <c r="CI22">
        <f ca="1">OFFSET(Objects!$HW$6,CI$1+(Objects!$Y$4-$A22-1)*Objects!$X$4,0)</f>
        <v>0</v>
      </c>
      <c r="CJ22">
        <f ca="1">OFFSET(Objects!$HW$6,CJ$1+(Objects!$Y$4-$A22-1)*Objects!$X$4,0)</f>
        <v>0</v>
      </c>
      <c r="CK22">
        <f ca="1">OFFSET(Objects!$HW$6,CK$1+(Objects!$Y$4-$A22-1)*Objects!$X$4,0)</f>
        <v>0</v>
      </c>
      <c r="CL22">
        <f ca="1">OFFSET(Objects!$HW$6,CL$1+(Objects!$Y$4-$A22-1)*Objects!$X$4,0)</f>
        <v>0</v>
      </c>
      <c r="CM22">
        <f ca="1">OFFSET(Objects!$HW$6,CM$1+(Objects!$Y$4-$A22-1)*Objects!$X$4,0)</f>
        <v>0</v>
      </c>
      <c r="CN22">
        <f ca="1">OFFSET(Objects!$HW$6,CN$1+(Objects!$Y$4-$A22-1)*Objects!$X$4,0)</f>
        <v>0</v>
      </c>
      <c r="CO22">
        <f ca="1">OFFSET(Objects!$HW$6,CO$1+(Objects!$Y$4-$A22-1)*Objects!$X$4,0)</f>
        <v>0</v>
      </c>
      <c r="CP22">
        <f ca="1">OFFSET(Objects!$HW$6,CP$1+(Objects!$Y$4-$A22-1)*Objects!$X$4,0)</f>
        <v>0</v>
      </c>
      <c r="CQ22">
        <f ca="1">OFFSET(Objects!$HW$6,CQ$1+(Objects!$Y$4-$A22-1)*Objects!$X$4,0)</f>
        <v>0</v>
      </c>
      <c r="CR22">
        <f ca="1">OFFSET(Objects!$HW$6,CR$1+(Objects!$Y$4-$A22-1)*Objects!$X$4,0)</f>
        <v>0</v>
      </c>
      <c r="CS22">
        <f ca="1">OFFSET(Objects!$HW$6,CS$1+(Objects!$Y$4-$A22-1)*Objects!$X$4,0)</f>
        <v>0</v>
      </c>
      <c r="CT22">
        <f ca="1">OFFSET(Objects!$HW$6,CT$1+(Objects!$Y$4-$A22-1)*Objects!$X$4,0)</f>
        <v>0</v>
      </c>
      <c r="CU22">
        <f ca="1">OFFSET(Objects!$HW$6,CU$1+(Objects!$Y$4-$A22-1)*Objects!$X$4,0)</f>
        <v>0</v>
      </c>
      <c r="CV22">
        <f ca="1">OFFSET(Objects!$HW$6,CV$1+(Objects!$Y$4-$A22-1)*Objects!$X$4,0)</f>
        <v>0</v>
      </c>
      <c r="CW22">
        <f ca="1">OFFSET(Objects!$HW$6,CW$1+(Objects!$Y$4-$A22-1)*Objects!$X$4,0)</f>
        <v>0</v>
      </c>
      <c r="CX22">
        <f ca="1">OFFSET(Objects!$HW$6,CX$1+(Objects!$Y$4-$A22-1)*Objects!$X$4,0)</f>
        <v>0</v>
      </c>
      <c r="CY22">
        <f ca="1">OFFSET(Objects!$HW$6,CY$1+(Objects!$Y$4-$A22-1)*Objects!$X$4,0)</f>
        <v>0</v>
      </c>
      <c r="CZ22">
        <f ca="1">OFFSET(Objects!$HW$6,CZ$1+(Objects!$Y$4-$A22-1)*Objects!$X$4,0)</f>
        <v>0</v>
      </c>
      <c r="DA22">
        <f ca="1">OFFSET(Objects!$HW$6,DA$1+(Objects!$Y$4-$A22-1)*Objects!$X$4,0)</f>
        <v>0</v>
      </c>
      <c r="DB22">
        <f ca="1">OFFSET(Objects!$HW$6,DB$1+(Objects!$Y$4-$A22-1)*Objects!$X$4,0)</f>
        <v>0</v>
      </c>
      <c r="DC22">
        <f ca="1">OFFSET(Objects!$HW$6,DC$1+(Objects!$Y$4-$A22-1)*Objects!$X$4,0)</f>
        <v>0</v>
      </c>
      <c r="DD22">
        <f ca="1">OFFSET(Objects!$HW$6,DD$1+(Objects!$Y$4-$A22-1)*Objects!$X$4,0)</f>
        <v>0</v>
      </c>
      <c r="DE22">
        <f ca="1">OFFSET(Objects!$HW$6,DE$1+(Objects!$Y$4-$A22-1)*Objects!$X$4,0)</f>
        <v>0</v>
      </c>
      <c r="DF22">
        <f ca="1">OFFSET(Objects!$HW$6,DF$1+(Objects!$Y$4-$A22-1)*Objects!$X$4,0)</f>
        <v>0</v>
      </c>
      <c r="DG22">
        <f ca="1">OFFSET(Objects!$HW$6,DG$1+(Objects!$Y$4-$A22-1)*Objects!$X$4,0)</f>
        <v>0</v>
      </c>
      <c r="DH22">
        <f ca="1">OFFSET(Objects!$HW$6,DH$1+(Objects!$Y$4-$A22-1)*Objects!$X$4,0)</f>
        <v>0</v>
      </c>
      <c r="DI22">
        <f ca="1">OFFSET(Objects!$HW$6,DI$1+(Objects!$Y$4-$A22-1)*Objects!$X$4,0)</f>
        <v>0</v>
      </c>
      <c r="DJ22">
        <f ca="1">OFFSET(Objects!$HW$6,DJ$1+(Objects!$Y$4-$A22-1)*Objects!$X$4,0)</f>
        <v>0</v>
      </c>
      <c r="DK22">
        <f ca="1">OFFSET(Objects!$HW$6,DK$1+(Objects!$Y$4-$A22-1)*Objects!$X$4,0)</f>
        <v>0</v>
      </c>
      <c r="DL22">
        <f ca="1">OFFSET(Objects!$HW$6,DL$1+(Objects!$Y$4-$A22-1)*Objects!$X$4,0)</f>
        <v>0</v>
      </c>
      <c r="DM22">
        <f ca="1">OFFSET(Objects!$HW$6,DM$1+(Objects!$Y$4-$A22-1)*Objects!$X$4,0)</f>
        <v>0</v>
      </c>
      <c r="DN22">
        <f ca="1">OFFSET(Objects!$HW$6,DN$1+(Objects!$Y$4-$A22-1)*Objects!$X$4,0)</f>
        <v>0</v>
      </c>
      <c r="DO22">
        <f ca="1">OFFSET(Objects!$HW$6,DO$1+(Objects!$Y$4-$A22-1)*Objects!$X$4,0)</f>
        <v>0</v>
      </c>
      <c r="DP22">
        <f ca="1">OFFSET(Objects!$HW$6,DP$1+(Objects!$Y$4-$A22-1)*Objects!$X$4,0)</f>
        <v>0</v>
      </c>
      <c r="DQ22">
        <f ca="1">OFFSET(Objects!$HW$6,DQ$1+(Objects!$Y$4-$A22-1)*Objects!$X$4,0)</f>
        <v>0</v>
      </c>
      <c r="DR22">
        <f ca="1">OFFSET(Objects!$HW$6,DR$1+(Objects!$Y$4-$A22-1)*Objects!$X$4,0)</f>
        <v>0</v>
      </c>
      <c r="DS22">
        <f ca="1">OFFSET(Objects!$HW$6,DS$1+(Objects!$Y$4-$A22-1)*Objects!$X$4,0)</f>
        <v>0</v>
      </c>
      <c r="DT22">
        <f ca="1">OFFSET(Objects!$HW$6,DT$1+(Objects!$Y$4-$A22-1)*Objects!$X$4,0)</f>
        <v>0</v>
      </c>
      <c r="DU22">
        <f ca="1">OFFSET(Objects!$HW$6,DU$1+(Objects!$Y$4-$A22-1)*Objects!$X$4,0)</f>
        <v>0</v>
      </c>
      <c r="DV22">
        <f ca="1">OFFSET(Objects!$HW$6,DV$1+(Objects!$Y$4-$A22-1)*Objects!$X$4,0)</f>
        <v>0</v>
      </c>
      <c r="DW22">
        <f ca="1">OFFSET(Objects!$HW$6,DW$1+(Objects!$Y$4-$A22-1)*Objects!$X$4,0)</f>
        <v>0</v>
      </c>
      <c r="DX22">
        <f ca="1">OFFSET(Objects!$HW$6,DX$1+(Objects!$Y$4-$A22-1)*Objects!$X$4,0)</f>
        <v>0</v>
      </c>
      <c r="DY22">
        <f ca="1">OFFSET(Objects!$HW$6,DY$1+(Objects!$Y$4-$A22-1)*Objects!$X$4,0)</f>
        <v>0</v>
      </c>
      <c r="DZ22">
        <f ca="1">OFFSET(Objects!$HW$6,DZ$1+(Objects!$Y$4-$A22-1)*Objects!$X$4,0)</f>
        <v>0</v>
      </c>
      <c r="EA22">
        <f ca="1">OFFSET(Objects!$HW$6,EA$1+(Objects!$Y$4-$A22-1)*Objects!$X$4,0)</f>
        <v>0</v>
      </c>
      <c r="EB22">
        <f ca="1">OFFSET(Objects!$HW$6,EB$1+(Objects!$Y$4-$A22-1)*Objects!$X$4,0)</f>
        <v>0</v>
      </c>
      <c r="EC22">
        <f ca="1">OFFSET(Objects!$HW$6,EC$1+(Objects!$Y$4-$A22-1)*Objects!$X$4,0)</f>
        <v>0</v>
      </c>
      <c r="ED22">
        <f ca="1">OFFSET(Objects!$HW$6,ED$1+(Objects!$Y$4-$A22-1)*Objects!$X$4,0)</f>
        <v>0</v>
      </c>
      <c r="EE22">
        <f ca="1">OFFSET(Objects!$HW$6,EE$1+(Objects!$Y$4-$A22-1)*Objects!$X$4,0)</f>
        <v>0</v>
      </c>
      <c r="EF22">
        <f ca="1">OFFSET(Objects!$HW$6,EF$1+(Objects!$Y$4-$A22-1)*Objects!$X$4,0)</f>
        <v>0</v>
      </c>
      <c r="EG22">
        <f ca="1">OFFSET(Objects!$HW$6,EG$1+(Objects!$Y$4-$A22-1)*Objects!$X$4,0)</f>
        <v>0</v>
      </c>
      <c r="EH22">
        <f ca="1">OFFSET(Objects!$HW$6,EH$1+(Objects!$Y$4-$A22-1)*Objects!$X$4,0)</f>
        <v>0</v>
      </c>
      <c r="EI22">
        <f ca="1">OFFSET(Objects!$HW$6,EI$1+(Objects!$Y$4-$A22-1)*Objects!$X$4,0)</f>
        <v>0</v>
      </c>
      <c r="EJ22">
        <f ca="1">OFFSET(Objects!$HW$6,EJ$1+(Objects!$Y$4-$A22-1)*Objects!$X$4,0)</f>
        <v>0</v>
      </c>
      <c r="EK22">
        <f ca="1">OFFSET(Objects!$HW$6,EK$1+(Objects!$Y$4-$A22-1)*Objects!$X$4,0)</f>
        <v>0</v>
      </c>
      <c r="EL22">
        <f ca="1">OFFSET(Objects!$HW$6,EL$1+(Objects!$Y$4-$A22-1)*Objects!$X$4,0)</f>
        <v>0</v>
      </c>
      <c r="EM22">
        <f ca="1">OFFSET(Objects!$HW$6,EM$1+(Objects!$Y$4-$A22-1)*Objects!$X$4,0)</f>
        <v>0</v>
      </c>
      <c r="EN22">
        <f ca="1">OFFSET(Objects!$HW$6,EN$1+(Objects!$Y$4-$A22-1)*Objects!$X$4,0)</f>
        <v>0</v>
      </c>
      <c r="EO22">
        <f ca="1">OFFSET(Objects!$HW$6,EO$1+(Objects!$Y$4-$A22-1)*Objects!$X$4,0)</f>
        <v>0</v>
      </c>
      <c r="EP22">
        <f ca="1">OFFSET(Objects!$HW$6,EP$1+(Objects!$Y$4-$A22-1)*Objects!$X$4,0)</f>
        <v>0</v>
      </c>
      <c r="EQ22">
        <f ca="1">OFFSET(Objects!$HW$6,EQ$1+(Objects!$Y$4-$A22-1)*Objects!$X$4,0)</f>
        <v>0</v>
      </c>
      <c r="ER22">
        <f ca="1">OFFSET(Objects!$HW$6,ER$1+(Objects!$Y$4-$A22-1)*Objects!$X$4,0)</f>
        <v>0</v>
      </c>
      <c r="ES22">
        <f ca="1">OFFSET(Objects!$HW$6,ES$1+(Objects!$Y$4-$A22-1)*Objects!$X$4,0)</f>
        <v>0</v>
      </c>
      <c r="ET22">
        <f ca="1">OFFSET(Objects!$HW$6,ET$1+(Objects!$Y$4-$A22-1)*Objects!$X$4,0)</f>
        <v>0</v>
      </c>
      <c r="EU22">
        <f ca="1">OFFSET(Objects!$HW$6,EU$1+(Objects!$Y$4-$A22-1)*Objects!$X$4,0)</f>
        <v>0</v>
      </c>
      <c r="EV22">
        <f ca="1">OFFSET(Objects!$HW$6,EV$1+(Objects!$Y$4-$A22-1)*Objects!$X$4,0)</f>
        <v>0</v>
      </c>
      <c r="EW22">
        <f ca="1">OFFSET(Objects!$HW$6,EW$1+(Objects!$Y$4-$A22-1)*Objects!$X$4,0)</f>
        <v>0</v>
      </c>
      <c r="EX22">
        <f ca="1">OFFSET(Objects!$HW$6,EX$1+(Objects!$Y$4-$A22-1)*Objects!$X$4,0)</f>
        <v>0</v>
      </c>
      <c r="EY22">
        <f ca="1">OFFSET(Objects!$HW$6,EY$1+(Objects!$Y$4-$A22-1)*Objects!$X$4,0)</f>
        <v>0</v>
      </c>
      <c r="EZ22">
        <f ca="1">OFFSET(Objects!$HW$6,EZ$1+(Objects!$Y$4-$A22-1)*Objects!$X$4,0)</f>
        <v>0</v>
      </c>
      <c r="FA22">
        <f ca="1">OFFSET(Objects!$HW$6,FA$1+(Objects!$Y$4-$A22-1)*Objects!$X$4,0)</f>
        <v>0</v>
      </c>
      <c r="FB22">
        <f ca="1">OFFSET(Objects!$HW$6,FB$1+(Objects!$Y$4-$A22-1)*Objects!$X$4,0)</f>
        <v>0</v>
      </c>
      <c r="FC22">
        <f ca="1">OFFSET(Objects!$HW$6,FC$1+(Objects!$Y$4-$A22-1)*Objects!$X$4,0)</f>
        <v>0</v>
      </c>
      <c r="FD22">
        <f ca="1">OFFSET(Objects!$HW$6,FD$1+(Objects!$Y$4-$A22-1)*Objects!$X$4,0)</f>
        <v>0</v>
      </c>
      <c r="FE22" s="22">
        <f ca="1">OFFSET(Objects!$HW$6,FE$1+(Objects!$Y$4-$A22-1)*Objects!$X$4,0)</f>
        <v>0</v>
      </c>
    </row>
    <row r="23" spans="1:161" ht="4.5" customHeight="1" x14ac:dyDescent="0.25">
      <c r="A23">
        <v>21</v>
      </c>
      <c r="B23" s="21">
        <f ca="1">OFFSET(Objects!$HW$6,B$1+(Objects!$Y$4-$A23-1)*Objects!$X$4,0)</f>
        <v>0</v>
      </c>
      <c r="C23">
        <f ca="1">OFFSET(Objects!$HW$6,C$1+(Objects!$Y$4-$A23-1)*Objects!$X$4,0)</f>
        <v>0</v>
      </c>
      <c r="D23">
        <f ca="1">OFFSET(Objects!$HW$6,D$1+(Objects!$Y$4-$A23-1)*Objects!$X$4,0)</f>
        <v>0</v>
      </c>
      <c r="E23">
        <f ca="1">OFFSET(Objects!$HW$6,E$1+(Objects!$Y$4-$A23-1)*Objects!$X$4,0)</f>
        <v>0</v>
      </c>
      <c r="F23">
        <f ca="1">OFFSET(Objects!$HW$6,F$1+(Objects!$Y$4-$A23-1)*Objects!$X$4,0)</f>
        <v>0</v>
      </c>
      <c r="G23">
        <f ca="1">OFFSET(Objects!$HW$6,G$1+(Objects!$Y$4-$A23-1)*Objects!$X$4,0)</f>
        <v>0</v>
      </c>
      <c r="H23">
        <f ca="1">OFFSET(Objects!$HW$6,H$1+(Objects!$Y$4-$A23-1)*Objects!$X$4,0)</f>
        <v>0</v>
      </c>
      <c r="I23">
        <f ca="1">OFFSET(Objects!$HW$6,I$1+(Objects!$Y$4-$A23-1)*Objects!$X$4,0)</f>
        <v>0</v>
      </c>
      <c r="J23">
        <f ca="1">OFFSET(Objects!$HW$6,J$1+(Objects!$Y$4-$A23-1)*Objects!$X$4,0)</f>
        <v>0</v>
      </c>
      <c r="K23">
        <f ca="1">OFFSET(Objects!$HW$6,K$1+(Objects!$Y$4-$A23-1)*Objects!$X$4,0)</f>
        <v>0</v>
      </c>
      <c r="L23">
        <f ca="1">OFFSET(Objects!$HW$6,L$1+(Objects!$Y$4-$A23-1)*Objects!$X$4,0)</f>
        <v>0</v>
      </c>
      <c r="M23">
        <f ca="1">OFFSET(Objects!$HW$6,M$1+(Objects!$Y$4-$A23-1)*Objects!$X$4,0)</f>
        <v>0</v>
      </c>
      <c r="N23">
        <f ca="1">OFFSET(Objects!$HW$6,N$1+(Objects!$Y$4-$A23-1)*Objects!$X$4,0)</f>
        <v>0</v>
      </c>
      <c r="O23">
        <f ca="1">OFFSET(Objects!$HW$6,O$1+(Objects!$Y$4-$A23-1)*Objects!$X$4,0)</f>
        <v>0</v>
      </c>
      <c r="P23">
        <f ca="1">OFFSET(Objects!$HW$6,P$1+(Objects!$Y$4-$A23-1)*Objects!$X$4,0)</f>
        <v>0</v>
      </c>
      <c r="Q23">
        <f ca="1">OFFSET(Objects!$HW$6,Q$1+(Objects!$Y$4-$A23-1)*Objects!$X$4,0)</f>
        <v>0</v>
      </c>
      <c r="R23">
        <f ca="1">OFFSET(Objects!$HW$6,R$1+(Objects!$Y$4-$A23-1)*Objects!$X$4,0)</f>
        <v>0</v>
      </c>
      <c r="S23">
        <f ca="1">OFFSET(Objects!$HW$6,S$1+(Objects!$Y$4-$A23-1)*Objects!$X$4,0)</f>
        <v>0</v>
      </c>
      <c r="T23">
        <f ca="1">OFFSET(Objects!$HW$6,T$1+(Objects!$Y$4-$A23-1)*Objects!$X$4,0)</f>
        <v>0</v>
      </c>
      <c r="U23">
        <f ca="1">OFFSET(Objects!$HW$6,U$1+(Objects!$Y$4-$A23-1)*Objects!$X$4,0)</f>
        <v>0</v>
      </c>
      <c r="V23">
        <f ca="1">OFFSET(Objects!$HW$6,V$1+(Objects!$Y$4-$A23-1)*Objects!$X$4,0)</f>
        <v>0</v>
      </c>
      <c r="W23">
        <f ca="1">OFFSET(Objects!$HW$6,W$1+(Objects!$Y$4-$A23-1)*Objects!$X$4,0)</f>
        <v>0</v>
      </c>
      <c r="X23">
        <f ca="1">OFFSET(Objects!$HW$6,X$1+(Objects!$Y$4-$A23-1)*Objects!$X$4,0)</f>
        <v>0</v>
      </c>
      <c r="Y23">
        <f ca="1">OFFSET(Objects!$HW$6,Y$1+(Objects!$Y$4-$A23-1)*Objects!$X$4,0)</f>
        <v>0</v>
      </c>
      <c r="Z23">
        <f ca="1">OFFSET(Objects!$HW$6,Z$1+(Objects!$Y$4-$A23-1)*Objects!$X$4,0)</f>
        <v>0</v>
      </c>
      <c r="AA23">
        <f ca="1">OFFSET(Objects!$HW$6,AA$1+(Objects!$Y$4-$A23-1)*Objects!$X$4,0)</f>
        <v>0</v>
      </c>
      <c r="AB23">
        <f ca="1">OFFSET(Objects!$HW$6,AB$1+(Objects!$Y$4-$A23-1)*Objects!$X$4,0)</f>
        <v>0</v>
      </c>
      <c r="AC23">
        <f ca="1">OFFSET(Objects!$HW$6,AC$1+(Objects!$Y$4-$A23-1)*Objects!$X$4,0)</f>
        <v>0</v>
      </c>
      <c r="AD23">
        <f ca="1">OFFSET(Objects!$HW$6,AD$1+(Objects!$Y$4-$A23-1)*Objects!$X$4,0)</f>
        <v>0</v>
      </c>
      <c r="AE23">
        <f ca="1">OFFSET(Objects!$HW$6,AE$1+(Objects!$Y$4-$A23-1)*Objects!$X$4,0)</f>
        <v>0</v>
      </c>
      <c r="AF23">
        <f ca="1">OFFSET(Objects!$HW$6,AF$1+(Objects!$Y$4-$A23-1)*Objects!$X$4,0)</f>
        <v>0</v>
      </c>
      <c r="AG23">
        <f ca="1">OFFSET(Objects!$HW$6,AG$1+(Objects!$Y$4-$A23-1)*Objects!$X$4,0)</f>
        <v>0</v>
      </c>
      <c r="AH23">
        <f ca="1">OFFSET(Objects!$HW$6,AH$1+(Objects!$Y$4-$A23-1)*Objects!$X$4,0)</f>
        <v>0</v>
      </c>
      <c r="AI23">
        <f ca="1">OFFSET(Objects!$HW$6,AI$1+(Objects!$Y$4-$A23-1)*Objects!$X$4,0)</f>
        <v>0</v>
      </c>
      <c r="AJ23">
        <f ca="1">OFFSET(Objects!$HW$6,AJ$1+(Objects!$Y$4-$A23-1)*Objects!$X$4,0)</f>
        <v>0</v>
      </c>
      <c r="AK23">
        <f ca="1">OFFSET(Objects!$HW$6,AK$1+(Objects!$Y$4-$A23-1)*Objects!$X$4,0)</f>
        <v>0</v>
      </c>
      <c r="AL23">
        <f ca="1">OFFSET(Objects!$HW$6,AL$1+(Objects!$Y$4-$A23-1)*Objects!$X$4,0)</f>
        <v>0</v>
      </c>
      <c r="AM23">
        <f ca="1">OFFSET(Objects!$HW$6,AM$1+(Objects!$Y$4-$A23-1)*Objects!$X$4,0)</f>
        <v>0</v>
      </c>
      <c r="AN23">
        <f ca="1">OFFSET(Objects!$HW$6,AN$1+(Objects!$Y$4-$A23-1)*Objects!$X$4,0)</f>
        <v>0</v>
      </c>
      <c r="AO23">
        <f ca="1">OFFSET(Objects!$HW$6,AO$1+(Objects!$Y$4-$A23-1)*Objects!$X$4,0)</f>
        <v>0</v>
      </c>
      <c r="AP23">
        <f ca="1">OFFSET(Objects!$HW$6,AP$1+(Objects!$Y$4-$A23-1)*Objects!$X$4,0)</f>
        <v>0</v>
      </c>
      <c r="AQ23">
        <f ca="1">OFFSET(Objects!$HW$6,AQ$1+(Objects!$Y$4-$A23-1)*Objects!$X$4,0)</f>
        <v>0</v>
      </c>
      <c r="AR23">
        <f ca="1">OFFSET(Objects!$HW$6,AR$1+(Objects!$Y$4-$A23-1)*Objects!$X$4,0)</f>
        <v>0</v>
      </c>
      <c r="AS23">
        <f ca="1">OFFSET(Objects!$HW$6,AS$1+(Objects!$Y$4-$A23-1)*Objects!$X$4,0)</f>
        <v>0</v>
      </c>
      <c r="AT23">
        <f ca="1">OFFSET(Objects!$HW$6,AT$1+(Objects!$Y$4-$A23-1)*Objects!$X$4,0)</f>
        <v>0</v>
      </c>
      <c r="AU23">
        <f ca="1">OFFSET(Objects!$HW$6,AU$1+(Objects!$Y$4-$A23-1)*Objects!$X$4,0)</f>
        <v>0</v>
      </c>
      <c r="AV23">
        <f ca="1">OFFSET(Objects!$HW$6,AV$1+(Objects!$Y$4-$A23-1)*Objects!$X$4,0)</f>
        <v>0</v>
      </c>
      <c r="AW23">
        <f ca="1">OFFSET(Objects!$HW$6,AW$1+(Objects!$Y$4-$A23-1)*Objects!$X$4,0)</f>
        <v>0</v>
      </c>
      <c r="AX23">
        <f ca="1">OFFSET(Objects!$HW$6,AX$1+(Objects!$Y$4-$A23-1)*Objects!$X$4,0)</f>
        <v>0</v>
      </c>
      <c r="AY23">
        <f ca="1">OFFSET(Objects!$HW$6,AY$1+(Objects!$Y$4-$A23-1)*Objects!$X$4,0)</f>
        <v>0</v>
      </c>
      <c r="AZ23">
        <f ca="1">OFFSET(Objects!$HW$6,AZ$1+(Objects!$Y$4-$A23-1)*Objects!$X$4,0)</f>
        <v>0</v>
      </c>
      <c r="BA23">
        <f ca="1">OFFSET(Objects!$HW$6,BA$1+(Objects!$Y$4-$A23-1)*Objects!$X$4,0)</f>
        <v>0</v>
      </c>
      <c r="BB23">
        <f ca="1">OFFSET(Objects!$HW$6,BB$1+(Objects!$Y$4-$A23-1)*Objects!$X$4,0)</f>
        <v>0</v>
      </c>
      <c r="BC23">
        <f ca="1">OFFSET(Objects!$HW$6,BC$1+(Objects!$Y$4-$A23-1)*Objects!$X$4,0)</f>
        <v>0</v>
      </c>
      <c r="BD23">
        <f ca="1">OFFSET(Objects!$HW$6,BD$1+(Objects!$Y$4-$A23-1)*Objects!$X$4,0)</f>
        <v>0</v>
      </c>
      <c r="BE23">
        <f ca="1">OFFSET(Objects!$HW$6,BE$1+(Objects!$Y$4-$A23-1)*Objects!$X$4,0)</f>
        <v>0</v>
      </c>
      <c r="BF23">
        <f ca="1">OFFSET(Objects!$HW$6,BF$1+(Objects!$Y$4-$A23-1)*Objects!$X$4,0)</f>
        <v>0</v>
      </c>
      <c r="BG23">
        <f ca="1">OFFSET(Objects!$HW$6,BG$1+(Objects!$Y$4-$A23-1)*Objects!$X$4,0)</f>
        <v>0</v>
      </c>
      <c r="BH23">
        <f ca="1">OFFSET(Objects!$HW$6,BH$1+(Objects!$Y$4-$A23-1)*Objects!$X$4,0)</f>
        <v>0</v>
      </c>
      <c r="BI23">
        <f ca="1">OFFSET(Objects!$HW$6,BI$1+(Objects!$Y$4-$A23-1)*Objects!$X$4,0)</f>
        <v>0</v>
      </c>
      <c r="BJ23">
        <f ca="1">OFFSET(Objects!$HW$6,BJ$1+(Objects!$Y$4-$A23-1)*Objects!$X$4,0)</f>
        <v>0</v>
      </c>
      <c r="BK23">
        <f ca="1">OFFSET(Objects!$HW$6,BK$1+(Objects!$Y$4-$A23-1)*Objects!$X$4,0)</f>
        <v>0</v>
      </c>
      <c r="BL23">
        <f ca="1">OFFSET(Objects!$HW$6,BL$1+(Objects!$Y$4-$A23-1)*Objects!$X$4,0)</f>
        <v>0</v>
      </c>
      <c r="BM23">
        <f ca="1">OFFSET(Objects!$HW$6,BM$1+(Objects!$Y$4-$A23-1)*Objects!$X$4,0)</f>
        <v>0</v>
      </c>
      <c r="BN23">
        <f ca="1">OFFSET(Objects!$HW$6,BN$1+(Objects!$Y$4-$A23-1)*Objects!$X$4,0)</f>
        <v>0</v>
      </c>
      <c r="BO23">
        <f ca="1">OFFSET(Objects!$HW$6,BO$1+(Objects!$Y$4-$A23-1)*Objects!$X$4,0)</f>
        <v>0</v>
      </c>
      <c r="BP23">
        <f ca="1">OFFSET(Objects!$HW$6,BP$1+(Objects!$Y$4-$A23-1)*Objects!$X$4,0)</f>
        <v>0</v>
      </c>
      <c r="BQ23">
        <f ca="1">OFFSET(Objects!$HW$6,BQ$1+(Objects!$Y$4-$A23-1)*Objects!$X$4,0)</f>
        <v>0</v>
      </c>
      <c r="BR23">
        <f ca="1">OFFSET(Objects!$HW$6,BR$1+(Objects!$Y$4-$A23-1)*Objects!$X$4,0)</f>
        <v>0</v>
      </c>
      <c r="BS23">
        <f ca="1">OFFSET(Objects!$HW$6,BS$1+(Objects!$Y$4-$A23-1)*Objects!$X$4,0)</f>
        <v>0</v>
      </c>
      <c r="BT23">
        <f ca="1">OFFSET(Objects!$HW$6,BT$1+(Objects!$Y$4-$A23-1)*Objects!$X$4,0)</f>
        <v>0</v>
      </c>
      <c r="BU23">
        <f ca="1">OFFSET(Objects!$HW$6,BU$1+(Objects!$Y$4-$A23-1)*Objects!$X$4,0)</f>
        <v>0</v>
      </c>
      <c r="BV23">
        <f ca="1">OFFSET(Objects!$HW$6,BV$1+(Objects!$Y$4-$A23-1)*Objects!$X$4,0)</f>
        <v>0</v>
      </c>
      <c r="BW23">
        <f ca="1">OFFSET(Objects!$HW$6,BW$1+(Objects!$Y$4-$A23-1)*Objects!$X$4,0)</f>
        <v>0</v>
      </c>
      <c r="BX23">
        <f ca="1">OFFSET(Objects!$HW$6,BX$1+(Objects!$Y$4-$A23-1)*Objects!$X$4,0)</f>
        <v>0</v>
      </c>
      <c r="BY23">
        <f ca="1">OFFSET(Objects!$HW$6,BY$1+(Objects!$Y$4-$A23-1)*Objects!$X$4,0)</f>
        <v>0</v>
      </c>
      <c r="BZ23">
        <f ca="1">OFFSET(Objects!$HW$6,BZ$1+(Objects!$Y$4-$A23-1)*Objects!$X$4,0)</f>
        <v>0</v>
      </c>
      <c r="CA23">
        <f ca="1">OFFSET(Objects!$HW$6,CA$1+(Objects!$Y$4-$A23-1)*Objects!$X$4,0)</f>
        <v>0</v>
      </c>
      <c r="CB23">
        <f ca="1">OFFSET(Objects!$HW$6,CB$1+(Objects!$Y$4-$A23-1)*Objects!$X$4,0)</f>
        <v>0</v>
      </c>
      <c r="CC23">
        <f ca="1">OFFSET(Objects!$HW$6,CC$1+(Objects!$Y$4-$A23-1)*Objects!$X$4,0)</f>
        <v>0</v>
      </c>
      <c r="CD23">
        <f ca="1">OFFSET(Objects!$HW$6,CD$1+(Objects!$Y$4-$A23-1)*Objects!$X$4,0)</f>
        <v>0</v>
      </c>
      <c r="CE23">
        <f ca="1">OFFSET(Objects!$HW$6,CE$1+(Objects!$Y$4-$A23-1)*Objects!$X$4,0)</f>
        <v>0</v>
      </c>
      <c r="CF23">
        <f ca="1">OFFSET(Objects!$HW$6,CF$1+(Objects!$Y$4-$A23-1)*Objects!$X$4,0)</f>
        <v>0</v>
      </c>
      <c r="CG23">
        <f ca="1">OFFSET(Objects!$HW$6,CG$1+(Objects!$Y$4-$A23-1)*Objects!$X$4,0)</f>
        <v>0</v>
      </c>
      <c r="CH23">
        <f ca="1">OFFSET(Objects!$HW$6,CH$1+(Objects!$Y$4-$A23-1)*Objects!$X$4,0)</f>
        <v>0</v>
      </c>
      <c r="CI23">
        <f ca="1">OFFSET(Objects!$HW$6,CI$1+(Objects!$Y$4-$A23-1)*Objects!$X$4,0)</f>
        <v>0</v>
      </c>
      <c r="CJ23">
        <f ca="1">OFFSET(Objects!$HW$6,CJ$1+(Objects!$Y$4-$A23-1)*Objects!$X$4,0)</f>
        <v>0</v>
      </c>
      <c r="CK23">
        <f ca="1">OFFSET(Objects!$HW$6,CK$1+(Objects!$Y$4-$A23-1)*Objects!$X$4,0)</f>
        <v>0</v>
      </c>
      <c r="CL23">
        <f ca="1">OFFSET(Objects!$HW$6,CL$1+(Objects!$Y$4-$A23-1)*Objects!$X$4,0)</f>
        <v>0</v>
      </c>
      <c r="CM23">
        <f ca="1">OFFSET(Objects!$HW$6,CM$1+(Objects!$Y$4-$A23-1)*Objects!$X$4,0)</f>
        <v>0</v>
      </c>
      <c r="CN23">
        <f ca="1">OFFSET(Objects!$HW$6,CN$1+(Objects!$Y$4-$A23-1)*Objects!$X$4,0)</f>
        <v>0</v>
      </c>
      <c r="CO23">
        <f ca="1">OFFSET(Objects!$HW$6,CO$1+(Objects!$Y$4-$A23-1)*Objects!$X$4,0)</f>
        <v>0</v>
      </c>
      <c r="CP23">
        <f ca="1">OFFSET(Objects!$HW$6,CP$1+(Objects!$Y$4-$A23-1)*Objects!$X$4,0)</f>
        <v>0</v>
      </c>
      <c r="CQ23">
        <f ca="1">OFFSET(Objects!$HW$6,CQ$1+(Objects!$Y$4-$A23-1)*Objects!$X$4,0)</f>
        <v>0</v>
      </c>
      <c r="CR23">
        <f ca="1">OFFSET(Objects!$HW$6,CR$1+(Objects!$Y$4-$A23-1)*Objects!$X$4,0)</f>
        <v>0</v>
      </c>
      <c r="CS23">
        <f ca="1">OFFSET(Objects!$HW$6,CS$1+(Objects!$Y$4-$A23-1)*Objects!$X$4,0)</f>
        <v>0</v>
      </c>
      <c r="CT23">
        <f ca="1">OFFSET(Objects!$HW$6,CT$1+(Objects!$Y$4-$A23-1)*Objects!$X$4,0)</f>
        <v>0</v>
      </c>
      <c r="CU23">
        <f ca="1">OFFSET(Objects!$HW$6,CU$1+(Objects!$Y$4-$A23-1)*Objects!$X$4,0)</f>
        <v>0</v>
      </c>
      <c r="CV23">
        <f ca="1">OFFSET(Objects!$HW$6,CV$1+(Objects!$Y$4-$A23-1)*Objects!$X$4,0)</f>
        <v>0</v>
      </c>
      <c r="CW23">
        <f ca="1">OFFSET(Objects!$HW$6,CW$1+(Objects!$Y$4-$A23-1)*Objects!$X$4,0)</f>
        <v>0</v>
      </c>
      <c r="CX23">
        <f ca="1">OFFSET(Objects!$HW$6,CX$1+(Objects!$Y$4-$A23-1)*Objects!$X$4,0)</f>
        <v>0</v>
      </c>
      <c r="CY23">
        <f ca="1">OFFSET(Objects!$HW$6,CY$1+(Objects!$Y$4-$A23-1)*Objects!$X$4,0)</f>
        <v>0</v>
      </c>
      <c r="CZ23">
        <f ca="1">OFFSET(Objects!$HW$6,CZ$1+(Objects!$Y$4-$A23-1)*Objects!$X$4,0)</f>
        <v>0</v>
      </c>
      <c r="DA23">
        <f ca="1">OFFSET(Objects!$HW$6,DA$1+(Objects!$Y$4-$A23-1)*Objects!$X$4,0)</f>
        <v>0</v>
      </c>
      <c r="DB23">
        <f ca="1">OFFSET(Objects!$HW$6,DB$1+(Objects!$Y$4-$A23-1)*Objects!$X$4,0)</f>
        <v>0</v>
      </c>
      <c r="DC23">
        <f ca="1">OFFSET(Objects!$HW$6,DC$1+(Objects!$Y$4-$A23-1)*Objects!$X$4,0)</f>
        <v>0</v>
      </c>
      <c r="DD23">
        <f ca="1">OFFSET(Objects!$HW$6,DD$1+(Objects!$Y$4-$A23-1)*Objects!$X$4,0)</f>
        <v>0</v>
      </c>
      <c r="DE23">
        <f ca="1">OFFSET(Objects!$HW$6,DE$1+(Objects!$Y$4-$A23-1)*Objects!$X$4,0)</f>
        <v>0</v>
      </c>
      <c r="DF23">
        <f ca="1">OFFSET(Objects!$HW$6,DF$1+(Objects!$Y$4-$A23-1)*Objects!$X$4,0)</f>
        <v>0</v>
      </c>
      <c r="DG23">
        <f ca="1">OFFSET(Objects!$HW$6,DG$1+(Objects!$Y$4-$A23-1)*Objects!$X$4,0)</f>
        <v>0</v>
      </c>
      <c r="DH23">
        <f ca="1">OFFSET(Objects!$HW$6,DH$1+(Objects!$Y$4-$A23-1)*Objects!$X$4,0)</f>
        <v>0</v>
      </c>
      <c r="DI23">
        <f ca="1">OFFSET(Objects!$HW$6,DI$1+(Objects!$Y$4-$A23-1)*Objects!$X$4,0)</f>
        <v>0</v>
      </c>
      <c r="DJ23">
        <f ca="1">OFFSET(Objects!$HW$6,DJ$1+(Objects!$Y$4-$A23-1)*Objects!$X$4,0)</f>
        <v>0</v>
      </c>
      <c r="DK23">
        <f ca="1">OFFSET(Objects!$HW$6,DK$1+(Objects!$Y$4-$A23-1)*Objects!$X$4,0)</f>
        <v>0</v>
      </c>
      <c r="DL23">
        <f ca="1">OFFSET(Objects!$HW$6,DL$1+(Objects!$Y$4-$A23-1)*Objects!$X$4,0)</f>
        <v>0</v>
      </c>
      <c r="DM23">
        <f ca="1">OFFSET(Objects!$HW$6,DM$1+(Objects!$Y$4-$A23-1)*Objects!$X$4,0)</f>
        <v>0</v>
      </c>
      <c r="DN23">
        <f ca="1">OFFSET(Objects!$HW$6,DN$1+(Objects!$Y$4-$A23-1)*Objects!$X$4,0)</f>
        <v>0</v>
      </c>
      <c r="DO23">
        <f ca="1">OFFSET(Objects!$HW$6,DO$1+(Objects!$Y$4-$A23-1)*Objects!$X$4,0)</f>
        <v>0</v>
      </c>
      <c r="DP23">
        <f ca="1">OFFSET(Objects!$HW$6,DP$1+(Objects!$Y$4-$A23-1)*Objects!$X$4,0)</f>
        <v>0</v>
      </c>
      <c r="DQ23">
        <f ca="1">OFFSET(Objects!$HW$6,DQ$1+(Objects!$Y$4-$A23-1)*Objects!$X$4,0)</f>
        <v>0</v>
      </c>
      <c r="DR23">
        <f ca="1">OFFSET(Objects!$HW$6,DR$1+(Objects!$Y$4-$A23-1)*Objects!$X$4,0)</f>
        <v>0</v>
      </c>
      <c r="DS23">
        <f ca="1">OFFSET(Objects!$HW$6,DS$1+(Objects!$Y$4-$A23-1)*Objects!$X$4,0)</f>
        <v>0</v>
      </c>
      <c r="DT23">
        <f ca="1">OFFSET(Objects!$HW$6,DT$1+(Objects!$Y$4-$A23-1)*Objects!$X$4,0)</f>
        <v>0</v>
      </c>
      <c r="DU23">
        <f ca="1">OFFSET(Objects!$HW$6,DU$1+(Objects!$Y$4-$A23-1)*Objects!$X$4,0)</f>
        <v>0</v>
      </c>
      <c r="DV23">
        <f ca="1">OFFSET(Objects!$HW$6,DV$1+(Objects!$Y$4-$A23-1)*Objects!$X$4,0)</f>
        <v>0</v>
      </c>
      <c r="DW23">
        <f ca="1">OFFSET(Objects!$HW$6,DW$1+(Objects!$Y$4-$A23-1)*Objects!$X$4,0)</f>
        <v>0</v>
      </c>
      <c r="DX23">
        <f ca="1">OFFSET(Objects!$HW$6,DX$1+(Objects!$Y$4-$A23-1)*Objects!$X$4,0)</f>
        <v>0</v>
      </c>
      <c r="DY23">
        <f ca="1">OFFSET(Objects!$HW$6,DY$1+(Objects!$Y$4-$A23-1)*Objects!$X$4,0)</f>
        <v>0</v>
      </c>
      <c r="DZ23">
        <f ca="1">OFFSET(Objects!$HW$6,DZ$1+(Objects!$Y$4-$A23-1)*Objects!$X$4,0)</f>
        <v>0</v>
      </c>
      <c r="EA23">
        <f ca="1">OFFSET(Objects!$HW$6,EA$1+(Objects!$Y$4-$A23-1)*Objects!$X$4,0)</f>
        <v>0</v>
      </c>
      <c r="EB23">
        <f ca="1">OFFSET(Objects!$HW$6,EB$1+(Objects!$Y$4-$A23-1)*Objects!$X$4,0)</f>
        <v>0</v>
      </c>
      <c r="EC23">
        <f ca="1">OFFSET(Objects!$HW$6,EC$1+(Objects!$Y$4-$A23-1)*Objects!$X$4,0)</f>
        <v>0</v>
      </c>
      <c r="ED23">
        <f ca="1">OFFSET(Objects!$HW$6,ED$1+(Objects!$Y$4-$A23-1)*Objects!$X$4,0)</f>
        <v>0</v>
      </c>
      <c r="EE23">
        <f ca="1">OFFSET(Objects!$HW$6,EE$1+(Objects!$Y$4-$A23-1)*Objects!$X$4,0)</f>
        <v>0</v>
      </c>
      <c r="EF23">
        <f ca="1">OFFSET(Objects!$HW$6,EF$1+(Objects!$Y$4-$A23-1)*Objects!$X$4,0)</f>
        <v>0</v>
      </c>
      <c r="EG23">
        <f ca="1">OFFSET(Objects!$HW$6,EG$1+(Objects!$Y$4-$A23-1)*Objects!$X$4,0)</f>
        <v>0</v>
      </c>
      <c r="EH23">
        <f ca="1">OFFSET(Objects!$HW$6,EH$1+(Objects!$Y$4-$A23-1)*Objects!$X$4,0)</f>
        <v>0</v>
      </c>
      <c r="EI23">
        <f ca="1">OFFSET(Objects!$HW$6,EI$1+(Objects!$Y$4-$A23-1)*Objects!$X$4,0)</f>
        <v>0</v>
      </c>
      <c r="EJ23">
        <f ca="1">OFFSET(Objects!$HW$6,EJ$1+(Objects!$Y$4-$A23-1)*Objects!$X$4,0)</f>
        <v>0</v>
      </c>
      <c r="EK23">
        <f ca="1">OFFSET(Objects!$HW$6,EK$1+(Objects!$Y$4-$A23-1)*Objects!$X$4,0)</f>
        <v>0</v>
      </c>
      <c r="EL23">
        <f ca="1">OFFSET(Objects!$HW$6,EL$1+(Objects!$Y$4-$A23-1)*Objects!$X$4,0)</f>
        <v>0</v>
      </c>
      <c r="EM23">
        <f ca="1">OFFSET(Objects!$HW$6,EM$1+(Objects!$Y$4-$A23-1)*Objects!$X$4,0)</f>
        <v>0</v>
      </c>
      <c r="EN23">
        <f ca="1">OFFSET(Objects!$HW$6,EN$1+(Objects!$Y$4-$A23-1)*Objects!$X$4,0)</f>
        <v>0</v>
      </c>
      <c r="EO23">
        <f ca="1">OFFSET(Objects!$HW$6,EO$1+(Objects!$Y$4-$A23-1)*Objects!$X$4,0)</f>
        <v>0</v>
      </c>
      <c r="EP23">
        <f ca="1">OFFSET(Objects!$HW$6,EP$1+(Objects!$Y$4-$A23-1)*Objects!$X$4,0)</f>
        <v>0</v>
      </c>
      <c r="EQ23">
        <f ca="1">OFFSET(Objects!$HW$6,EQ$1+(Objects!$Y$4-$A23-1)*Objects!$X$4,0)</f>
        <v>0</v>
      </c>
      <c r="ER23">
        <f ca="1">OFFSET(Objects!$HW$6,ER$1+(Objects!$Y$4-$A23-1)*Objects!$X$4,0)</f>
        <v>0</v>
      </c>
      <c r="ES23">
        <f ca="1">OFFSET(Objects!$HW$6,ES$1+(Objects!$Y$4-$A23-1)*Objects!$X$4,0)</f>
        <v>0</v>
      </c>
      <c r="ET23">
        <f ca="1">OFFSET(Objects!$HW$6,ET$1+(Objects!$Y$4-$A23-1)*Objects!$X$4,0)</f>
        <v>0</v>
      </c>
      <c r="EU23">
        <f ca="1">OFFSET(Objects!$HW$6,EU$1+(Objects!$Y$4-$A23-1)*Objects!$X$4,0)</f>
        <v>0</v>
      </c>
      <c r="EV23">
        <f ca="1">OFFSET(Objects!$HW$6,EV$1+(Objects!$Y$4-$A23-1)*Objects!$X$4,0)</f>
        <v>0</v>
      </c>
      <c r="EW23">
        <f ca="1">OFFSET(Objects!$HW$6,EW$1+(Objects!$Y$4-$A23-1)*Objects!$X$4,0)</f>
        <v>0</v>
      </c>
      <c r="EX23">
        <f ca="1">OFFSET(Objects!$HW$6,EX$1+(Objects!$Y$4-$A23-1)*Objects!$X$4,0)</f>
        <v>0</v>
      </c>
      <c r="EY23">
        <f ca="1">OFFSET(Objects!$HW$6,EY$1+(Objects!$Y$4-$A23-1)*Objects!$X$4,0)</f>
        <v>0</v>
      </c>
      <c r="EZ23">
        <f ca="1">OFFSET(Objects!$HW$6,EZ$1+(Objects!$Y$4-$A23-1)*Objects!$X$4,0)</f>
        <v>0</v>
      </c>
      <c r="FA23">
        <f ca="1">OFFSET(Objects!$HW$6,FA$1+(Objects!$Y$4-$A23-1)*Objects!$X$4,0)</f>
        <v>0</v>
      </c>
      <c r="FB23">
        <f ca="1">OFFSET(Objects!$HW$6,FB$1+(Objects!$Y$4-$A23-1)*Objects!$X$4,0)</f>
        <v>0</v>
      </c>
      <c r="FC23">
        <f ca="1">OFFSET(Objects!$HW$6,FC$1+(Objects!$Y$4-$A23-1)*Objects!$X$4,0)</f>
        <v>0</v>
      </c>
      <c r="FD23">
        <f ca="1">OFFSET(Objects!$HW$6,FD$1+(Objects!$Y$4-$A23-1)*Objects!$X$4,0)</f>
        <v>0</v>
      </c>
      <c r="FE23" s="22">
        <f ca="1">OFFSET(Objects!$HW$6,FE$1+(Objects!$Y$4-$A23-1)*Objects!$X$4,0)</f>
        <v>0</v>
      </c>
    </row>
    <row r="24" spans="1:161" ht="4.5" customHeight="1" x14ac:dyDescent="0.25">
      <c r="A24">
        <v>22</v>
      </c>
      <c r="B24" s="21">
        <f ca="1">OFFSET(Objects!$HW$6,B$1+(Objects!$Y$4-$A24-1)*Objects!$X$4,0)</f>
        <v>0</v>
      </c>
      <c r="C24">
        <f ca="1">OFFSET(Objects!$HW$6,C$1+(Objects!$Y$4-$A24-1)*Objects!$X$4,0)</f>
        <v>0</v>
      </c>
      <c r="D24">
        <f ca="1">OFFSET(Objects!$HW$6,D$1+(Objects!$Y$4-$A24-1)*Objects!$X$4,0)</f>
        <v>0</v>
      </c>
      <c r="E24">
        <f ca="1">OFFSET(Objects!$HW$6,E$1+(Objects!$Y$4-$A24-1)*Objects!$X$4,0)</f>
        <v>0</v>
      </c>
      <c r="F24">
        <f ca="1">OFFSET(Objects!$HW$6,F$1+(Objects!$Y$4-$A24-1)*Objects!$X$4,0)</f>
        <v>0</v>
      </c>
      <c r="G24">
        <f ca="1">OFFSET(Objects!$HW$6,G$1+(Objects!$Y$4-$A24-1)*Objects!$X$4,0)</f>
        <v>0</v>
      </c>
      <c r="H24">
        <f ca="1">OFFSET(Objects!$HW$6,H$1+(Objects!$Y$4-$A24-1)*Objects!$X$4,0)</f>
        <v>0</v>
      </c>
      <c r="I24">
        <f ca="1">OFFSET(Objects!$HW$6,I$1+(Objects!$Y$4-$A24-1)*Objects!$X$4,0)</f>
        <v>0</v>
      </c>
      <c r="J24">
        <f ca="1">OFFSET(Objects!$HW$6,J$1+(Objects!$Y$4-$A24-1)*Objects!$X$4,0)</f>
        <v>0</v>
      </c>
      <c r="K24">
        <f ca="1">OFFSET(Objects!$HW$6,K$1+(Objects!$Y$4-$A24-1)*Objects!$X$4,0)</f>
        <v>0</v>
      </c>
      <c r="L24">
        <f ca="1">OFFSET(Objects!$HW$6,L$1+(Objects!$Y$4-$A24-1)*Objects!$X$4,0)</f>
        <v>0</v>
      </c>
      <c r="M24">
        <f ca="1">OFFSET(Objects!$HW$6,M$1+(Objects!$Y$4-$A24-1)*Objects!$X$4,0)</f>
        <v>0</v>
      </c>
      <c r="N24">
        <f ca="1">OFFSET(Objects!$HW$6,N$1+(Objects!$Y$4-$A24-1)*Objects!$X$4,0)</f>
        <v>0</v>
      </c>
      <c r="O24">
        <f ca="1">OFFSET(Objects!$HW$6,O$1+(Objects!$Y$4-$A24-1)*Objects!$X$4,0)</f>
        <v>0</v>
      </c>
      <c r="P24">
        <f ca="1">OFFSET(Objects!$HW$6,P$1+(Objects!$Y$4-$A24-1)*Objects!$X$4,0)</f>
        <v>0</v>
      </c>
      <c r="Q24">
        <f ca="1">OFFSET(Objects!$HW$6,Q$1+(Objects!$Y$4-$A24-1)*Objects!$X$4,0)</f>
        <v>0</v>
      </c>
      <c r="R24">
        <f ca="1">OFFSET(Objects!$HW$6,R$1+(Objects!$Y$4-$A24-1)*Objects!$X$4,0)</f>
        <v>0</v>
      </c>
      <c r="S24">
        <f ca="1">OFFSET(Objects!$HW$6,S$1+(Objects!$Y$4-$A24-1)*Objects!$X$4,0)</f>
        <v>0</v>
      </c>
      <c r="T24">
        <f ca="1">OFFSET(Objects!$HW$6,T$1+(Objects!$Y$4-$A24-1)*Objects!$X$4,0)</f>
        <v>0</v>
      </c>
      <c r="U24">
        <f ca="1">OFFSET(Objects!$HW$6,U$1+(Objects!$Y$4-$A24-1)*Objects!$X$4,0)</f>
        <v>0</v>
      </c>
      <c r="V24">
        <f ca="1">OFFSET(Objects!$HW$6,V$1+(Objects!$Y$4-$A24-1)*Objects!$X$4,0)</f>
        <v>0</v>
      </c>
      <c r="W24">
        <f ca="1">OFFSET(Objects!$HW$6,W$1+(Objects!$Y$4-$A24-1)*Objects!$X$4,0)</f>
        <v>0</v>
      </c>
      <c r="X24">
        <f ca="1">OFFSET(Objects!$HW$6,X$1+(Objects!$Y$4-$A24-1)*Objects!$X$4,0)</f>
        <v>0</v>
      </c>
      <c r="Y24">
        <f ca="1">OFFSET(Objects!$HW$6,Y$1+(Objects!$Y$4-$A24-1)*Objects!$X$4,0)</f>
        <v>0</v>
      </c>
      <c r="Z24">
        <f ca="1">OFFSET(Objects!$HW$6,Z$1+(Objects!$Y$4-$A24-1)*Objects!$X$4,0)</f>
        <v>0</v>
      </c>
      <c r="AA24">
        <f ca="1">OFFSET(Objects!$HW$6,AA$1+(Objects!$Y$4-$A24-1)*Objects!$X$4,0)</f>
        <v>0</v>
      </c>
      <c r="AB24">
        <f ca="1">OFFSET(Objects!$HW$6,AB$1+(Objects!$Y$4-$A24-1)*Objects!$X$4,0)</f>
        <v>0</v>
      </c>
      <c r="AC24">
        <f ca="1">OFFSET(Objects!$HW$6,AC$1+(Objects!$Y$4-$A24-1)*Objects!$X$4,0)</f>
        <v>0</v>
      </c>
      <c r="AD24">
        <f ca="1">OFFSET(Objects!$HW$6,AD$1+(Objects!$Y$4-$A24-1)*Objects!$X$4,0)</f>
        <v>0</v>
      </c>
      <c r="AE24">
        <f ca="1">OFFSET(Objects!$HW$6,AE$1+(Objects!$Y$4-$A24-1)*Objects!$X$4,0)</f>
        <v>0</v>
      </c>
      <c r="AF24">
        <f ca="1">OFFSET(Objects!$HW$6,AF$1+(Objects!$Y$4-$A24-1)*Objects!$X$4,0)</f>
        <v>0</v>
      </c>
      <c r="AG24">
        <f ca="1">OFFSET(Objects!$HW$6,AG$1+(Objects!$Y$4-$A24-1)*Objects!$X$4,0)</f>
        <v>0</v>
      </c>
      <c r="AH24">
        <f ca="1">OFFSET(Objects!$HW$6,AH$1+(Objects!$Y$4-$A24-1)*Objects!$X$4,0)</f>
        <v>0</v>
      </c>
      <c r="AI24">
        <f ca="1">OFFSET(Objects!$HW$6,AI$1+(Objects!$Y$4-$A24-1)*Objects!$X$4,0)</f>
        <v>0</v>
      </c>
      <c r="AJ24">
        <f ca="1">OFFSET(Objects!$HW$6,AJ$1+(Objects!$Y$4-$A24-1)*Objects!$X$4,0)</f>
        <v>0</v>
      </c>
      <c r="AK24">
        <f ca="1">OFFSET(Objects!$HW$6,AK$1+(Objects!$Y$4-$A24-1)*Objects!$X$4,0)</f>
        <v>0</v>
      </c>
      <c r="AL24">
        <f ca="1">OFFSET(Objects!$HW$6,AL$1+(Objects!$Y$4-$A24-1)*Objects!$X$4,0)</f>
        <v>0</v>
      </c>
      <c r="AM24">
        <f ca="1">OFFSET(Objects!$HW$6,AM$1+(Objects!$Y$4-$A24-1)*Objects!$X$4,0)</f>
        <v>0</v>
      </c>
      <c r="AN24">
        <f ca="1">OFFSET(Objects!$HW$6,AN$1+(Objects!$Y$4-$A24-1)*Objects!$X$4,0)</f>
        <v>0</v>
      </c>
      <c r="AO24">
        <f ca="1">OFFSET(Objects!$HW$6,AO$1+(Objects!$Y$4-$A24-1)*Objects!$X$4,0)</f>
        <v>0</v>
      </c>
      <c r="AP24">
        <f ca="1">OFFSET(Objects!$HW$6,AP$1+(Objects!$Y$4-$A24-1)*Objects!$X$4,0)</f>
        <v>0</v>
      </c>
      <c r="AQ24">
        <f ca="1">OFFSET(Objects!$HW$6,AQ$1+(Objects!$Y$4-$A24-1)*Objects!$X$4,0)</f>
        <v>0</v>
      </c>
      <c r="AR24">
        <f ca="1">OFFSET(Objects!$HW$6,AR$1+(Objects!$Y$4-$A24-1)*Objects!$X$4,0)</f>
        <v>0</v>
      </c>
      <c r="AS24">
        <f ca="1">OFFSET(Objects!$HW$6,AS$1+(Objects!$Y$4-$A24-1)*Objects!$X$4,0)</f>
        <v>0</v>
      </c>
      <c r="AT24">
        <f ca="1">OFFSET(Objects!$HW$6,AT$1+(Objects!$Y$4-$A24-1)*Objects!$X$4,0)</f>
        <v>0</v>
      </c>
      <c r="AU24">
        <f ca="1">OFFSET(Objects!$HW$6,AU$1+(Objects!$Y$4-$A24-1)*Objects!$X$4,0)</f>
        <v>0</v>
      </c>
      <c r="AV24">
        <f ca="1">OFFSET(Objects!$HW$6,AV$1+(Objects!$Y$4-$A24-1)*Objects!$X$4,0)</f>
        <v>0</v>
      </c>
      <c r="AW24">
        <f ca="1">OFFSET(Objects!$HW$6,AW$1+(Objects!$Y$4-$A24-1)*Objects!$X$4,0)</f>
        <v>0</v>
      </c>
      <c r="AX24">
        <f ca="1">OFFSET(Objects!$HW$6,AX$1+(Objects!$Y$4-$A24-1)*Objects!$X$4,0)</f>
        <v>0</v>
      </c>
      <c r="AY24">
        <f ca="1">OFFSET(Objects!$HW$6,AY$1+(Objects!$Y$4-$A24-1)*Objects!$X$4,0)</f>
        <v>0</v>
      </c>
      <c r="AZ24">
        <f ca="1">OFFSET(Objects!$HW$6,AZ$1+(Objects!$Y$4-$A24-1)*Objects!$X$4,0)</f>
        <v>0</v>
      </c>
      <c r="BA24">
        <f ca="1">OFFSET(Objects!$HW$6,BA$1+(Objects!$Y$4-$A24-1)*Objects!$X$4,0)</f>
        <v>0</v>
      </c>
      <c r="BB24">
        <f ca="1">OFFSET(Objects!$HW$6,BB$1+(Objects!$Y$4-$A24-1)*Objects!$X$4,0)</f>
        <v>0</v>
      </c>
      <c r="BC24">
        <f ca="1">OFFSET(Objects!$HW$6,BC$1+(Objects!$Y$4-$A24-1)*Objects!$X$4,0)</f>
        <v>0</v>
      </c>
      <c r="BD24">
        <f ca="1">OFFSET(Objects!$HW$6,BD$1+(Objects!$Y$4-$A24-1)*Objects!$X$4,0)</f>
        <v>0</v>
      </c>
      <c r="BE24">
        <f ca="1">OFFSET(Objects!$HW$6,BE$1+(Objects!$Y$4-$A24-1)*Objects!$X$4,0)</f>
        <v>0</v>
      </c>
      <c r="BF24">
        <f ca="1">OFFSET(Objects!$HW$6,BF$1+(Objects!$Y$4-$A24-1)*Objects!$X$4,0)</f>
        <v>0</v>
      </c>
      <c r="BG24">
        <f ca="1">OFFSET(Objects!$HW$6,BG$1+(Objects!$Y$4-$A24-1)*Objects!$X$4,0)</f>
        <v>0</v>
      </c>
      <c r="BH24">
        <f ca="1">OFFSET(Objects!$HW$6,BH$1+(Objects!$Y$4-$A24-1)*Objects!$X$4,0)</f>
        <v>0</v>
      </c>
      <c r="BI24">
        <f ca="1">OFFSET(Objects!$HW$6,BI$1+(Objects!$Y$4-$A24-1)*Objects!$X$4,0)</f>
        <v>0</v>
      </c>
      <c r="BJ24">
        <f ca="1">OFFSET(Objects!$HW$6,BJ$1+(Objects!$Y$4-$A24-1)*Objects!$X$4,0)</f>
        <v>0</v>
      </c>
      <c r="BK24">
        <f ca="1">OFFSET(Objects!$HW$6,BK$1+(Objects!$Y$4-$A24-1)*Objects!$X$4,0)</f>
        <v>0</v>
      </c>
      <c r="BL24">
        <f ca="1">OFFSET(Objects!$HW$6,BL$1+(Objects!$Y$4-$A24-1)*Objects!$X$4,0)</f>
        <v>0</v>
      </c>
      <c r="BM24">
        <f ca="1">OFFSET(Objects!$HW$6,BM$1+(Objects!$Y$4-$A24-1)*Objects!$X$4,0)</f>
        <v>0</v>
      </c>
      <c r="BN24">
        <f ca="1">OFFSET(Objects!$HW$6,BN$1+(Objects!$Y$4-$A24-1)*Objects!$X$4,0)</f>
        <v>0</v>
      </c>
      <c r="BO24">
        <f ca="1">OFFSET(Objects!$HW$6,BO$1+(Objects!$Y$4-$A24-1)*Objects!$X$4,0)</f>
        <v>0</v>
      </c>
      <c r="BP24">
        <f ca="1">OFFSET(Objects!$HW$6,BP$1+(Objects!$Y$4-$A24-1)*Objects!$X$4,0)</f>
        <v>0</v>
      </c>
      <c r="BQ24">
        <f ca="1">OFFSET(Objects!$HW$6,BQ$1+(Objects!$Y$4-$A24-1)*Objects!$X$4,0)</f>
        <v>0</v>
      </c>
      <c r="BR24">
        <f ca="1">OFFSET(Objects!$HW$6,BR$1+(Objects!$Y$4-$A24-1)*Objects!$X$4,0)</f>
        <v>0</v>
      </c>
      <c r="BS24">
        <f ca="1">OFFSET(Objects!$HW$6,BS$1+(Objects!$Y$4-$A24-1)*Objects!$X$4,0)</f>
        <v>0</v>
      </c>
      <c r="BT24">
        <f ca="1">OFFSET(Objects!$HW$6,BT$1+(Objects!$Y$4-$A24-1)*Objects!$X$4,0)</f>
        <v>0</v>
      </c>
      <c r="BU24">
        <f ca="1">OFFSET(Objects!$HW$6,BU$1+(Objects!$Y$4-$A24-1)*Objects!$X$4,0)</f>
        <v>0</v>
      </c>
      <c r="BV24">
        <f ca="1">OFFSET(Objects!$HW$6,BV$1+(Objects!$Y$4-$A24-1)*Objects!$X$4,0)</f>
        <v>0</v>
      </c>
      <c r="BW24">
        <f ca="1">OFFSET(Objects!$HW$6,BW$1+(Objects!$Y$4-$A24-1)*Objects!$X$4,0)</f>
        <v>0</v>
      </c>
      <c r="BX24">
        <f ca="1">OFFSET(Objects!$HW$6,BX$1+(Objects!$Y$4-$A24-1)*Objects!$X$4,0)</f>
        <v>0</v>
      </c>
      <c r="BY24">
        <f ca="1">OFFSET(Objects!$HW$6,BY$1+(Objects!$Y$4-$A24-1)*Objects!$X$4,0)</f>
        <v>0</v>
      </c>
      <c r="BZ24">
        <f ca="1">OFFSET(Objects!$HW$6,BZ$1+(Objects!$Y$4-$A24-1)*Objects!$X$4,0)</f>
        <v>0</v>
      </c>
      <c r="CA24">
        <f ca="1">OFFSET(Objects!$HW$6,CA$1+(Objects!$Y$4-$A24-1)*Objects!$X$4,0)</f>
        <v>0</v>
      </c>
      <c r="CB24">
        <f ca="1">OFFSET(Objects!$HW$6,CB$1+(Objects!$Y$4-$A24-1)*Objects!$X$4,0)</f>
        <v>0</v>
      </c>
      <c r="CC24">
        <f ca="1">OFFSET(Objects!$HW$6,CC$1+(Objects!$Y$4-$A24-1)*Objects!$X$4,0)</f>
        <v>0</v>
      </c>
      <c r="CD24">
        <f ca="1">OFFSET(Objects!$HW$6,CD$1+(Objects!$Y$4-$A24-1)*Objects!$X$4,0)</f>
        <v>0</v>
      </c>
      <c r="CE24">
        <f ca="1">OFFSET(Objects!$HW$6,CE$1+(Objects!$Y$4-$A24-1)*Objects!$X$4,0)</f>
        <v>0</v>
      </c>
      <c r="CF24">
        <f ca="1">OFFSET(Objects!$HW$6,CF$1+(Objects!$Y$4-$A24-1)*Objects!$X$4,0)</f>
        <v>0</v>
      </c>
      <c r="CG24">
        <f ca="1">OFFSET(Objects!$HW$6,CG$1+(Objects!$Y$4-$A24-1)*Objects!$X$4,0)</f>
        <v>0</v>
      </c>
      <c r="CH24">
        <f ca="1">OFFSET(Objects!$HW$6,CH$1+(Objects!$Y$4-$A24-1)*Objects!$X$4,0)</f>
        <v>0</v>
      </c>
      <c r="CI24">
        <f ca="1">OFFSET(Objects!$HW$6,CI$1+(Objects!$Y$4-$A24-1)*Objects!$X$4,0)</f>
        <v>0</v>
      </c>
      <c r="CJ24">
        <f ca="1">OFFSET(Objects!$HW$6,CJ$1+(Objects!$Y$4-$A24-1)*Objects!$X$4,0)</f>
        <v>0</v>
      </c>
      <c r="CK24">
        <f ca="1">OFFSET(Objects!$HW$6,CK$1+(Objects!$Y$4-$A24-1)*Objects!$X$4,0)</f>
        <v>0</v>
      </c>
      <c r="CL24">
        <f ca="1">OFFSET(Objects!$HW$6,CL$1+(Objects!$Y$4-$A24-1)*Objects!$X$4,0)</f>
        <v>0</v>
      </c>
      <c r="CM24">
        <f ca="1">OFFSET(Objects!$HW$6,CM$1+(Objects!$Y$4-$A24-1)*Objects!$X$4,0)</f>
        <v>0</v>
      </c>
      <c r="CN24">
        <f ca="1">OFFSET(Objects!$HW$6,CN$1+(Objects!$Y$4-$A24-1)*Objects!$X$4,0)</f>
        <v>0</v>
      </c>
      <c r="CO24">
        <f ca="1">OFFSET(Objects!$HW$6,CO$1+(Objects!$Y$4-$A24-1)*Objects!$X$4,0)</f>
        <v>0</v>
      </c>
      <c r="CP24">
        <f ca="1">OFFSET(Objects!$HW$6,CP$1+(Objects!$Y$4-$A24-1)*Objects!$X$4,0)</f>
        <v>0</v>
      </c>
      <c r="CQ24">
        <f ca="1">OFFSET(Objects!$HW$6,CQ$1+(Objects!$Y$4-$A24-1)*Objects!$X$4,0)</f>
        <v>0</v>
      </c>
      <c r="CR24">
        <f ca="1">OFFSET(Objects!$HW$6,CR$1+(Objects!$Y$4-$A24-1)*Objects!$X$4,0)</f>
        <v>0</v>
      </c>
      <c r="CS24">
        <f ca="1">OFFSET(Objects!$HW$6,CS$1+(Objects!$Y$4-$A24-1)*Objects!$X$4,0)</f>
        <v>0</v>
      </c>
      <c r="CT24">
        <f ca="1">OFFSET(Objects!$HW$6,CT$1+(Objects!$Y$4-$A24-1)*Objects!$X$4,0)</f>
        <v>0</v>
      </c>
      <c r="CU24">
        <f ca="1">OFFSET(Objects!$HW$6,CU$1+(Objects!$Y$4-$A24-1)*Objects!$X$4,0)</f>
        <v>0</v>
      </c>
      <c r="CV24">
        <f ca="1">OFFSET(Objects!$HW$6,CV$1+(Objects!$Y$4-$A24-1)*Objects!$X$4,0)</f>
        <v>0</v>
      </c>
      <c r="CW24">
        <f ca="1">OFFSET(Objects!$HW$6,CW$1+(Objects!$Y$4-$A24-1)*Objects!$X$4,0)</f>
        <v>0</v>
      </c>
      <c r="CX24">
        <f ca="1">OFFSET(Objects!$HW$6,CX$1+(Objects!$Y$4-$A24-1)*Objects!$X$4,0)</f>
        <v>0</v>
      </c>
      <c r="CY24">
        <f ca="1">OFFSET(Objects!$HW$6,CY$1+(Objects!$Y$4-$A24-1)*Objects!$X$4,0)</f>
        <v>0</v>
      </c>
      <c r="CZ24">
        <f ca="1">OFFSET(Objects!$HW$6,CZ$1+(Objects!$Y$4-$A24-1)*Objects!$X$4,0)</f>
        <v>0</v>
      </c>
      <c r="DA24">
        <f ca="1">OFFSET(Objects!$HW$6,DA$1+(Objects!$Y$4-$A24-1)*Objects!$X$4,0)</f>
        <v>0</v>
      </c>
      <c r="DB24">
        <f ca="1">OFFSET(Objects!$HW$6,DB$1+(Objects!$Y$4-$A24-1)*Objects!$X$4,0)</f>
        <v>0</v>
      </c>
      <c r="DC24">
        <f ca="1">OFFSET(Objects!$HW$6,DC$1+(Objects!$Y$4-$A24-1)*Objects!$X$4,0)</f>
        <v>0</v>
      </c>
      <c r="DD24">
        <f ca="1">OFFSET(Objects!$HW$6,DD$1+(Objects!$Y$4-$A24-1)*Objects!$X$4,0)</f>
        <v>0</v>
      </c>
      <c r="DE24">
        <f ca="1">OFFSET(Objects!$HW$6,DE$1+(Objects!$Y$4-$A24-1)*Objects!$X$4,0)</f>
        <v>0</v>
      </c>
      <c r="DF24">
        <f ca="1">OFFSET(Objects!$HW$6,DF$1+(Objects!$Y$4-$A24-1)*Objects!$X$4,0)</f>
        <v>0</v>
      </c>
      <c r="DG24">
        <f ca="1">OFFSET(Objects!$HW$6,DG$1+(Objects!$Y$4-$A24-1)*Objects!$X$4,0)</f>
        <v>0</v>
      </c>
      <c r="DH24">
        <f ca="1">OFFSET(Objects!$HW$6,DH$1+(Objects!$Y$4-$A24-1)*Objects!$X$4,0)</f>
        <v>0</v>
      </c>
      <c r="DI24">
        <f ca="1">OFFSET(Objects!$HW$6,DI$1+(Objects!$Y$4-$A24-1)*Objects!$X$4,0)</f>
        <v>0</v>
      </c>
      <c r="DJ24">
        <f ca="1">OFFSET(Objects!$HW$6,DJ$1+(Objects!$Y$4-$A24-1)*Objects!$X$4,0)</f>
        <v>0</v>
      </c>
      <c r="DK24">
        <f ca="1">OFFSET(Objects!$HW$6,DK$1+(Objects!$Y$4-$A24-1)*Objects!$X$4,0)</f>
        <v>0</v>
      </c>
      <c r="DL24">
        <f ca="1">OFFSET(Objects!$HW$6,DL$1+(Objects!$Y$4-$A24-1)*Objects!$X$4,0)</f>
        <v>0</v>
      </c>
      <c r="DM24">
        <f ca="1">OFFSET(Objects!$HW$6,DM$1+(Objects!$Y$4-$A24-1)*Objects!$X$4,0)</f>
        <v>0</v>
      </c>
      <c r="DN24">
        <f ca="1">OFFSET(Objects!$HW$6,DN$1+(Objects!$Y$4-$A24-1)*Objects!$X$4,0)</f>
        <v>0</v>
      </c>
      <c r="DO24">
        <f ca="1">OFFSET(Objects!$HW$6,DO$1+(Objects!$Y$4-$A24-1)*Objects!$X$4,0)</f>
        <v>0</v>
      </c>
      <c r="DP24">
        <f ca="1">OFFSET(Objects!$HW$6,DP$1+(Objects!$Y$4-$A24-1)*Objects!$X$4,0)</f>
        <v>0</v>
      </c>
      <c r="DQ24">
        <f ca="1">OFFSET(Objects!$HW$6,DQ$1+(Objects!$Y$4-$A24-1)*Objects!$X$4,0)</f>
        <v>0</v>
      </c>
      <c r="DR24">
        <f ca="1">OFFSET(Objects!$HW$6,DR$1+(Objects!$Y$4-$A24-1)*Objects!$X$4,0)</f>
        <v>0</v>
      </c>
      <c r="DS24">
        <f ca="1">OFFSET(Objects!$HW$6,DS$1+(Objects!$Y$4-$A24-1)*Objects!$X$4,0)</f>
        <v>0</v>
      </c>
      <c r="DT24">
        <f ca="1">OFFSET(Objects!$HW$6,DT$1+(Objects!$Y$4-$A24-1)*Objects!$X$4,0)</f>
        <v>0</v>
      </c>
      <c r="DU24">
        <f ca="1">OFFSET(Objects!$HW$6,DU$1+(Objects!$Y$4-$A24-1)*Objects!$X$4,0)</f>
        <v>0</v>
      </c>
      <c r="DV24">
        <f ca="1">OFFSET(Objects!$HW$6,DV$1+(Objects!$Y$4-$A24-1)*Objects!$X$4,0)</f>
        <v>0</v>
      </c>
      <c r="DW24">
        <f ca="1">OFFSET(Objects!$HW$6,DW$1+(Objects!$Y$4-$A24-1)*Objects!$X$4,0)</f>
        <v>0</v>
      </c>
      <c r="DX24">
        <f ca="1">OFFSET(Objects!$HW$6,DX$1+(Objects!$Y$4-$A24-1)*Objects!$X$4,0)</f>
        <v>0</v>
      </c>
      <c r="DY24">
        <f ca="1">OFFSET(Objects!$HW$6,DY$1+(Objects!$Y$4-$A24-1)*Objects!$X$4,0)</f>
        <v>0</v>
      </c>
      <c r="DZ24">
        <f ca="1">OFFSET(Objects!$HW$6,DZ$1+(Objects!$Y$4-$A24-1)*Objects!$X$4,0)</f>
        <v>0</v>
      </c>
      <c r="EA24">
        <f ca="1">OFFSET(Objects!$HW$6,EA$1+(Objects!$Y$4-$A24-1)*Objects!$X$4,0)</f>
        <v>0</v>
      </c>
      <c r="EB24">
        <f ca="1">OFFSET(Objects!$HW$6,EB$1+(Objects!$Y$4-$A24-1)*Objects!$X$4,0)</f>
        <v>0</v>
      </c>
      <c r="EC24">
        <f ca="1">OFFSET(Objects!$HW$6,EC$1+(Objects!$Y$4-$A24-1)*Objects!$X$4,0)</f>
        <v>0</v>
      </c>
      <c r="ED24">
        <f ca="1">OFFSET(Objects!$HW$6,ED$1+(Objects!$Y$4-$A24-1)*Objects!$X$4,0)</f>
        <v>0</v>
      </c>
      <c r="EE24">
        <f ca="1">OFFSET(Objects!$HW$6,EE$1+(Objects!$Y$4-$A24-1)*Objects!$X$4,0)</f>
        <v>0</v>
      </c>
      <c r="EF24">
        <f ca="1">OFFSET(Objects!$HW$6,EF$1+(Objects!$Y$4-$A24-1)*Objects!$X$4,0)</f>
        <v>0</v>
      </c>
      <c r="EG24">
        <f ca="1">OFFSET(Objects!$HW$6,EG$1+(Objects!$Y$4-$A24-1)*Objects!$X$4,0)</f>
        <v>0</v>
      </c>
      <c r="EH24">
        <f ca="1">OFFSET(Objects!$HW$6,EH$1+(Objects!$Y$4-$A24-1)*Objects!$X$4,0)</f>
        <v>0</v>
      </c>
      <c r="EI24">
        <f ca="1">OFFSET(Objects!$HW$6,EI$1+(Objects!$Y$4-$A24-1)*Objects!$X$4,0)</f>
        <v>0</v>
      </c>
      <c r="EJ24">
        <f ca="1">OFFSET(Objects!$HW$6,EJ$1+(Objects!$Y$4-$A24-1)*Objects!$X$4,0)</f>
        <v>0</v>
      </c>
      <c r="EK24">
        <f ca="1">OFFSET(Objects!$HW$6,EK$1+(Objects!$Y$4-$A24-1)*Objects!$X$4,0)</f>
        <v>0</v>
      </c>
      <c r="EL24">
        <f ca="1">OFFSET(Objects!$HW$6,EL$1+(Objects!$Y$4-$A24-1)*Objects!$X$4,0)</f>
        <v>0</v>
      </c>
      <c r="EM24">
        <f ca="1">OFFSET(Objects!$HW$6,EM$1+(Objects!$Y$4-$A24-1)*Objects!$X$4,0)</f>
        <v>0</v>
      </c>
      <c r="EN24">
        <f ca="1">OFFSET(Objects!$HW$6,EN$1+(Objects!$Y$4-$A24-1)*Objects!$X$4,0)</f>
        <v>0</v>
      </c>
      <c r="EO24">
        <f ca="1">OFFSET(Objects!$HW$6,EO$1+(Objects!$Y$4-$A24-1)*Objects!$X$4,0)</f>
        <v>0</v>
      </c>
      <c r="EP24">
        <f ca="1">OFFSET(Objects!$HW$6,EP$1+(Objects!$Y$4-$A24-1)*Objects!$X$4,0)</f>
        <v>0</v>
      </c>
      <c r="EQ24">
        <f ca="1">OFFSET(Objects!$HW$6,EQ$1+(Objects!$Y$4-$A24-1)*Objects!$X$4,0)</f>
        <v>0</v>
      </c>
      <c r="ER24">
        <f ca="1">OFFSET(Objects!$HW$6,ER$1+(Objects!$Y$4-$A24-1)*Objects!$X$4,0)</f>
        <v>0</v>
      </c>
      <c r="ES24">
        <f ca="1">OFFSET(Objects!$HW$6,ES$1+(Objects!$Y$4-$A24-1)*Objects!$X$4,0)</f>
        <v>0</v>
      </c>
      <c r="ET24">
        <f ca="1">OFFSET(Objects!$HW$6,ET$1+(Objects!$Y$4-$A24-1)*Objects!$X$4,0)</f>
        <v>0</v>
      </c>
      <c r="EU24">
        <f ca="1">OFFSET(Objects!$HW$6,EU$1+(Objects!$Y$4-$A24-1)*Objects!$X$4,0)</f>
        <v>0</v>
      </c>
      <c r="EV24">
        <f ca="1">OFFSET(Objects!$HW$6,EV$1+(Objects!$Y$4-$A24-1)*Objects!$X$4,0)</f>
        <v>0</v>
      </c>
      <c r="EW24">
        <f ca="1">OFFSET(Objects!$HW$6,EW$1+(Objects!$Y$4-$A24-1)*Objects!$X$4,0)</f>
        <v>0</v>
      </c>
      <c r="EX24">
        <f ca="1">OFFSET(Objects!$HW$6,EX$1+(Objects!$Y$4-$A24-1)*Objects!$X$4,0)</f>
        <v>0</v>
      </c>
      <c r="EY24">
        <f ca="1">OFFSET(Objects!$HW$6,EY$1+(Objects!$Y$4-$A24-1)*Objects!$X$4,0)</f>
        <v>0</v>
      </c>
      <c r="EZ24">
        <f ca="1">OFFSET(Objects!$HW$6,EZ$1+(Objects!$Y$4-$A24-1)*Objects!$X$4,0)</f>
        <v>0</v>
      </c>
      <c r="FA24">
        <f ca="1">OFFSET(Objects!$HW$6,FA$1+(Objects!$Y$4-$A24-1)*Objects!$X$4,0)</f>
        <v>0</v>
      </c>
      <c r="FB24">
        <f ca="1">OFFSET(Objects!$HW$6,FB$1+(Objects!$Y$4-$A24-1)*Objects!$X$4,0)</f>
        <v>0</v>
      </c>
      <c r="FC24">
        <f ca="1">OFFSET(Objects!$HW$6,FC$1+(Objects!$Y$4-$A24-1)*Objects!$X$4,0)</f>
        <v>0</v>
      </c>
      <c r="FD24">
        <f ca="1">OFFSET(Objects!$HW$6,FD$1+(Objects!$Y$4-$A24-1)*Objects!$X$4,0)</f>
        <v>0</v>
      </c>
      <c r="FE24" s="22">
        <f ca="1">OFFSET(Objects!$HW$6,FE$1+(Objects!$Y$4-$A24-1)*Objects!$X$4,0)</f>
        <v>0</v>
      </c>
    </row>
    <row r="25" spans="1:161" ht="4.5" customHeight="1" x14ac:dyDescent="0.25">
      <c r="A25">
        <v>23</v>
      </c>
      <c r="B25" s="21">
        <f ca="1">OFFSET(Objects!$HW$6,B$1+(Objects!$Y$4-$A25-1)*Objects!$X$4,0)</f>
        <v>0</v>
      </c>
      <c r="C25">
        <f ca="1">OFFSET(Objects!$HW$6,C$1+(Objects!$Y$4-$A25-1)*Objects!$X$4,0)</f>
        <v>0</v>
      </c>
      <c r="D25">
        <f ca="1">OFFSET(Objects!$HW$6,D$1+(Objects!$Y$4-$A25-1)*Objects!$X$4,0)</f>
        <v>0</v>
      </c>
      <c r="E25">
        <f ca="1">OFFSET(Objects!$HW$6,E$1+(Objects!$Y$4-$A25-1)*Objects!$X$4,0)</f>
        <v>0</v>
      </c>
      <c r="F25">
        <f ca="1">OFFSET(Objects!$HW$6,F$1+(Objects!$Y$4-$A25-1)*Objects!$X$4,0)</f>
        <v>0</v>
      </c>
      <c r="G25">
        <f ca="1">OFFSET(Objects!$HW$6,G$1+(Objects!$Y$4-$A25-1)*Objects!$X$4,0)</f>
        <v>0</v>
      </c>
      <c r="H25">
        <f ca="1">OFFSET(Objects!$HW$6,H$1+(Objects!$Y$4-$A25-1)*Objects!$X$4,0)</f>
        <v>0</v>
      </c>
      <c r="I25">
        <f ca="1">OFFSET(Objects!$HW$6,I$1+(Objects!$Y$4-$A25-1)*Objects!$X$4,0)</f>
        <v>0</v>
      </c>
      <c r="J25">
        <f ca="1">OFFSET(Objects!$HW$6,J$1+(Objects!$Y$4-$A25-1)*Objects!$X$4,0)</f>
        <v>0</v>
      </c>
      <c r="K25">
        <f ca="1">OFFSET(Objects!$HW$6,K$1+(Objects!$Y$4-$A25-1)*Objects!$X$4,0)</f>
        <v>0</v>
      </c>
      <c r="L25">
        <f ca="1">OFFSET(Objects!$HW$6,L$1+(Objects!$Y$4-$A25-1)*Objects!$X$4,0)</f>
        <v>0</v>
      </c>
      <c r="M25">
        <f ca="1">OFFSET(Objects!$HW$6,M$1+(Objects!$Y$4-$A25-1)*Objects!$X$4,0)</f>
        <v>0</v>
      </c>
      <c r="N25">
        <f ca="1">OFFSET(Objects!$HW$6,N$1+(Objects!$Y$4-$A25-1)*Objects!$X$4,0)</f>
        <v>0</v>
      </c>
      <c r="O25">
        <f ca="1">OFFSET(Objects!$HW$6,O$1+(Objects!$Y$4-$A25-1)*Objects!$X$4,0)</f>
        <v>0</v>
      </c>
      <c r="P25">
        <f ca="1">OFFSET(Objects!$HW$6,P$1+(Objects!$Y$4-$A25-1)*Objects!$X$4,0)</f>
        <v>0</v>
      </c>
      <c r="Q25">
        <f ca="1">OFFSET(Objects!$HW$6,Q$1+(Objects!$Y$4-$A25-1)*Objects!$X$4,0)</f>
        <v>0</v>
      </c>
      <c r="R25">
        <f ca="1">OFFSET(Objects!$HW$6,R$1+(Objects!$Y$4-$A25-1)*Objects!$X$4,0)</f>
        <v>0</v>
      </c>
      <c r="S25">
        <f ca="1">OFFSET(Objects!$HW$6,S$1+(Objects!$Y$4-$A25-1)*Objects!$X$4,0)</f>
        <v>0</v>
      </c>
      <c r="T25">
        <f ca="1">OFFSET(Objects!$HW$6,T$1+(Objects!$Y$4-$A25-1)*Objects!$X$4,0)</f>
        <v>0</v>
      </c>
      <c r="U25">
        <f ca="1">OFFSET(Objects!$HW$6,U$1+(Objects!$Y$4-$A25-1)*Objects!$X$4,0)</f>
        <v>0</v>
      </c>
      <c r="V25">
        <f ca="1">OFFSET(Objects!$HW$6,V$1+(Objects!$Y$4-$A25-1)*Objects!$X$4,0)</f>
        <v>0</v>
      </c>
      <c r="W25">
        <f ca="1">OFFSET(Objects!$HW$6,W$1+(Objects!$Y$4-$A25-1)*Objects!$X$4,0)</f>
        <v>0</v>
      </c>
      <c r="X25">
        <f ca="1">OFFSET(Objects!$HW$6,X$1+(Objects!$Y$4-$A25-1)*Objects!$X$4,0)</f>
        <v>0</v>
      </c>
      <c r="Y25">
        <f ca="1">OFFSET(Objects!$HW$6,Y$1+(Objects!$Y$4-$A25-1)*Objects!$X$4,0)</f>
        <v>0</v>
      </c>
      <c r="Z25">
        <f ca="1">OFFSET(Objects!$HW$6,Z$1+(Objects!$Y$4-$A25-1)*Objects!$X$4,0)</f>
        <v>0</v>
      </c>
      <c r="AA25">
        <f ca="1">OFFSET(Objects!$HW$6,AA$1+(Objects!$Y$4-$A25-1)*Objects!$X$4,0)</f>
        <v>0</v>
      </c>
      <c r="AB25">
        <f ca="1">OFFSET(Objects!$HW$6,AB$1+(Objects!$Y$4-$A25-1)*Objects!$X$4,0)</f>
        <v>0</v>
      </c>
      <c r="AC25">
        <f ca="1">OFFSET(Objects!$HW$6,AC$1+(Objects!$Y$4-$A25-1)*Objects!$X$4,0)</f>
        <v>0</v>
      </c>
      <c r="AD25">
        <f ca="1">OFFSET(Objects!$HW$6,AD$1+(Objects!$Y$4-$A25-1)*Objects!$X$4,0)</f>
        <v>0</v>
      </c>
      <c r="AE25">
        <f ca="1">OFFSET(Objects!$HW$6,AE$1+(Objects!$Y$4-$A25-1)*Objects!$X$4,0)</f>
        <v>0</v>
      </c>
      <c r="AF25">
        <f ca="1">OFFSET(Objects!$HW$6,AF$1+(Objects!$Y$4-$A25-1)*Objects!$X$4,0)</f>
        <v>0</v>
      </c>
      <c r="AG25">
        <f ca="1">OFFSET(Objects!$HW$6,AG$1+(Objects!$Y$4-$A25-1)*Objects!$X$4,0)</f>
        <v>0</v>
      </c>
      <c r="AH25">
        <f ca="1">OFFSET(Objects!$HW$6,AH$1+(Objects!$Y$4-$A25-1)*Objects!$X$4,0)</f>
        <v>0</v>
      </c>
      <c r="AI25">
        <f ca="1">OFFSET(Objects!$HW$6,AI$1+(Objects!$Y$4-$A25-1)*Objects!$X$4,0)</f>
        <v>0</v>
      </c>
      <c r="AJ25">
        <f ca="1">OFFSET(Objects!$HW$6,AJ$1+(Objects!$Y$4-$A25-1)*Objects!$X$4,0)</f>
        <v>0</v>
      </c>
      <c r="AK25">
        <f ca="1">OFFSET(Objects!$HW$6,AK$1+(Objects!$Y$4-$A25-1)*Objects!$X$4,0)</f>
        <v>0</v>
      </c>
      <c r="AL25">
        <f ca="1">OFFSET(Objects!$HW$6,AL$1+(Objects!$Y$4-$A25-1)*Objects!$X$4,0)</f>
        <v>0</v>
      </c>
      <c r="AM25">
        <f ca="1">OFFSET(Objects!$HW$6,AM$1+(Objects!$Y$4-$A25-1)*Objects!$X$4,0)</f>
        <v>0</v>
      </c>
      <c r="AN25">
        <f ca="1">OFFSET(Objects!$HW$6,AN$1+(Objects!$Y$4-$A25-1)*Objects!$X$4,0)</f>
        <v>0</v>
      </c>
      <c r="AO25">
        <f ca="1">OFFSET(Objects!$HW$6,AO$1+(Objects!$Y$4-$A25-1)*Objects!$X$4,0)</f>
        <v>0</v>
      </c>
      <c r="AP25">
        <f ca="1">OFFSET(Objects!$HW$6,AP$1+(Objects!$Y$4-$A25-1)*Objects!$X$4,0)</f>
        <v>0</v>
      </c>
      <c r="AQ25">
        <f ca="1">OFFSET(Objects!$HW$6,AQ$1+(Objects!$Y$4-$A25-1)*Objects!$X$4,0)</f>
        <v>0</v>
      </c>
      <c r="AR25">
        <f ca="1">OFFSET(Objects!$HW$6,AR$1+(Objects!$Y$4-$A25-1)*Objects!$X$4,0)</f>
        <v>0</v>
      </c>
      <c r="AS25">
        <f ca="1">OFFSET(Objects!$HW$6,AS$1+(Objects!$Y$4-$A25-1)*Objects!$X$4,0)</f>
        <v>0</v>
      </c>
      <c r="AT25">
        <f ca="1">OFFSET(Objects!$HW$6,AT$1+(Objects!$Y$4-$A25-1)*Objects!$X$4,0)</f>
        <v>0</v>
      </c>
      <c r="AU25">
        <f ca="1">OFFSET(Objects!$HW$6,AU$1+(Objects!$Y$4-$A25-1)*Objects!$X$4,0)</f>
        <v>0</v>
      </c>
      <c r="AV25">
        <f ca="1">OFFSET(Objects!$HW$6,AV$1+(Objects!$Y$4-$A25-1)*Objects!$X$4,0)</f>
        <v>0</v>
      </c>
      <c r="AW25">
        <f ca="1">OFFSET(Objects!$HW$6,AW$1+(Objects!$Y$4-$A25-1)*Objects!$X$4,0)</f>
        <v>0</v>
      </c>
      <c r="AX25">
        <f ca="1">OFFSET(Objects!$HW$6,AX$1+(Objects!$Y$4-$A25-1)*Objects!$X$4,0)</f>
        <v>0</v>
      </c>
      <c r="AY25">
        <f ca="1">OFFSET(Objects!$HW$6,AY$1+(Objects!$Y$4-$A25-1)*Objects!$X$4,0)</f>
        <v>0</v>
      </c>
      <c r="AZ25">
        <f ca="1">OFFSET(Objects!$HW$6,AZ$1+(Objects!$Y$4-$A25-1)*Objects!$X$4,0)</f>
        <v>0</v>
      </c>
      <c r="BA25">
        <f ca="1">OFFSET(Objects!$HW$6,BA$1+(Objects!$Y$4-$A25-1)*Objects!$X$4,0)</f>
        <v>0</v>
      </c>
      <c r="BB25">
        <f ca="1">OFFSET(Objects!$HW$6,BB$1+(Objects!$Y$4-$A25-1)*Objects!$X$4,0)</f>
        <v>0</v>
      </c>
      <c r="BC25">
        <f ca="1">OFFSET(Objects!$HW$6,BC$1+(Objects!$Y$4-$A25-1)*Objects!$X$4,0)</f>
        <v>0</v>
      </c>
      <c r="BD25">
        <f ca="1">OFFSET(Objects!$HW$6,BD$1+(Objects!$Y$4-$A25-1)*Objects!$X$4,0)</f>
        <v>0</v>
      </c>
      <c r="BE25">
        <f ca="1">OFFSET(Objects!$HW$6,BE$1+(Objects!$Y$4-$A25-1)*Objects!$X$4,0)</f>
        <v>0</v>
      </c>
      <c r="BF25">
        <f ca="1">OFFSET(Objects!$HW$6,BF$1+(Objects!$Y$4-$A25-1)*Objects!$X$4,0)</f>
        <v>0</v>
      </c>
      <c r="BG25">
        <f ca="1">OFFSET(Objects!$HW$6,BG$1+(Objects!$Y$4-$A25-1)*Objects!$X$4,0)</f>
        <v>0</v>
      </c>
      <c r="BH25">
        <f ca="1">OFFSET(Objects!$HW$6,BH$1+(Objects!$Y$4-$A25-1)*Objects!$X$4,0)</f>
        <v>0</v>
      </c>
      <c r="BI25">
        <f ca="1">OFFSET(Objects!$HW$6,BI$1+(Objects!$Y$4-$A25-1)*Objects!$X$4,0)</f>
        <v>0</v>
      </c>
      <c r="BJ25">
        <f ca="1">OFFSET(Objects!$HW$6,BJ$1+(Objects!$Y$4-$A25-1)*Objects!$X$4,0)</f>
        <v>0</v>
      </c>
      <c r="BK25">
        <f ca="1">OFFSET(Objects!$HW$6,BK$1+(Objects!$Y$4-$A25-1)*Objects!$X$4,0)</f>
        <v>0</v>
      </c>
      <c r="BL25">
        <f ca="1">OFFSET(Objects!$HW$6,BL$1+(Objects!$Y$4-$A25-1)*Objects!$X$4,0)</f>
        <v>0</v>
      </c>
      <c r="BM25">
        <f ca="1">OFFSET(Objects!$HW$6,BM$1+(Objects!$Y$4-$A25-1)*Objects!$X$4,0)</f>
        <v>0</v>
      </c>
      <c r="BN25">
        <f ca="1">OFFSET(Objects!$HW$6,BN$1+(Objects!$Y$4-$A25-1)*Objects!$X$4,0)</f>
        <v>0</v>
      </c>
      <c r="BO25">
        <f ca="1">OFFSET(Objects!$HW$6,BO$1+(Objects!$Y$4-$A25-1)*Objects!$X$4,0)</f>
        <v>0</v>
      </c>
      <c r="BP25">
        <f ca="1">OFFSET(Objects!$HW$6,BP$1+(Objects!$Y$4-$A25-1)*Objects!$X$4,0)</f>
        <v>0</v>
      </c>
      <c r="BQ25">
        <f ca="1">OFFSET(Objects!$HW$6,BQ$1+(Objects!$Y$4-$A25-1)*Objects!$X$4,0)</f>
        <v>0</v>
      </c>
      <c r="BR25">
        <f ca="1">OFFSET(Objects!$HW$6,BR$1+(Objects!$Y$4-$A25-1)*Objects!$X$4,0)</f>
        <v>0</v>
      </c>
      <c r="BS25">
        <f ca="1">OFFSET(Objects!$HW$6,BS$1+(Objects!$Y$4-$A25-1)*Objects!$X$4,0)</f>
        <v>0</v>
      </c>
      <c r="BT25">
        <f ca="1">OFFSET(Objects!$HW$6,BT$1+(Objects!$Y$4-$A25-1)*Objects!$X$4,0)</f>
        <v>0</v>
      </c>
      <c r="BU25">
        <f ca="1">OFFSET(Objects!$HW$6,BU$1+(Objects!$Y$4-$A25-1)*Objects!$X$4,0)</f>
        <v>0</v>
      </c>
      <c r="BV25">
        <f ca="1">OFFSET(Objects!$HW$6,BV$1+(Objects!$Y$4-$A25-1)*Objects!$X$4,0)</f>
        <v>0</v>
      </c>
      <c r="BW25">
        <f ca="1">OFFSET(Objects!$HW$6,BW$1+(Objects!$Y$4-$A25-1)*Objects!$X$4,0)</f>
        <v>0</v>
      </c>
      <c r="BX25">
        <f ca="1">OFFSET(Objects!$HW$6,BX$1+(Objects!$Y$4-$A25-1)*Objects!$X$4,0)</f>
        <v>0</v>
      </c>
      <c r="BY25">
        <f ca="1">OFFSET(Objects!$HW$6,BY$1+(Objects!$Y$4-$A25-1)*Objects!$X$4,0)</f>
        <v>0</v>
      </c>
      <c r="BZ25">
        <f ca="1">OFFSET(Objects!$HW$6,BZ$1+(Objects!$Y$4-$A25-1)*Objects!$X$4,0)</f>
        <v>0</v>
      </c>
      <c r="CA25">
        <f ca="1">OFFSET(Objects!$HW$6,CA$1+(Objects!$Y$4-$A25-1)*Objects!$X$4,0)</f>
        <v>0</v>
      </c>
      <c r="CB25">
        <f ca="1">OFFSET(Objects!$HW$6,CB$1+(Objects!$Y$4-$A25-1)*Objects!$X$4,0)</f>
        <v>0</v>
      </c>
      <c r="CC25">
        <f ca="1">OFFSET(Objects!$HW$6,CC$1+(Objects!$Y$4-$A25-1)*Objects!$X$4,0)</f>
        <v>0</v>
      </c>
      <c r="CD25">
        <f ca="1">OFFSET(Objects!$HW$6,CD$1+(Objects!$Y$4-$A25-1)*Objects!$X$4,0)</f>
        <v>0</v>
      </c>
      <c r="CE25">
        <f ca="1">OFFSET(Objects!$HW$6,CE$1+(Objects!$Y$4-$A25-1)*Objects!$X$4,0)</f>
        <v>0</v>
      </c>
      <c r="CF25">
        <f ca="1">OFFSET(Objects!$HW$6,CF$1+(Objects!$Y$4-$A25-1)*Objects!$X$4,0)</f>
        <v>0</v>
      </c>
      <c r="CG25">
        <f ca="1">OFFSET(Objects!$HW$6,CG$1+(Objects!$Y$4-$A25-1)*Objects!$X$4,0)</f>
        <v>0</v>
      </c>
      <c r="CH25">
        <f ca="1">OFFSET(Objects!$HW$6,CH$1+(Objects!$Y$4-$A25-1)*Objects!$X$4,0)</f>
        <v>0</v>
      </c>
      <c r="CI25">
        <f ca="1">OFFSET(Objects!$HW$6,CI$1+(Objects!$Y$4-$A25-1)*Objects!$X$4,0)</f>
        <v>0</v>
      </c>
      <c r="CJ25">
        <f ca="1">OFFSET(Objects!$HW$6,CJ$1+(Objects!$Y$4-$A25-1)*Objects!$X$4,0)</f>
        <v>0</v>
      </c>
      <c r="CK25">
        <f ca="1">OFFSET(Objects!$HW$6,CK$1+(Objects!$Y$4-$A25-1)*Objects!$X$4,0)</f>
        <v>0</v>
      </c>
      <c r="CL25">
        <f ca="1">OFFSET(Objects!$HW$6,CL$1+(Objects!$Y$4-$A25-1)*Objects!$X$4,0)</f>
        <v>0</v>
      </c>
      <c r="CM25">
        <f ca="1">OFFSET(Objects!$HW$6,CM$1+(Objects!$Y$4-$A25-1)*Objects!$X$4,0)</f>
        <v>0</v>
      </c>
      <c r="CN25">
        <f ca="1">OFFSET(Objects!$HW$6,CN$1+(Objects!$Y$4-$A25-1)*Objects!$X$4,0)</f>
        <v>0</v>
      </c>
      <c r="CO25">
        <f ca="1">OFFSET(Objects!$HW$6,CO$1+(Objects!$Y$4-$A25-1)*Objects!$X$4,0)</f>
        <v>0</v>
      </c>
      <c r="CP25">
        <f ca="1">OFFSET(Objects!$HW$6,CP$1+(Objects!$Y$4-$A25-1)*Objects!$X$4,0)</f>
        <v>0</v>
      </c>
      <c r="CQ25">
        <f ca="1">OFFSET(Objects!$HW$6,CQ$1+(Objects!$Y$4-$A25-1)*Objects!$X$4,0)</f>
        <v>0</v>
      </c>
      <c r="CR25">
        <f ca="1">OFFSET(Objects!$HW$6,CR$1+(Objects!$Y$4-$A25-1)*Objects!$X$4,0)</f>
        <v>0</v>
      </c>
      <c r="CS25">
        <f ca="1">OFFSET(Objects!$HW$6,CS$1+(Objects!$Y$4-$A25-1)*Objects!$X$4,0)</f>
        <v>0</v>
      </c>
      <c r="CT25">
        <f ca="1">OFFSET(Objects!$HW$6,CT$1+(Objects!$Y$4-$A25-1)*Objects!$X$4,0)</f>
        <v>0</v>
      </c>
      <c r="CU25">
        <f ca="1">OFFSET(Objects!$HW$6,CU$1+(Objects!$Y$4-$A25-1)*Objects!$X$4,0)</f>
        <v>0</v>
      </c>
      <c r="CV25">
        <f ca="1">OFFSET(Objects!$HW$6,CV$1+(Objects!$Y$4-$A25-1)*Objects!$X$4,0)</f>
        <v>0</v>
      </c>
      <c r="CW25">
        <f ca="1">OFFSET(Objects!$HW$6,CW$1+(Objects!$Y$4-$A25-1)*Objects!$X$4,0)</f>
        <v>0</v>
      </c>
      <c r="CX25">
        <f ca="1">OFFSET(Objects!$HW$6,CX$1+(Objects!$Y$4-$A25-1)*Objects!$X$4,0)</f>
        <v>0</v>
      </c>
      <c r="CY25">
        <f ca="1">OFFSET(Objects!$HW$6,CY$1+(Objects!$Y$4-$A25-1)*Objects!$X$4,0)</f>
        <v>0</v>
      </c>
      <c r="CZ25">
        <f ca="1">OFFSET(Objects!$HW$6,CZ$1+(Objects!$Y$4-$A25-1)*Objects!$X$4,0)</f>
        <v>0</v>
      </c>
      <c r="DA25">
        <f ca="1">OFFSET(Objects!$HW$6,DA$1+(Objects!$Y$4-$A25-1)*Objects!$X$4,0)</f>
        <v>0</v>
      </c>
      <c r="DB25">
        <f ca="1">OFFSET(Objects!$HW$6,DB$1+(Objects!$Y$4-$A25-1)*Objects!$X$4,0)</f>
        <v>0</v>
      </c>
      <c r="DC25">
        <f ca="1">OFFSET(Objects!$HW$6,DC$1+(Objects!$Y$4-$A25-1)*Objects!$X$4,0)</f>
        <v>0</v>
      </c>
      <c r="DD25">
        <f ca="1">OFFSET(Objects!$HW$6,DD$1+(Objects!$Y$4-$A25-1)*Objects!$X$4,0)</f>
        <v>0</v>
      </c>
      <c r="DE25">
        <f ca="1">OFFSET(Objects!$HW$6,DE$1+(Objects!$Y$4-$A25-1)*Objects!$X$4,0)</f>
        <v>0</v>
      </c>
      <c r="DF25">
        <f ca="1">OFFSET(Objects!$HW$6,DF$1+(Objects!$Y$4-$A25-1)*Objects!$X$4,0)</f>
        <v>0</v>
      </c>
      <c r="DG25">
        <f ca="1">OFFSET(Objects!$HW$6,DG$1+(Objects!$Y$4-$A25-1)*Objects!$X$4,0)</f>
        <v>0</v>
      </c>
      <c r="DH25">
        <f ca="1">OFFSET(Objects!$HW$6,DH$1+(Objects!$Y$4-$A25-1)*Objects!$X$4,0)</f>
        <v>0</v>
      </c>
      <c r="DI25">
        <f ca="1">OFFSET(Objects!$HW$6,DI$1+(Objects!$Y$4-$A25-1)*Objects!$X$4,0)</f>
        <v>0</v>
      </c>
      <c r="DJ25">
        <f ca="1">OFFSET(Objects!$HW$6,DJ$1+(Objects!$Y$4-$A25-1)*Objects!$X$4,0)</f>
        <v>0</v>
      </c>
      <c r="DK25">
        <f ca="1">OFFSET(Objects!$HW$6,DK$1+(Objects!$Y$4-$A25-1)*Objects!$X$4,0)</f>
        <v>0</v>
      </c>
      <c r="DL25">
        <f ca="1">OFFSET(Objects!$HW$6,DL$1+(Objects!$Y$4-$A25-1)*Objects!$X$4,0)</f>
        <v>0</v>
      </c>
      <c r="DM25">
        <f ca="1">OFFSET(Objects!$HW$6,DM$1+(Objects!$Y$4-$A25-1)*Objects!$X$4,0)</f>
        <v>0</v>
      </c>
      <c r="DN25">
        <f ca="1">OFFSET(Objects!$HW$6,DN$1+(Objects!$Y$4-$A25-1)*Objects!$X$4,0)</f>
        <v>0</v>
      </c>
      <c r="DO25">
        <f ca="1">OFFSET(Objects!$HW$6,DO$1+(Objects!$Y$4-$A25-1)*Objects!$X$4,0)</f>
        <v>0</v>
      </c>
      <c r="DP25">
        <f ca="1">OFFSET(Objects!$HW$6,DP$1+(Objects!$Y$4-$A25-1)*Objects!$X$4,0)</f>
        <v>0</v>
      </c>
      <c r="DQ25">
        <f ca="1">OFFSET(Objects!$HW$6,DQ$1+(Objects!$Y$4-$A25-1)*Objects!$X$4,0)</f>
        <v>0</v>
      </c>
      <c r="DR25">
        <f ca="1">OFFSET(Objects!$HW$6,DR$1+(Objects!$Y$4-$A25-1)*Objects!$X$4,0)</f>
        <v>0</v>
      </c>
      <c r="DS25">
        <f ca="1">OFFSET(Objects!$HW$6,DS$1+(Objects!$Y$4-$A25-1)*Objects!$X$4,0)</f>
        <v>0</v>
      </c>
      <c r="DT25">
        <f ca="1">OFFSET(Objects!$HW$6,DT$1+(Objects!$Y$4-$A25-1)*Objects!$X$4,0)</f>
        <v>0</v>
      </c>
      <c r="DU25">
        <f ca="1">OFFSET(Objects!$HW$6,DU$1+(Objects!$Y$4-$A25-1)*Objects!$X$4,0)</f>
        <v>0</v>
      </c>
      <c r="DV25">
        <f ca="1">OFFSET(Objects!$HW$6,DV$1+(Objects!$Y$4-$A25-1)*Objects!$X$4,0)</f>
        <v>0</v>
      </c>
      <c r="DW25">
        <f ca="1">OFFSET(Objects!$HW$6,DW$1+(Objects!$Y$4-$A25-1)*Objects!$X$4,0)</f>
        <v>0</v>
      </c>
      <c r="DX25">
        <f ca="1">OFFSET(Objects!$HW$6,DX$1+(Objects!$Y$4-$A25-1)*Objects!$X$4,0)</f>
        <v>0</v>
      </c>
      <c r="DY25">
        <f ca="1">OFFSET(Objects!$HW$6,DY$1+(Objects!$Y$4-$A25-1)*Objects!$X$4,0)</f>
        <v>0</v>
      </c>
      <c r="DZ25">
        <f ca="1">OFFSET(Objects!$HW$6,DZ$1+(Objects!$Y$4-$A25-1)*Objects!$X$4,0)</f>
        <v>0</v>
      </c>
      <c r="EA25">
        <f ca="1">OFFSET(Objects!$HW$6,EA$1+(Objects!$Y$4-$A25-1)*Objects!$X$4,0)</f>
        <v>0</v>
      </c>
      <c r="EB25">
        <f ca="1">OFFSET(Objects!$HW$6,EB$1+(Objects!$Y$4-$A25-1)*Objects!$X$4,0)</f>
        <v>0</v>
      </c>
      <c r="EC25">
        <f ca="1">OFFSET(Objects!$HW$6,EC$1+(Objects!$Y$4-$A25-1)*Objects!$X$4,0)</f>
        <v>0</v>
      </c>
      <c r="ED25">
        <f ca="1">OFFSET(Objects!$HW$6,ED$1+(Objects!$Y$4-$A25-1)*Objects!$X$4,0)</f>
        <v>0</v>
      </c>
      <c r="EE25">
        <f ca="1">OFFSET(Objects!$HW$6,EE$1+(Objects!$Y$4-$A25-1)*Objects!$X$4,0)</f>
        <v>0</v>
      </c>
      <c r="EF25">
        <f ca="1">OFFSET(Objects!$HW$6,EF$1+(Objects!$Y$4-$A25-1)*Objects!$X$4,0)</f>
        <v>0</v>
      </c>
      <c r="EG25">
        <f ca="1">OFFSET(Objects!$HW$6,EG$1+(Objects!$Y$4-$A25-1)*Objects!$X$4,0)</f>
        <v>0</v>
      </c>
      <c r="EH25">
        <f ca="1">OFFSET(Objects!$HW$6,EH$1+(Objects!$Y$4-$A25-1)*Objects!$X$4,0)</f>
        <v>0</v>
      </c>
      <c r="EI25">
        <f ca="1">OFFSET(Objects!$HW$6,EI$1+(Objects!$Y$4-$A25-1)*Objects!$X$4,0)</f>
        <v>0</v>
      </c>
      <c r="EJ25">
        <f ca="1">OFFSET(Objects!$HW$6,EJ$1+(Objects!$Y$4-$A25-1)*Objects!$X$4,0)</f>
        <v>0</v>
      </c>
      <c r="EK25">
        <f ca="1">OFFSET(Objects!$HW$6,EK$1+(Objects!$Y$4-$A25-1)*Objects!$X$4,0)</f>
        <v>0</v>
      </c>
      <c r="EL25">
        <f ca="1">OFFSET(Objects!$HW$6,EL$1+(Objects!$Y$4-$A25-1)*Objects!$X$4,0)</f>
        <v>0</v>
      </c>
      <c r="EM25">
        <f ca="1">OFFSET(Objects!$HW$6,EM$1+(Objects!$Y$4-$A25-1)*Objects!$X$4,0)</f>
        <v>0</v>
      </c>
      <c r="EN25">
        <f ca="1">OFFSET(Objects!$HW$6,EN$1+(Objects!$Y$4-$A25-1)*Objects!$X$4,0)</f>
        <v>0</v>
      </c>
      <c r="EO25">
        <f ca="1">OFFSET(Objects!$HW$6,EO$1+(Objects!$Y$4-$A25-1)*Objects!$X$4,0)</f>
        <v>0</v>
      </c>
      <c r="EP25">
        <f ca="1">OFFSET(Objects!$HW$6,EP$1+(Objects!$Y$4-$A25-1)*Objects!$X$4,0)</f>
        <v>0</v>
      </c>
      <c r="EQ25">
        <f ca="1">OFFSET(Objects!$HW$6,EQ$1+(Objects!$Y$4-$A25-1)*Objects!$X$4,0)</f>
        <v>0</v>
      </c>
      <c r="ER25">
        <f ca="1">OFFSET(Objects!$HW$6,ER$1+(Objects!$Y$4-$A25-1)*Objects!$X$4,0)</f>
        <v>0</v>
      </c>
      <c r="ES25">
        <f ca="1">OFFSET(Objects!$HW$6,ES$1+(Objects!$Y$4-$A25-1)*Objects!$X$4,0)</f>
        <v>0</v>
      </c>
      <c r="ET25">
        <f ca="1">OFFSET(Objects!$HW$6,ET$1+(Objects!$Y$4-$A25-1)*Objects!$X$4,0)</f>
        <v>0</v>
      </c>
      <c r="EU25">
        <f ca="1">OFFSET(Objects!$HW$6,EU$1+(Objects!$Y$4-$A25-1)*Objects!$X$4,0)</f>
        <v>0</v>
      </c>
      <c r="EV25">
        <f ca="1">OFFSET(Objects!$HW$6,EV$1+(Objects!$Y$4-$A25-1)*Objects!$X$4,0)</f>
        <v>0</v>
      </c>
      <c r="EW25">
        <f ca="1">OFFSET(Objects!$HW$6,EW$1+(Objects!$Y$4-$A25-1)*Objects!$X$4,0)</f>
        <v>0</v>
      </c>
      <c r="EX25">
        <f ca="1">OFFSET(Objects!$HW$6,EX$1+(Objects!$Y$4-$A25-1)*Objects!$X$4,0)</f>
        <v>0</v>
      </c>
      <c r="EY25">
        <f ca="1">OFFSET(Objects!$HW$6,EY$1+(Objects!$Y$4-$A25-1)*Objects!$X$4,0)</f>
        <v>0</v>
      </c>
      <c r="EZ25">
        <f ca="1">OFFSET(Objects!$HW$6,EZ$1+(Objects!$Y$4-$A25-1)*Objects!$X$4,0)</f>
        <v>0</v>
      </c>
      <c r="FA25">
        <f ca="1">OFFSET(Objects!$HW$6,FA$1+(Objects!$Y$4-$A25-1)*Objects!$X$4,0)</f>
        <v>0</v>
      </c>
      <c r="FB25">
        <f ca="1">OFFSET(Objects!$HW$6,FB$1+(Objects!$Y$4-$A25-1)*Objects!$X$4,0)</f>
        <v>0</v>
      </c>
      <c r="FC25">
        <f ca="1">OFFSET(Objects!$HW$6,FC$1+(Objects!$Y$4-$A25-1)*Objects!$X$4,0)</f>
        <v>0</v>
      </c>
      <c r="FD25">
        <f ca="1">OFFSET(Objects!$HW$6,FD$1+(Objects!$Y$4-$A25-1)*Objects!$X$4,0)</f>
        <v>0</v>
      </c>
      <c r="FE25" s="22">
        <f ca="1">OFFSET(Objects!$HW$6,FE$1+(Objects!$Y$4-$A25-1)*Objects!$X$4,0)</f>
        <v>0</v>
      </c>
    </row>
    <row r="26" spans="1:161" ht="4.5" customHeight="1" x14ac:dyDescent="0.25">
      <c r="A26">
        <v>24</v>
      </c>
      <c r="B26" s="21">
        <f ca="1">OFFSET(Objects!$HW$6,B$1+(Objects!$Y$4-$A26-1)*Objects!$X$4,0)</f>
        <v>0</v>
      </c>
      <c r="C26">
        <f ca="1">OFFSET(Objects!$HW$6,C$1+(Objects!$Y$4-$A26-1)*Objects!$X$4,0)</f>
        <v>0</v>
      </c>
      <c r="D26">
        <f ca="1">OFFSET(Objects!$HW$6,D$1+(Objects!$Y$4-$A26-1)*Objects!$X$4,0)</f>
        <v>0</v>
      </c>
      <c r="E26">
        <f ca="1">OFFSET(Objects!$HW$6,E$1+(Objects!$Y$4-$A26-1)*Objects!$X$4,0)</f>
        <v>0</v>
      </c>
      <c r="F26">
        <f ca="1">OFFSET(Objects!$HW$6,F$1+(Objects!$Y$4-$A26-1)*Objects!$X$4,0)</f>
        <v>0</v>
      </c>
      <c r="G26">
        <f ca="1">OFFSET(Objects!$HW$6,G$1+(Objects!$Y$4-$A26-1)*Objects!$X$4,0)</f>
        <v>0</v>
      </c>
      <c r="H26">
        <f ca="1">OFFSET(Objects!$HW$6,H$1+(Objects!$Y$4-$A26-1)*Objects!$X$4,0)</f>
        <v>0</v>
      </c>
      <c r="I26">
        <f ca="1">OFFSET(Objects!$HW$6,I$1+(Objects!$Y$4-$A26-1)*Objects!$X$4,0)</f>
        <v>0</v>
      </c>
      <c r="J26">
        <f ca="1">OFFSET(Objects!$HW$6,J$1+(Objects!$Y$4-$A26-1)*Objects!$X$4,0)</f>
        <v>0</v>
      </c>
      <c r="K26">
        <f ca="1">OFFSET(Objects!$HW$6,K$1+(Objects!$Y$4-$A26-1)*Objects!$X$4,0)</f>
        <v>0</v>
      </c>
      <c r="L26">
        <f ca="1">OFFSET(Objects!$HW$6,L$1+(Objects!$Y$4-$A26-1)*Objects!$X$4,0)</f>
        <v>0</v>
      </c>
      <c r="M26">
        <f ca="1">OFFSET(Objects!$HW$6,M$1+(Objects!$Y$4-$A26-1)*Objects!$X$4,0)</f>
        <v>0</v>
      </c>
      <c r="N26">
        <f ca="1">OFFSET(Objects!$HW$6,N$1+(Objects!$Y$4-$A26-1)*Objects!$X$4,0)</f>
        <v>0</v>
      </c>
      <c r="O26">
        <f ca="1">OFFSET(Objects!$HW$6,O$1+(Objects!$Y$4-$A26-1)*Objects!$X$4,0)</f>
        <v>0</v>
      </c>
      <c r="P26">
        <f ca="1">OFFSET(Objects!$HW$6,P$1+(Objects!$Y$4-$A26-1)*Objects!$X$4,0)</f>
        <v>0</v>
      </c>
      <c r="Q26">
        <f ca="1">OFFSET(Objects!$HW$6,Q$1+(Objects!$Y$4-$A26-1)*Objects!$X$4,0)</f>
        <v>0</v>
      </c>
      <c r="R26">
        <f ca="1">OFFSET(Objects!$HW$6,R$1+(Objects!$Y$4-$A26-1)*Objects!$X$4,0)</f>
        <v>0</v>
      </c>
      <c r="S26">
        <f ca="1">OFFSET(Objects!$HW$6,S$1+(Objects!$Y$4-$A26-1)*Objects!$X$4,0)</f>
        <v>0</v>
      </c>
      <c r="T26">
        <f ca="1">OFFSET(Objects!$HW$6,T$1+(Objects!$Y$4-$A26-1)*Objects!$X$4,0)</f>
        <v>0</v>
      </c>
      <c r="U26">
        <f ca="1">OFFSET(Objects!$HW$6,U$1+(Objects!$Y$4-$A26-1)*Objects!$X$4,0)</f>
        <v>0</v>
      </c>
      <c r="V26">
        <f ca="1">OFFSET(Objects!$HW$6,V$1+(Objects!$Y$4-$A26-1)*Objects!$X$4,0)</f>
        <v>0</v>
      </c>
      <c r="W26">
        <f ca="1">OFFSET(Objects!$HW$6,W$1+(Objects!$Y$4-$A26-1)*Objects!$X$4,0)</f>
        <v>0</v>
      </c>
      <c r="X26">
        <f ca="1">OFFSET(Objects!$HW$6,X$1+(Objects!$Y$4-$A26-1)*Objects!$X$4,0)</f>
        <v>0</v>
      </c>
      <c r="Y26">
        <f ca="1">OFFSET(Objects!$HW$6,Y$1+(Objects!$Y$4-$A26-1)*Objects!$X$4,0)</f>
        <v>0</v>
      </c>
      <c r="Z26">
        <f ca="1">OFFSET(Objects!$HW$6,Z$1+(Objects!$Y$4-$A26-1)*Objects!$X$4,0)</f>
        <v>0</v>
      </c>
      <c r="AA26">
        <f ca="1">OFFSET(Objects!$HW$6,AA$1+(Objects!$Y$4-$A26-1)*Objects!$X$4,0)</f>
        <v>0</v>
      </c>
      <c r="AB26">
        <f ca="1">OFFSET(Objects!$HW$6,AB$1+(Objects!$Y$4-$A26-1)*Objects!$X$4,0)</f>
        <v>0</v>
      </c>
      <c r="AC26">
        <f ca="1">OFFSET(Objects!$HW$6,AC$1+(Objects!$Y$4-$A26-1)*Objects!$X$4,0)</f>
        <v>0</v>
      </c>
      <c r="AD26">
        <f ca="1">OFFSET(Objects!$HW$6,AD$1+(Objects!$Y$4-$A26-1)*Objects!$X$4,0)</f>
        <v>0</v>
      </c>
      <c r="AE26">
        <f ca="1">OFFSET(Objects!$HW$6,AE$1+(Objects!$Y$4-$A26-1)*Objects!$X$4,0)</f>
        <v>0</v>
      </c>
      <c r="AF26">
        <f ca="1">OFFSET(Objects!$HW$6,AF$1+(Objects!$Y$4-$A26-1)*Objects!$X$4,0)</f>
        <v>0</v>
      </c>
      <c r="AG26">
        <f ca="1">OFFSET(Objects!$HW$6,AG$1+(Objects!$Y$4-$A26-1)*Objects!$X$4,0)</f>
        <v>0</v>
      </c>
      <c r="AH26">
        <f ca="1">OFFSET(Objects!$HW$6,AH$1+(Objects!$Y$4-$A26-1)*Objects!$X$4,0)</f>
        <v>0</v>
      </c>
      <c r="AI26">
        <f ca="1">OFFSET(Objects!$HW$6,AI$1+(Objects!$Y$4-$A26-1)*Objects!$X$4,0)</f>
        <v>0</v>
      </c>
      <c r="AJ26">
        <f ca="1">OFFSET(Objects!$HW$6,AJ$1+(Objects!$Y$4-$A26-1)*Objects!$X$4,0)</f>
        <v>0</v>
      </c>
      <c r="AK26">
        <f ca="1">OFFSET(Objects!$HW$6,AK$1+(Objects!$Y$4-$A26-1)*Objects!$X$4,0)</f>
        <v>0</v>
      </c>
      <c r="AL26">
        <f ca="1">OFFSET(Objects!$HW$6,AL$1+(Objects!$Y$4-$A26-1)*Objects!$X$4,0)</f>
        <v>0</v>
      </c>
      <c r="AM26">
        <f ca="1">OFFSET(Objects!$HW$6,AM$1+(Objects!$Y$4-$A26-1)*Objects!$X$4,0)</f>
        <v>0</v>
      </c>
      <c r="AN26">
        <f ca="1">OFFSET(Objects!$HW$6,AN$1+(Objects!$Y$4-$A26-1)*Objects!$X$4,0)</f>
        <v>0</v>
      </c>
      <c r="AO26">
        <f ca="1">OFFSET(Objects!$HW$6,AO$1+(Objects!$Y$4-$A26-1)*Objects!$X$4,0)</f>
        <v>0</v>
      </c>
      <c r="AP26">
        <f ca="1">OFFSET(Objects!$HW$6,AP$1+(Objects!$Y$4-$A26-1)*Objects!$X$4,0)</f>
        <v>0</v>
      </c>
      <c r="AQ26">
        <f ca="1">OFFSET(Objects!$HW$6,AQ$1+(Objects!$Y$4-$A26-1)*Objects!$X$4,0)</f>
        <v>0</v>
      </c>
      <c r="AR26">
        <f ca="1">OFFSET(Objects!$HW$6,AR$1+(Objects!$Y$4-$A26-1)*Objects!$X$4,0)</f>
        <v>0</v>
      </c>
      <c r="AS26">
        <f ca="1">OFFSET(Objects!$HW$6,AS$1+(Objects!$Y$4-$A26-1)*Objects!$X$4,0)</f>
        <v>0</v>
      </c>
      <c r="AT26">
        <f ca="1">OFFSET(Objects!$HW$6,AT$1+(Objects!$Y$4-$A26-1)*Objects!$X$4,0)</f>
        <v>0</v>
      </c>
      <c r="AU26">
        <f ca="1">OFFSET(Objects!$HW$6,AU$1+(Objects!$Y$4-$A26-1)*Objects!$X$4,0)</f>
        <v>0</v>
      </c>
      <c r="AV26">
        <f ca="1">OFFSET(Objects!$HW$6,AV$1+(Objects!$Y$4-$A26-1)*Objects!$X$4,0)</f>
        <v>0</v>
      </c>
      <c r="AW26">
        <f ca="1">OFFSET(Objects!$HW$6,AW$1+(Objects!$Y$4-$A26-1)*Objects!$X$4,0)</f>
        <v>0</v>
      </c>
      <c r="AX26">
        <f ca="1">OFFSET(Objects!$HW$6,AX$1+(Objects!$Y$4-$A26-1)*Objects!$X$4,0)</f>
        <v>0</v>
      </c>
      <c r="AY26">
        <f ca="1">OFFSET(Objects!$HW$6,AY$1+(Objects!$Y$4-$A26-1)*Objects!$X$4,0)</f>
        <v>0</v>
      </c>
      <c r="AZ26">
        <f ca="1">OFFSET(Objects!$HW$6,AZ$1+(Objects!$Y$4-$A26-1)*Objects!$X$4,0)</f>
        <v>0</v>
      </c>
      <c r="BA26">
        <f ca="1">OFFSET(Objects!$HW$6,BA$1+(Objects!$Y$4-$A26-1)*Objects!$X$4,0)</f>
        <v>0</v>
      </c>
      <c r="BB26">
        <f ca="1">OFFSET(Objects!$HW$6,BB$1+(Objects!$Y$4-$A26-1)*Objects!$X$4,0)</f>
        <v>0</v>
      </c>
      <c r="BC26">
        <f ca="1">OFFSET(Objects!$HW$6,BC$1+(Objects!$Y$4-$A26-1)*Objects!$X$4,0)</f>
        <v>0</v>
      </c>
      <c r="BD26">
        <f ca="1">OFFSET(Objects!$HW$6,BD$1+(Objects!$Y$4-$A26-1)*Objects!$X$4,0)</f>
        <v>0</v>
      </c>
      <c r="BE26">
        <f ca="1">OFFSET(Objects!$HW$6,BE$1+(Objects!$Y$4-$A26-1)*Objects!$X$4,0)</f>
        <v>0</v>
      </c>
      <c r="BF26">
        <f ca="1">OFFSET(Objects!$HW$6,BF$1+(Objects!$Y$4-$A26-1)*Objects!$X$4,0)</f>
        <v>0</v>
      </c>
      <c r="BG26">
        <f ca="1">OFFSET(Objects!$HW$6,BG$1+(Objects!$Y$4-$A26-1)*Objects!$X$4,0)</f>
        <v>0</v>
      </c>
      <c r="BH26">
        <f ca="1">OFFSET(Objects!$HW$6,BH$1+(Objects!$Y$4-$A26-1)*Objects!$X$4,0)</f>
        <v>0</v>
      </c>
      <c r="BI26">
        <f ca="1">OFFSET(Objects!$HW$6,BI$1+(Objects!$Y$4-$A26-1)*Objects!$X$4,0)</f>
        <v>0</v>
      </c>
      <c r="BJ26">
        <f ca="1">OFFSET(Objects!$HW$6,BJ$1+(Objects!$Y$4-$A26-1)*Objects!$X$4,0)</f>
        <v>0</v>
      </c>
      <c r="BK26">
        <f ca="1">OFFSET(Objects!$HW$6,BK$1+(Objects!$Y$4-$A26-1)*Objects!$X$4,0)</f>
        <v>0</v>
      </c>
      <c r="BL26">
        <f ca="1">OFFSET(Objects!$HW$6,BL$1+(Objects!$Y$4-$A26-1)*Objects!$X$4,0)</f>
        <v>0</v>
      </c>
      <c r="BM26">
        <f ca="1">OFFSET(Objects!$HW$6,BM$1+(Objects!$Y$4-$A26-1)*Objects!$X$4,0)</f>
        <v>0</v>
      </c>
      <c r="BN26">
        <f ca="1">OFFSET(Objects!$HW$6,BN$1+(Objects!$Y$4-$A26-1)*Objects!$X$4,0)</f>
        <v>0</v>
      </c>
      <c r="BO26">
        <f ca="1">OFFSET(Objects!$HW$6,BO$1+(Objects!$Y$4-$A26-1)*Objects!$X$4,0)</f>
        <v>0</v>
      </c>
      <c r="BP26">
        <f ca="1">OFFSET(Objects!$HW$6,BP$1+(Objects!$Y$4-$A26-1)*Objects!$X$4,0)</f>
        <v>0</v>
      </c>
      <c r="BQ26">
        <f ca="1">OFFSET(Objects!$HW$6,BQ$1+(Objects!$Y$4-$A26-1)*Objects!$X$4,0)</f>
        <v>0</v>
      </c>
      <c r="BR26">
        <f ca="1">OFFSET(Objects!$HW$6,BR$1+(Objects!$Y$4-$A26-1)*Objects!$X$4,0)</f>
        <v>0</v>
      </c>
      <c r="BS26">
        <f ca="1">OFFSET(Objects!$HW$6,BS$1+(Objects!$Y$4-$A26-1)*Objects!$X$4,0)</f>
        <v>0</v>
      </c>
      <c r="BT26">
        <f ca="1">OFFSET(Objects!$HW$6,BT$1+(Objects!$Y$4-$A26-1)*Objects!$X$4,0)</f>
        <v>0</v>
      </c>
      <c r="BU26">
        <f ca="1">OFFSET(Objects!$HW$6,BU$1+(Objects!$Y$4-$A26-1)*Objects!$X$4,0)</f>
        <v>0</v>
      </c>
      <c r="BV26">
        <f ca="1">OFFSET(Objects!$HW$6,BV$1+(Objects!$Y$4-$A26-1)*Objects!$X$4,0)</f>
        <v>0</v>
      </c>
      <c r="BW26">
        <f ca="1">OFFSET(Objects!$HW$6,BW$1+(Objects!$Y$4-$A26-1)*Objects!$X$4,0)</f>
        <v>0</v>
      </c>
      <c r="BX26">
        <f ca="1">OFFSET(Objects!$HW$6,BX$1+(Objects!$Y$4-$A26-1)*Objects!$X$4,0)</f>
        <v>0</v>
      </c>
      <c r="BY26">
        <f ca="1">OFFSET(Objects!$HW$6,BY$1+(Objects!$Y$4-$A26-1)*Objects!$X$4,0)</f>
        <v>0</v>
      </c>
      <c r="BZ26">
        <f ca="1">OFFSET(Objects!$HW$6,BZ$1+(Objects!$Y$4-$A26-1)*Objects!$X$4,0)</f>
        <v>0</v>
      </c>
      <c r="CA26">
        <f ca="1">OFFSET(Objects!$HW$6,CA$1+(Objects!$Y$4-$A26-1)*Objects!$X$4,0)</f>
        <v>0</v>
      </c>
      <c r="CB26">
        <f ca="1">OFFSET(Objects!$HW$6,CB$1+(Objects!$Y$4-$A26-1)*Objects!$X$4,0)</f>
        <v>0</v>
      </c>
      <c r="CC26">
        <f ca="1">OFFSET(Objects!$HW$6,CC$1+(Objects!$Y$4-$A26-1)*Objects!$X$4,0)</f>
        <v>0</v>
      </c>
      <c r="CD26">
        <f ca="1">OFFSET(Objects!$HW$6,CD$1+(Objects!$Y$4-$A26-1)*Objects!$X$4,0)</f>
        <v>0</v>
      </c>
      <c r="CE26">
        <f ca="1">OFFSET(Objects!$HW$6,CE$1+(Objects!$Y$4-$A26-1)*Objects!$X$4,0)</f>
        <v>0</v>
      </c>
      <c r="CF26">
        <f ca="1">OFFSET(Objects!$HW$6,CF$1+(Objects!$Y$4-$A26-1)*Objects!$X$4,0)</f>
        <v>0</v>
      </c>
      <c r="CG26">
        <f ca="1">OFFSET(Objects!$HW$6,CG$1+(Objects!$Y$4-$A26-1)*Objects!$X$4,0)</f>
        <v>0</v>
      </c>
      <c r="CH26">
        <f ca="1">OFFSET(Objects!$HW$6,CH$1+(Objects!$Y$4-$A26-1)*Objects!$X$4,0)</f>
        <v>0</v>
      </c>
      <c r="CI26">
        <f ca="1">OFFSET(Objects!$HW$6,CI$1+(Objects!$Y$4-$A26-1)*Objects!$X$4,0)</f>
        <v>0</v>
      </c>
      <c r="CJ26">
        <f ca="1">OFFSET(Objects!$HW$6,CJ$1+(Objects!$Y$4-$A26-1)*Objects!$X$4,0)</f>
        <v>0</v>
      </c>
      <c r="CK26">
        <f ca="1">OFFSET(Objects!$HW$6,CK$1+(Objects!$Y$4-$A26-1)*Objects!$X$4,0)</f>
        <v>0</v>
      </c>
      <c r="CL26">
        <f ca="1">OFFSET(Objects!$HW$6,CL$1+(Objects!$Y$4-$A26-1)*Objects!$X$4,0)</f>
        <v>0</v>
      </c>
      <c r="CM26">
        <f ca="1">OFFSET(Objects!$HW$6,CM$1+(Objects!$Y$4-$A26-1)*Objects!$X$4,0)</f>
        <v>0</v>
      </c>
      <c r="CN26">
        <f ca="1">OFFSET(Objects!$HW$6,CN$1+(Objects!$Y$4-$A26-1)*Objects!$X$4,0)</f>
        <v>0</v>
      </c>
      <c r="CO26">
        <f ca="1">OFFSET(Objects!$HW$6,CO$1+(Objects!$Y$4-$A26-1)*Objects!$X$4,0)</f>
        <v>0</v>
      </c>
      <c r="CP26">
        <f ca="1">OFFSET(Objects!$HW$6,CP$1+(Objects!$Y$4-$A26-1)*Objects!$X$4,0)</f>
        <v>0</v>
      </c>
      <c r="CQ26">
        <f ca="1">OFFSET(Objects!$HW$6,CQ$1+(Objects!$Y$4-$A26-1)*Objects!$X$4,0)</f>
        <v>0</v>
      </c>
      <c r="CR26">
        <f ca="1">OFFSET(Objects!$HW$6,CR$1+(Objects!$Y$4-$A26-1)*Objects!$X$4,0)</f>
        <v>0</v>
      </c>
      <c r="CS26">
        <f ca="1">OFFSET(Objects!$HW$6,CS$1+(Objects!$Y$4-$A26-1)*Objects!$X$4,0)</f>
        <v>0</v>
      </c>
      <c r="CT26">
        <f ca="1">OFFSET(Objects!$HW$6,CT$1+(Objects!$Y$4-$A26-1)*Objects!$X$4,0)</f>
        <v>0</v>
      </c>
      <c r="CU26">
        <f ca="1">OFFSET(Objects!$HW$6,CU$1+(Objects!$Y$4-$A26-1)*Objects!$X$4,0)</f>
        <v>0</v>
      </c>
      <c r="CV26">
        <f ca="1">OFFSET(Objects!$HW$6,CV$1+(Objects!$Y$4-$A26-1)*Objects!$X$4,0)</f>
        <v>0</v>
      </c>
      <c r="CW26">
        <f ca="1">OFFSET(Objects!$HW$6,CW$1+(Objects!$Y$4-$A26-1)*Objects!$X$4,0)</f>
        <v>0</v>
      </c>
      <c r="CX26">
        <f ca="1">OFFSET(Objects!$HW$6,CX$1+(Objects!$Y$4-$A26-1)*Objects!$X$4,0)</f>
        <v>0</v>
      </c>
      <c r="CY26">
        <f ca="1">OFFSET(Objects!$HW$6,CY$1+(Objects!$Y$4-$A26-1)*Objects!$X$4,0)</f>
        <v>0</v>
      </c>
      <c r="CZ26">
        <f ca="1">OFFSET(Objects!$HW$6,CZ$1+(Objects!$Y$4-$A26-1)*Objects!$X$4,0)</f>
        <v>0</v>
      </c>
      <c r="DA26">
        <f ca="1">OFFSET(Objects!$HW$6,DA$1+(Objects!$Y$4-$A26-1)*Objects!$X$4,0)</f>
        <v>0</v>
      </c>
      <c r="DB26">
        <f ca="1">OFFSET(Objects!$HW$6,DB$1+(Objects!$Y$4-$A26-1)*Objects!$X$4,0)</f>
        <v>0</v>
      </c>
      <c r="DC26">
        <f ca="1">OFFSET(Objects!$HW$6,DC$1+(Objects!$Y$4-$A26-1)*Objects!$X$4,0)</f>
        <v>0</v>
      </c>
      <c r="DD26">
        <f ca="1">OFFSET(Objects!$HW$6,DD$1+(Objects!$Y$4-$A26-1)*Objects!$X$4,0)</f>
        <v>0</v>
      </c>
      <c r="DE26">
        <f ca="1">OFFSET(Objects!$HW$6,DE$1+(Objects!$Y$4-$A26-1)*Objects!$X$4,0)</f>
        <v>0</v>
      </c>
      <c r="DF26">
        <f ca="1">OFFSET(Objects!$HW$6,DF$1+(Objects!$Y$4-$A26-1)*Objects!$X$4,0)</f>
        <v>0</v>
      </c>
      <c r="DG26">
        <f ca="1">OFFSET(Objects!$HW$6,DG$1+(Objects!$Y$4-$A26-1)*Objects!$X$4,0)</f>
        <v>0</v>
      </c>
      <c r="DH26">
        <f ca="1">OFFSET(Objects!$HW$6,DH$1+(Objects!$Y$4-$A26-1)*Objects!$X$4,0)</f>
        <v>0</v>
      </c>
      <c r="DI26">
        <f ca="1">OFFSET(Objects!$HW$6,DI$1+(Objects!$Y$4-$A26-1)*Objects!$X$4,0)</f>
        <v>0</v>
      </c>
      <c r="DJ26">
        <f ca="1">OFFSET(Objects!$HW$6,DJ$1+(Objects!$Y$4-$A26-1)*Objects!$X$4,0)</f>
        <v>0</v>
      </c>
      <c r="DK26">
        <f ca="1">OFFSET(Objects!$HW$6,DK$1+(Objects!$Y$4-$A26-1)*Objects!$X$4,0)</f>
        <v>0</v>
      </c>
      <c r="DL26">
        <f ca="1">OFFSET(Objects!$HW$6,DL$1+(Objects!$Y$4-$A26-1)*Objects!$X$4,0)</f>
        <v>0</v>
      </c>
      <c r="DM26">
        <f ca="1">OFFSET(Objects!$HW$6,DM$1+(Objects!$Y$4-$A26-1)*Objects!$X$4,0)</f>
        <v>0</v>
      </c>
      <c r="DN26">
        <f ca="1">OFFSET(Objects!$HW$6,DN$1+(Objects!$Y$4-$A26-1)*Objects!$X$4,0)</f>
        <v>0</v>
      </c>
      <c r="DO26">
        <f ca="1">OFFSET(Objects!$HW$6,DO$1+(Objects!$Y$4-$A26-1)*Objects!$X$4,0)</f>
        <v>0</v>
      </c>
      <c r="DP26">
        <f ca="1">OFFSET(Objects!$HW$6,DP$1+(Objects!$Y$4-$A26-1)*Objects!$X$4,0)</f>
        <v>0</v>
      </c>
      <c r="DQ26">
        <f ca="1">OFFSET(Objects!$HW$6,DQ$1+(Objects!$Y$4-$A26-1)*Objects!$X$4,0)</f>
        <v>0</v>
      </c>
      <c r="DR26">
        <f ca="1">OFFSET(Objects!$HW$6,DR$1+(Objects!$Y$4-$A26-1)*Objects!$X$4,0)</f>
        <v>0</v>
      </c>
      <c r="DS26">
        <f ca="1">OFFSET(Objects!$HW$6,DS$1+(Objects!$Y$4-$A26-1)*Objects!$X$4,0)</f>
        <v>0</v>
      </c>
      <c r="DT26">
        <f ca="1">OFFSET(Objects!$HW$6,DT$1+(Objects!$Y$4-$A26-1)*Objects!$X$4,0)</f>
        <v>0</v>
      </c>
      <c r="DU26">
        <f ca="1">OFFSET(Objects!$HW$6,DU$1+(Objects!$Y$4-$A26-1)*Objects!$X$4,0)</f>
        <v>0</v>
      </c>
      <c r="DV26">
        <f ca="1">OFFSET(Objects!$HW$6,DV$1+(Objects!$Y$4-$A26-1)*Objects!$X$4,0)</f>
        <v>0</v>
      </c>
      <c r="DW26">
        <f ca="1">OFFSET(Objects!$HW$6,DW$1+(Objects!$Y$4-$A26-1)*Objects!$X$4,0)</f>
        <v>0</v>
      </c>
      <c r="DX26">
        <f ca="1">OFFSET(Objects!$HW$6,DX$1+(Objects!$Y$4-$A26-1)*Objects!$X$4,0)</f>
        <v>0</v>
      </c>
      <c r="DY26">
        <f ca="1">OFFSET(Objects!$HW$6,DY$1+(Objects!$Y$4-$A26-1)*Objects!$X$4,0)</f>
        <v>0</v>
      </c>
      <c r="DZ26">
        <f ca="1">OFFSET(Objects!$HW$6,DZ$1+(Objects!$Y$4-$A26-1)*Objects!$X$4,0)</f>
        <v>0</v>
      </c>
      <c r="EA26">
        <f ca="1">OFFSET(Objects!$HW$6,EA$1+(Objects!$Y$4-$A26-1)*Objects!$X$4,0)</f>
        <v>0</v>
      </c>
      <c r="EB26">
        <f ca="1">OFFSET(Objects!$HW$6,EB$1+(Objects!$Y$4-$A26-1)*Objects!$X$4,0)</f>
        <v>0</v>
      </c>
      <c r="EC26">
        <f ca="1">OFFSET(Objects!$HW$6,EC$1+(Objects!$Y$4-$A26-1)*Objects!$X$4,0)</f>
        <v>0</v>
      </c>
      <c r="ED26">
        <f ca="1">OFFSET(Objects!$HW$6,ED$1+(Objects!$Y$4-$A26-1)*Objects!$X$4,0)</f>
        <v>0</v>
      </c>
      <c r="EE26">
        <f ca="1">OFFSET(Objects!$HW$6,EE$1+(Objects!$Y$4-$A26-1)*Objects!$X$4,0)</f>
        <v>0</v>
      </c>
      <c r="EF26">
        <f ca="1">OFFSET(Objects!$HW$6,EF$1+(Objects!$Y$4-$A26-1)*Objects!$X$4,0)</f>
        <v>0</v>
      </c>
      <c r="EG26">
        <f ca="1">OFFSET(Objects!$HW$6,EG$1+(Objects!$Y$4-$A26-1)*Objects!$X$4,0)</f>
        <v>0</v>
      </c>
      <c r="EH26">
        <f ca="1">OFFSET(Objects!$HW$6,EH$1+(Objects!$Y$4-$A26-1)*Objects!$X$4,0)</f>
        <v>0</v>
      </c>
      <c r="EI26">
        <f ca="1">OFFSET(Objects!$HW$6,EI$1+(Objects!$Y$4-$A26-1)*Objects!$X$4,0)</f>
        <v>0</v>
      </c>
      <c r="EJ26">
        <f ca="1">OFFSET(Objects!$HW$6,EJ$1+(Objects!$Y$4-$A26-1)*Objects!$X$4,0)</f>
        <v>0</v>
      </c>
      <c r="EK26">
        <f ca="1">OFFSET(Objects!$HW$6,EK$1+(Objects!$Y$4-$A26-1)*Objects!$X$4,0)</f>
        <v>0</v>
      </c>
      <c r="EL26">
        <f ca="1">OFFSET(Objects!$HW$6,EL$1+(Objects!$Y$4-$A26-1)*Objects!$X$4,0)</f>
        <v>0</v>
      </c>
      <c r="EM26">
        <f ca="1">OFFSET(Objects!$HW$6,EM$1+(Objects!$Y$4-$A26-1)*Objects!$X$4,0)</f>
        <v>0</v>
      </c>
      <c r="EN26">
        <f ca="1">OFFSET(Objects!$HW$6,EN$1+(Objects!$Y$4-$A26-1)*Objects!$X$4,0)</f>
        <v>0</v>
      </c>
      <c r="EO26">
        <f ca="1">OFFSET(Objects!$HW$6,EO$1+(Objects!$Y$4-$A26-1)*Objects!$X$4,0)</f>
        <v>0</v>
      </c>
      <c r="EP26">
        <f ca="1">OFFSET(Objects!$HW$6,EP$1+(Objects!$Y$4-$A26-1)*Objects!$X$4,0)</f>
        <v>0</v>
      </c>
      <c r="EQ26">
        <f ca="1">OFFSET(Objects!$HW$6,EQ$1+(Objects!$Y$4-$A26-1)*Objects!$X$4,0)</f>
        <v>0</v>
      </c>
      <c r="ER26">
        <f ca="1">OFFSET(Objects!$HW$6,ER$1+(Objects!$Y$4-$A26-1)*Objects!$X$4,0)</f>
        <v>0</v>
      </c>
      <c r="ES26">
        <f ca="1">OFFSET(Objects!$HW$6,ES$1+(Objects!$Y$4-$A26-1)*Objects!$X$4,0)</f>
        <v>0</v>
      </c>
      <c r="ET26">
        <f ca="1">OFFSET(Objects!$HW$6,ET$1+(Objects!$Y$4-$A26-1)*Objects!$X$4,0)</f>
        <v>0</v>
      </c>
      <c r="EU26">
        <f ca="1">OFFSET(Objects!$HW$6,EU$1+(Objects!$Y$4-$A26-1)*Objects!$X$4,0)</f>
        <v>0</v>
      </c>
      <c r="EV26">
        <f ca="1">OFFSET(Objects!$HW$6,EV$1+(Objects!$Y$4-$A26-1)*Objects!$X$4,0)</f>
        <v>0</v>
      </c>
      <c r="EW26">
        <f ca="1">OFFSET(Objects!$HW$6,EW$1+(Objects!$Y$4-$A26-1)*Objects!$X$4,0)</f>
        <v>0</v>
      </c>
      <c r="EX26">
        <f ca="1">OFFSET(Objects!$HW$6,EX$1+(Objects!$Y$4-$A26-1)*Objects!$X$4,0)</f>
        <v>0</v>
      </c>
      <c r="EY26">
        <f ca="1">OFFSET(Objects!$HW$6,EY$1+(Objects!$Y$4-$A26-1)*Objects!$X$4,0)</f>
        <v>0</v>
      </c>
      <c r="EZ26">
        <f ca="1">OFFSET(Objects!$HW$6,EZ$1+(Objects!$Y$4-$A26-1)*Objects!$X$4,0)</f>
        <v>0</v>
      </c>
      <c r="FA26">
        <f ca="1">OFFSET(Objects!$HW$6,FA$1+(Objects!$Y$4-$A26-1)*Objects!$X$4,0)</f>
        <v>0</v>
      </c>
      <c r="FB26">
        <f ca="1">OFFSET(Objects!$HW$6,FB$1+(Objects!$Y$4-$A26-1)*Objects!$X$4,0)</f>
        <v>0</v>
      </c>
      <c r="FC26">
        <f ca="1">OFFSET(Objects!$HW$6,FC$1+(Objects!$Y$4-$A26-1)*Objects!$X$4,0)</f>
        <v>0</v>
      </c>
      <c r="FD26">
        <f ca="1">OFFSET(Objects!$HW$6,FD$1+(Objects!$Y$4-$A26-1)*Objects!$X$4,0)</f>
        <v>0</v>
      </c>
      <c r="FE26" s="22">
        <f ca="1">OFFSET(Objects!$HW$6,FE$1+(Objects!$Y$4-$A26-1)*Objects!$X$4,0)</f>
        <v>0</v>
      </c>
    </row>
    <row r="27" spans="1:161" ht="4.5" customHeight="1" x14ac:dyDescent="0.25">
      <c r="A27">
        <v>25</v>
      </c>
      <c r="B27" s="21">
        <f ca="1">OFFSET(Objects!$HW$6,B$1+(Objects!$Y$4-$A27-1)*Objects!$X$4,0)</f>
        <v>0</v>
      </c>
      <c r="C27">
        <f ca="1">OFFSET(Objects!$HW$6,C$1+(Objects!$Y$4-$A27-1)*Objects!$X$4,0)</f>
        <v>0</v>
      </c>
      <c r="D27">
        <f ca="1">OFFSET(Objects!$HW$6,D$1+(Objects!$Y$4-$A27-1)*Objects!$X$4,0)</f>
        <v>0</v>
      </c>
      <c r="E27">
        <f ca="1">OFFSET(Objects!$HW$6,E$1+(Objects!$Y$4-$A27-1)*Objects!$X$4,0)</f>
        <v>0</v>
      </c>
      <c r="F27">
        <f ca="1">OFFSET(Objects!$HW$6,F$1+(Objects!$Y$4-$A27-1)*Objects!$X$4,0)</f>
        <v>0</v>
      </c>
      <c r="G27">
        <f ca="1">OFFSET(Objects!$HW$6,G$1+(Objects!$Y$4-$A27-1)*Objects!$X$4,0)</f>
        <v>0</v>
      </c>
      <c r="H27">
        <f ca="1">OFFSET(Objects!$HW$6,H$1+(Objects!$Y$4-$A27-1)*Objects!$X$4,0)</f>
        <v>0</v>
      </c>
      <c r="I27">
        <f ca="1">OFFSET(Objects!$HW$6,I$1+(Objects!$Y$4-$A27-1)*Objects!$X$4,0)</f>
        <v>0</v>
      </c>
      <c r="J27">
        <f ca="1">OFFSET(Objects!$HW$6,J$1+(Objects!$Y$4-$A27-1)*Objects!$X$4,0)</f>
        <v>0</v>
      </c>
      <c r="K27">
        <f ca="1">OFFSET(Objects!$HW$6,K$1+(Objects!$Y$4-$A27-1)*Objects!$X$4,0)</f>
        <v>0</v>
      </c>
      <c r="L27">
        <f ca="1">OFFSET(Objects!$HW$6,L$1+(Objects!$Y$4-$A27-1)*Objects!$X$4,0)</f>
        <v>0</v>
      </c>
      <c r="M27">
        <f ca="1">OFFSET(Objects!$HW$6,M$1+(Objects!$Y$4-$A27-1)*Objects!$X$4,0)</f>
        <v>0</v>
      </c>
      <c r="N27">
        <f ca="1">OFFSET(Objects!$HW$6,N$1+(Objects!$Y$4-$A27-1)*Objects!$X$4,0)</f>
        <v>0</v>
      </c>
      <c r="O27">
        <f ca="1">OFFSET(Objects!$HW$6,O$1+(Objects!$Y$4-$A27-1)*Objects!$X$4,0)</f>
        <v>0</v>
      </c>
      <c r="P27">
        <f ca="1">OFFSET(Objects!$HW$6,P$1+(Objects!$Y$4-$A27-1)*Objects!$X$4,0)</f>
        <v>0</v>
      </c>
      <c r="Q27">
        <f ca="1">OFFSET(Objects!$HW$6,Q$1+(Objects!$Y$4-$A27-1)*Objects!$X$4,0)</f>
        <v>0</v>
      </c>
      <c r="R27">
        <f ca="1">OFFSET(Objects!$HW$6,R$1+(Objects!$Y$4-$A27-1)*Objects!$X$4,0)</f>
        <v>0</v>
      </c>
      <c r="S27">
        <f ca="1">OFFSET(Objects!$HW$6,S$1+(Objects!$Y$4-$A27-1)*Objects!$X$4,0)</f>
        <v>0</v>
      </c>
      <c r="T27">
        <f ca="1">OFFSET(Objects!$HW$6,T$1+(Objects!$Y$4-$A27-1)*Objects!$X$4,0)</f>
        <v>0</v>
      </c>
      <c r="U27">
        <f ca="1">OFFSET(Objects!$HW$6,U$1+(Objects!$Y$4-$A27-1)*Objects!$X$4,0)</f>
        <v>0</v>
      </c>
      <c r="V27">
        <f ca="1">OFFSET(Objects!$HW$6,V$1+(Objects!$Y$4-$A27-1)*Objects!$X$4,0)</f>
        <v>0</v>
      </c>
      <c r="W27">
        <f ca="1">OFFSET(Objects!$HW$6,W$1+(Objects!$Y$4-$A27-1)*Objects!$X$4,0)</f>
        <v>0</v>
      </c>
      <c r="X27">
        <f ca="1">OFFSET(Objects!$HW$6,X$1+(Objects!$Y$4-$A27-1)*Objects!$X$4,0)</f>
        <v>0</v>
      </c>
      <c r="Y27">
        <f ca="1">OFFSET(Objects!$HW$6,Y$1+(Objects!$Y$4-$A27-1)*Objects!$X$4,0)</f>
        <v>0</v>
      </c>
      <c r="Z27">
        <f ca="1">OFFSET(Objects!$HW$6,Z$1+(Objects!$Y$4-$A27-1)*Objects!$X$4,0)</f>
        <v>0</v>
      </c>
      <c r="AA27">
        <f ca="1">OFFSET(Objects!$HW$6,AA$1+(Objects!$Y$4-$A27-1)*Objects!$X$4,0)</f>
        <v>0</v>
      </c>
      <c r="AB27">
        <f ca="1">OFFSET(Objects!$HW$6,AB$1+(Objects!$Y$4-$A27-1)*Objects!$X$4,0)</f>
        <v>0</v>
      </c>
      <c r="AC27">
        <f ca="1">OFFSET(Objects!$HW$6,AC$1+(Objects!$Y$4-$A27-1)*Objects!$X$4,0)</f>
        <v>0</v>
      </c>
      <c r="AD27">
        <f ca="1">OFFSET(Objects!$HW$6,AD$1+(Objects!$Y$4-$A27-1)*Objects!$X$4,0)</f>
        <v>0</v>
      </c>
      <c r="AE27">
        <f ca="1">OFFSET(Objects!$HW$6,AE$1+(Objects!$Y$4-$A27-1)*Objects!$X$4,0)</f>
        <v>0</v>
      </c>
      <c r="AF27">
        <f ca="1">OFFSET(Objects!$HW$6,AF$1+(Objects!$Y$4-$A27-1)*Objects!$X$4,0)</f>
        <v>0</v>
      </c>
      <c r="AG27">
        <f ca="1">OFFSET(Objects!$HW$6,AG$1+(Objects!$Y$4-$A27-1)*Objects!$X$4,0)</f>
        <v>0</v>
      </c>
      <c r="AH27">
        <f ca="1">OFFSET(Objects!$HW$6,AH$1+(Objects!$Y$4-$A27-1)*Objects!$X$4,0)</f>
        <v>0</v>
      </c>
      <c r="AI27">
        <f ca="1">OFFSET(Objects!$HW$6,AI$1+(Objects!$Y$4-$A27-1)*Objects!$X$4,0)</f>
        <v>0</v>
      </c>
      <c r="AJ27">
        <f ca="1">OFFSET(Objects!$HW$6,AJ$1+(Objects!$Y$4-$A27-1)*Objects!$X$4,0)</f>
        <v>0</v>
      </c>
      <c r="AK27">
        <f ca="1">OFFSET(Objects!$HW$6,AK$1+(Objects!$Y$4-$A27-1)*Objects!$X$4,0)</f>
        <v>0</v>
      </c>
      <c r="AL27">
        <f ca="1">OFFSET(Objects!$HW$6,AL$1+(Objects!$Y$4-$A27-1)*Objects!$X$4,0)</f>
        <v>0</v>
      </c>
      <c r="AM27">
        <f ca="1">OFFSET(Objects!$HW$6,AM$1+(Objects!$Y$4-$A27-1)*Objects!$X$4,0)</f>
        <v>0</v>
      </c>
      <c r="AN27">
        <f ca="1">OFFSET(Objects!$HW$6,AN$1+(Objects!$Y$4-$A27-1)*Objects!$X$4,0)</f>
        <v>0</v>
      </c>
      <c r="AO27">
        <f ca="1">OFFSET(Objects!$HW$6,AO$1+(Objects!$Y$4-$A27-1)*Objects!$X$4,0)</f>
        <v>0</v>
      </c>
      <c r="AP27">
        <f ca="1">OFFSET(Objects!$HW$6,AP$1+(Objects!$Y$4-$A27-1)*Objects!$X$4,0)</f>
        <v>0</v>
      </c>
      <c r="AQ27">
        <f ca="1">OFFSET(Objects!$HW$6,AQ$1+(Objects!$Y$4-$A27-1)*Objects!$X$4,0)</f>
        <v>0</v>
      </c>
      <c r="AR27">
        <f ca="1">OFFSET(Objects!$HW$6,AR$1+(Objects!$Y$4-$A27-1)*Objects!$X$4,0)</f>
        <v>0</v>
      </c>
      <c r="AS27">
        <f ca="1">OFFSET(Objects!$HW$6,AS$1+(Objects!$Y$4-$A27-1)*Objects!$X$4,0)</f>
        <v>0</v>
      </c>
      <c r="AT27">
        <f ca="1">OFFSET(Objects!$HW$6,AT$1+(Objects!$Y$4-$A27-1)*Objects!$X$4,0)</f>
        <v>0</v>
      </c>
      <c r="AU27">
        <f ca="1">OFFSET(Objects!$HW$6,AU$1+(Objects!$Y$4-$A27-1)*Objects!$X$4,0)</f>
        <v>0</v>
      </c>
      <c r="AV27">
        <f ca="1">OFFSET(Objects!$HW$6,AV$1+(Objects!$Y$4-$A27-1)*Objects!$X$4,0)</f>
        <v>0</v>
      </c>
      <c r="AW27">
        <f ca="1">OFFSET(Objects!$HW$6,AW$1+(Objects!$Y$4-$A27-1)*Objects!$X$4,0)</f>
        <v>0</v>
      </c>
      <c r="AX27">
        <f ca="1">OFFSET(Objects!$HW$6,AX$1+(Objects!$Y$4-$A27-1)*Objects!$X$4,0)</f>
        <v>0</v>
      </c>
      <c r="AY27">
        <f ca="1">OFFSET(Objects!$HW$6,AY$1+(Objects!$Y$4-$A27-1)*Objects!$X$4,0)</f>
        <v>0</v>
      </c>
      <c r="AZ27">
        <f ca="1">OFFSET(Objects!$HW$6,AZ$1+(Objects!$Y$4-$A27-1)*Objects!$X$4,0)</f>
        <v>0</v>
      </c>
      <c r="BA27">
        <f ca="1">OFFSET(Objects!$HW$6,BA$1+(Objects!$Y$4-$A27-1)*Objects!$X$4,0)</f>
        <v>0</v>
      </c>
      <c r="BB27">
        <f ca="1">OFFSET(Objects!$HW$6,BB$1+(Objects!$Y$4-$A27-1)*Objects!$X$4,0)</f>
        <v>0</v>
      </c>
      <c r="BC27">
        <f ca="1">OFFSET(Objects!$HW$6,BC$1+(Objects!$Y$4-$A27-1)*Objects!$X$4,0)</f>
        <v>0</v>
      </c>
      <c r="BD27">
        <f ca="1">OFFSET(Objects!$HW$6,BD$1+(Objects!$Y$4-$A27-1)*Objects!$X$4,0)</f>
        <v>0</v>
      </c>
      <c r="BE27">
        <f ca="1">OFFSET(Objects!$HW$6,BE$1+(Objects!$Y$4-$A27-1)*Objects!$X$4,0)</f>
        <v>0</v>
      </c>
      <c r="BF27">
        <f ca="1">OFFSET(Objects!$HW$6,BF$1+(Objects!$Y$4-$A27-1)*Objects!$X$4,0)</f>
        <v>0</v>
      </c>
      <c r="BG27">
        <f ca="1">OFFSET(Objects!$HW$6,BG$1+(Objects!$Y$4-$A27-1)*Objects!$X$4,0)</f>
        <v>0</v>
      </c>
      <c r="BH27">
        <f ca="1">OFFSET(Objects!$HW$6,BH$1+(Objects!$Y$4-$A27-1)*Objects!$X$4,0)</f>
        <v>0</v>
      </c>
      <c r="BI27">
        <f ca="1">OFFSET(Objects!$HW$6,BI$1+(Objects!$Y$4-$A27-1)*Objects!$X$4,0)</f>
        <v>0</v>
      </c>
      <c r="BJ27">
        <f ca="1">OFFSET(Objects!$HW$6,BJ$1+(Objects!$Y$4-$A27-1)*Objects!$X$4,0)</f>
        <v>0</v>
      </c>
      <c r="BK27">
        <f ca="1">OFFSET(Objects!$HW$6,BK$1+(Objects!$Y$4-$A27-1)*Objects!$X$4,0)</f>
        <v>0</v>
      </c>
      <c r="BL27">
        <f ca="1">OFFSET(Objects!$HW$6,BL$1+(Objects!$Y$4-$A27-1)*Objects!$X$4,0)</f>
        <v>0</v>
      </c>
      <c r="BM27">
        <f ca="1">OFFSET(Objects!$HW$6,BM$1+(Objects!$Y$4-$A27-1)*Objects!$X$4,0)</f>
        <v>0</v>
      </c>
      <c r="BN27">
        <f ca="1">OFFSET(Objects!$HW$6,BN$1+(Objects!$Y$4-$A27-1)*Objects!$X$4,0)</f>
        <v>0</v>
      </c>
      <c r="BO27">
        <f ca="1">OFFSET(Objects!$HW$6,BO$1+(Objects!$Y$4-$A27-1)*Objects!$X$4,0)</f>
        <v>0</v>
      </c>
      <c r="BP27">
        <f ca="1">OFFSET(Objects!$HW$6,BP$1+(Objects!$Y$4-$A27-1)*Objects!$X$4,0)</f>
        <v>0</v>
      </c>
      <c r="BQ27">
        <f ca="1">OFFSET(Objects!$HW$6,BQ$1+(Objects!$Y$4-$A27-1)*Objects!$X$4,0)</f>
        <v>0</v>
      </c>
      <c r="BR27">
        <f ca="1">OFFSET(Objects!$HW$6,BR$1+(Objects!$Y$4-$A27-1)*Objects!$X$4,0)</f>
        <v>0</v>
      </c>
      <c r="BS27">
        <f ca="1">OFFSET(Objects!$HW$6,BS$1+(Objects!$Y$4-$A27-1)*Objects!$X$4,0)</f>
        <v>0</v>
      </c>
      <c r="BT27">
        <f ca="1">OFFSET(Objects!$HW$6,BT$1+(Objects!$Y$4-$A27-1)*Objects!$X$4,0)</f>
        <v>0</v>
      </c>
      <c r="BU27">
        <f ca="1">OFFSET(Objects!$HW$6,BU$1+(Objects!$Y$4-$A27-1)*Objects!$X$4,0)</f>
        <v>0</v>
      </c>
      <c r="BV27">
        <f ca="1">OFFSET(Objects!$HW$6,BV$1+(Objects!$Y$4-$A27-1)*Objects!$X$4,0)</f>
        <v>0</v>
      </c>
      <c r="BW27">
        <f ca="1">OFFSET(Objects!$HW$6,BW$1+(Objects!$Y$4-$A27-1)*Objects!$X$4,0)</f>
        <v>0</v>
      </c>
      <c r="BX27">
        <f ca="1">OFFSET(Objects!$HW$6,BX$1+(Objects!$Y$4-$A27-1)*Objects!$X$4,0)</f>
        <v>0</v>
      </c>
      <c r="BY27">
        <f ca="1">OFFSET(Objects!$HW$6,BY$1+(Objects!$Y$4-$A27-1)*Objects!$X$4,0)</f>
        <v>0</v>
      </c>
      <c r="BZ27">
        <f ca="1">OFFSET(Objects!$HW$6,BZ$1+(Objects!$Y$4-$A27-1)*Objects!$X$4,0)</f>
        <v>0</v>
      </c>
      <c r="CA27">
        <f ca="1">OFFSET(Objects!$HW$6,CA$1+(Objects!$Y$4-$A27-1)*Objects!$X$4,0)</f>
        <v>0</v>
      </c>
      <c r="CB27">
        <f ca="1">OFFSET(Objects!$HW$6,CB$1+(Objects!$Y$4-$A27-1)*Objects!$X$4,0)</f>
        <v>0</v>
      </c>
      <c r="CC27">
        <f ca="1">OFFSET(Objects!$HW$6,CC$1+(Objects!$Y$4-$A27-1)*Objects!$X$4,0)</f>
        <v>0</v>
      </c>
      <c r="CD27">
        <f ca="1">OFFSET(Objects!$HW$6,CD$1+(Objects!$Y$4-$A27-1)*Objects!$X$4,0)</f>
        <v>0</v>
      </c>
      <c r="CE27">
        <f ca="1">OFFSET(Objects!$HW$6,CE$1+(Objects!$Y$4-$A27-1)*Objects!$X$4,0)</f>
        <v>0</v>
      </c>
      <c r="CF27">
        <f ca="1">OFFSET(Objects!$HW$6,CF$1+(Objects!$Y$4-$A27-1)*Objects!$X$4,0)</f>
        <v>0</v>
      </c>
      <c r="CG27">
        <f ca="1">OFFSET(Objects!$HW$6,CG$1+(Objects!$Y$4-$A27-1)*Objects!$X$4,0)</f>
        <v>0</v>
      </c>
      <c r="CH27">
        <f ca="1">OFFSET(Objects!$HW$6,CH$1+(Objects!$Y$4-$A27-1)*Objects!$X$4,0)</f>
        <v>0</v>
      </c>
      <c r="CI27">
        <f ca="1">OFFSET(Objects!$HW$6,CI$1+(Objects!$Y$4-$A27-1)*Objects!$X$4,0)</f>
        <v>0</v>
      </c>
      <c r="CJ27">
        <f ca="1">OFFSET(Objects!$HW$6,CJ$1+(Objects!$Y$4-$A27-1)*Objects!$X$4,0)</f>
        <v>0</v>
      </c>
      <c r="CK27">
        <f ca="1">OFFSET(Objects!$HW$6,CK$1+(Objects!$Y$4-$A27-1)*Objects!$X$4,0)</f>
        <v>0</v>
      </c>
      <c r="CL27">
        <f ca="1">OFFSET(Objects!$HW$6,CL$1+(Objects!$Y$4-$A27-1)*Objects!$X$4,0)</f>
        <v>0</v>
      </c>
      <c r="CM27">
        <f ca="1">OFFSET(Objects!$HW$6,CM$1+(Objects!$Y$4-$A27-1)*Objects!$X$4,0)</f>
        <v>0</v>
      </c>
      <c r="CN27">
        <f ca="1">OFFSET(Objects!$HW$6,CN$1+(Objects!$Y$4-$A27-1)*Objects!$X$4,0)</f>
        <v>0</v>
      </c>
      <c r="CO27">
        <f ca="1">OFFSET(Objects!$HW$6,CO$1+(Objects!$Y$4-$A27-1)*Objects!$X$4,0)</f>
        <v>0</v>
      </c>
      <c r="CP27">
        <f ca="1">OFFSET(Objects!$HW$6,CP$1+(Objects!$Y$4-$A27-1)*Objects!$X$4,0)</f>
        <v>0</v>
      </c>
      <c r="CQ27">
        <f ca="1">OFFSET(Objects!$HW$6,CQ$1+(Objects!$Y$4-$A27-1)*Objects!$X$4,0)</f>
        <v>0</v>
      </c>
      <c r="CR27">
        <f ca="1">OFFSET(Objects!$HW$6,CR$1+(Objects!$Y$4-$A27-1)*Objects!$X$4,0)</f>
        <v>0</v>
      </c>
      <c r="CS27">
        <f ca="1">OFFSET(Objects!$HW$6,CS$1+(Objects!$Y$4-$A27-1)*Objects!$X$4,0)</f>
        <v>0</v>
      </c>
      <c r="CT27">
        <f ca="1">OFFSET(Objects!$HW$6,CT$1+(Objects!$Y$4-$A27-1)*Objects!$X$4,0)</f>
        <v>0</v>
      </c>
      <c r="CU27">
        <f ca="1">OFFSET(Objects!$HW$6,CU$1+(Objects!$Y$4-$A27-1)*Objects!$X$4,0)</f>
        <v>0</v>
      </c>
      <c r="CV27">
        <f ca="1">OFFSET(Objects!$HW$6,CV$1+(Objects!$Y$4-$A27-1)*Objects!$X$4,0)</f>
        <v>0</v>
      </c>
      <c r="CW27">
        <f ca="1">OFFSET(Objects!$HW$6,CW$1+(Objects!$Y$4-$A27-1)*Objects!$X$4,0)</f>
        <v>0</v>
      </c>
      <c r="CX27">
        <f ca="1">OFFSET(Objects!$HW$6,CX$1+(Objects!$Y$4-$A27-1)*Objects!$X$4,0)</f>
        <v>0</v>
      </c>
      <c r="CY27">
        <f ca="1">OFFSET(Objects!$HW$6,CY$1+(Objects!$Y$4-$A27-1)*Objects!$X$4,0)</f>
        <v>0</v>
      </c>
      <c r="CZ27">
        <f ca="1">OFFSET(Objects!$HW$6,CZ$1+(Objects!$Y$4-$A27-1)*Objects!$X$4,0)</f>
        <v>0</v>
      </c>
      <c r="DA27">
        <f ca="1">OFFSET(Objects!$HW$6,DA$1+(Objects!$Y$4-$A27-1)*Objects!$X$4,0)</f>
        <v>0</v>
      </c>
      <c r="DB27">
        <f ca="1">OFFSET(Objects!$HW$6,DB$1+(Objects!$Y$4-$A27-1)*Objects!$X$4,0)</f>
        <v>0</v>
      </c>
      <c r="DC27">
        <f ca="1">OFFSET(Objects!$HW$6,DC$1+(Objects!$Y$4-$A27-1)*Objects!$X$4,0)</f>
        <v>0</v>
      </c>
      <c r="DD27">
        <f ca="1">OFFSET(Objects!$HW$6,DD$1+(Objects!$Y$4-$A27-1)*Objects!$X$4,0)</f>
        <v>0</v>
      </c>
      <c r="DE27">
        <f ca="1">OFFSET(Objects!$HW$6,DE$1+(Objects!$Y$4-$A27-1)*Objects!$X$4,0)</f>
        <v>0</v>
      </c>
      <c r="DF27">
        <f ca="1">OFFSET(Objects!$HW$6,DF$1+(Objects!$Y$4-$A27-1)*Objects!$X$4,0)</f>
        <v>0</v>
      </c>
      <c r="DG27">
        <f ca="1">OFFSET(Objects!$HW$6,DG$1+(Objects!$Y$4-$A27-1)*Objects!$X$4,0)</f>
        <v>0</v>
      </c>
      <c r="DH27">
        <f ca="1">OFFSET(Objects!$HW$6,DH$1+(Objects!$Y$4-$A27-1)*Objects!$X$4,0)</f>
        <v>0</v>
      </c>
      <c r="DI27">
        <f ca="1">OFFSET(Objects!$HW$6,DI$1+(Objects!$Y$4-$A27-1)*Objects!$X$4,0)</f>
        <v>0</v>
      </c>
      <c r="DJ27">
        <f ca="1">OFFSET(Objects!$HW$6,DJ$1+(Objects!$Y$4-$A27-1)*Objects!$X$4,0)</f>
        <v>0</v>
      </c>
      <c r="DK27">
        <f ca="1">OFFSET(Objects!$HW$6,DK$1+(Objects!$Y$4-$A27-1)*Objects!$X$4,0)</f>
        <v>0</v>
      </c>
      <c r="DL27">
        <f ca="1">OFFSET(Objects!$HW$6,DL$1+(Objects!$Y$4-$A27-1)*Objects!$X$4,0)</f>
        <v>0</v>
      </c>
      <c r="DM27">
        <f ca="1">OFFSET(Objects!$HW$6,DM$1+(Objects!$Y$4-$A27-1)*Objects!$X$4,0)</f>
        <v>0</v>
      </c>
      <c r="DN27">
        <f ca="1">OFFSET(Objects!$HW$6,DN$1+(Objects!$Y$4-$A27-1)*Objects!$X$4,0)</f>
        <v>0</v>
      </c>
      <c r="DO27">
        <f ca="1">OFFSET(Objects!$HW$6,DO$1+(Objects!$Y$4-$A27-1)*Objects!$X$4,0)</f>
        <v>0</v>
      </c>
      <c r="DP27">
        <f ca="1">OFFSET(Objects!$HW$6,DP$1+(Objects!$Y$4-$A27-1)*Objects!$X$4,0)</f>
        <v>0</v>
      </c>
      <c r="DQ27">
        <f ca="1">OFFSET(Objects!$HW$6,DQ$1+(Objects!$Y$4-$A27-1)*Objects!$X$4,0)</f>
        <v>0</v>
      </c>
      <c r="DR27">
        <f ca="1">OFFSET(Objects!$HW$6,DR$1+(Objects!$Y$4-$A27-1)*Objects!$X$4,0)</f>
        <v>0</v>
      </c>
      <c r="DS27">
        <f ca="1">OFFSET(Objects!$HW$6,DS$1+(Objects!$Y$4-$A27-1)*Objects!$X$4,0)</f>
        <v>0</v>
      </c>
      <c r="DT27">
        <f ca="1">OFFSET(Objects!$HW$6,DT$1+(Objects!$Y$4-$A27-1)*Objects!$X$4,0)</f>
        <v>0</v>
      </c>
      <c r="DU27">
        <f ca="1">OFFSET(Objects!$HW$6,DU$1+(Objects!$Y$4-$A27-1)*Objects!$X$4,0)</f>
        <v>0</v>
      </c>
      <c r="DV27">
        <f ca="1">OFFSET(Objects!$HW$6,DV$1+(Objects!$Y$4-$A27-1)*Objects!$X$4,0)</f>
        <v>0</v>
      </c>
      <c r="DW27">
        <f ca="1">OFFSET(Objects!$HW$6,DW$1+(Objects!$Y$4-$A27-1)*Objects!$X$4,0)</f>
        <v>0</v>
      </c>
      <c r="DX27">
        <f ca="1">OFFSET(Objects!$HW$6,DX$1+(Objects!$Y$4-$A27-1)*Objects!$X$4,0)</f>
        <v>0</v>
      </c>
      <c r="DY27">
        <f ca="1">OFFSET(Objects!$HW$6,DY$1+(Objects!$Y$4-$A27-1)*Objects!$X$4,0)</f>
        <v>0</v>
      </c>
      <c r="DZ27">
        <f ca="1">OFFSET(Objects!$HW$6,DZ$1+(Objects!$Y$4-$A27-1)*Objects!$X$4,0)</f>
        <v>0</v>
      </c>
      <c r="EA27">
        <f ca="1">OFFSET(Objects!$HW$6,EA$1+(Objects!$Y$4-$A27-1)*Objects!$X$4,0)</f>
        <v>0</v>
      </c>
      <c r="EB27">
        <f ca="1">OFFSET(Objects!$HW$6,EB$1+(Objects!$Y$4-$A27-1)*Objects!$X$4,0)</f>
        <v>0</v>
      </c>
      <c r="EC27">
        <f ca="1">OFFSET(Objects!$HW$6,EC$1+(Objects!$Y$4-$A27-1)*Objects!$X$4,0)</f>
        <v>0</v>
      </c>
      <c r="ED27">
        <f ca="1">OFFSET(Objects!$HW$6,ED$1+(Objects!$Y$4-$A27-1)*Objects!$X$4,0)</f>
        <v>0</v>
      </c>
      <c r="EE27">
        <f ca="1">OFFSET(Objects!$HW$6,EE$1+(Objects!$Y$4-$A27-1)*Objects!$X$4,0)</f>
        <v>0</v>
      </c>
      <c r="EF27">
        <f ca="1">OFFSET(Objects!$HW$6,EF$1+(Objects!$Y$4-$A27-1)*Objects!$X$4,0)</f>
        <v>0</v>
      </c>
      <c r="EG27">
        <f ca="1">OFFSET(Objects!$HW$6,EG$1+(Objects!$Y$4-$A27-1)*Objects!$X$4,0)</f>
        <v>0</v>
      </c>
      <c r="EH27">
        <f ca="1">OFFSET(Objects!$HW$6,EH$1+(Objects!$Y$4-$A27-1)*Objects!$X$4,0)</f>
        <v>0</v>
      </c>
      <c r="EI27">
        <f ca="1">OFFSET(Objects!$HW$6,EI$1+(Objects!$Y$4-$A27-1)*Objects!$X$4,0)</f>
        <v>0</v>
      </c>
      <c r="EJ27">
        <f ca="1">OFFSET(Objects!$HW$6,EJ$1+(Objects!$Y$4-$A27-1)*Objects!$X$4,0)</f>
        <v>0</v>
      </c>
      <c r="EK27">
        <f ca="1">OFFSET(Objects!$HW$6,EK$1+(Objects!$Y$4-$A27-1)*Objects!$X$4,0)</f>
        <v>0</v>
      </c>
      <c r="EL27">
        <f ca="1">OFFSET(Objects!$HW$6,EL$1+(Objects!$Y$4-$A27-1)*Objects!$X$4,0)</f>
        <v>0</v>
      </c>
      <c r="EM27">
        <f ca="1">OFFSET(Objects!$HW$6,EM$1+(Objects!$Y$4-$A27-1)*Objects!$X$4,0)</f>
        <v>0</v>
      </c>
      <c r="EN27">
        <f ca="1">OFFSET(Objects!$HW$6,EN$1+(Objects!$Y$4-$A27-1)*Objects!$X$4,0)</f>
        <v>0</v>
      </c>
      <c r="EO27">
        <f ca="1">OFFSET(Objects!$HW$6,EO$1+(Objects!$Y$4-$A27-1)*Objects!$X$4,0)</f>
        <v>0</v>
      </c>
      <c r="EP27">
        <f ca="1">OFFSET(Objects!$HW$6,EP$1+(Objects!$Y$4-$A27-1)*Objects!$X$4,0)</f>
        <v>0</v>
      </c>
      <c r="EQ27">
        <f ca="1">OFFSET(Objects!$HW$6,EQ$1+(Objects!$Y$4-$A27-1)*Objects!$X$4,0)</f>
        <v>0</v>
      </c>
      <c r="ER27">
        <f ca="1">OFFSET(Objects!$HW$6,ER$1+(Objects!$Y$4-$A27-1)*Objects!$X$4,0)</f>
        <v>0</v>
      </c>
      <c r="ES27">
        <f ca="1">OFFSET(Objects!$HW$6,ES$1+(Objects!$Y$4-$A27-1)*Objects!$X$4,0)</f>
        <v>0</v>
      </c>
      <c r="ET27">
        <f ca="1">OFFSET(Objects!$HW$6,ET$1+(Objects!$Y$4-$A27-1)*Objects!$X$4,0)</f>
        <v>0</v>
      </c>
      <c r="EU27">
        <f ca="1">OFFSET(Objects!$HW$6,EU$1+(Objects!$Y$4-$A27-1)*Objects!$X$4,0)</f>
        <v>0</v>
      </c>
      <c r="EV27">
        <f ca="1">OFFSET(Objects!$HW$6,EV$1+(Objects!$Y$4-$A27-1)*Objects!$X$4,0)</f>
        <v>0</v>
      </c>
      <c r="EW27">
        <f ca="1">OFFSET(Objects!$HW$6,EW$1+(Objects!$Y$4-$A27-1)*Objects!$X$4,0)</f>
        <v>0</v>
      </c>
      <c r="EX27">
        <f ca="1">OFFSET(Objects!$HW$6,EX$1+(Objects!$Y$4-$A27-1)*Objects!$X$4,0)</f>
        <v>0</v>
      </c>
      <c r="EY27">
        <f ca="1">OFFSET(Objects!$HW$6,EY$1+(Objects!$Y$4-$A27-1)*Objects!$X$4,0)</f>
        <v>0</v>
      </c>
      <c r="EZ27">
        <f ca="1">OFFSET(Objects!$HW$6,EZ$1+(Objects!$Y$4-$A27-1)*Objects!$X$4,0)</f>
        <v>0</v>
      </c>
      <c r="FA27">
        <f ca="1">OFFSET(Objects!$HW$6,FA$1+(Objects!$Y$4-$A27-1)*Objects!$X$4,0)</f>
        <v>0</v>
      </c>
      <c r="FB27">
        <f ca="1">OFFSET(Objects!$HW$6,FB$1+(Objects!$Y$4-$A27-1)*Objects!$X$4,0)</f>
        <v>0</v>
      </c>
      <c r="FC27">
        <f ca="1">OFFSET(Objects!$HW$6,FC$1+(Objects!$Y$4-$A27-1)*Objects!$X$4,0)</f>
        <v>0</v>
      </c>
      <c r="FD27">
        <f ca="1">OFFSET(Objects!$HW$6,FD$1+(Objects!$Y$4-$A27-1)*Objects!$X$4,0)</f>
        <v>0</v>
      </c>
      <c r="FE27" s="22">
        <f ca="1">OFFSET(Objects!$HW$6,FE$1+(Objects!$Y$4-$A27-1)*Objects!$X$4,0)</f>
        <v>0</v>
      </c>
    </row>
    <row r="28" spans="1:161" ht="4.5" customHeight="1" x14ac:dyDescent="0.25">
      <c r="A28">
        <v>26</v>
      </c>
      <c r="B28" s="21">
        <f ca="1">OFFSET(Objects!$HW$6,B$1+(Objects!$Y$4-$A28-1)*Objects!$X$4,0)</f>
        <v>0</v>
      </c>
      <c r="C28">
        <f ca="1">OFFSET(Objects!$HW$6,C$1+(Objects!$Y$4-$A28-1)*Objects!$X$4,0)</f>
        <v>0</v>
      </c>
      <c r="D28">
        <f ca="1">OFFSET(Objects!$HW$6,D$1+(Objects!$Y$4-$A28-1)*Objects!$X$4,0)</f>
        <v>0</v>
      </c>
      <c r="E28">
        <f ca="1">OFFSET(Objects!$HW$6,E$1+(Objects!$Y$4-$A28-1)*Objects!$X$4,0)</f>
        <v>0</v>
      </c>
      <c r="F28">
        <f ca="1">OFFSET(Objects!$HW$6,F$1+(Objects!$Y$4-$A28-1)*Objects!$X$4,0)</f>
        <v>0</v>
      </c>
      <c r="G28">
        <f ca="1">OFFSET(Objects!$HW$6,G$1+(Objects!$Y$4-$A28-1)*Objects!$X$4,0)</f>
        <v>0</v>
      </c>
      <c r="H28">
        <f ca="1">OFFSET(Objects!$HW$6,H$1+(Objects!$Y$4-$A28-1)*Objects!$X$4,0)</f>
        <v>0</v>
      </c>
      <c r="I28">
        <f ca="1">OFFSET(Objects!$HW$6,I$1+(Objects!$Y$4-$A28-1)*Objects!$X$4,0)</f>
        <v>0</v>
      </c>
      <c r="J28">
        <f ca="1">OFFSET(Objects!$HW$6,J$1+(Objects!$Y$4-$A28-1)*Objects!$X$4,0)</f>
        <v>0</v>
      </c>
      <c r="K28">
        <f ca="1">OFFSET(Objects!$HW$6,K$1+(Objects!$Y$4-$A28-1)*Objects!$X$4,0)</f>
        <v>0</v>
      </c>
      <c r="L28">
        <f ca="1">OFFSET(Objects!$HW$6,L$1+(Objects!$Y$4-$A28-1)*Objects!$X$4,0)</f>
        <v>0</v>
      </c>
      <c r="M28">
        <f ca="1">OFFSET(Objects!$HW$6,M$1+(Objects!$Y$4-$A28-1)*Objects!$X$4,0)</f>
        <v>0</v>
      </c>
      <c r="N28">
        <f ca="1">OFFSET(Objects!$HW$6,N$1+(Objects!$Y$4-$A28-1)*Objects!$X$4,0)</f>
        <v>0</v>
      </c>
      <c r="O28">
        <f ca="1">OFFSET(Objects!$HW$6,O$1+(Objects!$Y$4-$A28-1)*Objects!$X$4,0)</f>
        <v>0</v>
      </c>
      <c r="P28">
        <f ca="1">OFFSET(Objects!$HW$6,P$1+(Objects!$Y$4-$A28-1)*Objects!$X$4,0)</f>
        <v>0</v>
      </c>
      <c r="Q28">
        <f ca="1">OFFSET(Objects!$HW$6,Q$1+(Objects!$Y$4-$A28-1)*Objects!$X$4,0)</f>
        <v>0</v>
      </c>
      <c r="R28">
        <f ca="1">OFFSET(Objects!$HW$6,R$1+(Objects!$Y$4-$A28-1)*Objects!$X$4,0)</f>
        <v>0</v>
      </c>
      <c r="S28">
        <f ca="1">OFFSET(Objects!$HW$6,S$1+(Objects!$Y$4-$A28-1)*Objects!$X$4,0)</f>
        <v>0</v>
      </c>
      <c r="T28">
        <f ca="1">OFFSET(Objects!$HW$6,T$1+(Objects!$Y$4-$A28-1)*Objects!$X$4,0)</f>
        <v>0</v>
      </c>
      <c r="U28">
        <f ca="1">OFFSET(Objects!$HW$6,U$1+(Objects!$Y$4-$A28-1)*Objects!$X$4,0)</f>
        <v>0</v>
      </c>
      <c r="V28">
        <f ca="1">OFFSET(Objects!$HW$6,V$1+(Objects!$Y$4-$A28-1)*Objects!$X$4,0)</f>
        <v>0</v>
      </c>
      <c r="W28">
        <f ca="1">OFFSET(Objects!$HW$6,W$1+(Objects!$Y$4-$A28-1)*Objects!$X$4,0)</f>
        <v>0</v>
      </c>
      <c r="X28">
        <f ca="1">OFFSET(Objects!$HW$6,X$1+(Objects!$Y$4-$A28-1)*Objects!$X$4,0)</f>
        <v>0</v>
      </c>
      <c r="Y28">
        <f ca="1">OFFSET(Objects!$HW$6,Y$1+(Objects!$Y$4-$A28-1)*Objects!$X$4,0)</f>
        <v>0</v>
      </c>
      <c r="Z28">
        <f ca="1">OFFSET(Objects!$HW$6,Z$1+(Objects!$Y$4-$A28-1)*Objects!$X$4,0)</f>
        <v>0</v>
      </c>
      <c r="AA28">
        <f ca="1">OFFSET(Objects!$HW$6,AA$1+(Objects!$Y$4-$A28-1)*Objects!$X$4,0)</f>
        <v>0</v>
      </c>
      <c r="AB28">
        <f ca="1">OFFSET(Objects!$HW$6,AB$1+(Objects!$Y$4-$A28-1)*Objects!$X$4,0)</f>
        <v>0</v>
      </c>
      <c r="AC28">
        <f ca="1">OFFSET(Objects!$HW$6,AC$1+(Objects!$Y$4-$A28-1)*Objects!$X$4,0)</f>
        <v>0</v>
      </c>
      <c r="AD28">
        <f ca="1">OFFSET(Objects!$HW$6,AD$1+(Objects!$Y$4-$A28-1)*Objects!$X$4,0)</f>
        <v>0</v>
      </c>
      <c r="AE28">
        <f ca="1">OFFSET(Objects!$HW$6,AE$1+(Objects!$Y$4-$A28-1)*Objects!$X$4,0)</f>
        <v>0</v>
      </c>
      <c r="AF28">
        <f ca="1">OFFSET(Objects!$HW$6,AF$1+(Objects!$Y$4-$A28-1)*Objects!$X$4,0)</f>
        <v>0</v>
      </c>
      <c r="AG28">
        <f ca="1">OFFSET(Objects!$HW$6,AG$1+(Objects!$Y$4-$A28-1)*Objects!$X$4,0)</f>
        <v>0</v>
      </c>
      <c r="AH28">
        <f ca="1">OFFSET(Objects!$HW$6,AH$1+(Objects!$Y$4-$A28-1)*Objects!$X$4,0)</f>
        <v>0</v>
      </c>
      <c r="AI28">
        <f ca="1">OFFSET(Objects!$HW$6,AI$1+(Objects!$Y$4-$A28-1)*Objects!$X$4,0)</f>
        <v>0</v>
      </c>
      <c r="AJ28">
        <f ca="1">OFFSET(Objects!$HW$6,AJ$1+(Objects!$Y$4-$A28-1)*Objects!$X$4,0)</f>
        <v>0</v>
      </c>
      <c r="AK28">
        <f ca="1">OFFSET(Objects!$HW$6,AK$1+(Objects!$Y$4-$A28-1)*Objects!$X$4,0)</f>
        <v>0</v>
      </c>
      <c r="AL28">
        <f ca="1">OFFSET(Objects!$HW$6,AL$1+(Objects!$Y$4-$A28-1)*Objects!$X$4,0)</f>
        <v>0</v>
      </c>
      <c r="AM28">
        <f ca="1">OFFSET(Objects!$HW$6,AM$1+(Objects!$Y$4-$A28-1)*Objects!$X$4,0)</f>
        <v>0</v>
      </c>
      <c r="AN28">
        <f ca="1">OFFSET(Objects!$HW$6,AN$1+(Objects!$Y$4-$A28-1)*Objects!$X$4,0)</f>
        <v>0</v>
      </c>
      <c r="AO28">
        <f ca="1">OFFSET(Objects!$HW$6,AO$1+(Objects!$Y$4-$A28-1)*Objects!$X$4,0)</f>
        <v>0</v>
      </c>
      <c r="AP28">
        <f ca="1">OFFSET(Objects!$HW$6,AP$1+(Objects!$Y$4-$A28-1)*Objects!$X$4,0)</f>
        <v>0</v>
      </c>
      <c r="AQ28">
        <f ca="1">OFFSET(Objects!$HW$6,AQ$1+(Objects!$Y$4-$A28-1)*Objects!$X$4,0)</f>
        <v>0</v>
      </c>
      <c r="AR28">
        <f ca="1">OFFSET(Objects!$HW$6,AR$1+(Objects!$Y$4-$A28-1)*Objects!$X$4,0)</f>
        <v>0</v>
      </c>
      <c r="AS28">
        <f ca="1">OFFSET(Objects!$HW$6,AS$1+(Objects!$Y$4-$A28-1)*Objects!$X$4,0)</f>
        <v>0</v>
      </c>
      <c r="AT28">
        <f ca="1">OFFSET(Objects!$HW$6,AT$1+(Objects!$Y$4-$A28-1)*Objects!$X$4,0)</f>
        <v>0</v>
      </c>
      <c r="AU28">
        <f ca="1">OFFSET(Objects!$HW$6,AU$1+(Objects!$Y$4-$A28-1)*Objects!$X$4,0)</f>
        <v>0</v>
      </c>
      <c r="AV28">
        <f ca="1">OFFSET(Objects!$HW$6,AV$1+(Objects!$Y$4-$A28-1)*Objects!$X$4,0)</f>
        <v>0</v>
      </c>
      <c r="AW28">
        <f ca="1">OFFSET(Objects!$HW$6,AW$1+(Objects!$Y$4-$A28-1)*Objects!$X$4,0)</f>
        <v>0</v>
      </c>
      <c r="AX28">
        <f ca="1">OFFSET(Objects!$HW$6,AX$1+(Objects!$Y$4-$A28-1)*Objects!$X$4,0)</f>
        <v>0</v>
      </c>
      <c r="AY28">
        <f ca="1">OFFSET(Objects!$HW$6,AY$1+(Objects!$Y$4-$A28-1)*Objects!$X$4,0)</f>
        <v>0</v>
      </c>
      <c r="AZ28">
        <f ca="1">OFFSET(Objects!$HW$6,AZ$1+(Objects!$Y$4-$A28-1)*Objects!$X$4,0)</f>
        <v>0</v>
      </c>
      <c r="BA28">
        <f ca="1">OFFSET(Objects!$HW$6,BA$1+(Objects!$Y$4-$A28-1)*Objects!$X$4,0)</f>
        <v>0</v>
      </c>
      <c r="BB28">
        <f ca="1">OFFSET(Objects!$HW$6,BB$1+(Objects!$Y$4-$A28-1)*Objects!$X$4,0)</f>
        <v>0</v>
      </c>
      <c r="BC28">
        <f ca="1">OFFSET(Objects!$HW$6,BC$1+(Objects!$Y$4-$A28-1)*Objects!$X$4,0)</f>
        <v>0</v>
      </c>
      <c r="BD28">
        <f ca="1">OFFSET(Objects!$HW$6,BD$1+(Objects!$Y$4-$A28-1)*Objects!$X$4,0)</f>
        <v>0</v>
      </c>
      <c r="BE28">
        <f ca="1">OFFSET(Objects!$HW$6,BE$1+(Objects!$Y$4-$A28-1)*Objects!$X$4,0)</f>
        <v>0</v>
      </c>
      <c r="BF28">
        <f ca="1">OFFSET(Objects!$HW$6,BF$1+(Objects!$Y$4-$A28-1)*Objects!$X$4,0)</f>
        <v>0</v>
      </c>
      <c r="BG28">
        <f ca="1">OFFSET(Objects!$HW$6,BG$1+(Objects!$Y$4-$A28-1)*Objects!$X$4,0)</f>
        <v>0</v>
      </c>
      <c r="BH28">
        <f ca="1">OFFSET(Objects!$HW$6,BH$1+(Objects!$Y$4-$A28-1)*Objects!$X$4,0)</f>
        <v>0</v>
      </c>
      <c r="BI28">
        <f ca="1">OFFSET(Objects!$HW$6,BI$1+(Objects!$Y$4-$A28-1)*Objects!$X$4,0)</f>
        <v>0</v>
      </c>
      <c r="BJ28">
        <f ca="1">OFFSET(Objects!$HW$6,BJ$1+(Objects!$Y$4-$A28-1)*Objects!$X$4,0)</f>
        <v>0</v>
      </c>
      <c r="BK28">
        <f ca="1">OFFSET(Objects!$HW$6,BK$1+(Objects!$Y$4-$A28-1)*Objects!$X$4,0)</f>
        <v>0</v>
      </c>
      <c r="BL28">
        <f ca="1">OFFSET(Objects!$HW$6,BL$1+(Objects!$Y$4-$A28-1)*Objects!$X$4,0)</f>
        <v>0</v>
      </c>
      <c r="BM28">
        <f ca="1">OFFSET(Objects!$HW$6,BM$1+(Objects!$Y$4-$A28-1)*Objects!$X$4,0)</f>
        <v>0</v>
      </c>
      <c r="BN28">
        <f ca="1">OFFSET(Objects!$HW$6,BN$1+(Objects!$Y$4-$A28-1)*Objects!$X$4,0)</f>
        <v>0</v>
      </c>
      <c r="BO28">
        <f ca="1">OFFSET(Objects!$HW$6,BO$1+(Objects!$Y$4-$A28-1)*Objects!$X$4,0)</f>
        <v>0</v>
      </c>
      <c r="BP28">
        <f ca="1">OFFSET(Objects!$HW$6,BP$1+(Objects!$Y$4-$A28-1)*Objects!$X$4,0)</f>
        <v>0</v>
      </c>
      <c r="BQ28">
        <f ca="1">OFFSET(Objects!$HW$6,BQ$1+(Objects!$Y$4-$A28-1)*Objects!$X$4,0)</f>
        <v>0</v>
      </c>
      <c r="BR28">
        <f ca="1">OFFSET(Objects!$HW$6,BR$1+(Objects!$Y$4-$A28-1)*Objects!$X$4,0)</f>
        <v>0</v>
      </c>
      <c r="BS28">
        <f ca="1">OFFSET(Objects!$HW$6,BS$1+(Objects!$Y$4-$A28-1)*Objects!$X$4,0)</f>
        <v>0</v>
      </c>
      <c r="BT28">
        <f ca="1">OFFSET(Objects!$HW$6,BT$1+(Objects!$Y$4-$A28-1)*Objects!$X$4,0)</f>
        <v>0</v>
      </c>
      <c r="BU28">
        <f ca="1">OFFSET(Objects!$HW$6,BU$1+(Objects!$Y$4-$A28-1)*Objects!$X$4,0)</f>
        <v>0</v>
      </c>
      <c r="BV28">
        <f ca="1">OFFSET(Objects!$HW$6,BV$1+(Objects!$Y$4-$A28-1)*Objects!$X$4,0)</f>
        <v>0</v>
      </c>
      <c r="BW28">
        <f ca="1">OFFSET(Objects!$HW$6,BW$1+(Objects!$Y$4-$A28-1)*Objects!$X$4,0)</f>
        <v>0</v>
      </c>
      <c r="BX28">
        <f ca="1">OFFSET(Objects!$HW$6,BX$1+(Objects!$Y$4-$A28-1)*Objects!$X$4,0)</f>
        <v>0</v>
      </c>
      <c r="BY28">
        <f ca="1">OFFSET(Objects!$HW$6,BY$1+(Objects!$Y$4-$A28-1)*Objects!$X$4,0)</f>
        <v>0</v>
      </c>
      <c r="BZ28">
        <f ca="1">OFFSET(Objects!$HW$6,BZ$1+(Objects!$Y$4-$A28-1)*Objects!$X$4,0)</f>
        <v>0</v>
      </c>
      <c r="CA28">
        <f ca="1">OFFSET(Objects!$HW$6,CA$1+(Objects!$Y$4-$A28-1)*Objects!$X$4,0)</f>
        <v>0</v>
      </c>
      <c r="CB28">
        <f ca="1">OFFSET(Objects!$HW$6,CB$1+(Objects!$Y$4-$A28-1)*Objects!$X$4,0)</f>
        <v>0</v>
      </c>
      <c r="CC28">
        <f ca="1">OFFSET(Objects!$HW$6,CC$1+(Objects!$Y$4-$A28-1)*Objects!$X$4,0)</f>
        <v>0</v>
      </c>
      <c r="CD28">
        <f ca="1">OFFSET(Objects!$HW$6,CD$1+(Objects!$Y$4-$A28-1)*Objects!$X$4,0)</f>
        <v>0</v>
      </c>
      <c r="CE28">
        <f ca="1">OFFSET(Objects!$HW$6,CE$1+(Objects!$Y$4-$A28-1)*Objects!$X$4,0)</f>
        <v>0</v>
      </c>
      <c r="CF28">
        <f ca="1">OFFSET(Objects!$HW$6,CF$1+(Objects!$Y$4-$A28-1)*Objects!$X$4,0)</f>
        <v>0</v>
      </c>
      <c r="CG28">
        <f ca="1">OFFSET(Objects!$HW$6,CG$1+(Objects!$Y$4-$A28-1)*Objects!$X$4,0)</f>
        <v>0</v>
      </c>
      <c r="CH28">
        <f ca="1">OFFSET(Objects!$HW$6,CH$1+(Objects!$Y$4-$A28-1)*Objects!$X$4,0)</f>
        <v>0</v>
      </c>
      <c r="CI28">
        <f ca="1">OFFSET(Objects!$HW$6,CI$1+(Objects!$Y$4-$A28-1)*Objects!$X$4,0)</f>
        <v>0</v>
      </c>
      <c r="CJ28">
        <f ca="1">OFFSET(Objects!$HW$6,CJ$1+(Objects!$Y$4-$A28-1)*Objects!$X$4,0)</f>
        <v>0</v>
      </c>
      <c r="CK28">
        <f ca="1">OFFSET(Objects!$HW$6,CK$1+(Objects!$Y$4-$A28-1)*Objects!$X$4,0)</f>
        <v>0</v>
      </c>
      <c r="CL28">
        <f ca="1">OFFSET(Objects!$HW$6,CL$1+(Objects!$Y$4-$A28-1)*Objects!$X$4,0)</f>
        <v>0</v>
      </c>
      <c r="CM28">
        <f ca="1">OFFSET(Objects!$HW$6,CM$1+(Objects!$Y$4-$A28-1)*Objects!$X$4,0)</f>
        <v>0</v>
      </c>
      <c r="CN28">
        <f ca="1">OFFSET(Objects!$HW$6,CN$1+(Objects!$Y$4-$A28-1)*Objects!$X$4,0)</f>
        <v>0</v>
      </c>
      <c r="CO28">
        <f ca="1">OFFSET(Objects!$HW$6,CO$1+(Objects!$Y$4-$A28-1)*Objects!$X$4,0)</f>
        <v>0</v>
      </c>
      <c r="CP28">
        <f ca="1">OFFSET(Objects!$HW$6,CP$1+(Objects!$Y$4-$A28-1)*Objects!$X$4,0)</f>
        <v>0</v>
      </c>
      <c r="CQ28">
        <f ca="1">OFFSET(Objects!$HW$6,CQ$1+(Objects!$Y$4-$A28-1)*Objects!$X$4,0)</f>
        <v>0</v>
      </c>
      <c r="CR28">
        <f ca="1">OFFSET(Objects!$HW$6,CR$1+(Objects!$Y$4-$A28-1)*Objects!$X$4,0)</f>
        <v>0</v>
      </c>
      <c r="CS28">
        <f ca="1">OFFSET(Objects!$HW$6,CS$1+(Objects!$Y$4-$A28-1)*Objects!$X$4,0)</f>
        <v>0</v>
      </c>
      <c r="CT28">
        <f ca="1">OFFSET(Objects!$HW$6,CT$1+(Objects!$Y$4-$A28-1)*Objects!$X$4,0)</f>
        <v>0</v>
      </c>
      <c r="CU28">
        <f ca="1">OFFSET(Objects!$HW$6,CU$1+(Objects!$Y$4-$A28-1)*Objects!$X$4,0)</f>
        <v>0</v>
      </c>
      <c r="CV28">
        <f ca="1">OFFSET(Objects!$HW$6,CV$1+(Objects!$Y$4-$A28-1)*Objects!$X$4,0)</f>
        <v>0</v>
      </c>
      <c r="CW28">
        <f ca="1">OFFSET(Objects!$HW$6,CW$1+(Objects!$Y$4-$A28-1)*Objects!$X$4,0)</f>
        <v>0</v>
      </c>
      <c r="CX28">
        <f ca="1">OFFSET(Objects!$HW$6,CX$1+(Objects!$Y$4-$A28-1)*Objects!$X$4,0)</f>
        <v>0</v>
      </c>
      <c r="CY28">
        <f ca="1">OFFSET(Objects!$HW$6,CY$1+(Objects!$Y$4-$A28-1)*Objects!$X$4,0)</f>
        <v>0</v>
      </c>
      <c r="CZ28">
        <f ca="1">OFFSET(Objects!$HW$6,CZ$1+(Objects!$Y$4-$A28-1)*Objects!$X$4,0)</f>
        <v>0</v>
      </c>
      <c r="DA28">
        <f ca="1">OFFSET(Objects!$HW$6,DA$1+(Objects!$Y$4-$A28-1)*Objects!$X$4,0)</f>
        <v>0</v>
      </c>
      <c r="DB28">
        <f ca="1">OFFSET(Objects!$HW$6,DB$1+(Objects!$Y$4-$A28-1)*Objects!$X$4,0)</f>
        <v>0</v>
      </c>
      <c r="DC28">
        <f ca="1">OFFSET(Objects!$HW$6,DC$1+(Objects!$Y$4-$A28-1)*Objects!$X$4,0)</f>
        <v>0</v>
      </c>
      <c r="DD28">
        <f ca="1">OFFSET(Objects!$HW$6,DD$1+(Objects!$Y$4-$A28-1)*Objects!$X$4,0)</f>
        <v>0</v>
      </c>
      <c r="DE28">
        <f ca="1">OFFSET(Objects!$HW$6,DE$1+(Objects!$Y$4-$A28-1)*Objects!$X$4,0)</f>
        <v>0</v>
      </c>
      <c r="DF28">
        <f ca="1">OFFSET(Objects!$HW$6,DF$1+(Objects!$Y$4-$A28-1)*Objects!$X$4,0)</f>
        <v>0</v>
      </c>
      <c r="DG28">
        <f ca="1">OFFSET(Objects!$HW$6,DG$1+(Objects!$Y$4-$A28-1)*Objects!$X$4,0)</f>
        <v>0</v>
      </c>
      <c r="DH28">
        <f ca="1">OFFSET(Objects!$HW$6,DH$1+(Objects!$Y$4-$A28-1)*Objects!$X$4,0)</f>
        <v>0</v>
      </c>
      <c r="DI28">
        <f ca="1">OFFSET(Objects!$HW$6,DI$1+(Objects!$Y$4-$A28-1)*Objects!$X$4,0)</f>
        <v>0</v>
      </c>
      <c r="DJ28">
        <f ca="1">OFFSET(Objects!$HW$6,DJ$1+(Objects!$Y$4-$A28-1)*Objects!$X$4,0)</f>
        <v>0</v>
      </c>
      <c r="DK28">
        <f ca="1">OFFSET(Objects!$HW$6,DK$1+(Objects!$Y$4-$A28-1)*Objects!$X$4,0)</f>
        <v>0</v>
      </c>
      <c r="DL28">
        <f ca="1">OFFSET(Objects!$HW$6,DL$1+(Objects!$Y$4-$A28-1)*Objects!$X$4,0)</f>
        <v>0</v>
      </c>
      <c r="DM28">
        <f ca="1">OFFSET(Objects!$HW$6,DM$1+(Objects!$Y$4-$A28-1)*Objects!$X$4,0)</f>
        <v>0</v>
      </c>
      <c r="DN28">
        <f ca="1">OFFSET(Objects!$HW$6,DN$1+(Objects!$Y$4-$A28-1)*Objects!$X$4,0)</f>
        <v>0</v>
      </c>
      <c r="DO28">
        <f ca="1">OFFSET(Objects!$HW$6,DO$1+(Objects!$Y$4-$A28-1)*Objects!$X$4,0)</f>
        <v>0</v>
      </c>
      <c r="DP28">
        <f ca="1">OFFSET(Objects!$HW$6,DP$1+(Objects!$Y$4-$A28-1)*Objects!$X$4,0)</f>
        <v>0</v>
      </c>
      <c r="DQ28">
        <f ca="1">OFFSET(Objects!$HW$6,DQ$1+(Objects!$Y$4-$A28-1)*Objects!$X$4,0)</f>
        <v>0</v>
      </c>
      <c r="DR28">
        <f ca="1">OFFSET(Objects!$HW$6,DR$1+(Objects!$Y$4-$A28-1)*Objects!$X$4,0)</f>
        <v>0</v>
      </c>
      <c r="DS28">
        <f ca="1">OFFSET(Objects!$HW$6,DS$1+(Objects!$Y$4-$A28-1)*Objects!$X$4,0)</f>
        <v>0</v>
      </c>
      <c r="DT28">
        <f ca="1">OFFSET(Objects!$HW$6,DT$1+(Objects!$Y$4-$A28-1)*Objects!$X$4,0)</f>
        <v>0</v>
      </c>
      <c r="DU28">
        <f ca="1">OFFSET(Objects!$HW$6,DU$1+(Objects!$Y$4-$A28-1)*Objects!$X$4,0)</f>
        <v>0</v>
      </c>
      <c r="DV28">
        <f ca="1">OFFSET(Objects!$HW$6,DV$1+(Objects!$Y$4-$A28-1)*Objects!$X$4,0)</f>
        <v>0</v>
      </c>
      <c r="DW28">
        <f ca="1">OFFSET(Objects!$HW$6,DW$1+(Objects!$Y$4-$A28-1)*Objects!$X$4,0)</f>
        <v>0</v>
      </c>
      <c r="DX28">
        <f ca="1">OFFSET(Objects!$HW$6,DX$1+(Objects!$Y$4-$A28-1)*Objects!$X$4,0)</f>
        <v>0</v>
      </c>
      <c r="DY28">
        <f ca="1">OFFSET(Objects!$HW$6,DY$1+(Objects!$Y$4-$A28-1)*Objects!$X$4,0)</f>
        <v>0</v>
      </c>
      <c r="DZ28">
        <f ca="1">OFFSET(Objects!$HW$6,DZ$1+(Objects!$Y$4-$A28-1)*Objects!$X$4,0)</f>
        <v>0</v>
      </c>
      <c r="EA28">
        <f ca="1">OFFSET(Objects!$HW$6,EA$1+(Objects!$Y$4-$A28-1)*Objects!$X$4,0)</f>
        <v>0</v>
      </c>
      <c r="EB28">
        <f ca="1">OFFSET(Objects!$HW$6,EB$1+(Objects!$Y$4-$A28-1)*Objects!$X$4,0)</f>
        <v>0</v>
      </c>
      <c r="EC28">
        <f ca="1">OFFSET(Objects!$HW$6,EC$1+(Objects!$Y$4-$A28-1)*Objects!$X$4,0)</f>
        <v>0</v>
      </c>
      <c r="ED28">
        <f ca="1">OFFSET(Objects!$HW$6,ED$1+(Objects!$Y$4-$A28-1)*Objects!$X$4,0)</f>
        <v>0</v>
      </c>
      <c r="EE28">
        <f ca="1">OFFSET(Objects!$HW$6,EE$1+(Objects!$Y$4-$A28-1)*Objects!$X$4,0)</f>
        <v>0</v>
      </c>
      <c r="EF28">
        <f ca="1">OFFSET(Objects!$HW$6,EF$1+(Objects!$Y$4-$A28-1)*Objects!$X$4,0)</f>
        <v>0</v>
      </c>
      <c r="EG28">
        <f ca="1">OFFSET(Objects!$HW$6,EG$1+(Objects!$Y$4-$A28-1)*Objects!$X$4,0)</f>
        <v>0</v>
      </c>
      <c r="EH28">
        <f ca="1">OFFSET(Objects!$HW$6,EH$1+(Objects!$Y$4-$A28-1)*Objects!$X$4,0)</f>
        <v>0</v>
      </c>
      <c r="EI28">
        <f ca="1">OFFSET(Objects!$HW$6,EI$1+(Objects!$Y$4-$A28-1)*Objects!$X$4,0)</f>
        <v>0</v>
      </c>
      <c r="EJ28">
        <f ca="1">OFFSET(Objects!$HW$6,EJ$1+(Objects!$Y$4-$A28-1)*Objects!$X$4,0)</f>
        <v>0</v>
      </c>
      <c r="EK28">
        <f ca="1">OFFSET(Objects!$HW$6,EK$1+(Objects!$Y$4-$A28-1)*Objects!$X$4,0)</f>
        <v>0</v>
      </c>
      <c r="EL28">
        <f ca="1">OFFSET(Objects!$HW$6,EL$1+(Objects!$Y$4-$A28-1)*Objects!$X$4,0)</f>
        <v>0</v>
      </c>
      <c r="EM28">
        <f ca="1">OFFSET(Objects!$HW$6,EM$1+(Objects!$Y$4-$A28-1)*Objects!$X$4,0)</f>
        <v>0</v>
      </c>
      <c r="EN28">
        <f ca="1">OFFSET(Objects!$HW$6,EN$1+(Objects!$Y$4-$A28-1)*Objects!$X$4,0)</f>
        <v>0</v>
      </c>
      <c r="EO28">
        <f ca="1">OFFSET(Objects!$HW$6,EO$1+(Objects!$Y$4-$A28-1)*Objects!$X$4,0)</f>
        <v>0</v>
      </c>
      <c r="EP28">
        <f ca="1">OFFSET(Objects!$HW$6,EP$1+(Objects!$Y$4-$A28-1)*Objects!$X$4,0)</f>
        <v>0</v>
      </c>
      <c r="EQ28">
        <f ca="1">OFFSET(Objects!$HW$6,EQ$1+(Objects!$Y$4-$A28-1)*Objects!$X$4,0)</f>
        <v>0</v>
      </c>
      <c r="ER28">
        <f ca="1">OFFSET(Objects!$HW$6,ER$1+(Objects!$Y$4-$A28-1)*Objects!$X$4,0)</f>
        <v>0</v>
      </c>
      <c r="ES28">
        <f ca="1">OFFSET(Objects!$HW$6,ES$1+(Objects!$Y$4-$A28-1)*Objects!$X$4,0)</f>
        <v>0</v>
      </c>
      <c r="ET28">
        <f ca="1">OFFSET(Objects!$HW$6,ET$1+(Objects!$Y$4-$A28-1)*Objects!$X$4,0)</f>
        <v>0</v>
      </c>
      <c r="EU28">
        <f ca="1">OFFSET(Objects!$HW$6,EU$1+(Objects!$Y$4-$A28-1)*Objects!$X$4,0)</f>
        <v>0</v>
      </c>
      <c r="EV28">
        <f ca="1">OFFSET(Objects!$HW$6,EV$1+(Objects!$Y$4-$A28-1)*Objects!$X$4,0)</f>
        <v>0</v>
      </c>
      <c r="EW28">
        <f ca="1">OFFSET(Objects!$HW$6,EW$1+(Objects!$Y$4-$A28-1)*Objects!$X$4,0)</f>
        <v>0</v>
      </c>
      <c r="EX28">
        <f ca="1">OFFSET(Objects!$HW$6,EX$1+(Objects!$Y$4-$A28-1)*Objects!$X$4,0)</f>
        <v>0</v>
      </c>
      <c r="EY28">
        <f ca="1">OFFSET(Objects!$HW$6,EY$1+(Objects!$Y$4-$A28-1)*Objects!$X$4,0)</f>
        <v>0</v>
      </c>
      <c r="EZ28">
        <f ca="1">OFFSET(Objects!$HW$6,EZ$1+(Objects!$Y$4-$A28-1)*Objects!$X$4,0)</f>
        <v>0</v>
      </c>
      <c r="FA28">
        <f ca="1">OFFSET(Objects!$HW$6,FA$1+(Objects!$Y$4-$A28-1)*Objects!$X$4,0)</f>
        <v>0</v>
      </c>
      <c r="FB28">
        <f ca="1">OFFSET(Objects!$HW$6,FB$1+(Objects!$Y$4-$A28-1)*Objects!$X$4,0)</f>
        <v>0</v>
      </c>
      <c r="FC28">
        <f ca="1">OFFSET(Objects!$HW$6,FC$1+(Objects!$Y$4-$A28-1)*Objects!$X$4,0)</f>
        <v>0</v>
      </c>
      <c r="FD28">
        <f ca="1">OFFSET(Objects!$HW$6,FD$1+(Objects!$Y$4-$A28-1)*Objects!$X$4,0)</f>
        <v>0</v>
      </c>
      <c r="FE28" s="22">
        <f ca="1">OFFSET(Objects!$HW$6,FE$1+(Objects!$Y$4-$A28-1)*Objects!$X$4,0)</f>
        <v>0</v>
      </c>
    </row>
    <row r="29" spans="1:161" ht="4.5" customHeight="1" x14ac:dyDescent="0.25">
      <c r="A29">
        <v>27</v>
      </c>
      <c r="B29" s="21">
        <f ca="1">OFFSET(Objects!$HW$6,B$1+(Objects!$Y$4-$A29-1)*Objects!$X$4,0)</f>
        <v>0</v>
      </c>
      <c r="C29">
        <f ca="1">OFFSET(Objects!$HW$6,C$1+(Objects!$Y$4-$A29-1)*Objects!$X$4,0)</f>
        <v>0</v>
      </c>
      <c r="D29">
        <f ca="1">OFFSET(Objects!$HW$6,D$1+(Objects!$Y$4-$A29-1)*Objects!$X$4,0)</f>
        <v>0</v>
      </c>
      <c r="E29">
        <f ca="1">OFFSET(Objects!$HW$6,E$1+(Objects!$Y$4-$A29-1)*Objects!$X$4,0)</f>
        <v>0</v>
      </c>
      <c r="F29">
        <f ca="1">OFFSET(Objects!$HW$6,F$1+(Objects!$Y$4-$A29-1)*Objects!$X$4,0)</f>
        <v>0</v>
      </c>
      <c r="G29">
        <f ca="1">OFFSET(Objects!$HW$6,G$1+(Objects!$Y$4-$A29-1)*Objects!$X$4,0)</f>
        <v>0</v>
      </c>
      <c r="H29">
        <f ca="1">OFFSET(Objects!$HW$6,H$1+(Objects!$Y$4-$A29-1)*Objects!$X$4,0)</f>
        <v>0</v>
      </c>
      <c r="I29">
        <f ca="1">OFFSET(Objects!$HW$6,I$1+(Objects!$Y$4-$A29-1)*Objects!$X$4,0)</f>
        <v>0</v>
      </c>
      <c r="J29">
        <f ca="1">OFFSET(Objects!$HW$6,J$1+(Objects!$Y$4-$A29-1)*Objects!$X$4,0)</f>
        <v>0</v>
      </c>
      <c r="K29">
        <f ca="1">OFFSET(Objects!$HW$6,K$1+(Objects!$Y$4-$A29-1)*Objects!$X$4,0)</f>
        <v>0</v>
      </c>
      <c r="L29">
        <f ca="1">OFFSET(Objects!$HW$6,L$1+(Objects!$Y$4-$A29-1)*Objects!$X$4,0)</f>
        <v>0</v>
      </c>
      <c r="M29">
        <f ca="1">OFFSET(Objects!$HW$6,M$1+(Objects!$Y$4-$A29-1)*Objects!$X$4,0)</f>
        <v>0</v>
      </c>
      <c r="N29">
        <f ca="1">OFFSET(Objects!$HW$6,N$1+(Objects!$Y$4-$A29-1)*Objects!$X$4,0)</f>
        <v>0</v>
      </c>
      <c r="O29">
        <f ca="1">OFFSET(Objects!$HW$6,O$1+(Objects!$Y$4-$A29-1)*Objects!$X$4,0)</f>
        <v>0</v>
      </c>
      <c r="P29">
        <f ca="1">OFFSET(Objects!$HW$6,P$1+(Objects!$Y$4-$A29-1)*Objects!$X$4,0)</f>
        <v>0</v>
      </c>
      <c r="Q29">
        <f ca="1">OFFSET(Objects!$HW$6,Q$1+(Objects!$Y$4-$A29-1)*Objects!$X$4,0)</f>
        <v>0</v>
      </c>
      <c r="R29">
        <f ca="1">OFFSET(Objects!$HW$6,R$1+(Objects!$Y$4-$A29-1)*Objects!$X$4,0)</f>
        <v>0</v>
      </c>
      <c r="S29">
        <f ca="1">OFFSET(Objects!$HW$6,S$1+(Objects!$Y$4-$A29-1)*Objects!$X$4,0)</f>
        <v>0</v>
      </c>
      <c r="T29">
        <f ca="1">OFFSET(Objects!$HW$6,T$1+(Objects!$Y$4-$A29-1)*Objects!$X$4,0)</f>
        <v>0</v>
      </c>
      <c r="U29">
        <f ca="1">OFFSET(Objects!$HW$6,U$1+(Objects!$Y$4-$A29-1)*Objects!$X$4,0)</f>
        <v>0</v>
      </c>
      <c r="V29">
        <f ca="1">OFFSET(Objects!$HW$6,V$1+(Objects!$Y$4-$A29-1)*Objects!$X$4,0)</f>
        <v>0</v>
      </c>
      <c r="W29">
        <f ca="1">OFFSET(Objects!$HW$6,W$1+(Objects!$Y$4-$A29-1)*Objects!$X$4,0)</f>
        <v>0</v>
      </c>
      <c r="X29">
        <f ca="1">OFFSET(Objects!$HW$6,X$1+(Objects!$Y$4-$A29-1)*Objects!$X$4,0)</f>
        <v>0</v>
      </c>
      <c r="Y29">
        <f ca="1">OFFSET(Objects!$HW$6,Y$1+(Objects!$Y$4-$A29-1)*Objects!$X$4,0)</f>
        <v>0</v>
      </c>
      <c r="Z29">
        <f ca="1">OFFSET(Objects!$HW$6,Z$1+(Objects!$Y$4-$A29-1)*Objects!$X$4,0)</f>
        <v>0</v>
      </c>
      <c r="AA29">
        <f ca="1">OFFSET(Objects!$HW$6,AA$1+(Objects!$Y$4-$A29-1)*Objects!$X$4,0)</f>
        <v>0</v>
      </c>
      <c r="AB29">
        <f ca="1">OFFSET(Objects!$HW$6,AB$1+(Objects!$Y$4-$A29-1)*Objects!$X$4,0)</f>
        <v>0</v>
      </c>
      <c r="AC29">
        <f ca="1">OFFSET(Objects!$HW$6,AC$1+(Objects!$Y$4-$A29-1)*Objects!$X$4,0)</f>
        <v>0</v>
      </c>
      <c r="AD29">
        <f ca="1">OFFSET(Objects!$HW$6,AD$1+(Objects!$Y$4-$A29-1)*Objects!$X$4,0)</f>
        <v>0</v>
      </c>
      <c r="AE29">
        <f ca="1">OFFSET(Objects!$HW$6,AE$1+(Objects!$Y$4-$A29-1)*Objects!$X$4,0)</f>
        <v>0</v>
      </c>
      <c r="AF29">
        <f ca="1">OFFSET(Objects!$HW$6,AF$1+(Objects!$Y$4-$A29-1)*Objects!$X$4,0)</f>
        <v>0</v>
      </c>
      <c r="AG29">
        <f ca="1">OFFSET(Objects!$HW$6,AG$1+(Objects!$Y$4-$A29-1)*Objects!$X$4,0)</f>
        <v>0</v>
      </c>
      <c r="AH29">
        <f ca="1">OFFSET(Objects!$HW$6,AH$1+(Objects!$Y$4-$A29-1)*Objects!$X$4,0)</f>
        <v>0</v>
      </c>
      <c r="AI29">
        <f ca="1">OFFSET(Objects!$HW$6,AI$1+(Objects!$Y$4-$A29-1)*Objects!$X$4,0)</f>
        <v>0</v>
      </c>
      <c r="AJ29">
        <f ca="1">OFFSET(Objects!$HW$6,AJ$1+(Objects!$Y$4-$A29-1)*Objects!$X$4,0)</f>
        <v>0</v>
      </c>
      <c r="AK29">
        <f ca="1">OFFSET(Objects!$HW$6,AK$1+(Objects!$Y$4-$A29-1)*Objects!$X$4,0)</f>
        <v>0</v>
      </c>
      <c r="AL29">
        <f ca="1">OFFSET(Objects!$HW$6,AL$1+(Objects!$Y$4-$A29-1)*Objects!$X$4,0)</f>
        <v>0</v>
      </c>
      <c r="AM29">
        <f ca="1">OFFSET(Objects!$HW$6,AM$1+(Objects!$Y$4-$A29-1)*Objects!$X$4,0)</f>
        <v>0</v>
      </c>
      <c r="AN29">
        <f ca="1">OFFSET(Objects!$HW$6,AN$1+(Objects!$Y$4-$A29-1)*Objects!$X$4,0)</f>
        <v>0</v>
      </c>
      <c r="AO29">
        <f ca="1">OFFSET(Objects!$HW$6,AO$1+(Objects!$Y$4-$A29-1)*Objects!$X$4,0)</f>
        <v>0</v>
      </c>
      <c r="AP29">
        <f ca="1">OFFSET(Objects!$HW$6,AP$1+(Objects!$Y$4-$A29-1)*Objects!$X$4,0)</f>
        <v>0</v>
      </c>
      <c r="AQ29">
        <f ca="1">OFFSET(Objects!$HW$6,AQ$1+(Objects!$Y$4-$A29-1)*Objects!$X$4,0)</f>
        <v>0</v>
      </c>
      <c r="AR29">
        <f ca="1">OFFSET(Objects!$HW$6,AR$1+(Objects!$Y$4-$A29-1)*Objects!$X$4,0)</f>
        <v>0</v>
      </c>
      <c r="AS29">
        <f ca="1">OFFSET(Objects!$HW$6,AS$1+(Objects!$Y$4-$A29-1)*Objects!$X$4,0)</f>
        <v>0</v>
      </c>
      <c r="AT29">
        <f ca="1">OFFSET(Objects!$HW$6,AT$1+(Objects!$Y$4-$A29-1)*Objects!$X$4,0)</f>
        <v>0</v>
      </c>
      <c r="AU29">
        <f ca="1">OFFSET(Objects!$HW$6,AU$1+(Objects!$Y$4-$A29-1)*Objects!$X$4,0)</f>
        <v>0</v>
      </c>
      <c r="AV29">
        <f ca="1">OFFSET(Objects!$HW$6,AV$1+(Objects!$Y$4-$A29-1)*Objects!$X$4,0)</f>
        <v>0</v>
      </c>
      <c r="AW29">
        <f ca="1">OFFSET(Objects!$HW$6,AW$1+(Objects!$Y$4-$A29-1)*Objects!$X$4,0)</f>
        <v>0</v>
      </c>
      <c r="AX29">
        <f ca="1">OFFSET(Objects!$HW$6,AX$1+(Objects!$Y$4-$A29-1)*Objects!$X$4,0)</f>
        <v>0</v>
      </c>
      <c r="AY29">
        <f ca="1">OFFSET(Objects!$HW$6,AY$1+(Objects!$Y$4-$A29-1)*Objects!$X$4,0)</f>
        <v>0</v>
      </c>
      <c r="AZ29">
        <f ca="1">OFFSET(Objects!$HW$6,AZ$1+(Objects!$Y$4-$A29-1)*Objects!$X$4,0)</f>
        <v>0</v>
      </c>
      <c r="BA29">
        <f ca="1">OFFSET(Objects!$HW$6,BA$1+(Objects!$Y$4-$A29-1)*Objects!$X$4,0)</f>
        <v>0</v>
      </c>
      <c r="BB29">
        <f ca="1">OFFSET(Objects!$HW$6,BB$1+(Objects!$Y$4-$A29-1)*Objects!$X$4,0)</f>
        <v>0</v>
      </c>
      <c r="BC29">
        <f ca="1">OFFSET(Objects!$HW$6,BC$1+(Objects!$Y$4-$A29-1)*Objects!$X$4,0)</f>
        <v>0</v>
      </c>
      <c r="BD29">
        <f ca="1">OFFSET(Objects!$HW$6,BD$1+(Objects!$Y$4-$A29-1)*Objects!$X$4,0)</f>
        <v>0</v>
      </c>
      <c r="BE29">
        <f ca="1">OFFSET(Objects!$HW$6,BE$1+(Objects!$Y$4-$A29-1)*Objects!$X$4,0)</f>
        <v>0</v>
      </c>
      <c r="BF29">
        <f ca="1">OFFSET(Objects!$HW$6,BF$1+(Objects!$Y$4-$A29-1)*Objects!$X$4,0)</f>
        <v>0</v>
      </c>
      <c r="BG29">
        <f ca="1">OFFSET(Objects!$HW$6,BG$1+(Objects!$Y$4-$A29-1)*Objects!$X$4,0)</f>
        <v>0</v>
      </c>
      <c r="BH29">
        <f ca="1">OFFSET(Objects!$HW$6,BH$1+(Objects!$Y$4-$A29-1)*Objects!$X$4,0)</f>
        <v>0</v>
      </c>
      <c r="BI29">
        <f ca="1">OFFSET(Objects!$HW$6,BI$1+(Objects!$Y$4-$A29-1)*Objects!$X$4,0)</f>
        <v>0</v>
      </c>
      <c r="BJ29">
        <f ca="1">OFFSET(Objects!$HW$6,BJ$1+(Objects!$Y$4-$A29-1)*Objects!$X$4,0)</f>
        <v>0</v>
      </c>
      <c r="BK29">
        <f ca="1">OFFSET(Objects!$HW$6,BK$1+(Objects!$Y$4-$A29-1)*Objects!$X$4,0)</f>
        <v>0</v>
      </c>
      <c r="BL29">
        <f ca="1">OFFSET(Objects!$HW$6,BL$1+(Objects!$Y$4-$A29-1)*Objects!$X$4,0)</f>
        <v>0</v>
      </c>
      <c r="BM29">
        <f ca="1">OFFSET(Objects!$HW$6,BM$1+(Objects!$Y$4-$A29-1)*Objects!$X$4,0)</f>
        <v>0</v>
      </c>
      <c r="BN29">
        <f ca="1">OFFSET(Objects!$HW$6,BN$1+(Objects!$Y$4-$A29-1)*Objects!$X$4,0)</f>
        <v>0</v>
      </c>
      <c r="BO29">
        <f ca="1">OFFSET(Objects!$HW$6,BO$1+(Objects!$Y$4-$A29-1)*Objects!$X$4,0)</f>
        <v>0</v>
      </c>
      <c r="BP29">
        <f ca="1">OFFSET(Objects!$HW$6,BP$1+(Objects!$Y$4-$A29-1)*Objects!$X$4,0)</f>
        <v>0</v>
      </c>
      <c r="BQ29">
        <f ca="1">OFFSET(Objects!$HW$6,BQ$1+(Objects!$Y$4-$A29-1)*Objects!$X$4,0)</f>
        <v>0</v>
      </c>
      <c r="BR29">
        <f ca="1">OFFSET(Objects!$HW$6,BR$1+(Objects!$Y$4-$A29-1)*Objects!$X$4,0)</f>
        <v>0</v>
      </c>
      <c r="BS29">
        <f ca="1">OFFSET(Objects!$HW$6,BS$1+(Objects!$Y$4-$A29-1)*Objects!$X$4,0)</f>
        <v>0</v>
      </c>
      <c r="BT29">
        <f ca="1">OFFSET(Objects!$HW$6,BT$1+(Objects!$Y$4-$A29-1)*Objects!$X$4,0)</f>
        <v>0</v>
      </c>
      <c r="BU29">
        <f ca="1">OFFSET(Objects!$HW$6,BU$1+(Objects!$Y$4-$A29-1)*Objects!$X$4,0)</f>
        <v>0</v>
      </c>
      <c r="BV29">
        <f ca="1">OFFSET(Objects!$HW$6,BV$1+(Objects!$Y$4-$A29-1)*Objects!$X$4,0)</f>
        <v>0</v>
      </c>
      <c r="BW29">
        <f ca="1">OFFSET(Objects!$HW$6,BW$1+(Objects!$Y$4-$A29-1)*Objects!$X$4,0)</f>
        <v>0</v>
      </c>
      <c r="BX29">
        <f ca="1">OFFSET(Objects!$HW$6,BX$1+(Objects!$Y$4-$A29-1)*Objects!$X$4,0)</f>
        <v>0</v>
      </c>
      <c r="BY29">
        <f ca="1">OFFSET(Objects!$HW$6,BY$1+(Objects!$Y$4-$A29-1)*Objects!$X$4,0)</f>
        <v>0</v>
      </c>
      <c r="BZ29">
        <f ca="1">OFFSET(Objects!$HW$6,BZ$1+(Objects!$Y$4-$A29-1)*Objects!$X$4,0)</f>
        <v>0</v>
      </c>
      <c r="CA29">
        <f ca="1">OFFSET(Objects!$HW$6,CA$1+(Objects!$Y$4-$A29-1)*Objects!$X$4,0)</f>
        <v>0</v>
      </c>
      <c r="CB29">
        <f ca="1">OFFSET(Objects!$HW$6,CB$1+(Objects!$Y$4-$A29-1)*Objects!$X$4,0)</f>
        <v>0</v>
      </c>
      <c r="CC29">
        <f ca="1">OFFSET(Objects!$HW$6,CC$1+(Objects!$Y$4-$A29-1)*Objects!$X$4,0)</f>
        <v>0</v>
      </c>
      <c r="CD29">
        <f ca="1">OFFSET(Objects!$HW$6,CD$1+(Objects!$Y$4-$A29-1)*Objects!$X$4,0)</f>
        <v>0</v>
      </c>
      <c r="CE29">
        <f ca="1">OFFSET(Objects!$HW$6,CE$1+(Objects!$Y$4-$A29-1)*Objects!$X$4,0)</f>
        <v>0</v>
      </c>
      <c r="CF29">
        <f ca="1">OFFSET(Objects!$HW$6,CF$1+(Objects!$Y$4-$A29-1)*Objects!$X$4,0)</f>
        <v>0</v>
      </c>
      <c r="CG29">
        <f ca="1">OFFSET(Objects!$HW$6,CG$1+(Objects!$Y$4-$A29-1)*Objects!$X$4,0)</f>
        <v>0</v>
      </c>
      <c r="CH29">
        <f ca="1">OFFSET(Objects!$HW$6,CH$1+(Objects!$Y$4-$A29-1)*Objects!$X$4,0)</f>
        <v>0</v>
      </c>
      <c r="CI29">
        <f ca="1">OFFSET(Objects!$HW$6,CI$1+(Objects!$Y$4-$A29-1)*Objects!$X$4,0)</f>
        <v>0</v>
      </c>
      <c r="CJ29">
        <f ca="1">OFFSET(Objects!$HW$6,CJ$1+(Objects!$Y$4-$A29-1)*Objects!$X$4,0)</f>
        <v>0</v>
      </c>
      <c r="CK29">
        <f ca="1">OFFSET(Objects!$HW$6,CK$1+(Objects!$Y$4-$A29-1)*Objects!$X$4,0)</f>
        <v>0</v>
      </c>
      <c r="CL29">
        <f ca="1">OFFSET(Objects!$HW$6,CL$1+(Objects!$Y$4-$A29-1)*Objects!$X$4,0)</f>
        <v>0</v>
      </c>
      <c r="CM29">
        <f ca="1">OFFSET(Objects!$HW$6,CM$1+(Objects!$Y$4-$A29-1)*Objects!$X$4,0)</f>
        <v>0</v>
      </c>
      <c r="CN29">
        <f ca="1">OFFSET(Objects!$HW$6,CN$1+(Objects!$Y$4-$A29-1)*Objects!$X$4,0)</f>
        <v>0</v>
      </c>
      <c r="CO29">
        <f ca="1">OFFSET(Objects!$HW$6,CO$1+(Objects!$Y$4-$A29-1)*Objects!$X$4,0)</f>
        <v>0</v>
      </c>
      <c r="CP29">
        <f ca="1">OFFSET(Objects!$HW$6,CP$1+(Objects!$Y$4-$A29-1)*Objects!$X$4,0)</f>
        <v>0</v>
      </c>
      <c r="CQ29">
        <f ca="1">OFFSET(Objects!$HW$6,CQ$1+(Objects!$Y$4-$A29-1)*Objects!$X$4,0)</f>
        <v>0</v>
      </c>
      <c r="CR29">
        <f ca="1">OFFSET(Objects!$HW$6,CR$1+(Objects!$Y$4-$A29-1)*Objects!$X$4,0)</f>
        <v>0</v>
      </c>
      <c r="CS29">
        <f ca="1">OFFSET(Objects!$HW$6,CS$1+(Objects!$Y$4-$A29-1)*Objects!$X$4,0)</f>
        <v>0</v>
      </c>
      <c r="CT29">
        <f ca="1">OFFSET(Objects!$HW$6,CT$1+(Objects!$Y$4-$A29-1)*Objects!$X$4,0)</f>
        <v>0</v>
      </c>
      <c r="CU29">
        <f ca="1">OFFSET(Objects!$HW$6,CU$1+(Objects!$Y$4-$A29-1)*Objects!$X$4,0)</f>
        <v>0</v>
      </c>
      <c r="CV29">
        <f ca="1">OFFSET(Objects!$HW$6,CV$1+(Objects!$Y$4-$A29-1)*Objects!$X$4,0)</f>
        <v>0</v>
      </c>
      <c r="CW29">
        <f ca="1">OFFSET(Objects!$HW$6,CW$1+(Objects!$Y$4-$A29-1)*Objects!$X$4,0)</f>
        <v>0</v>
      </c>
      <c r="CX29">
        <f ca="1">OFFSET(Objects!$HW$6,CX$1+(Objects!$Y$4-$A29-1)*Objects!$X$4,0)</f>
        <v>0</v>
      </c>
      <c r="CY29">
        <f ca="1">OFFSET(Objects!$HW$6,CY$1+(Objects!$Y$4-$A29-1)*Objects!$X$4,0)</f>
        <v>0</v>
      </c>
      <c r="CZ29">
        <f ca="1">OFFSET(Objects!$HW$6,CZ$1+(Objects!$Y$4-$A29-1)*Objects!$X$4,0)</f>
        <v>0</v>
      </c>
      <c r="DA29">
        <f ca="1">OFFSET(Objects!$HW$6,DA$1+(Objects!$Y$4-$A29-1)*Objects!$X$4,0)</f>
        <v>0</v>
      </c>
      <c r="DB29">
        <f ca="1">OFFSET(Objects!$HW$6,DB$1+(Objects!$Y$4-$A29-1)*Objects!$X$4,0)</f>
        <v>0</v>
      </c>
      <c r="DC29">
        <f ca="1">OFFSET(Objects!$HW$6,DC$1+(Objects!$Y$4-$A29-1)*Objects!$X$4,0)</f>
        <v>0</v>
      </c>
      <c r="DD29">
        <f ca="1">OFFSET(Objects!$HW$6,DD$1+(Objects!$Y$4-$A29-1)*Objects!$X$4,0)</f>
        <v>0</v>
      </c>
      <c r="DE29">
        <f ca="1">OFFSET(Objects!$HW$6,DE$1+(Objects!$Y$4-$A29-1)*Objects!$X$4,0)</f>
        <v>0</v>
      </c>
      <c r="DF29">
        <f ca="1">OFFSET(Objects!$HW$6,DF$1+(Objects!$Y$4-$A29-1)*Objects!$X$4,0)</f>
        <v>0</v>
      </c>
      <c r="DG29">
        <f ca="1">OFFSET(Objects!$HW$6,DG$1+(Objects!$Y$4-$A29-1)*Objects!$X$4,0)</f>
        <v>0</v>
      </c>
      <c r="DH29">
        <f ca="1">OFFSET(Objects!$HW$6,DH$1+(Objects!$Y$4-$A29-1)*Objects!$X$4,0)</f>
        <v>0</v>
      </c>
      <c r="DI29">
        <f ca="1">OFFSET(Objects!$HW$6,DI$1+(Objects!$Y$4-$A29-1)*Objects!$X$4,0)</f>
        <v>0</v>
      </c>
      <c r="DJ29">
        <f ca="1">OFFSET(Objects!$HW$6,DJ$1+(Objects!$Y$4-$A29-1)*Objects!$X$4,0)</f>
        <v>0</v>
      </c>
      <c r="DK29">
        <f ca="1">OFFSET(Objects!$HW$6,DK$1+(Objects!$Y$4-$A29-1)*Objects!$X$4,0)</f>
        <v>0</v>
      </c>
      <c r="DL29">
        <f ca="1">OFFSET(Objects!$HW$6,DL$1+(Objects!$Y$4-$A29-1)*Objects!$X$4,0)</f>
        <v>0</v>
      </c>
      <c r="DM29">
        <f ca="1">OFFSET(Objects!$HW$6,DM$1+(Objects!$Y$4-$A29-1)*Objects!$X$4,0)</f>
        <v>0</v>
      </c>
      <c r="DN29">
        <f ca="1">OFFSET(Objects!$HW$6,DN$1+(Objects!$Y$4-$A29-1)*Objects!$X$4,0)</f>
        <v>0</v>
      </c>
      <c r="DO29">
        <f ca="1">OFFSET(Objects!$HW$6,DO$1+(Objects!$Y$4-$A29-1)*Objects!$X$4,0)</f>
        <v>0</v>
      </c>
      <c r="DP29">
        <f ca="1">OFFSET(Objects!$HW$6,DP$1+(Objects!$Y$4-$A29-1)*Objects!$X$4,0)</f>
        <v>0</v>
      </c>
      <c r="DQ29">
        <f ca="1">OFFSET(Objects!$HW$6,DQ$1+(Objects!$Y$4-$A29-1)*Objects!$X$4,0)</f>
        <v>0</v>
      </c>
      <c r="DR29">
        <f ca="1">OFFSET(Objects!$HW$6,DR$1+(Objects!$Y$4-$A29-1)*Objects!$X$4,0)</f>
        <v>0</v>
      </c>
      <c r="DS29">
        <f ca="1">OFFSET(Objects!$HW$6,DS$1+(Objects!$Y$4-$A29-1)*Objects!$X$4,0)</f>
        <v>0</v>
      </c>
      <c r="DT29">
        <f ca="1">OFFSET(Objects!$HW$6,DT$1+(Objects!$Y$4-$A29-1)*Objects!$X$4,0)</f>
        <v>0</v>
      </c>
      <c r="DU29">
        <f ca="1">OFFSET(Objects!$HW$6,DU$1+(Objects!$Y$4-$A29-1)*Objects!$X$4,0)</f>
        <v>0</v>
      </c>
      <c r="DV29">
        <f ca="1">OFFSET(Objects!$HW$6,DV$1+(Objects!$Y$4-$A29-1)*Objects!$X$4,0)</f>
        <v>0</v>
      </c>
      <c r="DW29">
        <f ca="1">OFFSET(Objects!$HW$6,DW$1+(Objects!$Y$4-$A29-1)*Objects!$X$4,0)</f>
        <v>0</v>
      </c>
      <c r="DX29">
        <f ca="1">OFFSET(Objects!$HW$6,DX$1+(Objects!$Y$4-$A29-1)*Objects!$X$4,0)</f>
        <v>0</v>
      </c>
      <c r="DY29">
        <f ca="1">OFFSET(Objects!$HW$6,DY$1+(Objects!$Y$4-$A29-1)*Objects!$X$4,0)</f>
        <v>0</v>
      </c>
      <c r="DZ29">
        <f ca="1">OFFSET(Objects!$HW$6,DZ$1+(Objects!$Y$4-$A29-1)*Objects!$X$4,0)</f>
        <v>0</v>
      </c>
      <c r="EA29">
        <f ca="1">OFFSET(Objects!$HW$6,EA$1+(Objects!$Y$4-$A29-1)*Objects!$X$4,0)</f>
        <v>0</v>
      </c>
      <c r="EB29">
        <f ca="1">OFFSET(Objects!$HW$6,EB$1+(Objects!$Y$4-$A29-1)*Objects!$X$4,0)</f>
        <v>0</v>
      </c>
      <c r="EC29">
        <f ca="1">OFFSET(Objects!$HW$6,EC$1+(Objects!$Y$4-$A29-1)*Objects!$X$4,0)</f>
        <v>0</v>
      </c>
      <c r="ED29">
        <f ca="1">OFFSET(Objects!$HW$6,ED$1+(Objects!$Y$4-$A29-1)*Objects!$X$4,0)</f>
        <v>0</v>
      </c>
      <c r="EE29">
        <f ca="1">OFFSET(Objects!$HW$6,EE$1+(Objects!$Y$4-$A29-1)*Objects!$X$4,0)</f>
        <v>0</v>
      </c>
      <c r="EF29">
        <f ca="1">OFFSET(Objects!$HW$6,EF$1+(Objects!$Y$4-$A29-1)*Objects!$X$4,0)</f>
        <v>0</v>
      </c>
      <c r="EG29">
        <f ca="1">OFFSET(Objects!$HW$6,EG$1+(Objects!$Y$4-$A29-1)*Objects!$X$4,0)</f>
        <v>0</v>
      </c>
      <c r="EH29">
        <f ca="1">OFFSET(Objects!$HW$6,EH$1+(Objects!$Y$4-$A29-1)*Objects!$X$4,0)</f>
        <v>0</v>
      </c>
      <c r="EI29">
        <f ca="1">OFFSET(Objects!$HW$6,EI$1+(Objects!$Y$4-$A29-1)*Objects!$X$4,0)</f>
        <v>0</v>
      </c>
      <c r="EJ29">
        <f ca="1">OFFSET(Objects!$HW$6,EJ$1+(Objects!$Y$4-$A29-1)*Objects!$X$4,0)</f>
        <v>0</v>
      </c>
      <c r="EK29">
        <f ca="1">OFFSET(Objects!$HW$6,EK$1+(Objects!$Y$4-$A29-1)*Objects!$X$4,0)</f>
        <v>0</v>
      </c>
      <c r="EL29">
        <f ca="1">OFFSET(Objects!$HW$6,EL$1+(Objects!$Y$4-$A29-1)*Objects!$X$4,0)</f>
        <v>0</v>
      </c>
      <c r="EM29">
        <f ca="1">OFFSET(Objects!$HW$6,EM$1+(Objects!$Y$4-$A29-1)*Objects!$X$4,0)</f>
        <v>0</v>
      </c>
      <c r="EN29">
        <f ca="1">OFFSET(Objects!$HW$6,EN$1+(Objects!$Y$4-$A29-1)*Objects!$X$4,0)</f>
        <v>0</v>
      </c>
      <c r="EO29">
        <f ca="1">OFFSET(Objects!$HW$6,EO$1+(Objects!$Y$4-$A29-1)*Objects!$X$4,0)</f>
        <v>0</v>
      </c>
      <c r="EP29">
        <f ca="1">OFFSET(Objects!$HW$6,EP$1+(Objects!$Y$4-$A29-1)*Objects!$X$4,0)</f>
        <v>0</v>
      </c>
      <c r="EQ29">
        <f ca="1">OFFSET(Objects!$HW$6,EQ$1+(Objects!$Y$4-$A29-1)*Objects!$X$4,0)</f>
        <v>0</v>
      </c>
      <c r="ER29">
        <f ca="1">OFFSET(Objects!$HW$6,ER$1+(Objects!$Y$4-$A29-1)*Objects!$X$4,0)</f>
        <v>0</v>
      </c>
      <c r="ES29">
        <f ca="1">OFFSET(Objects!$HW$6,ES$1+(Objects!$Y$4-$A29-1)*Objects!$X$4,0)</f>
        <v>0</v>
      </c>
      <c r="ET29">
        <f ca="1">OFFSET(Objects!$HW$6,ET$1+(Objects!$Y$4-$A29-1)*Objects!$X$4,0)</f>
        <v>0</v>
      </c>
      <c r="EU29">
        <f ca="1">OFFSET(Objects!$HW$6,EU$1+(Objects!$Y$4-$A29-1)*Objects!$X$4,0)</f>
        <v>0</v>
      </c>
      <c r="EV29">
        <f ca="1">OFFSET(Objects!$HW$6,EV$1+(Objects!$Y$4-$A29-1)*Objects!$X$4,0)</f>
        <v>0</v>
      </c>
      <c r="EW29">
        <f ca="1">OFFSET(Objects!$HW$6,EW$1+(Objects!$Y$4-$A29-1)*Objects!$X$4,0)</f>
        <v>0</v>
      </c>
      <c r="EX29">
        <f ca="1">OFFSET(Objects!$HW$6,EX$1+(Objects!$Y$4-$A29-1)*Objects!$X$4,0)</f>
        <v>0</v>
      </c>
      <c r="EY29">
        <f ca="1">OFFSET(Objects!$HW$6,EY$1+(Objects!$Y$4-$A29-1)*Objects!$X$4,0)</f>
        <v>0</v>
      </c>
      <c r="EZ29">
        <f ca="1">OFFSET(Objects!$HW$6,EZ$1+(Objects!$Y$4-$A29-1)*Objects!$X$4,0)</f>
        <v>0</v>
      </c>
      <c r="FA29">
        <f ca="1">OFFSET(Objects!$HW$6,FA$1+(Objects!$Y$4-$A29-1)*Objects!$X$4,0)</f>
        <v>0</v>
      </c>
      <c r="FB29">
        <f ca="1">OFFSET(Objects!$HW$6,FB$1+(Objects!$Y$4-$A29-1)*Objects!$X$4,0)</f>
        <v>0</v>
      </c>
      <c r="FC29">
        <f ca="1">OFFSET(Objects!$HW$6,FC$1+(Objects!$Y$4-$A29-1)*Objects!$X$4,0)</f>
        <v>0</v>
      </c>
      <c r="FD29">
        <f ca="1">OFFSET(Objects!$HW$6,FD$1+(Objects!$Y$4-$A29-1)*Objects!$X$4,0)</f>
        <v>0</v>
      </c>
      <c r="FE29" s="22">
        <f ca="1">OFFSET(Objects!$HW$6,FE$1+(Objects!$Y$4-$A29-1)*Objects!$X$4,0)</f>
        <v>0</v>
      </c>
    </row>
    <row r="30" spans="1:161" ht="4.5" customHeight="1" x14ac:dyDescent="0.25">
      <c r="A30">
        <v>28</v>
      </c>
      <c r="B30" s="21">
        <f ca="1">OFFSET(Objects!$HW$6,B$1+(Objects!$Y$4-$A30-1)*Objects!$X$4,0)</f>
        <v>0</v>
      </c>
      <c r="C30">
        <f ca="1">OFFSET(Objects!$HW$6,C$1+(Objects!$Y$4-$A30-1)*Objects!$X$4,0)</f>
        <v>0</v>
      </c>
      <c r="D30">
        <f ca="1">OFFSET(Objects!$HW$6,D$1+(Objects!$Y$4-$A30-1)*Objects!$X$4,0)</f>
        <v>0</v>
      </c>
      <c r="E30">
        <f ca="1">OFFSET(Objects!$HW$6,E$1+(Objects!$Y$4-$A30-1)*Objects!$X$4,0)</f>
        <v>0</v>
      </c>
      <c r="F30">
        <f ca="1">OFFSET(Objects!$HW$6,F$1+(Objects!$Y$4-$A30-1)*Objects!$X$4,0)</f>
        <v>0</v>
      </c>
      <c r="G30">
        <f ca="1">OFFSET(Objects!$HW$6,G$1+(Objects!$Y$4-$A30-1)*Objects!$X$4,0)</f>
        <v>0</v>
      </c>
      <c r="H30">
        <f ca="1">OFFSET(Objects!$HW$6,H$1+(Objects!$Y$4-$A30-1)*Objects!$X$4,0)</f>
        <v>0</v>
      </c>
      <c r="I30">
        <f ca="1">OFFSET(Objects!$HW$6,I$1+(Objects!$Y$4-$A30-1)*Objects!$X$4,0)</f>
        <v>0</v>
      </c>
      <c r="J30">
        <f ca="1">OFFSET(Objects!$HW$6,J$1+(Objects!$Y$4-$A30-1)*Objects!$X$4,0)</f>
        <v>0</v>
      </c>
      <c r="K30">
        <f ca="1">OFFSET(Objects!$HW$6,K$1+(Objects!$Y$4-$A30-1)*Objects!$X$4,0)</f>
        <v>0</v>
      </c>
      <c r="L30">
        <f ca="1">OFFSET(Objects!$HW$6,L$1+(Objects!$Y$4-$A30-1)*Objects!$X$4,0)</f>
        <v>0</v>
      </c>
      <c r="M30">
        <f ca="1">OFFSET(Objects!$HW$6,M$1+(Objects!$Y$4-$A30-1)*Objects!$X$4,0)</f>
        <v>0</v>
      </c>
      <c r="N30">
        <f ca="1">OFFSET(Objects!$HW$6,N$1+(Objects!$Y$4-$A30-1)*Objects!$X$4,0)</f>
        <v>0</v>
      </c>
      <c r="O30">
        <f ca="1">OFFSET(Objects!$HW$6,O$1+(Objects!$Y$4-$A30-1)*Objects!$X$4,0)</f>
        <v>0</v>
      </c>
      <c r="P30">
        <f ca="1">OFFSET(Objects!$HW$6,P$1+(Objects!$Y$4-$A30-1)*Objects!$X$4,0)</f>
        <v>0</v>
      </c>
      <c r="Q30">
        <f ca="1">OFFSET(Objects!$HW$6,Q$1+(Objects!$Y$4-$A30-1)*Objects!$X$4,0)</f>
        <v>0</v>
      </c>
      <c r="R30">
        <f ca="1">OFFSET(Objects!$HW$6,R$1+(Objects!$Y$4-$A30-1)*Objects!$X$4,0)</f>
        <v>0</v>
      </c>
      <c r="S30">
        <f ca="1">OFFSET(Objects!$HW$6,S$1+(Objects!$Y$4-$A30-1)*Objects!$X$4,0)</f>
        <v>0</v>
      </c>
      <c r="T30">
        <f ca="1">OFFSET(Objects!$HW$6,T$1+(Objects!$Y$4-$A30-1)*Objects!$X$4,0)</f>
        <v>0</v>
      </c>
      <c r="U30">
        <f ca="1">OFFSET(Objects!$HW$6,U$1+(Objects!$Y$4-$A30-1)*Objects!$X$4,0)</f>
        <v>0</v>
      </c>
      <c r="V30">
        <f ca="1">OFFSET(Objects!$HW$6,V$1+(Objects!$Y$4-$A30-1)*Objects!$X$4,0)</f>
        <v>0</v>
      </c>
      <c r="W30">
        <f ca="1">OFFSET(Objects!$HW$6,W$1+(Objects!$Y$4-$A30-1)*Objects!$X$4,0)</f>
        <v>0</v>
      </c>
      <c r="X30">
        <f ca="1">OFFSET(Objects!$HW$6,X$1+(Objects!$Y$4-$A30-1)*Objects!$X$4,0)</f>
        <v>0</v>
      </c>
      <c r="Y30">
        <f ca="1">OFFSET(Objects!$HW$6,Y$1+(Objects!$Y$4-$A30-1)*Objects!$X$4,0)</f>
        <v>0</v>
      </c>
      <c r="Z30">
        <f ca="1">OFFSET(Objects!$HW$6,Z$1+(Objects!$Y$4-$A30-1)*Objects!$X$4,0)</f>
        <v>0</v>
      </c>
      <c r="AA30">
        <f ca="1">OFFSET(Objects!$HW$6,AA$1+(Objects!$Y$4-$A30-1)*Objects!$X$4,0)</f>
        <v>0</v>
      </c>
      <c r="AB30">
        <f ca="1">OFFSET(Objects!$HW$6,AB$1+(Objects!$Y$4-$A30-1)*Objects!$X$4,0)</f>
        <v>0</v>
      </c>
      <c r="AC30">
        <f ca="1">OFFSET(Objects!$HW$6,AC$1+(Objects!$Y$4-$A30-1)*Objects!$X$4,0)</f>
        <v>0</v>
      </c>
      <c r="AD30">
        <f ca="1">OFFSET(Objects!$HW$6,AD$1+(Objects!$Y$4-$A30-1)*Objects!$X$4,0)</f>
        <v>0</v>
      </c>
      <c r="AE30">
        <f ca="1">OFFSET(Objects!$HW$6,AE$1+(Objects!$Y$4-$A30-1)*Objects!$X$4,0)</f>
        <v>0</v>
      </c>
      <c r="AF30">
        <f ca="1">OFFSET(Objects!$HW$6,AF$1+(Objects!$Y$4-$A30-1)*Objects!$X$4,0)</f>
        <v>0</v>
      </c>
      <c r="AG30">
        <f ca="1">OFFSET(Objects!$HW$6,AG$1+(Objects!$Y$4-$A30-1)*Objects!$X$4,0)</f>
        <v>0</v>
      </c>
      <c r="AH30">
        <f ca="1">OFFSET(Objects!$HW$6,AH$1+(Objects!$Y$4-$A30-1)*Objects!$X$4,0)</f>
        <v>0</v>
      </c>
      <c r="AI30">
        <f ca="1">OFFSET(Objects!$HW$6,AI$1+(Objects!$Y$4-$A30-1)*Objects!$X$4,0)</f>
        <v>0</v>
      </c>
      <c r="AJ30">
        <f ca="1">OFFSET(Objects!$HW$6,AJ$1+(Objects!$Y$4-$A30-1)*Objects!$X$4,0)</f>
        <v>0</v>
      </c>
      <c r="AK30">
        <f ca="1">OFFSET(Objects!$HW$6,AK$1+(Objects!$Y$4-$A30-1)*Objects!$X$4,0)</f>
        <v>0</v>
      </c>
      <c r="AL30">
        <f ca="1">OFFSET(Objects!$HW$6,AL$1+(Objects!$Y$4-$A30-1)*Objects!$X$4,0)</f>
        <v>0</v>
      </c>
      <c r="AM30">
        <f ca="1">OFFSET(Objects!$HW$6,AM$1+(Objects!$Y$4-$A30-1)*Objects!$X$4,0)</f>
        <v>0</v>
      </c>
      <c r="AN30">
        <f ca="1">OFFSET(Objects!$HW$6,AN$1+(Objects!$Y$4-$A30-1)*Objects!$X$4,0)</f>
        <v>0</v>
      </c>
      <c r="AO30">
        <f ca="1">OFFSET(Objects!$HW$6,AO$1+(Objects!$Y$4-$A30-1)*Objects!$X$4,0)</f>
        <v>0</v>
      </c>
      <c r="AP30">
        <f ca="1">OFFSET(Objects!$HW$6,AP$1+(Objects!$Y$4-$A30-1)*Objects!$X$4,0)</f>
        <v>0</v>
      </c>
      <c r="AQ30">
        <f ca="1">OFFSET(Objects!$HW$6,AQ$1+(Objects!$Y$4-$A30-1)*Objects!$X$4,0)</f>
        <v>0</v>
      </c>
      <c r="AR30">
        <f ca="1">OFFSET(Objects!$HW$6,AR$1+(Objects!$Y$4-$A30-1)*Objects!$X$4,0)</f>
        <v>0</v>
      </c>
      <c r="AS30">
        <f ca="1">OFFSET(Objects!$HW$6,AS$1+(Objects!$Y$4-$A30-1)*Objects!$X$4,0)</f>
        <v>0</v>
      </c>
      <c r="AT30">
        <f ca="1">OFFSET(Objects!$HW$6,AT$1+(Objects!$Y$4-$A30-1)*Objects!$X$4,0)</f>
        <v>0</v>
      </c>
      <c r="AU30">
        <f ca="1">OFFSET(Objects!$HW$6,AU$1+(Objects!$Y$4-$A30-1)*Objects!$X$4,0)</f>
        <v>0</v>
      </c>
      <c r="AV30">
        <f ca="1">OFFSET(Objects!$HW$6,AV$1+(Objects!$Y$4-$A30-1)*Objects!$X$4,0)</f>
        <v>0</v>
      </c>
      <c r="AW30">
        <f ca="1">OFFSET(Objects!$HW$6,AW$1+(Objects!$Y$4-$A30-1)*Objects!$X$4,0)</f>
        <v>0</v>
      </c>
      <c r="AX30">
        <f ca="1">OFFSET(Objects!$HW$6,AX$1+(Objects!$Y$4-$A30-1)*Objects!$X$4,0)</f>
        <v>0</v>
      </c>
      <c r="AY30">
        <f ca="1">OFFSET(Objects!$HW$6,AY$1+(Objects!$Y$4-$A30-1)*Objects!$X$4,0)</f>
        <v>0</v>
      </c>
      <c r="AZ30">
        <f ca="1">OFFSET(Objects!$HW$6,AZ$1+(Objects!$Y$4-$A30-1)*Objects!$X$4,0)</f>
        <v>0</v>
      </c>
      <c r="BA30">
        <f ca="1">OFFSET(Objects!$HW$6,BA$1+(Objects!$Y$4-$A30-1)*Objects!$X$4,0)</f>
        <v>0</v>
      </c>
      <c r="BB30">
        <f ca="1">OFFSET(Objects!$HW$6,BB$1+(Objects!$Y$4-$A30-1)*Objects!$X$4,0)</f>
        <v>0</v>
      </c>
      <c r="BC30">
        <f ca="1">OFFSET(Objects!$HW$6,BC$1+(Objects!$Y$4-$A30-1)*Objects!$X$4,0)</f>
        <v>0</v>
      </c>
      <c r="BD30">
        <f ca="1">OFFSET(Objects!$HW$6,BD$1+(Objects!$Y$4-$A30-1)*Objects!$X$4,0)</f>
        <v>0</v>
      </c>
      <c r="BE30">
        <f ca="1">OFFSET(Objects!$HW$6,BE$1+(Objects!$Y$4-$A30-1)*Objects!$X$4,0)</f>
        <v>0</v>
      </c>
      <c r="BF30">
        <f ca="1">OFFSET(Objects!$HW$6,BF$1+(Objects!$Y$4-$A30-1)*Objects!$X$4,0)</f>
        <v>0</v>
      </c>
      <c r="BG30">
        <f ca="1">OFFSET(Objects!$HW$6,BG$1+(Objects!$Y$4-$A30-1)*Objects!$X$4,0)</f>
        <v>0</v>
      </c>
      <c r="BH30">
        <f ca="1">OFFSET(Objects!$HW$6,BH$1+(Objects!$Y$4-$A30-1)*Objects!$X$4,0)</f>
        <v>0</v>
      </c>
      <c r="BI30">
        <f ca="1">OFFSET(Objects!$HW$6,BI$1+(Objects!$Y$4-$A30-1)*Objects!$X$4,0)</f>
        <v>0</v>
      </c>
      <c r="BJ30">
        <f ca="1">OFFSET(Objects!$HW$6,BJ$1+(Objects!$Y$4-$A30-1)*Objects!$X$4,0)</f>
        <v>0</v>
      </c>
      <c r="BK30">
        <f ca="1">OFFSET(Objects!$HW$6,BK$1+(Objects!$Y$4-$A30-1)*Objects!$X$4,0)</f>
        <v>0</v>
      </c>
      <c r="BL30">
        <f ca="1">OFFSET(Objects!$HW$6,BL$1+(Objects!$Y$4-$A30-1)*Objects!$X$4,0)</f>
        <v>0</v>
      </c>
      <c r="BM30">
        <f ca="1">OFFSET(Objects!$HW$6,BM$1+(Objects!$Y$4-$A30-1)*Objects!$X$4,0)</f>
        <v>0</v>
      </c>
      <c r="BN30">
        <f ca="1">OFFSET(Objects!$HW$6,BN$1+(Objects!$Y$4-$A30-1)*Objects!$X$4,0)</f>
        <v>0</v>
      </c>
      <c r="BO30">
        <f ca="1">OFFSET(Objects!$HW$6,BO$1+(Objects!$Y$4-$A30-1)*Objects!$X$4,0)</f>
        <v>0</v>
      </c>
      <c r="BP30">
        <f ca="1">OFFSET(Objects!$HW$6,BP$1+(Objects!$Y$4-$A30-1)*Objects!$X$4,0)</f>
        <v>0</v>
      </c>
      <c r="BQ30">
        <f ca="1">OFFSET(Objects!$HW$6,BQ$1+(Objects!$Y$4-$A30-1)*Objects!$X$4,0)</f>
        <v>0</v>
      </c>
      <c r="BR30">
        <f ca="1">OFFSET(Objects!$HW$6,BR$1+(Objects!$Y$4-$A30-1)*Objects!$X$4,0)</f>
        <v>0</v>
      </c>
      <c r="BS30">
        <f ca="1">OFFSET(Objects!$HW$6,BS$1+(Objects!$Y$4-$A30-1)*Objects!$X$4,0)</f>
        <v>0</v>
      </c>
      <c r="BT30">
        <f ca="1">OFFSET(Objects!$HW$6,BT$1+(Objects!$Y$4-$A30-1)*Objects!$X$4,0)</f>
        <v>0</v>
      </c>
      <c r="BU30">
        <f ca="1">OFFSET(Objects!$HW$6,BU$1+(Objects!$Y$4-$A30-1)*Objects!$X$4,0)</f>
        <v>0</v>
      </c>
      <c r="BV30">
        <f ca="1">OFFSET(Objects!$HW$6,BV$1+(Objects!$Y$4-$A30-1)*Objects!$X$4,0)</f>
        <v>0</v>
      </c>
      <c r="BW30">
        <f ca="1">OFFSET(Objects!$HW$6,BW$1+(Objects!$Y$4-$A30-1)*Objects!$X$4,0)</f>
        <v>0</v>
      </c>
      <c r="BX30">
        <f ca="1">OFFSET(Objects!$HW$6,BX$1+(Objects!$Y$4-$A30-1)*Objects!$X$4,0)</f>
        <v>0</v>
      </c>
      <c r="BY30">
        <f ca="1">OFFSET(Objects!$HW$6,BY$1+(Objects!$Y$4-$A30-1)*Objects!$X$4,0)</f>
        <v>0</v>
      </c>
      <c r="BZ30">
        <f ca="1">OFFSET(Objects!$HW$6,BZ$1+(Objects!$Y$4-$A30-1)*Objects!$X$4,0)</f>
        <v>0</v>
      </c>
      <c r="CA30">
        <f ca="1">OFFSET(Objects!$HW$6,CA$1+(Objects!$Y$4-$A30-1)*Objects!$X$4,0)</f>
        <v>0</v>
      </c>
      <c r="CB30">
        <f ca="1">OFFSET(Objects!$HW$6,CB$1+(Objects!$Y$4-$A30-1)*Objects!$X$4,0)</f>
        <v>0</v>
      </c>
      <c r="CC30">
        <f ca="1">OFFSET(Objects!$HW$6,CC$1+(Objects!$Y$4-$A30-1)*Objects!$X$4,0)</f>
        <v>0</v>
      </c>
      <c r="CD30">
        <f ca="1">OFFSET(Objects!$HW$6,CD$1+(Objects!$Y$4-$A30-1)*Objects!$X$4,0)</f>
        <v>0</v>
      </c>
      <c r="CE30">
        <f ca="1">OFFSET(Objects!$HW$6,CE$1+(Objects!$Y$4-$A30-1)*Objects!$X$4,0)</f>
        <v>0</v>
      </c>
      <c r="CF30">
        <f ca="1">OFFSET(Objects!$HW$6,CF$1+(Objects!$Y$4-$A30-1)*Objects!$X$4,0)</f>
        <v>0</v>
      </c>
      <c r="CG30">
        <f ca="1">OFFSET(Objects!$HW$6,CG$1+(Objects!$Y$4-$A30-1)*Objects!$X$4,0)</f>
        <v>0</v>
      </c>
      <c r="CH30">
        <f ca="1">OFFSET(Objects!$HW$6,CH$1+(Objects!$Y$4-$A30-1)*Objects!$X$4,0)</f>
        <v>0</v>
      </c>
      <c r="CI30">
        <f ca="1">OFFSET(Objects!$HW$6,CI$1+(Objects!$Y$4-$A30-1)*Objects!$X$4,0)</f>
        <v>0</v>
      </c>
      <c r="CJ30">
        <f ca="1">OFFSET(Objects!$HW$6,CJ$1+(Objects!$Y$4-$A30-1)*Objects!$X$4,0)</f>
        <v>0</v>
      </c>
      <c r="CK30">
        <f ca="1">OFFSET(Objects!$HW$6,CK$1+(Objects!$Y$4-$A30-1)*Objects!$X$4,0)</f>
        <v>0</v>
      </c>
      <c r="CL30">
        <f ca="1">OFFSET(Objects!$HW$6,CL$1+(Objects!$Y$4-$A30-1)*Objects!$X$4,0)</f>
        <v>0</v>
      </c>
      <c r="CM30">
        <f ca="1">OFFSET(Objects!$HW$6,CM$1+(Objects!$Y$4-$A30-1)*Objects!$X$4,0)</f>
        <v>0</v>
      </c>
      <c r="CN30">
        <f ca="1">OFFSET(Objects!$HW$6,CN$1+(Objects!$Y$4-$A30-1)*Objects!$X$4,0)</f>
        <v>0</v>
      </c>
      <c r="CO30">
        <f ca="1">OFFSET(Objects!$HW$6,CO$1+(Objects!$Y$4-$A30-1)*Objects!$X$4,0)</f>
        <v>0</v>
      </c>
      <c r="CP30">
        <f ca="1">OFFSET(Objects!$HW$6,CP$1+(Objects!$Y$4-$A30-1)*Objects!$X$4,0)</f>
        <v>0</v>
      </c>
      <c r="CQ30">
        <f ca="1">OFFSET(Objects!$HW$6,CQ$1+(Objects!$Y$4-$A30-1)*Objects!$X$4,0)</f>
        <v>0</v>
      </c>
      <c r="CR30">
        <f ca="1">OFFSET(Objects!$HW$6,CR$1+(Objects!$Y$4-$A30-1)*Objects!$X$4,0)</f>
        <v>0</v>
      </c>
      <c r="CS30">
        <f ca="1">OFFSET(Objects!$HW$6,CS$1+(Objects!$Y$4-$A30-1)*Objects!$X$4,0)</f>
        <v>0</v>
      </c>
      <c r="CT30">
        <f ca="1">OFFSET(Objects!$HW$6,CT$1+(Objects!$Y$4-$A30-1)*Objects!$X$4,0)</f>
        <v>0</v>
      </c>
      <c r="CU30">
        <f ca="1">OFFSET(Objects!$HW$6,CU$1+(Objects!$Y$4-$A30-1)*Objects!$X$4,0)</f>
        <v>0</v>
      </c>
      <c r="CV30">
        <f ca="1">OFFSET(Objects!$HW$6,CV$1+(Objects!$Y$4-$A30-1)*Objects!$X$4,0)</f>
        <v>0</v>
      </c>
      <c r="CW30">
        <f ca="1">OFFSET(Objects!$HW$6,CW$1+(Objects!$Y$4-$A30-1)*Objects!$X$4,0)</f>
        <v>0</v>
      </c>
      <c r="CX30">
        <f ca="1">OFFSET(Objects!$HW$6,CX$1+(Objects!$Y$4-$A30-1)*Objects!$X$4,0)</f>
        <v>0</v>
      </c>
      <c r="CY30">
        <f ca="1">OFFSET(Objects!$HW$6,CY$1+(Objects!$Y$4-$A30-1)*Objects!$X$4,0)</f>
        <v>0</v>
      </c>
      <c r="CZ30">
        <f ca="1">OFFSET(Objects!$HW$6,CZ$1+(Objects!$Y$4-$A30-1)*Objects!$X$4,0)</f>
        <v>0</v>
      </c>
      <c r="DA30">
        <f ca="1">OFFSET(Objects!$HW$6,DA$1+(Objects!$Y$4-$A30-1)*Objects!$X$4,0)</f>
        <v>0</v>
      </c>
      <c r="DB30">
        <f ca="1">OFFSET(Objects!$HW$6,DB$1+(Objects!$Y$4-$A30-1)*Objects!$X$4,0)</f>
        <v>0</v>
      </c>
      <c r="DC30">
        <f ca="1">OFFSET(Objects!$HW$6,DC$1+(Objects!$Y$4-$A30-1)*Objects!$X$4,0)</f>
        <v>0</v>
      </c>
      <c r="DD30">
        <f ca="1">OFFSET(Objects!$HW$6,DD$1+(Objects!$Y$4-$A30-1)*Objects!$X$4,0)</f>
        <v>0</v>
      </c>
      <c r="DE30">
        <f ca="1">OFFSET(Objects!$HW$6,DE$1+(Objects!$Y$4-$A30-1)*Objects!$X$4,0)</f>
        <v>0</v>
      </c>
      <c r="DF30">
        <f ca="1">OFFSET(Objects!$HW$6,DF$1+(Objects!$Y$4-$A30-1)*Objects!$X$4,0)</f>
        <v>0</v>
      </c>
      <c r="DG30">
        <f ca="1">OFFSET(Objects!$HW$6,DG$1+(Objects!$Y$4-$A30-1)*Objects!$X$4,0)</f>
        <v>0</v>
      </c>
      <c r="DH30">
        <f ca="1">OFFSET(Objects!$HW$6,DH$1+(Objects!$Y$4-$A30-1)*Objects!$X$4,0)</f>
        <v>0</v>
      </c>
      <c r="DI30">
        <f ca="1">OFFSET(Objects!$HW$6,DI$1+(Objects!$Y$4-$A30-1)*Objects!$X$4,0)</f>
        <v>0</v>
      </c>
      <c r="DJ30">
        <f ca="1">OFFSET(Objects!$HW$6,DJ$1+(Objects!$Y$4-$A30-1)*Objects!$X$4,0)</f>
        <v>0</v>
      </c>
      <c r="DK30">
        <f ca="1">OFFSET(Objects!$HW$6,DK$1+(Objects!$Y$4-$A30-1)*Objects!$X$4,0)</f>
        <v>0</v>
      </c>
      <c r="DL30">
        <f ca="1">OFFSET(Objects!$HW$6,DL$1+(Objects!$Y$4-$A30-1)*Objects!$X$4,0)</f>
        <v>0</v>
      </c>
      <c r="DM30">
        <f ca="1">OFFSET(Objects!$HW$6,DM$1+(Objects!$Y$4-$A30-1)*Objects!$X$4,0)</f>
        <v>0</v>
      </c>
      <c r="DN30">
        <f ca="1">OFFSET(Objects!$HW$6,DN$1+(Objects!$Y$4-$A30-1)*Objects!$X$4,0)</f>
        <v>0</v>
      </c>
      <c r="DO30">
        <f ca="1">OFFSET(Objects!$HW$6,DO$1+(Objects!$Y$4-$A30-1)*Objects!$X$4,0)</f>
        <v>0</v>
      </c>
      <c r="DP30">
        <f ca="1">OFFSET(Objects!$HW$6,DP$1+(Objects!$Y$4-$A30-1)*Objects!$X$4,0)</f>
        <v>0</v>
      </c>
      <c r="DQ30">
        <f ca="1">OFFSET(Objects!$HW$6,DQ$1+(Objects!$Y$4-$A30-1)*Objects!$X$4,0)</f>
        <v>0</v>
      </c>
      <c r="DR30">
        <f ca="1">OFFSET(Objects!$HW$6,DR$1+(Objects!$Y$4-$A30-1)*Objects!$X$4,0)</f>
        <v>0</v>
      </c>
      <c r="DS30">
        <f ca="1">OFFSET(Objects!$HW$6,DS$1+(Objects!$Y$4-$A30-1)*Objects!$X$4,0)</f>
        <v>0</v>
      </c>
      <c r="DT30">
        <f ca="1">OFFSET(Objects!$HW$6,DT$1+(Objects!$Y$4-$A30-1)*Objects!$X$4,0)</f>
        <v>0</v>
      </c>
      <c r="DU30">
        <f ca="1">OFFSET(Objects!$HW$6,DU$1+(Objects!$Y$4-$A30-1)*Objects!$X$4,0)</f>
        <v>0</v>
      </c>
      <c r="DV30">
        <f ca="1">OFFSET(Objects!$HW$6,DV$1+(Objects!$Y$4-$A30-1)*Objects!$X$4,0)</f>
        <v>0</v>
      </c>
      <c r="DW30">
        <f ca="1">OFFSET(Objects!$HW$6,DW$1+(Objects!$Y$4-$A30-1)*Objects!$X$4,0)</f>
        <v>0</v>
      </c>
      <c r="DX30">
        <f ca="1">OFFSET(Objects!$HW$6,DX$1+(Objects!$Y$4-$A30-1)*Objects!$X$4,0)</f>
        <v>0</v>
      </c>
      <c r="DY30">
        <f ca="1">OFFSET(Objects!$HW$6,DY$1+(Objects!$Y$4-$A30-1)*Objects!$X$4,0)</f>
        <v>0</v>
      </c>
      <c r="DZ30">
        <f ca="1">OFFSET(Objects!$HW$6,DZ$1+(Objects!$Y$4-$A30-1)*Objects!$X$4,0)</f>
        <v>0</v>
      </c>
      <c r="EA30">
        <f ca="1">OFFSET(Objects!$HW$6,EA$1+(Objects!$Y$4-$A30-1)*Objects!$X$4,0)</f>
        <v>0</v>
      </c>
      <c r="EB30">
        <f ca="1">OFFSET(Objects!$HW$6,EB$1+(Objects!$Y$4-$A30-1)*Objects!$X$4,0)</f>
        <v>0</v>
      </c>
      <c r="EC30">
        <f ca="1">OFFSET(Objects!$HW$6,EC$1+(Objects!$Y$4-$A30-1)*Objects!$X$4,0)</f>
        <v>0</v>
      </c>
      <c r="ED30">
        <f ca="1">OFFSET(Objects!$HW$6,ED$1+(Objects!$Y$4-$A30-1)*Objects!$X$4,0)</f>
        <v>0</v>
      </c>
      <c r="EE30">
        <f ca="1">OFFSET(Objects!$HW$6,EE$1+(Objects!$Y$4-$A30-1)*Objects!$X$4,0)</f>
        <v>0</v>
      </c>
      <c r="EF30">
        <f ca="1">OFFSET(Objects!$HW$6,EF$1+(Objects!$Y$4-$A30-1)*Objects!$X$4,0)</f>
        <v>0</v>
      </c>
      <c r="EG30">
        <f ca="1">OFFSET(Objects!$HW$6,EG$1+(Objects!$Y$4-$A30-1)*Objects!$X$4,0)</f>
        <v>0</v>
      </c>
      <c r="EH30">
        <f ca="1">OFFSET(Objects!$HW$6,EH$1+(Objects!$Y$4-$A30-1)*Objects!$X$4,0)</f>
        <v>0</v>
      </c>
      <c r="EI30">
        <f ca="1">OFFSET(Objects!$HW$6,EI$1+(Objects!$Y$4-$A30-1)*Objects!$X$4,0)</f>
        <v>0</v>
      </c>
      <c r="EJ30">
        <f ca="1">OFFSET(Objects!$HW$6,EJ$1+(Objects!$Y$4-$A30-1)*Objects!$X$4,0)</f>
        <v>0</v>
      </c>
      <c r="EK30">
        <f ca="1">OFFSET(Objects!$HW$6,EK$1+(Objects!$Y$4-$A30-1)*Objects!$X$4,0)</f>
        <v>0</v>
      </c>
      <c r="EL30">
        <f ca="1">OFFSET(Objects!$HW$6,EL$1+(Objects!$Y$4-$A30-1)*Objects!$X$4,0)</f>
        <v>0</v>
      </c>
      <c r="EM30">
        <f ca="1">OFFSET(Objects!$HW$6,EM$1+(Objects!$Y$4-$A30-1)*Objects!$X$4,0)</f>
        <v>0</v>
      </c>
      <c r="EN30">
        <f ca="1">OFFSET(Objects!$HW$6,EN$1+(Objects!$Y$4-$A30-1)*Objects!$X$4,0)</f>
        <v>0</v>
      </c>
      <c r="EO30">
        <f ca="1">OFFSET(Objects!$HW$6,EO$1+(Objects!$Y$4-$A30-1)*Objects!$X$4,0)</f>
        <v>0</v>
      </c>
      <c r="EP30">
        <f ca="1">OFFSET(Objects!$HW$6,EP$1+(Objects!$Y$4-$A30-1)*Objects!$X$4,0)</f>
        <v>0</v>
      </c>
      <c r="EQ30">
        <f ca="1">OFFSET(Objects!$HW$6,EQ$1+(Objects!$Y$4-$A30-1)*Objects!$X$4,0)</f>
        <v>0</v>
      </c>
      <c r="ER30">
        <f ca="1">OFFSET(Objects!$HW$6,ER$1+(Objects!$Y$4-$A30-1)*Objects!$X$4,0)</f>
        <v>0</v>
      </c>
      <c r="ES30">
        <f ca="1">OFFSET(Objects!$HW$6,ES$1+(Objects!$Y$4-$A30-1)*Objects!$X$4,0)</f>
        <v>0</v>
      </c>
      <c r="ET30">
        <f ca="1">OFFSET(Objects!$HW$6,ET$1+(Objects!$Y$4-$A30-1)*Objects!$X$4,0)</f>
        <v>0</v>
      </c>
      <c r="EU30">
        <f ca="1">OFFSET(Objects!$HW$6,EU$1+(Objects!$Y$4-$A30-1)*Objects!$X$4,0)</f>
        <v>0</v>
      </c>
      <c r="EV30">
        <f ca="1">OFFSET(Objects!$HW$6,EV$1+(Objects!$Y$4-$A30-1)*Objects!$X$4,0)</f>
        <v>0</v>
      </c>
      <c r="EW30">
        <f ca="1">OFFSET(Objects!$HW$6,EW$1+(Objects!$Y$4-$A30-1)*Objects!$X$4,0)</f>
        <v>0</v>
      </c>
      <c r="EX30">
        <f ca="1">OFFSET(Objects!$HW$6,EX$1+(Objects!$Y$4-$A30-1)*Objects!$X$4,0)</f>
        <v>0</v>
      </c>
      <c r="EY30">
        <f ca="1">OFFSET(Objects!$HW$6,EY$1+(Objects!$Y$4-$A30-1)*Objects!$X$4,0)</f>
        <v>0</v>
      </c>
      <c r="EZ30">
        <f ca="1">OFFSET(Objects!$HW$6,EZ$1+(Objects!$Y$4-$A30-1)*Objects!$X$4,0)</f>
        <v>0</v>
      </c>
      <c r="FA30">
        <f ca="1">OFFSET(Objects!$HW$6,FA$1+(Objects!$Y$4-$A30-1)*Objects!$X$4,0)</f>
        <v>0</v>
      </c>
      <c r="FB30">
        <f ca="1">OFFSET(Objects!$HW$6,FB$1+(Objects!$Y$4-$A30-1)*Objects!$X$4,0)</f>
        <v>0</v>
      </c>
      <c r="FC30">
        <f ca="1">OFFSET(Objects!$HW$6,FC$1+(Objects!$Y$4-$A30-1)*Objects!$X$4,0)</f>
        <v>0</v>
      </c>
      <c r="FD30">
        <f ca="1">OFFSET(Objects!$HW$6,FD$1+(Objects!$Y$4-$A30-1)*Objects!$X$4,0)</f>
        <v>0</v>
      </c>
      <c r="FE30" s="22">
        <f ca="1">OFFSET(Objects!$HW$6,FE$1+(Objects!$Y$4-$A30-1)*Objects!$X$4,0)</f>
        <v>0</v>
      </c>
    </row>
    <row r="31" spans="1:161" ht="4.5" customHeight="1" x14ac:dyDescent="0.25">
      <c r="A31">
        <v>29</v>
      </c>
      <c r="B31" s="21">
        <f ca="1">OFFSET(Objects!$HW$6,B$1+(Objects!$Y$4-$A31-1)*Objects!$X$4,0)</f>
        <v>0</v>
      </c>
      <c r="C31">
        <f ca="1">OFFSET(Objects!$HW$6,C$1+(Objects!$Y$4-$A31-1)*Objects!$X$4,0)</f>
        <v>0</v>
      </c>
      <c r="D31">
        <f ca="1">OFFSET(Objects!$HW$6,D$1+(Objects!$Y$4-$A31-1)*Objects!$X$4,0)</f>
        <v>0</v>
      </c>
      <c r="E31">
        <f ca="1">OFFSET(Objects!$HW$6,E$1+(Objects!$Y$4-$A31-1)*Objects!$X$4,0)</f>
        <v>0</v>
      </c>
      <c r="F31">
        <f ca="1">OFFSET(Objects!$HW$6,F$1+(Objects!$Y$4-$A31-1)*Objects!$X$4,0)</f>
        <v>0</v>
      </c>
      <c r="G31">
        <f ca="1">OFFSET(Objects!$HW$6,G$1+(Objects!$Y$4-$A31-1)*Objects!$X$4,0)</f>
        <v>0</v>
      </c>
      <c r="H31">
        <f ca="1">OFFSET(Objects!$HW$6,H$1+(Objects!$Y$4-$A31-1)*Objects!$X$4,0)</f>
        <v>0</v>
      </c>
      <c r="I31">
        <f ca="1">OFFSET(Objects!$HW$6,I$1+(Objects!$Y$4-$A31-1)*Objects!$X$4,0)</f>
        <v>0</v>
      </c>
      <c r="J31">
        <f ca="1">OFFSET(Objects!$HW$6,J$1+(Objects!$Y$4-$A31-1)*Objects!$X$4,0)</f>
        <v>0</v>
      </c>
      <c r="K31">
        <f ca="1">OFFSET(Objects!$HW$6,K$1+(Objects!$Y$4-$A31-1)*Objects!$X$4,0)</f>
        <v>0</v>
      </c>
      <c r="L31">
        <f ca="1">OFFSET(Objects!$HW$6,L$1+(Objects!$Y$4-$A31-1)*Objects!$X$4,0)</f>
        <v>0</v>
      </c>
      <c r="M31">
        <f ca="1">OFFSET(Objects!$HW$6,M$1+(Objects!$Y$4-$A31-1)*Objects!$X$4,0)</f>
        <v>0</v>
      </c>
      <c r="N31">
        <f ca="1">OFFSET(Objects!$HW$6,N$1+(Objects!$Y$4-$A31-1)*Objects!$X$4,0)</f>
        <v>0</v>
      </c>
      <c r="O31">
        <f ca="1">OFFSET(Objects!$HW$6,O$1+(Objects!$Y$4-$A31-1)*Objects!$X$4,0)</f>
        <v>0</v>
      </c>
      <c r="P31">
        <f ca="1">OFFSET(Objects!$HW$6,P$1+(Objects!$Y$4-$A31-1)*Objects!$X$4,0)</f>
        <v>0</v>
      </c>
      <c r="Q31">
        <f ca="1">OFFSET(Objects!$HW$6,Q$1+(Objects!$Y$4-$A31-1)*Objects!$X$4,0)</f>
        <v>0</v>
      </c>
      <c r="R31">
        <f ca="1">OFFSET(Objects!$HW$6,R$1+(Objects!$Y$4-$A31-1)*Objects!$X$4,0)</f>
        <v>0</v>
      </c>
      <c r="S31">
        <f ca="1">OFFSET(Objects!$HW$6,S$1+(Objects!$Y$4-$A31-1)*Objects!$X$4,0)</f>
        <v>0</v>
      </c>
      <c r="T31">
        <f ca="1">OFFSET(Objects!$HW$6,T$1+(Objects!$Y$4-$A31-1)*Objects!$X$4,0)</f>
        <v>0</v>
      </c>
      <c r="U31">
        <f ca="1">OFFSET(Objects!$HW$6,U$1+(Objects!$Y$4-$A31-1)*Objects!$X$4,0)</f>
        <v>0</v>
      </c>
      <c r="V31">
        <f ca="1">OFFSET(Objects!$HW$6,V$1+(Objects!$Y$4-$A31-1)*Objects!$X$4,0)</f>
        <v>0</v>
      </c>
      <c r="W31">
        <f ca="1">OFFSET(Objects!$HW$6,W$1+(Objects!$Y$4-$A31-1)*Objects!$X$4,0)</f>
        <v>0</v>
      </c>
      <c r="X31">
        <f ca="1">OFFSET(Objects!$HW$6,X$1+(Objects!$Y$4-$A31-1)*Objects!$X$4,0)</f>
        <v>0</v>
      </c>
      <c r="Y31">
        <f ca="1">OFFSET(Objects!$HW$6,Y$1+(Objects!$Y$4-$A31-1)*Objects!$X$4,0)</f>
        <v>0</v>
      </c>
      <c r="Z31">
        <f ca="1">OFFSET(Objects!$HW$6,Z$1+(Objects!$Y$4-$A31-1)*Objects!$X$4,0)</f>
        <v>0</v>
      </c>
      <c r="AA31">
        <f ca="1">OFFSET(Objects!$HW$6,AA$1+(Objects!$Y$4-$A31-1)*Objects!$X$4,0)</f>
        <v>0</v>
      </c>
      <c r="AB31">
        <f ca="1">OFFSET(Objects!$HW$6,AB$1+(Objects!$Y$4-$A31-1)*Objects!$X$4,0)</f>
        <v>0</v>
      </c>
      <c r="AC31">
        <f ca="1">OFFSET(Objects!$HW$6,AC$1+(Objects!$Y$4-$A31-1)*Objects!$X$4,0)</f>
        <v>0</v>
      </c>
      <c r="AD31">
        <f ca="1">OFFSET(Objects!$HW$6,AD$1+(Objects!$Y$4-$A31-1)*Objects!$X$4,0)</f>
        <v>0</v>
      </c>
      <c r="AE31">
        <f ca="1">OFFSET(Objects!$HW$6,AE$1+(Objects!$Y$4-$A31-1)*Objects!$X$4,0)</f>
        <v>0</v>
      </c>
      <c r="AF31">
        <f ca="1">OFFSET(Objects!$HW$6,AF$1+(Objects!$Y$4-$A31-1)*Objects!$X$4,0)</f>
        <v>0</v>
      </c>
      <c r="AG31">
        <f ca="1">OFFSET(Objects!$HW$6,AG$1+(Objects!$Y$4-$A31-1)*Objects!$X$4,0)</f>
        <v>0</v>
      </c>
      <c r="AH31">
        <f ca="1">OFFSET(Objects!$HW$6,AH$1+(Objects!$Y$4-$A31-1)*Objects!$X$4,0)</f>
        <v>0</v>
      </c>
      <c r="AI31">
        <f ca="1">OFFSET(Objects!$HW$6,AI$1+(Objects!$Y$4-$A31-1)*Objects!$X$4,0)</f>
        <v>0</v>
      </c>
      <c r="AJ31">
        <f ca="1">OFFSET(Objects!$HW$6,AJ$1+(Objects!$Y$4-$A31-1)*Objects!$X$4,0)</f>
        <v>0</v>
      </c>
      <c r="AK31">
        <f ca="1">OFFSET(Objects!$HW$6,AK$1+(Objects!$Y$4-$A31-1)*Objects!$X$4,0)</f>
        <v>0</v>
      </c>
      <c r="AL31">
        <f ca="1">OFFSET(Objects!$HW$6,AL$1+(Objects!$Y$4-$A31-1)*Objects!$X$4,0)</f>
        <v>0</v>
      </c>
      <c r="AM31">
        <f ca="1">OFFSET(Objects!$HW$6,AM$1+(Objects!$Y$4-$A31-1)*Objects!$X$4,0)</f>
        <v>0</v>
      </c>
      <c r="AN31">
        <f ca="1">OFFSET(Objects!$HW$6,AN$1+(Objects!$Y$4-$A31-1)*Objects!$X$4,0)</f>
        <v>0</v>
      </c>
      <c r="AO31">
        <f ca="1">OFFSET(Objects!$HW$6,AO$1+(Objects!$Y$4-$A31-1)*Objects!$X$4,0)</f>
        <v>0</v>
      </c>
      <c r="AP31">
        <f ca="1">OFFSET(Objects!$HW$6,AP$1+(Objects!$Y$4-$A31-1)*Objects!$X$4,0)</f>
        <v>0</v>
      </c>
      <c r="AQ31">
        <f ca="1">OFFSET(Objects!$HW$6,AQ$1+(Objects!$Y$4-$A31-1)*Objects!$X$4,0)</f>
        <v>0</v>
      </c>
      <c r="AR31">
        <f ca="1">OFFSET(Objects!$HW$6,AR$1+(Objects!$Y$4-$A31-1)*Objects!$X$4,0)</f>
        <v>0</v>
      </c>
      <c r="AS31">
        <f ca="1">OFFSET(Objects!$HW$6,AS$1+(Objects!$Y$4-$A31-1)*Objects!$X$4,0)</f>
        <v>0</v>
      </c>
      <c r="AT31">
        <f ca="1">OFFSET(Objects!$HW$6,AT$1+(Objects!$Y$4-$A31-1)*Objects!$X$4,0)</f>
        <v>0</v>
      </c>
      <c r="AU31">
        <f ca="1">OFFSET(Objects!$HW$6,AU$1+(Objects!$Y$4-$A31-1)*Objects!$X$4,0)</f>
        <v>0</v>
      </c>
      <c r="AV31">
        <f ca="1">OFFSET(Objects!$HW$6,AV$1+(Objects!$Y$4-$A31-1)*Objects!$X$4,0)</f>
        <v>0</v>
      </c>
      <c r="AW31">
        <f ca="1">OFFSET(Objects!$HW$6,AW$1+(Objects!$Y$4-$A31-1)*Objects!$X$4,0)</f>
        <v>0</v>
      </c>
      <c r="AX31">
        <f ca="1">OFFSET(Objects!$HW$6,AX$1+(Objects!$Y$4-$A31-1)*Objects!$X$4,0)</f>
        <v>0</v>
      </c>
      <c r="AY31">
        <f ca="1">OFFSET(Objects!$HW$6,AY$1+(Objects!$Y$4-$A31-1)*Objects!$X$4,0)</f>
        <v>0</v>
      </c>
      <c r="AZ31">
        <f ca="1">OFFSET(Objects!$HW$6,AZ$1+(Objects!$Y$4-$A31-1)*Objects!$X$4,0)</f>
        <v>0</v>
      </c>
      <c r="BA31">
        <f ca="1">OFFSET(Objects!$HW$6,BA$1+(Objects!$Y$4-$A31-1)*Objects!$X$4,0)</f>
        <v>0</v>
      </c>
      <c r="BB31">
        <f ca="1">OFFSET(Objects!$HW$6,BB$1+(Objects!$Y$4-$A31-1)*Objects!$X$4,0)</f>
        <v>0</v>
      </c>
      <c r="BC31">
        <f ca="1">OFFSET(Objects!$HW$6,BC$1+(Objects!$Y$4-$A31-1)*Objects!$X$4,0)</f>
        <v>0</v>
      </c>
      <c r="BD31">
        <f ca="1">OFFSET(Objects!$HW$6,BD$1+(Objects!$Y$4-$A31-1)*Objects!$X$4,0)</f>
        <v>0</v>
      </c>
      <c r="BE31">
        <f ca="1">OFFSET(Objects!$HW$6,BE$1+(Objects!$Y$4-$A31-1)*Objects!$X$4,0)</f>
        <v>0</v>
      </c>
      <c r="BF31">
        <f ca="1">OFFSET(Objects!$HW$6,BF$1+(Objects!$Y$4-$A31-1)*Objects!$X$4,0)</f>
        <v>0</v>
      </c>
      <c r="BG31">
        <f ca="1">OFFSET(Objects!$HW$6,BG$1+(Objects!$Y$4-$A31-1)*Objects!$X$4,0)</f>
        <v>0</v>
      </c>
      <c r="BH31">
        <f ca="1">OFFSET(Objects!$HW$6,BH$1+(Objects!$Y$4-$A31-1)*Objects!$X$4,0)</f>
        <v>0</v>
      </c>
      <c r="BI31">
        <f ca="1">OFFSET(Objects!$HW$6,BI$1+(Objects!$Y$4-$A31-1)*Objects!$X$4,0)</f>
        <v>0</v>
      </c>
      <c r="BJ31">
        <f ca="1">OFFSET(Objects!$HW$6,BJ$1+(Objects!$Y$4-$A31-1)*Objects!$X$4,0)</f>
        <v>0</v>
      </c>
      <c r="BK31">
        <f ca="1">OFFSET(Objects!$HW$6,BK$1+(Objects!$Y$4-$A31-1)*Objects!$X$4,0)</f>
        <v>0</v>
      </c>
      <c r="BL31">
        <f ca="1">OFFSET(Objects!$HW$6,BL$1+(Objects!$Y$4-$A31-1)*Objects!$X$4,0)</f>
        <v>0</v>
      </c>
      <c r="BM31">
        <f ca="1">OFFSET(Objects!$HW$6,BM$1+(Objects!$Y$4-$A31-1)*Objects!$X$4,0)</f>
        <v>0</v>
      </c>
      <c r="BN31">
        <f ca="1">OFFSET(Objects!$HW$6,BN$1+(Objects!$Y$4-$A31-1)*Objects!$X$4,0)</f>
        <v>0</v>
      </c>
      <c r="BO31">
        <f ca="1">OFFSET(Objects!$HW$6,BO$1+(Objects!$Y$4-$A31-1)*Objects!$X$4,0)</f>
        <v>0</v>
      </c>
      <c r="BP31">
        <f ca="1">OFFSET(Objects!$HW$6,BP$1+(Objects!$Y$4-$A31-1)*Objects!$X$4,0)</f>
        <v>0</v>
      </c>
      <c r="BQ31">
        <f ca="1">OFFSET(Objects!$HW$6,BQ$1+(Objects!$Y$4-$A31-1)*Objects!$X$4,0)</f>
        <v>0</v>
      </c>
      <c r="BR31">
        <f ca="1">OFFSET(Objects!$HW$6,BR$1+(Objects!$Y$4-$A31-1)*Objects!$X$4,0)</f>
        <v>0</v>
      </c>
      <c r="BS31">
        <f ca="1">OFFSET(Objects!$HW$6,BS$1+(Objects!$Y$4-$A31-1)*Objects!$X$4,0)</f>
        <v>0</v>
      </c>
      <c r="BT31">
        <f ca="1">OFFSET(Objects!$HW$6,BT$1+(Objects!$Y$4-$A31-1)*Objects!$X$4,0)</f>
        <v>0</v>
      </c>
      <c r="BU31">
        <f ca="1">OFFSET(Objects!$HW$6,BU$1+(Objects!$Y$4-$A31-1)*Objects!$X$4,0)</f>
        <v>0</v>
      </c>
      <c r="BV31">
        <f ca="1">OFFSET(Objects!$HW$6,BV$1+(Objects!$Y$4-$A31-1)*Objects!$X$4,0)</f>
        <v>0</v>
      </c>
      <c r="BW31">
        <f ca="1">OFFSET(Objects!$HW$6,BW$1+(Objects!$Y$4-$A31-1)*Objects!$X$4,0)</f>
        <v>0</v>
      </c>
      <c r="BX31">
        <f ca="1">OFFSET(Objects!$HW$6,BX$1+(Objects!$Y$4-$A31-1)*Objects!$X$4,0)</f>
        <v>0</v>
      </c>
      <c r="BY31">
        <f ca="1">OFFSET(Objects!$HW$6,BY$1+(Objects!$Y$4-$A31-1)*Objects!$X$4,0)</f>
        <v>0</v>
      </c>
      <c r="BZ31">
        <f ca="1">OFFSET(Objects!$HW$6,BZ$1+(Objects!$Y$4-$A31-1)*Objects!$X$4,0)</f>
        <v>0</v>
      </c>
      <c r="CA31">
        <f ca="1">OFFSET(Objects!$HW$6,CA$1+(Objects!$Y$4-$A31-1)*Objects!$X$4,0)</f>
        <v>0</v>
      </c>
      <c r="CB31">
        <f ca="1">OFFSET(Objects!$HW$6,CB$1+(Objects!$Y$4-$A31-1)*Objects!$X$4,0)</f>
        <v>0</v>
      </c>
      <c r="CC31">
        <f ca="1">OFFSET(Objects!$HW$6,CC$1+(Objects!$Y$4-$A31-1)*Objects!$X$4,0)</f>
        <v>0</v>
      </c>
      <c r="CD31">
        <f ca="1">OFFSET(Objects!$HW$6,CD$1+(Objects!$Y$4-$A31-1)*Objects!$X$4,0)</f>
        <v>0</v>
      </c>
      <c r="CE31">
        <f ca="1">OFFSET(Objects!$HW$6,CE$1+(Objects!$Y$4-$A31-1)*Objects!$X$4,0)</f>
        <v>0</v>
      </c>
      <c r="CF31">
        <f ca="1">OFFSET(Objects!$HW$6,CF$1+(Objects!$Y$4-$A31-1)*Objects!$X$4,0)</f>
        <v>0</v>
      </c>
      <c r="CG31">
        <f ca="1">OFFSET(Objects!$HW$6,CG$1+(Objects!$Y$4-$A31-1)*Objects!$X$4,0)</f>
        <v>0</v>
      </c>
      <c r="CH31">
        <f ca="1">OFFSET(Objects!$HW$6,CH$1+(Objects!$Y$4-$A31-1)*Objects!$X$4,0)</f>
        <v>0</v>
      </c>
      <c r="CI31">
        <f ca="1">OFFSET(Objects!$HW$6,CI$1+(Objects!$Y$4-$A31-1)*Objects!$X$4,0)</f>
        <v>0</v>
      </c>
      <c r="CJ31">
        <f ca="1">OFFSET(Objects!$HW$6,CJ$1+(Objects!$Y$4-$A31-1)*Objects!$X$4,0)</f>
        <v>0</v>
      </c>
      <c r="CK31">
        <f ca="1">OFFSET(Objects!$HW$6,CK$1+(Objects!$Y$4-$A31-1)*Objects!$X$4,0)</f>
        <v>0</v>
      </c>
      <c r="CL31">
        <f ca="1">OFFSET(Objects!$HW$6,CL$1+(Objects!$Y$4-$A31-1)*Objects!$X$4,0)</f>
        <v>0</v>
      </c>
      <c r="CM31">
        <f ca="1">OFFSET(Objects!$HW$6,CM$1+(Objects!$Y$4-$A31-1)*Objects!$X$4,0)</f>
        <v>0</v>
      </c>
      <c r="CN31">
        <f ca="1">OFFSET(Objects!$HW$6,CN$1+(Objects!$Y$4-$A31-1)*Objects!$X$4,0)</f>
        <v>0</v>
      </c>
      <c r="CO31">
        <f ca="1">OFFSET(Objects!$HW$6,CO$1+(Objects!$Y$4-$A31-1)*Objects!$X$4,0)</f>
        <v>0</v>
      </c>
      <c r="CP31">
        <f ca="1">OFFSET(Objects!$HW$6,CP$1+(Objects!$Y$4-$A31-1)*Objects!$X$4,0)</f>
        <v>0</v>
      </c>
      <c r="CQ31">
        <f ca="1">OFFSET(Objects!$HW$6,CQ$1+(Objects!$Y$4-$A31-1)*Objects!$X$4,0)</f>
        <v>0</v>
      </c>
      <c r="CR31">
        <f ca="1">OFFSET(Objects!$HW$6,CR$1+(Objects!$Y$4-$A31-1)*Objects!$X$4,0)</f>
        <v>0</v>
      </c>
      <c r="CS31">
        <f ca="1">OFFSET(Objects!$HW$6,CS$1+(Objects!$Y$4-$A31-1)*Objects!$X$4,0)</f>
        <v>0</v>
      </c>
      <c r="CT31">
        <f ca="1">OFFSET(Objects!$HW$6,CT$1+(Objects!$Y$4-$A31-1)*Objects!$X$4,0)</f>
        <v>0</v>
      </c>
      <c r="CU31">
        <f ca="1">OFFSET(Objects!$HW$6,CU$1+(Objects!$Y$4-$A31-1)*Objects!$X$4,0)</f>
        <v>0</v>
      </c>
      <c r="CV31">
        <f ca="1">OFFSET(Objects!$HW$6,CV$1+(Objects!$Y$4-$A31-1)*Objects!$X$4,0)</f>
        <v>0</v>
      </c>
      <c r="CW31">
        <f ca="1">OFFSET(Objects!$HW$6,CW$1+(Objects!$Y$4-$A31-1)*Objects!$X$4,0)</f>
        <v>0</v>
      </c>
      <c r="CX31">
        <f ca="1">OFFSET(Objects!$HW$6,CX$1+(Objects!$Y$4-$A31-1)*Objects!$X$4,0)</f>
        <v>0</v>
      </c>
      <c r="CY31">
        <f ca="1">OFFSET(Objects!$HW$6,CY$1+(Objects!$Y$4-$A31-1)*Objects!$X$4,0)</f>
        <v>0</v>
      </c>
      <c r="CZ31">
        <f ca="1">OFFSET(Objects!$HW$6,CZ$1+(Objects!$Y$4-$A31-1)*Objects!$X$4,0)</f>
        <v>0</v>
      </c>
      <c r="DA31">
        <f ca="1">OFFSET(Objects!$HW$6,DA$1+(Objects!$Y$4-$A31-1)*Objects!$X$4,0)</f>
        <v>0</v>
      </c>
      <c r="DB31">
        <f ca="1">OFFSET(Objects!$HW$6,DB$1+(Objects!$Y$4-$A31-1)*Objects!$X$4,0)</f>
        <v>0</v>
      </c>
      <c r="DC31">
        <f ca="1">OFFSET(Objects!$HW$6,DC$1+(Objects!$Y$4-$A31-1)*Objects!$X$4,0)</f>
        <v>0</v>
      </c>
      <c r="DD31">
        <f ca="1">OFFSET(Objects!$HW$6,DD$1+(Objects!$Y$4-$A31-1)*Objects!$X$4,0)</f>
        <v>0</v>
      </c>
      <c r="DE31">
        <f ca="1">OFFSET(Objects!$HW$6,DE$1+(Objects!$Y$4-$A31-1)*Objects!$X$4,0)</f>
        <v>0</v>
      </c>
      <c r="DF31">
        <f ca="1">OFFSET(Objects!$HW$6,DF$1+(Objects!$Y$4-$A31-1)*Objects!$X$4,0)</f>
        <v>0</v>
      </c>
      <c r="DG31">
        <f ca="1">OFFSET(Objects!$HW$6,DG$1+(Objects!$Y$4-$A31-1)*Objects!$X$4,0)</f>
        <v>0</v>
      </c>
      <c r="DH31">
        <f ca="1">OFFSET(Objects!$HW$6,DH$1+(Objects!$Y$4-$A31-1)*Objects!$X$4,0)</f>
        <v>0</v>
      </c>
      <c r="DI31">
        <f ca="1">OFFSET(Objects!$HW$6,DI$1+(Objects!$Y$4-$A31-1)*Objects!$X$4,0)</f>
        <v>0</v>
      </c>
      <c r="DJ31">
        <f ca="1">OFFSET(Objects!$HW$6,DJ$1+(Objects!$Y$4-$A31-1)*Objects!$X$4,0)</f>
        <v>0</v>
      </c>
      <c r="DK31">
        <f ca="1">OFFSET(Objects!$HW$6,DK$1+(Objects!$Y$4-$A31-1)*Objects!$X$4,0)</f>
        <v>0</v>
      </c>
      <c r="DL31">
        <f ca="1">OFFSET(Objects!$HW$6,DL$1+(Objects!$Y$4-$A31-1)*Objects!$X$4,0)</f>
        <v>0</v>
      </c>
      <c r="DM31">
        <f ca="1">OFFSET(Objects!$HW$6,DM$1+(Objects!$Y$4-$A31-1)*Objects!$X$4,0)</f>
        <v>0</v>
      </c>
      <c r="DN31">
        <f ca="1">OFFSET(Objects!$HW$6,DN$1+(Objects!$Y$4-$A31-1)*Objects!$X$4,0)</f>
        <v>0</v>
      </c>
      <c r="DO31">
        <f ca="1">OFFSET(Objects!$HW$6,DO$1+(Objects!$Y$4-$A31-1)*Objects!$X$4,0)</f>
        <v>0</v>
      </c>
      <c r="DP31">
        <f ca="1">OFFSET(Objects!$HW$6,DP$1+(Objects!$Y$4-$A31-1)*Objects!$X$4,0)</f>
        <v>0</v>
      </c>
      <c r="DQ31">
        <f ca="1">OFFSET(Objects!$HW$6,DQ$1+(Objects!$Y$4-$A31-1)*Objects!$X$4,0)</f>
        <v>0</v>
      </c>
      <c r="DR31">
        <f ca="1">OFFSET(Objects!$HW$6,DR$1+(Objects!$Y$4-$A31-1)*Objects!$X$4,0)</f>
        <v>0</v>
      </c>
      <c r="DS31">
        <f ca="1">OFFSET(Objects!$HW$6,DS$1+(Objects!$Y$4-$A31-1)*Objects!$X$4,0)</f>
        <v>0</v>
      </c>
      <c r="DT31">
        <f ca="1">OFFSET(Objects!$HW$6,DT$1+(Objects!$Y$4-$A31-1)*Objects!$X$4,0)</f>
        <v>0</v>
      </c>
      <c r="DU31">
        <f ca="1">OFFSET(Objects!$HW$6,DU$1+(Objects!$Y$4-$A31-1)*Objects!$X$4,0)</f>
        <v>0</v>
      </c>
      <c r="DV31">
        <f ca="1">OFFSET(Objects!$HW$6,DV$1+(Objects!$Y$4-$A31-1)*Objects!$X$4,0)</f>
        <v>0</v>
      </c>
      <c r="DW31">
        <f ca="1">OFFSET(Objects!$HW$6,DW$1+(Objects!$Y$4-$A31-1)*Objects!$X$4,0)</f>
        <v>0</v>
      </c>
      <c r="DX31">
        <f ca="1">OFFSET(Objects!$HW$6,DX$1+(Objects!$Y$4-$A31-1)*Objects!$X$4,0)</f>
        <v>0</v>
      </c>
      <c r="DY31">
        <f ca="1">OFFSET(Objects!$HW$6,DY$1+(Objects!$Y$4-$A31-1)*Objects!$X$4,0)</f>
        <v>0</v>
      </c>
      <c r="DZ31">
        <f ca="1">OFFSET(Objects!$HW$6,DZ$1+(Objects!$Y$4-$A31-1)*Objects!$X$4,0)</f>
        <v>0</v>
      </c>
      <c r="EA31">
        <f ca="1">OFFSET(Objects!$HW$6,EA$1+(Objects!$Y$4-$A31-1)*Objects!$X$4,0)</f>
        <v>0</v>
      </c>
      <c r="EB31">
        <f ca="1">OFFSET(Objects!$HW$6,EB$1+(Objects!$Y$4-$A31-1)*Objects!$X$4,0)</f>
        <v>0</v>
      </c>
      <c r="EC31">
        <f ca="1">OFFSET(Objects!$HW$6,EC$1+(Objects!$Y$4-$A31-1)*Objects!$X$4,0)</f>
        <v>0</v>
      </c>
      <c r="ED31">
        <f ca="1">OFFSET(Objects!$HW$6,ED$1+(Objects!$Y$4-$A31-1)*Objects!$X$4,0)</f>
        <v>0</v>
      </c>
      <c r="EE31">
        <f ca="1">OFFSET(Objects!$HW$6,EE$1+(Objects!$Y$4-$A31-1)*Objects!$X$4,0)</f>
        <v>0</v>
      </c>
      <c r="EF31">
        <f ca="1">OFFSET(Objects!$HW$6,EF$1+(Objects!$Y$4-$A31-1)*Objects!$X$4,0)</f>
        <v>0</v>
      </c>
      <c r="EG31">
        <f ca="1">OFFSET(Objects!$HW$6,EG$1+(Objects!$Y$4-$A31-1)*Objects!$X$4,0)</f>
        <v>0</v>
      </c>
      <c r="EH31">
        <f ca="1">OFFSET(Objects!$HW$6,EH$1+(Objects!$Y$4-$A31-1)*Objects!$X$4,0)</f>
        <v>0</v>
      </c>
      <c r="EI31">
        <f ca="1">OFFSET(Objects!$HW$6,EI$1+(Objects!$Y$4-$A31-1)*Objects!$X$4,0)</f>
        <v>0</v>
      </c>
      <c r="EJ31">
        <f ca="1">OFFSET(Objects!$HW$6,EJ$1+(Objects!$Y$4-$A31-1)*Objects!$X$4,0)</f>
        <v>0</v>
      </c>
      <c r="EK31">
        <f ca="1">OFFSET(Objects!$HW$6,EK$1+(Objects!$Y$4-$A31-1)*Objects!$X$4,0)</f>
        <v>0</v>
      </c>
      <c r="EL31">
        <f ca="1">OFFSET(Objects!$HW$6,EL$1+(Objects!$Y$4-$A31-1)*Objects!$X$4,0)</f>
        <v>0</v>
      </c>
      <c r="EM31">
        <f ca="1">OFFSET(Objects!$HW$6,EM$1+(Objects!$Y$4-$A31-1)*Objects!$X$4,0)</f>
        <v>0</v>
      </c>
      <c r="EN31">
        <f ca="1">OFFSET(Objects!$HW$6,EN$1+(Objects!$Y$4-$A31-1)*Objects!$X$4,0)</f>
        <v>0</v>
      </c>
      <c r="EO31">
        <f ca="1">OFFSET(Objects!$HW$6,EO$1+(Objects!$Y$4-$A31-1)*Objects!$X$4,0)</f>
        <v>0</v>
      </c>
      <c r="EP31">
        <f ca="1">OFFSET(Objects!$HW$6,EP$1+(Objects!$Y$4-$A31-1)*Objects!$X$4,0)</f>
        <v>0</v>
      </c>
      <c r="EQ31">
        <f ca="1">OFFSET(Objects!$HW$6,EQ$1+(Objects!$Y$4-$A31-1)*Objects!$X$4,0)</f>
        <v>0</v>
      </c>
      <c r="ER31">
        <f ca="1">OFFSET(Objects!$HW$6,ER$1+(Objects!$Y$4-$A31-1)*Objects!$X$4,0)</f>
        <v>0</v>
      </c>
      <c r="ES31">
        <f ca="1">OFFSET(Objects!$HW$6,ES$1+(Objects!$Y$4-$A31-1)*Objects!$X$4,0)</f>
        <v>0</v>
      </c>
      <c r="ET31">
        <f ca="1">OFFSET(Objects!$HW$6,ET$1+(Objects!$Y$4-$A31-1)*Objects!$X$4,0)</f>
        <v>0</v>
      </c>
      <c r="EU31">
        <f ca="1">OFFSET(Objects!$HW$6,EU$1+(Objects!$Y$4-$A31-1)*Objects!$X$4,0)</f>
        <v>0</v>
      </c>
      <c r="EV31">
        <f ca="1">OFFSET(Objects!$HW$6,EV$1+(Objects!$Y$4-$A31-1)*Objects!$X$4,0)</f>
        <v>0</v>
      </c>
      <c r="EW31">
        <f ca="1">OFFSET(Objects!$HW$6,EW$1+(Objects!$Y$4-$A31-1)*Objects!$X$4,0)</f>
        <v>0</v>
      </c>
      <c r="EX31">
        <f ca="1">OFFSET(Objects!$HW$6,EX$1+(Objects!$Y$4-$A31-1)*Objects!$X$4,0)</f>
        <v>0</v>
      </c>
      <c r="EY31">
        <f ca="1">OFFSET(Objects!$HW$6,EY$1+(Objects!$Y$4-$A31-1)*Objects!$X$4,0)</f>
        <v>0</v>
      </c>
      <c r="EZ31">
        <f ca="1">OFFSET(Objects!$HW$6,EZ$1+(Objects!$Y$4-$A31-1)*Objects!$X$4,0)</f>
        <v>0</v>
      </c>
      <c r="FA31">
        <f ca="1">OFFSET(Objects!$HW$6,FA$1+(Objects!$Y$4-$A31-1)*Objects!$X$4,0)</f>
        <v>0</v>
      </c>
      <c r="FB31">
        <f ca="1">OFFSET(Objects!$HW$6,FB$1+(Objects!$Y$4-$A31-1)*Objects!$X$4,0)</f>
        <v>0</v>
      </c>
      <c r="FC31">
        <f ca="1">OFFSET(Objects!$HW$6,FC$1+(Objects!$Y$4-$A31-1)*Objects!$X$4,0)</f>
        <v>0</v>
      </c>
      <c r="FD31">
        <f ca="1">OFFSET(Objects!$HW$6,FD$1+(Objects!$Y$4-$A31-1)*Objects!$X$4,0)</f>
        <v>0</v>
      </c>
      <c r="FE31" s="22">
        <f ca="1">OFFSET(Objects!$HW$6,FE$1+(Objects!$Y$4-$A31-1)*Objects!$X$4,0)</f>
        <v>0</v>
      </c>
    </row>
    <row r="32" spans="1:161" ht="4.5" customHeight="1" x14ac:dyDescent="0.25">
      <c r="A32">
        <v>30</v>
      </c>
      <c r="B32" s="21">
        <f ca="1">OFFSET(Objects!$HW$6,B$1+(Objects!$Y$4-$A32-1)*Objects!$X$4,0)</f>
        <v>0</v>
      </c>
      <c r="C32">
        <f ca="1">OFFSET(Objects!$HW$6,C$1+(Objects!$Y$4-$A32-1)*Objects!$X$4,0)</f>
        <v>0</v>
      </c>
      <c r="D32">
        <f ca="1">OFFSET(Objects!$HW$6,D$1+(Objects!$Y$4-$A32-1)*Objects!$X$4,0)</f>
        <v>0</v>
      </c>
      <c r="E32">
        <f ca="1">OFFSET(Objects!$HW$6,E$1+(Objects!$Y$4-$A32-1)*Objects!$X$4,0)</f>
        <v>0</v>
      </c>
      <c r="F32">
        <f ca="1">OFFSET(Objects!$HW$6,F$1+(Objects!$Y$4-$A32-1)*Objects!$X$4,0)</f>
        <v>0</v>
      </c>
      <c r="G32">
        <f ca="1">OFFSET(Objects!$HW$6,G$1+(Objects!$Y$4-$A32-1)*Objects!$X$4,0)</f>
        <v>0</v>
      </c>
      <c r="H32">
        <f ca="1">OFFSET(Objects!$HW$6,H$1+(Objects!$Y$4-$A32-1)*Objects!$X$4,0)</f>
        <v>0</v>
      </c>
      <c r="I32">
        <f ca="1">OFFSET(Objects!$HW$6,I$1+(Objects!$Y$4-$A32-1)*Objects!$X$4,0)</f>
        <v>0</v>
      </c>
      <c r="J32">
        <f ca="1">OFFSET(Objects!$HW$6,J$1+(Objects!$Y$4-$A32-1)*Objects!$X$4,0)</f>
        <v>0</v>
      </c>
      <c r="K32">
        <f ca="1">OFFSET(Objects!$HW$6,K$1+(Objects!$Y$4-$A32-1)*Objects!$X$4,0)</f>
        <v>0</v>
      </c>
      <c r="L32">
        <f ca="1">OFFSET(Objects!$HW$6,L$1+(Objects!$Y$4-$A32-1)*Objects!$X$4,0)</f>
        <v>0</v>
      </c>
      <c r="M32">
        <f ca="1">OFFSET(Objects!$HW$6,M$1+(Objects!$Y$4-$A32-1)*Objects!$X$4,0)</f>
        <v>0</v>
      </c>
      <c r="N32">
        <f ca="1">OFFSET(Objects!$HW$6,N$1+(Objects!$Y$4-$A32-1)*Objects!$X$4,0)</f>
        <v>0</v>
      </c>
      <c r="O32">
        <f ca="1">OFFSET(Objects!$HW$6,O$1+(Objects!$Y$4-$A32-1)*Objects!$X$4,0)</f>
        <v>0</v>
      </c>
      <c r="P32">
        <f ca="1">OFFSET(Objects!$HW$6,P$1+(Objects!$Y$4-$A32-1)*Objects!$X$4,0)</f>
        <v>0</v>
      </c>
      <c r="Q32">
        <f ca="1">OFFSET(Objects!$HW$6,Q$1+(Objects!$Y$4-$A32-1)*Objects!$X$4,0)</f>
        <v>0</v>
      </c>
      <c r="R32">
        <f ca="1">OFFSET(Objects!$HW$6,R$1+(Objects!$Y$4-$A32-1)*Objects!$X$4,0)</f>
        <v>0</v>
      </c>
      <c r="S32">
        <f ca="1">OFFSET(Objects!$HW$6,S$1+(Objects!$Y$4-$A32-1)*Objects!$X$4,0)</f>
        <v>0</v>
      </c>
      <c r="T32">
        <f ca="1">OFFSET(Objects!$HW$6,T$1+(Objects!$Y$4-$A32-1)*Objects!$X$4,0)</f>
        <v>0</v>
      </c>
      <c r="U32">
        <f ca="1">OFFSET(Objects!$HW$6,U$1+(Objects!$Y$4-$A32-1)*Objects!$X$4,0)</f>
        <v>0</v>
      </c>
      <c r="V32">
        <f ca="1">OFFSET(Objects!$HW$6,V$1+(Objects!$Y$4-$A32-1)*Objects!$X$4,0)</f>
        <v>0</v>
      </c>
      <c r="W32">
        <f ca="1">OFFSET(Objects!$HW$6,W$1+(Objects!$Y$4-$A32-1)*Objects!$X$4,0)</f>
        <v>0</v>
      </c>
      <c r="X32">
        <f ca="1">OFFSET(Objects!$HW$6,X$1+(Objects!$Y$4-$A32-1)*Objects!$X$4,0)</f>
        <v>0</v>
      </c>
      <c r="Y32">
        <f ca="1">OFFSET(Objects!$HW$6,Y$1+(Objects!$Y$4-$A32-1)*Objects!$X$4,0)</f>
        <v>0</v>
      </c>
      <c r="Z32">
        <f ca="1">OFFSET(Objects!$HW$6,Z$1+(Objects!$Y$4-$A32-1)*Objects!$X$4,0)</f>
        <v>0</v>
      </c>
      <c r="AA32">
        <f ca="1">OFFSET(Objects!$HW$6,AA$1+(Objects!$Y$4-$A32-1)*Objects!$X$4,0)</f>
        <v>0</v>
      </c>
      <c r="AB32">
        <f ca="1">OFFSET(Objects!$HW$6,AB$1+(Objects!$Y$4-$A32-1)*Objects!$X$4,0)</f>
        <v>0</v>
      </c>
      <c r="AC32">
        <f ca="1">OFFSET(Objects!$HW$6,AC$1+(Objects!$Y$4-$A32-1)*Objects!$X$4,0)</f>
        <v>0</v>
      </c>
      <c r="AD32">
        <f ca="1">OFFSET(Objects!$HW$6,AD$1+(Objects!$Y$4-$A32-1)*Objects!$X$4,0)</f>
        <v>0</v>
      </c>
      <c r="AE32">
        <f ca="1">OFFSET(Objects!$HW$6,AE$1+(Objects!$Y$4-$A32-1)*Objects!$X$4,0)</f>
        <v>0</v>
      </c>
      <c r="AF32">
        <f ca="1">OFFSET(Objects!$HW$6,AF$1+(Objects!$Y$4-$A32-1)*Objects!$X$4,0)</f>
        <v>0</v>
      </c>
      <c r="AG32">
        <f ca="1">OFFSET(Objects!$HW$6,AG$1+(Objects!$Y$4-$A32-1)*Objects!$X$4,0)</f>
        <v>0</v>
      </c>
      <c r="AH32">
        <f ca="1">OFFSET(Objects!$HW$6,AH$1+(Objects!$Y$4-$A32-1)*Objects!$X$4,0)</f>
        <v>0</v>
      </c>
      <c r="AI32">
        <f ca="1">OFFSET(Objects!$HW$6,AI$1+(Objects!$Y$4-$A32-1)*Objects!$X$4,0)</f>
        <v>0</v>
      </c>
      <c r="AJ32">
        <f ca="1">OFFSET(Objects!$HW$6,AJ$1+(Objects!$Y$4-$A32-1)*Objects!$X$4,0)</f>
        <v>0</v>
      </c>
      <c r="AK32">
        <f ca="1">OFFSET(Objects!$HW$6,AK$1+(Objects!$Y$4-$A32-1)*Objects!$X$4,0)</f>
        <v>0</v>
      </c>
      <c r="AL32">
        <f ca="1">OFFSET(Objects!$HW$6,AL$1+(Objects!$Y$4-$A32-1)*Objects!$X$4,0)</f>
        <v>0</v>
      </c>
      <c r="AM32">
        <f ca="1">OFFSET(Objects!$HW$6,AM$1+(Objects!$Y$4-$A32-1)*Objects!$X$4,0)</f>
        <v>0</v>
      </c>
      <c r="AN32">
        <f ca="1">OFFSET(Objects!$HW$6,AN$1+(Objects!$Y$4-$A32-1)*Objects!$X$4,0)</f>
        <v>0</v>
      </c>
      <c r="AO32">
        <f ca="1">OFFSET(Objects!$HW$6,AO$1+(Objects!$Y$4-$A32-1)*Objects!$X$4,0)</f>
        <v>0</v>
      </c>
      <c r="AP32">
        <f ca="1">OFFSET(Objects!$HW$6,AP$1+(Objects!$Y$4-$A32-1)*Objects!$X$4,0)</f>
        <v>0</v>
      </c>
      <c r="AQ32">
        <f ca="1">OFFSET(Objects!$HW$6,AQ$1+(Objects!$Y$4-$A32-1)*Objects!$X$4,0)</f>
        <v>0</v>
      </c>
      <c r="AR32">
        <f ca="1">OFFSET(Objects!$HW$6,AR$1+(Objects!$Y$4-$A32-1)*Objects!$X$4,0)</f>
        <v>0</v>
      </c>
      <c r="AS32">
        <f ca="1">OFFSET(Objects!$HW$6,AS$1+(Objects!$Y$4-$A32-1)*Objects!$X$4,0)</f>
        <v>0</v>
      </c>
      <c r="AT32">
        <f ca="1">OFFSET(Objects!$HW$6,AT$1+(Objects!$Y$4-$A32-1)*Objects!$X$4,0)</f>
        <v>0</v>
      </c>
      <c r="AU32">
        <f ca="1">OFFSET(Objects!$HW$6,AU$1+(Objects!$Y$4-$A32-1)*Objects!$X$4,0)</f>
        <v>0</v>
      </c>
      <c r="AV32">
        <f ca="1">OFFSET(Objects!$HW$6,AV$1+(Objects!$Y$4-$A32-1)*Objects!$X$4,0)</f>
        <v>0</v>
      </c>
      <c r="AW32">
        <f ca="1">OFFSET(Objects!$HW$6,AW$1+(Objects!$Y$4-$A32-1)*Objects!$X$4,0)</f>
        <v>0</v>
      </c>
      <c r="AX32">
        <f ca="1">OFFSET(Objects!$HW$6,AX$1+(Objects!$Y$4-$A32-1)*Objects!$X$4,0)</f>
        <v>0</v>
      </c>
      <c r="AY32">
        <f ca="1">OFFSET(Objects!$HW$6,AY$1+(Objects!$Y$4-$A32-1)*Objects!$X$4,0)</f>
        <v>0</v>
      </c>
      <c r="AZ32">
        <f ca="1">OFFSET(Objects!$HW$6,AZ$1+(Objects!$Y$4-$A32-1)*Objects!$X$4,0)</f>
        <v>0</v>
      </c>
      <c r="BA32">
        <f ca="1">OFFSET(Objects!$HW$6,BA$1+(Objects!$Y$4-$A32-1)*Objects!$X$4,0)</f>
        <v>0</v>
      </c>
      <c r="BB32">
        <f ca="1">OFFSET(Objects!$HW$6,BB$1+(Objects!$Y$4-$A32-1)*Objects!$X$4,0)</f>
        <v>0</v>
      </c>
      <c r="BC32">
        <f ca="1">OFFSET(Objects!$HW$6,BC$1+(Objects!$Y$4-$A32-1)*Objects!$X$4,0)</f>
        <v>0</v>
      </c>
      <c r="BD32">
        <f ca="1">OFFSET(Objects!$HW$6,BD$1+(Objects!$Y$4-$A32-1)*Objects!$X$4,0)</f>
        <v>0</v>
      </c>
      <c r="BE32">
        <f ca="1">OFFSET(Objects!$HW$6,BE$1+(Objects!$Y$4-$A32-1)*Objects!$X$4,0)</f>
        <v>0</v>
      </c>
      <c r="BF32">
        <f ca="1">OFFSET(Objects!$HW$6,BF$1+(Objects!$Y$4-$A32-1)*Objects!$X$4,0)</f>
        <v>0</v>
      </c>
      <c r="BG32">
        <f ca="1">OFFSET(Objects!$HW$6,BG$1+(Objects!$Y$4-$A32-1)*Objects!$X$4,0)</f>
        <v>0</v>
      </c>
      <c r="BH32">
        <f ca="1">OFFSET(Objects!$HW$6,BH$1+(Objects!$Y$4-$A32-1)*Objects!$X$4,0)</f>
        <v>0</v>
      </c>
      <c r="BI32">
        <f ca="1">OFFSET(Objects!$HW$6,BI$1+(Objects!$Y$4-$A32-1)*Objects!$X$4,0)</f>
        <v>0</v>
      </c>
      <c r="BJ32">
        <f ca="1">OFFSET(Objects!$HW$6,BJ$1+(Objects!$Y$4-$A32-1)*Objects!$X$4,0)</f>
        <v>0</v>
      </c>
      <c r="BK32">
        <f ca="1">OFFSET(Objects!$HW$6,BK$1+(Objects!$Y$4-$A32-1)*Objects!$X$4,0)</f>
        <v>0</v>
      </c>
      <c r="BL32">
        <f ca="1">OFFSET(Objects!$HW$6,BL$1+(Objects!$Y$4-$A32-1)*Objects!$X$4,0)</f>
        <v>0</v>
      </c>
      <c r="BM32">
        <f ca="1">OFFSET(Objects!$HW$6,BM$1+(Objects!$Y$4-$A32-1)*Objects!$X$4,0)</f>
        <v>0</v>
      </c>
      <c r="BN32">
        <f ca="1">OFFSET(Objects!$HW$6,BN$1+(Objects!$Y$4-$A32-1)*Objects!$X$4,0)</f>
        <v>0</v>
      </c>
      <c r="BO32">
        <f ca="1">OFFSET(Objects!$HW$6,BO$1+(Objects!$Y$4-$A32-1)*Objects!$X$4,0)</f>
        <v>0</v>
      </c>
      <c r="BP32">
        <f ca="1">OFFSET(Objects!$HW$6,BP$1+(Objects!$Y$4-$A32-1)*Objects!$X$4,0)</f>
        <v>0</v>
      </c>
      <c r="BQ32">
        <f ca="1">OFFSET(Objects!$HW$6,BQ$1+(Objects!$Y$4-$A32-1)*Objects!$X$4,0)</f>
        <v>0</v>
      </c>
      <c r="BR32">
        <f ca="1">OFFSET(Objects!$HW$6,BR$1+(Objects!$Y$4-$A32-1)*Objects!$X$4,0)</f>
        <v>0</v>
      </c>
      <c r="BS32">
        <f ca="1">OFFSET(Objects!$HW$6,BS$1+(Objects!$Y$4-$A32-1)*Objects!$X$4,0)</f>
        <v>0</v>
      </c>
      <c r="BT32">
        <f ca="1">OFFSET(Objects!$HW$6,BT$1+(Objects!$Y$4-$A32-1)*Objects!$X$4,0)</f>
        <v>0</v>
      </c>
      <c r="BU32">
        <f ca="1">OFFSET(Objects!$HW$6,BU$1+(Objects!$Y$4-$A32-1)*Objects!$X$4,0)</f>
        <v>0</v>
      </c>
      <c r="BV32">
        <f ca="1">OFFSET(Objects!$HW$6,BV$1+(Objects!$Y$4-$A32-1)*Objects!$X$4,0)</f>
        <v>0</v>
      </c>
      <c r="BW32">
        <f ca="1">OFFSET(Objects!$HW$6,BW$1+(Objects!$Y$4-$A32-1)*Objects!$X$4,0)</f>
        <v>0</v>
      </c>
      <c r="BX32">
        <f ca="1">OFFSET(Objects!$HW$6,BX$1+(Objects!$Y$4-$A32-1)*Objects!$X$4,0)</f>
        <v>0</v>
      </c>
      <c r="BY32">
        <f ca="1">OFFSET(Objects!$HW$6,BY$1+(Objects!$Y$4-$A32-1)*Objects!$X$4,0)</f>
        <v>0</v>
      </c>
      <c r="BZ32">
        <f ca="1">OFFSET(Objects!$HW$6,BZ$1+(Objects!$Y$4-$A32-1)*Objects!$X$4,0)</f>
        <v>0</v>
      </c>
      <c r="CA32">
        <f ca="1">OFFSET(Objects!$HW$6,CA$1+(Objects!$Y$4-$A32-1)*Objects!$X$4,0)</f>
        <v>0</v>
      </c>
      <c r="CB32">
        <f ca="1">OFFSET(Objects!$HW$6,CB$1+(Objects!$Y$4-$A32-1)*Objects!$X$4,0)</f>
        <v>0</v>
      </c>
      <c r="CC32">
        <f ca="1">OFFSET(Objects!$HW$6,CC$1+(Objects!$Y$4-$A32-1)*Objects!$X$4,0)</f>
        <v>0</v>
      </c>
      <c r="CD32">
        <f ca="1">OFFSET(Objects!$HW$6,CD$1+(Objects!$Y$4-$A32-1)*Objects!$X$4,0)</f>
        <v>0</v>
      </c>
      <c r="CE32">
        <f ca="1">OFFSET(Objects!$HW$6,CE$1+(Objects!$Y$4-$A32-1)*Objects!$X$4,0)</f>
        <v>0</v>
      </c>
      <c r="CF32">
        <f ca="1">OFFSET(Objects!$HW$6,CF$1+(Objects!$Y$4-$A32-1)*Objects!$X$4,0)</f>
        <v>0</v>
      </c>
      <c r="CG32">
        <f ca="1">OFFSET(Objects!$HW$6,CG$1+(Objects!$Y$4-$A32-1)*Objects!$X$4,0)</f>
        <v>0</v>
      </c>
      <c r="CH32">
        <f ca="1">OFFSET(Objects!$HW$6,CH$1+(Objects!$Y$4-$A32-1)*Objects!$X$4,0)</f>
        <v>0</v>
      </c>
      <c r="CI32">
        <f ca="1">OFFSET(Objects!$HW$6,CI$1+(Objects!$Y$4-$A32-1)*Objects!$X$4,0)</f>
        <v>0</v>
      </c>
      <c r="CJ32">
        <f ca="1">OFFSET(Objects!$HW$6,CJ$1+(Objects!$Y$4-$A32-1)*Objects!$X$4,0)</f>
        <v>0</v>
      </c>
      <c r="CK32">
        <f ca="1">OFFSET(Objects!$HW$6,CK$1+(Objects!$Y$4-$A32-1)*Objects!$X$4,0)</f>
        <v>0</v>
      </c>
      <c r="CL32">
        <f ca="1">OFFSET(Objects!$HW$6,CL$1+(Objects!$Y$4-$A32-1)*Objects!$X$4,0)</f>
        <v>0</v>
      </c>
      <c r="CM32">
        <f ca="1">OFFSET(Objects!$HW$6,CM$1+(Objects!$Y$4-$A32-1)*Objects!$X$4,0)</f>
        <v>0</v>
      </c>
      <c r="CN32">
        <f ca="1">OFFSET(Objects!$HW$6,CN$1+(Objects!$Y$4-$A32-1)*Objects!$X$4,0)</f>
        <v>0</v>
      </c>
      <c r="CO32">
        <f ca="1">OFFSET(Objects!$HW$6,CO$1+(Objects!$Y$4-$A32-1)*Objects!$X$4,0)</f>
        <v>0</v>
      </c>
      <c r="CP32">
        <f ca="1">OFFSET(Objects!$HW$6,CP$1+(Objects!$Y$4-$A32-1)*Objects!$X$4,0)</f>
        <v>0</v>
      </c>
      <c r="CQ32">
        <f ca="1">OFFSET(Objects!$HW$6,CQ$1+(Objects!$Y$4-$A32-1)*Objects!$X$4,0)</f>
        <v>0</v>
      </c>
      <c r="CR32">
        <f ca="1">OFFSET(Objects!$HW$6,CR$1+(Objects!$Y$4-$A32-1)*Objects!$X$4,0)</f>
        <v>0</v>
      </c>
      <c r="CS32">
        <f ca="1">OFFSET(Objects!$HW$6,CS$1+(Objects!$Y$4-$A32-1)*Objects!$X$4,0)</f>
        <v>0</v>
      </c>
      <c r="CT32">
        <f ca="1">OFFSET(Objects!$HW$6,CT$1+(Objects!$Y$4-$A32-1)*Objects!$X$4,0)</f>
        <v>0</v>
      </c>
      <c r="CU32">
        <f ca="1">OFFSET(Objects!$HW$6,CU$1+(Objects!$Y$4-$A32-1)*Objects!$X$4,0)</f>
        <v>0</v>
      </c>
      <c r="CV32">
        <f ca="1">OFFSET(Objects!$HW$6,CV$1+(Objects!$Y$4-$A32-1)*Objects!$X$4,0)</f>
        <v>0</v>
      </c>
      <c r="CW32">
        <f ca="1">OFFSET(Objects!$HW$6,CW$1+(Objects!$Y$4-$A32-1)*Objects!$X$4,0)</f>
        <v>0</v>
      </c>
      <c r="CX32">
        <f ca="1">OFFSET(Objects!$HW$6,CX$1+(Objects!$Y$4-$A32-1)*Objects!$X$4,0)</f>
        <v>0</v>
      </c>
      <c r="CY32">
        <f ca="1">OFFSET(Objects!$HW$6,CY$1+(Objects!$Y$4-$A32-1)*Objects!$X$4,0)</f>
        <v>0</v>
      </c>
      <c r="CZ32">
        <f ca="1">OFFSET(Objects!$HW$6,CZ$1+(Objects!$Y$4-$A32-1)*Objects!$X$4,0)</f>
        <v>0</v>
      </c>
      <c r="DA32">
        <f ca="1">OFFSET(Objects!$HW$6,DA$1+(Objects!$Y$4-$A32-1)*Objects!$X$4,0)</f>
        <v>0</v>
      </c>
      <c r="DB32">
        <f ca="1">OFFSET(Objects!$HW$6,DB$1+(Objects!$Y$4-$A32-1)*Objects!$X$4,0)</f>
        <v>0</v>
      </c>
      <c r="DC32">
        <f ca="1">OFFSET(Objects!$HW$6,DC$1+(Objects!$Y$4-$A32-1)*Objects!$X$4,0)</f>
        <v>0</v>
      </c>
      <c r="DD32">
        <f ca="1">OFFSET(Objects!$HW$6,DD$1+(Objects!$Y$4-$A32-1)*Objects!$X$4,0)</f>
        <v>0</v>
      </c>
      <c r="DE32">
        <f ca="1">OFFSET(Objects!$HW$6,DE$1+(Objects!$Y$4-$A32-1)*Objects!$X$4,0)</f>
        <v>0</v>
      </c>
      <c r="DF32">
        <f ca="1">OFFSET(Objects!$HW$6,DF$1+(Objects!$Y$4-$A32-1)*Objects!$X$4,0)</f>
        <v>0</v>
      </c>
      <c r="DG32">
        <f ca="1">OFFSET(Objects!$HW$6,DG$1+(Objects!$Y$4-$A32-1)*Objects!$X$4,0)</f>
        <v>0</v>
      </c>
      <c r="DH32">
        <f ca="1">OFFSET(Objects!$HW$6,DH$1+(Objects!$Y$4-$A32-1)*Objects!$X$4,0)</f>
        <v>0</v>
      </c>
      <c r="DI32">
        <f ca="1">OFFSET(Objects!$HW$6,DI$1+(Objects!$Y$4-$A32-1)*Objects!$X$4,0)</f>
        <v>0</v>
      </c>
      <c r="DJ32">
        <f ca="1">OFFSET(Objects!$HW$6,DJ$1+(Objects!$Y$4-$A32-1)*Objects!$X$4,0)</f>
        <v>0</v>
      </c>
      <c r="DK32">
        <f ca="1">OFFSET(Objects!$HW$6,DK$1+(Objects!$Y$4-$A32-1)*Objects!$X$4,0)</f>
        <v>0</v>
      </c>
      <c r="DL32">
        <f ca="1">OFFSET(Objects!$HW$6,DL$1+(Objects!$Y$4-$A32-1)*Objects!$X$4,0)</f>
        <v>0</v>
      </c>
      <c r="DM32">
        <f ca="1">OFFSET(Objects!$HW$6,DM$1+(Objects!$Y$4-$A32-1)*Objects!$X$4,0)</f>
        <v>0</v>
      </c>
      <c r="DN32">
        <f ca="1">OFFSET(Objects!$HW$6,DN$1+(Objects!$Y$4-$A32-1)*Objects!$X$4,0)</f>
        <v>0</v>
      </c>
      <c r="DO32">
        <f ca="1">OFFSET(Objects!$HW$6,DO$1+(Objects!$Y$4-$A32-1)*Objects!$X$4,0)</f>
        <v>0</v>
      </c>
      <c r="DP32">
        <f ca="1">OFFSET(Objects!$HW$6,DP$1+(Objects!$Y$4-$A32-1)*Objects!$X$4,0)</f>
        <v>0</v>
      </c>
      <c r="DQ32">
        <f ca="1">OFFSET(Objects!$HW$6,DQ$1+(Objects!$Y$4-$A32-1)*Objects!$X$4,0)</f>
        <v>0</v>
      </c>
      <c r="DR32">
        <f ca="1">OFFSET(Objects!$HW$6,DR$1+(Objects!$Y$4-$A32-1)*Objects!$X$4,0)</f>
        <v>0</v>
      </c>
      <c r="DS32">
        <f ca="1">OFFSET(Objects!$HW$6,DS$1+(Objects!$Y$4-$A32-1)*Objects!$X$4,0)</f>
        <v>0</v>
      </c>
      <c r="DT32">
        <f ca="1">OFFSET(Objects!$HW$6,DT$1+(Objects!$Y$4-$A32-1)*Objects!$X$4,0)</f>
        <v>0</v>
      </c>
      <c r="DU32">
        <f ca="1">OFFSET(Objects!$HW$6,DU$1+(Objects!$Y$4-$A32-1)*Objects!$X$4,0)</f>
        <v>0</v>
      </c>
      <c r="DV32">
        <f ca="1">OFFSET(Objects!$HW$6,DV$1+(Objects!$Y$4-$A32-1)*Objects!$X$4,0)</f>
        <v>0</v>
      </c>
      <c r="DW32">
        <f ca="1">OFFSET(Objects!$HW$6,DW$1+(Objects!$Y$4-$A32-1)*Objects!$X$4,0)</f>
        <v>0</v>
      </c>
      <c r="DX32">
        <f ca="1">OFFSET(Objects!$HW$6,DX$1+(Objects!$Y$4-$A32-1)*Objects!$X$4,0)</f>
        <v>0</v>
      </c>
      <c r="DY32">
        <f ca="1">OFFSET(Objects!$HW$6,DY$1+(Objects!$Y$4-$A32-1)*Objects!$X$4,0)</f>
        <v>0</v>
      </c>
      <c r="DZ32">
        <f ca="1">OFFSET(Objects!$HW$6,DZ$1+(Objects!$Y$4-$A32-1)*Objects!$X$4,0)</f>
        <v>0</v>
      </c>
      <c r="EA32">
        <f ca="1">OFFSET(Objects!$HW$6,EA$1+(Objects!$Y$4-$A32-1)*Objects!$X$4,0)</f>
        <v>0</v>
      </c>
      <c r="EB32">
        <f ca="1">OFFSET(Objects!$HW$6,EB$1+(Objects!$Y$4-$A32-1)*Objects!$X$4,0)</f>
        <v>0</v>
      </c>
      <c r="EC32">
        <f ca="1">OFFSET(Objects!$HW$6,EC$1+(Objects!$Y$4-$A32-1)*Objects!$X$4,0)</f>
        <v>0</v>
      </c>
      <c r="ED32">
        <f ca="1">OFFSET(Objects!$HW$6,ED$1+(Objects!$Y$4-$A32-1)*Objects!$X$4,0)</f>
        <v>0</v>
      </c>
      <c r="EE32">
        <f ca="1">OFFSET(Objects!$HW$6,EE$1+(Objects!$Y$4-$A32-1)*Objects!$X$4,0)</f>
        <v>0</v>
      </c>
      <c r="EF32">
        <f ca="1">OFFSET(Objects!$HW$6,EF$1+(Objects!$Y$4-$A32-1)*Objects!$X$4,0)</f>
        <v>0</v>
      </c>
      <c r="EG32">
        <f ca="1">OFFSET(Objects!$HW$6,EG$1+(Objects!$Y$4-$A32-1)*Objects!$X$4,0)</f>
        <v>0</v>
      </c>
      <c r="EH32">
        <f ca="1">OFFSET(Objects!$HW$6,EH$1+(Objects!$Y$4-$A32-1)*Objects!$X$4,0)</f>
        <v>0</v>
      </c>
      <c r="EI32">
        <f ca="1">OFFSET(Objects!$HW$6,EI$1+(Objects!$Y$4-$A32-1)*Objects!$X$4,0)</f>
        <v>0</v>
      </c>
      <c r="EJ32">
        <f ca="1">OFFSET(Objects!$HW$6,EJ$1+(Objects!$Y$4-$A32-1)*Objects!$X$4,0)</f>
        <v>0</v>
      </c>
      <c r="EK32">
        <f ca="1">OFFSET(Objects!$HW$6,EK$1+(Objects!$Y$4-$A32-1)*Objects!$X$4,0)</f>
        <v>0</v>
      </c>
      <c r="EL32">
        <f ca="1">OFFSET(Objects!$HW$6,EL$1+(Objects!$Y$4-$A32-1)*Objects!$X$4,0)</f>
        <v>0</v>
      </c>
      <c r="EM32">
        <f ca="1">OFFSET(Objects!$HW$6,EM$1+(Objects!$Y$4-$A32-1)*Objects!$X$4,0)</f>
        <v>0</v>
      </c>
      <c r="EN32">
        <f ca="1">OFFSET(Objects!$HW$6,EN$1+(Objects!$Y$4-$A32-1)*Objects!$X$4,0)</f>
        <v>0</v>
      </c>
      <c r="EO32">
        <f ca="1">OFFSET(Objects!$HW$6,EO$1+(Objects!$Y$4-$A32-1)*Objects!$X$4,0)</f>
        <v>0</v>
      </c>
      <c r="EP32">
        <f ca="1">OFFSET(Objects!$HW$6,EP$1+(Objects!$Y$4-$A32-1)*Objects!$X$4,0)</f>
        <v>0</v>
      </c>
      <c r="EQ32">
        <f ca="1">OFFSET(Objects!$HW$6,EQ$1+(Objects!$Y$4-$A32-1)*Objects!$X$4,0)</f>
        <v>0</v>
      </c>
      <c r="ER32">
        <f ca="1">OFFSET(Objects!$HW$6,ER$1+(Objects!$Y$4-$A32-1)*Objects!$X$4,0)</f>
        <v>0</v>
      </c>
      <c r="ES32">
        <f ca="1">OFFSET(Objects!$HW$6,ES$1+(Objects!$Y$4-$A32-1)*Objects!$X$4,0)</f>
        <v>0</v>
      </c>
      <c r="ET32">
        <f ca="1">OFFSET(Objects!$HW$6,ET$1+(Objects!$Y$4-$A32-1)*Objects!$X$4,0)</f>
        <v>0</v>
      </c>
      <c r="EU32">
        <f ca="1">OFFSET(Objects!$HW$6,EU$1+(Objects!$Y$4-$A32-1)*Objects!$X$4,0)</f>
        <v>0</v>
      </c>
      <c r="EV32">
        <f ca="1">OFFSET(Objects!$HW$6,EV$1+(Objects!$Y$4-$A32-1)*Objects!$X$4,0)</f>
        <v>0</v>
      </c>
      <c r="EW32">
        <f ca="1">OFFSET(Objects!$HW$6,EW$1+(Objects!$Y$4-$A32-1)*Objects!$X$4,0)</f>
        <v>0</v>
      </c>
      <c r="EX32">
        <f ca="1">OFFSET(Objects!$HW$6,EX$1+(Objects!$Y$4-$A32-1)*Objects!$X$4,0)</f>
        <v>0</v>
      </c>
      <c r="EY32">
        <f ca="1">OFFSET(Objects!$HW$6,EY$1+(Objects!$Y$4-$A32-1)*Objects!$X$4,0)</f>
        <v>0</v>
      </c>
      <c r="EZ32">
        <f ca="1">OFFSET(Objects!$HW$6,EZ$1+(Objects!$Y$4-$A32-1)*Objects!$X$4,0)</f>
        <v>0</v>
      </c>
      <c r="FA32">
        <f ca="1">OFFSET(Objects!$HW$6,FA$1+(Objects!$Y$4-$A32-1)*Objects!$X$4,0)</f>
        <v>0</v>
      </c>
      <c r="FB32">
        <f ca="1">OFFSET(Objects!$HW$6,FB$1+(Objects!$Y$4-$A32-1)*Objects!$X$4,0)</f>
        <v>0</v>
      </c>
      <c r="FC32">
        <f ca="1">OFFSET(Objects!$HW$6,FC$1+(Objects!$Y$4-$A32-1)*Objects!$X$4,0)</f>
        <v>0</v>
      </c>
      <c r="FD32">
        <f ca="1">OFFSET(Objects!$HW$6,FD$1+(Objects!$Y$4-$A32-1)*Objects!$X$4,0)</f>
        <v>0</v>
      </c>
      <c r="FE32" s="22">
        <f ca="1">OFFSET(Objects!$HW$6,FE$1+(Objects!$Y$4-$A32-1)*Objects!$X$4,0)</f>
        <v>0</v>
      </c>
    </row>
    <row r="33" spans="1:161" ht="4.5" customHeight="1" x14ac:dyDescent="0.25">
      <c r="A33">
        <v>31</v>
      </c>
      <c r="B33" s="21">
        <f ca="1">OFFSET(Objects!$HW$6,B$1+(Objects!$Y$4-$A33-1)*Objects!$X$4,0)</f>
        <v>0</v>
      </c>
      <c r="C33">
        <f ca="1">OFFSET(Objects!$HW$6,C$1+(Objects!$Y$4-$A33-1)*Objects!$X$4,0)</f>
        <v>0</v>
      </c>
      <c r="D33">
        <f ca="1">OFFSET(Objects!$HW$6,D$1+(Objects!$Y$4-$A33-1)*Objects!$X$4,0)</f>
        <v>0</v>
      </c>
      <c r="E33">
        <f ca="1">OFFSET(Objects!$HW$6,E$1+(Objects!$Y$4-$A33-1)*Objects!$X$4,0)</f>
        <v>0</v>
      </c>
      <c r="F33">
        <f ca="1">OFFSET(Objects!$HW$6,F$1+(Objects!$Y$4-$A33-1)*Objects!$X$4,0)</f>
        <v>0</v>
      </c>
      <c r="G33">
        <f ca="1">OFFSET(Objects!$HW$6,G$1+(Objects!$Y$4-$A33-1)*Objects!$X$4,0)</f>
        <v>0</v>
      </c>
      <c r="H33">
        <f ca="1">OFFSET(Objects!$HW$6,H$1+(Objects!$Y$4-$A33-1)*Objects!$X$4,0)</f>
        <v>0</v>
      </c>
      <c r="I33">
        <f ca="1">OFFSET(Objects!$HW$6,I$1+(Objects!$Y$4-$A33-1)*Objects!$X$4,0)</f>
        <v>0</v>
      </c>
      <c r="J33">
        <f ca="1">OFFSET(Objects!$HW$6,J$1+(Objects!$Y$4-$A33-1)*Objects!$X$4,0)</f>
        <v>0</v>
      </c>
      <c r="K33">
        <f ca="1">OFFSET(Objects!$HW$6,K$1+(Objects!$Y$4-$A33-1)*Objects!$X$4,0)</f>
        <v>0</v>
      </c>
      <c r="L33">
        <f ca="1">OFFSET(Objects!$HW$6,L$1+(Objects!$Y$4-$A33-1)*Objects!$X$4,0)</f>
        <v>0</v>
      </c>
      <c r="M33">
        <f ca="1">OFFSET(Objects!$HW$6,M$1+(Objects!$Y$4-$A33-1)*Objects!$X$4,0)</f>
        <v>0</v>
      </c>
      <c r="N33">
        <f ca="1">OFFSET(Objects!$HW$6,N$1+(Objects!$Y$4-$A33-1)*Objects!$X$4,0)</f>
        <v>0</v>
      </c>
      <c r="O33">
        <f ca="1">OFFSET(Objects!$HW$6,O$1+(Objects!$Y$4-$A33-1)*Objects!$X$4,0)</f>
        <v>0</v>
      </c>
      <c r="P33">
        <f ca="1">OFFSET(Objects!$HW$6,P$1+(Objects!$Y$4-$A33-1)*Objects!$X$4,0)</f>
        <v>0</v>
      </c>
      <c r="Q33">
        <f ca="1">OFFSET(Objects!$HW$6,Q$1+(Objects!$Y$4-$A33-1)*Objects!$X$4,0)</f>
        <v>0</v>
      </c>
      <c r="R33">
        <f ca="1">OFFSET(Objects!$HW$6,R$1+(Objects!$Y$4-$A33-1)*Objects!$X$4,0)</f>
        <v>0</v>
      </c>
      <c r="S33">
        <f ca="1">OFFSET(Objects!$HW$6,S$1+(Objects!$Y$4-$A33-1)*Objects!$X$4,0)</f>
        <v>0</v>
      </c>
      <c r="T33">
        <f ca="1">OFFSET(Objects!$HW$6,T$1+(Objects!$Y$4-$A33-1)*Objects!$X$4,0)</f>
        <v>0</v>
      </c>
      <c r="U33">
        <f ca="1">OFFSET(Objects!$HW$6,U$1+(Objects!$Y$4-$A33-1)*Objects!$X$4,0)</f>
        <v>0</v>
      </c>
      <c r="V33">
        <f ca="1">OFFSET(Objects!$HW$6,V$1+(Objects!$Y$4-$A33-1)*Objects!$X$4,0)</f>
        <v>0</v>
      </c>
      <c r="W33">
        <f ca="1">OFFSET(Objects!$HW$6,W$1+(Objects!$Y$4-$A33-1)*Objects!$X$4,0)</f>
        <v>0</v>
      </c>
      <c r="X33">
        <f ca="1">OFFSET(Objects!$HW$6,X$1+(Objects!$Y$4-$A33-1)*Objects!$X$4,0)</f>
        <v>0</v>
      </c>
      <c r="Y33">
        <f ca="1">OFFSET(Objects!$HW$6,Y$1+(Objects!$Y$4-$A33-1)*Objects!$X$4,0)</f>
        <v>0</v>
      </c>
      <c r="Z33">
        <f ca="1">OFFSET(Objects!$HW$6,Z$1+(Objects!$Y$4-$A33-1)*Objects!$X$4,0)</f>
        <v>0</v>
      </c>
      <c r="AA33">
        <f ca="1">OFFSET(Objects!$HW$6,AA$1+(Objects!$Y$4-$A33-1)*Objects!$X$4,0)</f>
        <v>0</v>
      </c>
      <c r="AB33">
        <f ca="1">OFFSET(Objects!$HW$6,AB$1+(Objects!$Y$4-$A33-1)*Objects!$X$4,0)</f>
        <v>0</v>
      </c>
      <c r="AC33">
        <f ca="1">OFFSET(Objects!$HW$6,AC$1+(Objects!$Y$4-$A33-1)*Objects!$X$4,0)</f>
        <v>0</v>
      </c>
      <c r="AD33">
        <f ca="1">OFFSET(Objects!$HW$6,AD$1+(Objects!$Y$4-$A33-1)*Objects!$X$4,0)</f>
        <v>0</v>
      </c>
      <c r="AE33">
        <f ca="1">OFFSET(Objects!$HW$6,AE$1+(Objects!$Y$4-$A33-1)*Objects!$X$4,0)</f>
        <v>0</v>
      </c>
      <c r="AF33">
        <f ca="1">OFFSET(Objects!$HW$6,AF$1+(Objects!$Y$4-$A33-1)*Objects!$X$4,0)</f>
        <v>0</v>
      </c>
      <c r="AG33">
        <f ca="1">OFFSET(Objects!$HW$6,AG$1+(Objects!$Y$4-$A33-1)*Objects!$X$4,0)</f>
        <v>0</v>
      </c>
      <c r="AH33">
        <f ca="1">OFFSET(Objects!$HW$6,AH$1+(Objects!$Y$4-$A33-1)*Objects!$X$4,0)</f>
        <v>0</v>
      </c>
      <c r="AI33">
        <f ca="1">OFFSET(Objects!$HW$6,AI$1+(Objects!$Y$4-$A33-1)*Objects!$X$4,0)</f>
        <v>0</v>
      </c>
      <c r="AJ33">
        <f ca="1">OFFSET(Objects!$HW$6,AJ$1+(Objects!$Y$4-$A33-1)*Objects!$X$4,0)</f>
        <v>0</v>
      </c>
      <c r="AK33">
        <f ca="1">OFFSET(Objects!$HW$6,AK$1+(Objects!$Y$4-$A33-1)*Objects!$X$4,0)</f>
        <v>0</v>
      </c>
      <c r="AL33">
        <f ca="1">OFFSET(Objects!$HW$6,AL$1+(Objects!$Y$4-$A33-1)*Objects!$X$4,0)</f>
        <v>0</v>
      </c>
      <c r="AM33">
        <f ca="1">OFFSET(Objects!$HW$6,AM$1+(Objects!$Y$4-$A33-1)*Objects!$X$4,0)</f>
        <v>0</v>
      </c>
      <c r="AN33">
        <f ca="1">OFFSET(Objects!$HW$6,AN$1+(Objects!$Y$4-$A33-1)*Objects!$X$4,0)</f>
        <v>0</v>
      </c>
      <c r="AO33">
        <f ca="1">OFFSET(Objects!$HW$6,AO$1+(Objects!$Y$4-$A33-1)*Objects!$X$4,0)</f>
        <v>0</v>
      </c>
      <c r="AP33">
        <f ca="1">OFFSET(Objects!$HW$6,AP$1+(Objects!$Y$4-$A33-1)*Objects!$X$4,0)</f>
        <v>0</v>
      </c>
      <c r="AQ33">
        <f ca="1">OFFSET(Objects!$HW$6,AQ$1+(Objects!$Y$4-$A33-1)*Objects!$X$4,0)</f>
        <v>0</v>
      </c>
      <c r="AR33">
        <f ca="1">OFFSET(Objects!$HW$6,AR$1+(Objects!$Y$4-$A33-1)*Objects!$X$4,0)</f>
        <v>0</v>
      </c>
      <c r="AS33">
        <f ca="1">OFFSET(Objects!$HW$6,AS$1+(Objects!$Y$4-$A33-1)*Objects!$X$4,0)</f>
        <v>0</v>
      </c>
      <c r="AT33">
        <f ca="1">OFFSET(Objects!$HW$6,AT$1+(Objects!$Y$4-$A33-1)*Objects!$X$4,0)</f>
        <v>0</v>
      </c>
      <c r="AU33">
        <f ca="1">OFFSET(Objects!$HW$6,AU$1+(Objects!$Y$4-$A33-1)*Objects!$X$4,0)</f>
        <v>0</v>
      </c>
      <c r="AV33">
        <f ca="1">OFFSET(Objects!$HW$6,AV$1+(Objects!$Y$4-$A33-1)*Objects!$X$4,0)</f>
        <v>0</v>
      </c>
      <c r="AW33">
        <f ca="1">OFFSET(Objects!$HW$6,AW$1+(Objects!$Y$4-$A33-1)*Objects!$X$4,0)</f>
        <v>0</v>
      </c>
      <c r="AX33">
        <f ca="1">OFFSET(Objects!$HW$6,AX$1+(Objects!$Y$4-$A33-1)*Objects!$X$4,0)</f>
        <v>0</v>
      </c>
      <c r="AY33">
        <f ca="1">OFFSET(Objects!$HW$6,AY$1+(Objects!$Y$4-$A33-1)*Objects!$X$4,0)</f>
        <v>0</v>
      </c>
      <c r="AZ33">
        <f ca="1">OFFSET(Objects!$HW$6,AZ$1+(Objects!$Y$4-$A33-1)*Objects!$X$4,0)</f>
        <v>0</v>
      </c>
      <c r="BA33">
        <f ca="1">OFFSET(Objects!$HW$6,BA$1+(Objects!$Y$4-$A33-1)*Objects!$X$4,0)</f>
        <v>0</v>
      </c>
      <c r="BB33">
        <f ca="1">OFFSET(Objects!$HW$6,BB$1+(Objects!$Y$4-$A33-1)*Objects!$X$4,0)</f>
        <v>0</v>
      </c>
      <c r="BC33">
        <f ca="1">OFFSET(Objects!$HW$6,BC$1+(Objects!$Y$4-$A33-1)*Objects!$X$4,0)</f>
        <v>0</v>
      </c>
      <c r="BD33">
        <f ca="1">OFFSET(Objects!$HW$6,BD$1+(Objects!$Y$4-$A33-1)*Objects!$X$4,0)</f>
        <v>0</v>
      </c>
      <c r="BE33">
        <f ca="1">OFFSET(Objects!$HW$6,BE$1+(Objects!$Y$4-$A33-1)*Objects!$X$4,0)</f>
        <v>0</v>
      </c>
      <c r="BF33">
        <f ca="1">OFFSET(Objects!$HW$6,BF$1+(Objects!$Y$4-$A33-1)*Objects!$X$4,0)</f>
        <v>0</v>
      </c>
      <c r="BG33">
        <f ca="1">OFFSET(Objects!$HW$6,BG$1+(Objects!$Y$4-$A33-1)*Objects!$X$4,0)</f>
        <v>0</v>
      </c>
      <c r="BH33">
        <f ca="1">OFFSET(Objects!$HW$6,BH$1+(Objects!$Y$4-$A33-1)*Objects!$X$4,0)</f>
        <v>0</v>
      </c>
      <c r="BI33">
        <f ca="1">OFFSET(Objects!$HW$6,BI$1+(Objects!$Y$4-$A33-1)*Objects!$X$4,0)</f>
        <v>0</v>
      </c>
      <c r="BJ33">
        <f ca="1">OFFSET(Objects!$HW$6,BJ$1+(Objects!$Y$4-$A33-1)*Objects!$X$4,0)</f>
        <v>0</v>
      </c>
      <c r="BK33">
        <f ca="1">OFFSET(Objects!$HW$6,BK$1+(Objects!$Y$4-$A33-1)*Objects!$X$4,0)</f>
        <v>0</v>
      </c>
      <c r="BL33">
        <f ca="1">OFFSET(Objects!$HW$6,BL$1+(Objects!$Y$4-$A33-1)*Objects!$X$4,0)</f>
        <v>0</v>
      </c>
      <c r="BM33">
        <f ca="1">OFFSET(Objects!$HW$6,BM$1+(Objects!$Y$4-$A33-1)*Objects!$X$4,0)</f>
        <v>0</v>
      </c>
      <c r="BN33">
        <f ca="1">OFFSET(Objects!$HW$6,BN$1+(Objects!$Y$4-$A33-1)*Objects!$X$4,0)</f>
        <v>0</v>
      </c>
      <c r="BO33">
        <f ca="1">OFFSET(Objects!$HW$6,BO$1+(Objects!$Y$4-$A33-1)*Objects!$X$4,0)</f>
        <v>0</v>
      </c>
      <c r="BP33">
        <f ca="1">OFFSET(Objects!$HW$6,BP$1+(Objects!$Y$4-$A33-1)*Objects!$X$4,0)</f>
        <v>0</v>
      </c>
      <c r="BQ33">
        <f ca="1">OFFSET(Objects!$HW$6,BQ$1+(Objects!$Y$4-$A33-1)*Objects!$X$4,0)</f>
        <v>0</v>
      </c>
      <c r="BR33">
        <f ca="1">OFFSET(Objects!$HW$6,BR$1+(Objects!$Y$4-$A33-1)*Objects!$X$4,0)</f>
        <v>0</v>
      </c>
      <c r="BS33">
        <f ca="1">OFFSET(Objects!$HW$6,BS$1+(Objects!$Y$4-$A33-1)*Objects!$X$4,0)</f>
        <v>0</v>
      </c>
      <c r="BT33">
        <f ca="1">OFFSET(Objects!$HW$6,BT$1+(Objects!$Y$4-$A33-1)*Objects!$X$4,0)</f>
        <v>0</v>
      </c>
      <c r="BU33">
        <f ca="1">OFFSET(Objects!$HW$6,BU$1+(Objects!$Y$4-$A33-1)*Objects!$X$4,0)</f>
        <v>0</v>
      </c>
      <c r="BV33">
        <f ca="1">OFFSET(Objects!$HW$6,BV$1+(Objects!$Y$4-$A33-1)*Objects!$X$4,0)</f>
        <v>0</v>
      </c>
      <c r="BW33">
        <f ca="1">OFFSET(Objects!$HW$6,BW$1+(Objects!$Y$4-$A33-1)*Objects!$X$4,0)</f>
        <v>0</v>
      </c>
      <c r="BX33">
        <f ca="1">OFFSET(Objects!$HW$6,BX$1+(Objects!$Y$4-$A33-1)*Objects!$X$4,0)</f>
        <v>0</v>
      </c>
      <c r="BY33">
        <f ca="1">OFFSET(Objects!$HW$6,BY$1+(Objects!$Y$4-$A33-1)*Objects!$X$4,0)</f>
        <v>0</v>
      </c>
      <c r="BZ33">
        <f ca="1">OFFSET(Objects!$HW$6,BZ$1+(Objects!$Y$4-$A33-1)*Objects!$X$4,0)</f>
        <v>0</v>
      </c>
      <c r="CA33">
        <f ca="1">OFFSET(Objects!$HW$6,CA$1+(Objects!$Y$4-$A33-1)*Objects!$X$4,0)</f>
        <v>0</v>
      </c>
      <c r="CB33">
        <f ca="1">OFFSET(Objects!$HW$6,CB$1+(Objects!$Y$4-$A33-1)*Objects!$X$4,0)</f>
        <v>0</v>
      </c>
      <c r="CC33">
        <f ca="1">OFFSET(Objects!$HW$6,CC$1+(Objects!$Y$4-$A33-1)*Objects!$X$4,0)</f>
        <v>0</v>
      </c>
      <c r="CD33">
        <f ca="1">OFFSET(Objects!$HW$6,CD$1+(Objects!$Y$4-$A33-1)*Objects!$X$4,0)</f>
        <v>0</v>
      </c>
      <c r="CE33">
        <f ca="1">OFFSET(Objects!$HW$6,CE$1+(Objects!$Y$4-$A33-1)*Objects!$X$4,0)</f>
        <v>0</v>
      </c>
      <c r="CF33">
        <f ca="1">OFFSET(Objects!$HW$6,CF$1+(Objects!$Y$4-$A33-1)*Objects!$X$4,0)</f>
        <v>0</v>
      </c>
      <c r="CG33">
        <f ca="1">OFFSET(Objects!$HW$6,CG$1+(Objects!$Y$4-$A33-1)*Objects!$X$4,0)</f>
        <v>0</v>
      </c>
      <c r="CH33">
        <f ca="1">OFFSET(Objects!$HW$6,CH$1+(Objects!$Y$4-$A33-1)*Objects!$X$4,0)</f>
        <v>0</v>
      </c>
      <c r="CI33">
        <f ca="1">OFFSET(Objects!$HW$6,CI$1+(Objects!$Y$4-$A33-1)*Objects!$X$4,0)</f>
        <v>0</v>
      </c>
      <c r="CJ33">
        <f ca="1">OFFSET(Objects!$HW$6,CJ$1+(Objects!$Y$4-$A33-1)*Objects!$X$4,0)</f>
        <v>0</v>
      </c>
      <c r="CK33">
        <f ca="1">OFFSET(Objects!$HW$6,CK$1+(Objects!$Y$4-$A33-1)*Objects!$X$4,0)</f>
        <v>0</v>
      </c>
      <c r="CL33">
        <f ca="1">OFFSET(Objects!$HW$6,CL$1+(Objects!$Y$4-$A33-1)*Objects!$X$4,0)</f>
        <v>0</v>
      </c>
      <c r="CM33">
        <f ca="1">OFFSET(Objects!$HW$6,CM$1+(Objects!$Y$4-$A33-1)*Objects!$X$4,0)</f>
        <v>0</v>
      </c>
      <c r="CN33">
        <f ca="1">OFFSET(Objects!$HW$6,CN$1+(Objects!$Y$4-$A33-1)*Objects!$X$4,0)</f>
        <v>0</v>
      </c>
      <c r="CO33">
        <f ca="1">OFFSET(Objects!$HW$6,CO$1+(Objects!$Y$4-$A33-1)*Objects!$X$4,0)</f>
        <v>0</v>
      </c>
      <c r="CP33">
        <f ca="1">OFFSET(Objects!$HW$6,CP$1+(Objects!$Y$4-$A33-1)*Objects!$X$4,0)</f>
        <v>0</v>
      </c>
      <c r="CQ33">
        <f ca="1">OFFSET(Objects!$HW$6,CQ$1+(Objects!$Y$4-$A33-1)*Objects!$X$4,0)</f>
        <v>0</v>
      </c>
      <c r="CR33">
        <f ca="1">OFFSET(Objects!$HW$6,CR$1+(Objects!$Y$4-$A33-1)*Objects!$X$4,0)</f>
        <v>0</v>
      </c>
      <c r="CS33">
        <f ca="1">OFFSET(Objects!$HW$6,CS$1+(Objects!$Y$4-$A33-1)*Objects!$X$4,0)</f>
        <v>0</v>
      </c>
      <c r="CT33">
        <f ca="1">OFFSET(Objects!$HW$6,CT$1+(Objects!$Y$4-$A33-1)*Objects!$X$4,0)</f>
        <v>0</v>
      </c>
      <c r="CU33">
        <f ca="1">OFFSET(Objects!$HW$6,CU$1+(Objects!$Y$4-$A33-1)*Objects!$X$4,0)</f>
        <v>0</v>
      </c>
      <c r="CV33">
        <f ca="1">OFFSET(Objects!$HW$6,CV$1+(Objects!$Y$4-$A33-1)*Objects!$X$4,0)</f>
        <v>0</v>
      </c>
      <c r="CW33">
        <f ca="1">OFFSET(Objects!$HW$6,CW$1+(Objects!$Y$4-$A33-1)*Objects!$X$4,0)</f>
        <v>0</v>
      </c>
      <c r="CX33">
        <f ca="1">OFFSET(Objects!$HW$6,CX$1+(Objects!$Y$4-$A33-1)*Objects!$X$4,0)</f>
        <v>0</v>
      </c>
      <c r="CY33">
        <f ca="1">OFFSET(Objects!$HW$6,CY$1+(Objects!$Y$4-$A33-1)*Objects!$X$4,0)</f>
        <v>0</v>
      </c>
      <c r="CZ33">
        <f ca="1">OFFSET(Objects!$HW$6,CZ$1+(Objects!$Y$4-$A33-1)*Objects!$X$4,0)</f>
        <v>0</v>
      </c>
      <c r="DA33">
        <f ca="1">OFFSET(Objects!$HW$6,DA$1+(Objects!$Y$4-$A33-1)*Objects!$X$4,0)</f>
        <v>0</v>
      </c>
      <c r="DB33">
        <f ca="1">OFFSET(Objects!$HW$6,DB$1+(Objects!$Y$4-$A33-1)*Objects!$X$4,0)</f>
        <v>0</v>
      </c>
      <c r="DC33">
        <f ca="1">OFFSET(Objects!$HW$6,DC$1+(Objects!$Y$4-$A33-1)*Objects!$X$4,0)</f>
        <v>0</v>
      </c>
      <c r="DD33">
        <f ca="1">OFFSET(Objects!$HW$6,DD$1+(Objects!$Y$4-$A33-1)*Objects!$X$4,0)</f>
        <v>0</v>
      </c>
      <c r="DE33">
        <f ca="1">OFFSET(Objects!$HW$6,DE$1+(Objects!$Y$4-$A33-1)*Objects!$X$4,0)</f>
        <v>0</v>
      </c>
      <c r="DF33">
        <f ca="1">OFFSET(Objects!$HW$6,DF$1+(Objects!$Y$4-$A33-1)*Objects!$X$4,0)</f>
        <v>0</v>
      </c>
      <c r="DG33">
        <f ca="1">OFFSET(Objects!$HW$6,DG$1+(Objects!$Y$4-$A33-1)*Objects!$X$4,0)</f>
        <v>0</v>
      </c>
      <c r="DH33">
        <f ca="1">OFFSET(Objects!$HW$6,DH$1+(Objects!$Y$4-$A33-1)*Objects!$X$4,0)</f>
        <v>0</v>
      </c>
      <c r="DI33">
        <f ca="1">OFFSET(Objects!$HW$6,DI$1+(Objects!$Y$4-$A33-1)*Objects!$X$4,0)</f>
        <v>0</v>
      </c>
      <c r="DJ33">
        <f ca="1">OFFSET(Objects!$HW$6,DJ$1+(Objects!$Y$4-$A33-1)*Objects!$X$4,0)</f>
        <v>0</v>
      </c>
      <c r="DK33">
        <f ca="1">OFFSET(Objects!$HW$6,DK$1+(Objects!$Y$4-$A33-1)*Objects!$X$4,0)</f>
        <v>0</v>
      </c>
      <c r="DL33">
        <f ca="1">OFFSET(Objects!$HW$6,DL$1+(Objects!$Y$4-$A33-1)*Objects!$X$4,0)</f>
        <v>0</v>
      </c>
      <c r="DM33">
        <f ca="1">OFFSET(Objects!$HW$6,DM$1+(Objects!$Y$4-$A33-1)*Objects!$X$4,0)</f>
        <v>0</v>
      </c>
      <c r="DN33">
        <f ca="1">OFFSET(Objects!$HW$6,DN$1+(Objects!$Y$4-$A33-1)*Objects!$X$4,0)</f>
        <v>0</v>
      </c>
      <c r="DO33">
        <f ca="1">OFFSET(Objects!$HW$6,DO$1+(Objects!$Y$4-$A33-1)*Objects!$X$4,0)</f>
        <v>0</v>
      </c>
      <c r="DP33">
        <f ca="1">OFFSET(Objects!$HW$6,DP$1+(Objects!$Y$4-$A33-1)*Objects!$X$4,0)</f>
        <v>0</v>
      </c>
      <c r="DQ33">
        <f ca="1">OFFSET(Objects!$HW$6,DQ$1+(Objects!$Y$4-$A33-1)*Objects!$X$4,0)</f>
        <v>0</v>
      </c>
      <c r="DR33">
        <f ca="1">OFFSET(Objects!$HW$6,DR$1+(Objects!$Y$4-$A33-1)*Objects!$X$4,0)</f>
        <v>0</v>
      </c>
      <c r="DS33">
        <f ca="1">OFFSET(Objects!$HW$6,DS$1+(Objects!$Y$4-$A33-1)*Objects!$X$4,0)</f>
        <v>0</v>
      </c>
      <c r="DT33">
        <f ca="1">OFFSET(Objects!$HW$6,DT$1+(Objects!$Y$4-$A33-1)*Objects!$X$4,0)</f>
        <v>0</v>
      </c>
      <c r="DU33">
        <f ca="1">OFFSET(Objects!$HW$6,DU$1+(Objects!$Y$4-$A33-1)*Objects!$X$4,0)</f>
        <v>0</v>
      </c>
      <c r="DV33">
        <f ca="1">OFFSET(Objects!$HW$6,DV$1+(Objects!$Y$4-$A33-1)*Objects!$X$4,0)</f>
        <v>0</v>
      </c>
      <c r="DW33">
        <f ca="1">OFFSET(Objects!$HW$6,DW$1+(Objects!$Y$4-$A33-1)*Objects!$X$4,0)</f>
        <v>0</v>
      </c>
      <c r="DX33">
        <f ca="1">OFFSET(Objects!$HW$6,DX$1+(Objects!$Y$4-$A33-1)*Objects!$X$4,0)</f>
        <v>0</v>
      </c>
      <c r="DY33">
        <f ca="1">OFFSET(Objects!$HW$6,DY$1+(Objects!$Y$4-$A33-1)*Objects!$X$4,0)</f>
        <v>0</v>
      </c>
      <c r="DZ33">
        <f ca="1">OFFSET(Objects!$HW$6,DZ$1+(Objects!$Y$4-$A33-1)*Objects!$X$4,0)</f>
        <v>0</v>
      </c>
      <c r="EA33">
        <f ca="1">OFFSET(Objects!$HW$6,EA$1+(Objects!$Y$4-$A33-1)*Objects!$X$4,0)</f>
        <v>0</v>
      </c>
      <c r="EB33">
        <f ca="1">OFFSET(Objects!$HW$6,EB$1+(Objects!$Y$4-$A33-1)*Objects!$X$4,0)</f>
        <v>0</v>
      </c>
      <c r="EC33">
        <f ca="1">OFFSET(Objects!$HW$6,EC$1+(Objects!$Y$4-$A33-1)*Objects!$X$4,0)</f>
        <v>0</v>
      </c>
      <c r="ED33">
        <f ca="1">OFFSET(Objects!$HW$6,ED$1+(Objects!$Y$4-$A33-1)*Objects!$X$4,0)</f>
        <v>0</v>
      </c>
      <c r="EE33">
        <f ca="1">OFFSET(Objects!$HW$6,EE$1+(Objects!$Y$4-$A33-1)*Objects!$X$4,0)</f>
        <v>0</v>
      </c>
      <c r="EF33">
        <f ca="1">OFFSET(Objects!$HW$6,EF$1+(Objects!$Y$4-$A33-1)*Objects!$X$4,0)</f>
        <v>0</v>
      </c>
      <c r="EG33">
        <f ca="1">OFFSET(Objects!$HW$6,EG$1+(Objects!$Y$4-$A33-1)*Objects!$X$4,0)</f>
        <v>0</v>
      </c>
      <c r="EH33">
        <f ca="1">OFFSET(Objects!$HW$6,EH$1+(Objects!$Y$4-$A33-1)*Objects!$X$4,0)</f>
        <v>0</v>
      </c>
      <c r="EI33">
        <f ca="1">OFFSET(Objects!$HW$6,EI$1+(Objects!$Y$4-$A33-1)*Objects!$X$4,0)</f>
        <v>0</v>
      </c>
      <c r="EJ33">
        <f ca="1">OFFSET(Objects!$HW$6,EJ$1+(Objects!$Y$4-$A33-1)*Objects!$X$4,0)</f>
        <v>0</v>
      </c>
      <c r="EK33">
        <f ca="1">OFFSET(Objects!$HW$6,EK$1+(Objects!$Y$4-$A33-1)*Objects!$X$4,0)</f>
        <v>0</v>
      </c>
      <c r="EL33">
        <f ca="1">OFFSET(Objects!$HW$6,EL$1+(Objects!$Y$4-$A33-1)*Objects!$X$4,0)</f>
        <v>0</v>
      </c>
      <c r="EM33">
        <f ca="1">OFFSET(Objects!$HW$6,EM$1+(Objects!$Y$4-$A33-1)*Objects!$X$4,0)</f>
        <v>0</v>
      </c>
      <c r="EN33">
        <f ca="1">OFFSET(Objects!$HW$6,EN$1+(Objects!$Y$4-$A33-1)*Objects!$X$4,0)</f>
        <v>0</v>
      </c>
      <c r="EO33">
        <f ca="1">OFFSET(Objects!$HW$6,EO$1+(Objects!$Y$4-$A33-1)*Objects!$X$4,0)</f>
        <v>0</v>
      </c>
      <c r="EP33">
        <f ca="1">OFFSET(Objects!$HW$6,EP$1+(Objects!$Y$4-$A33-1)*Objects!$X$4,0)</f>
        <v>0</v>
      </c>
      <c r="EQ33">
        <f ca="1">OFFSET(Objects!$HW$6,EQ$1+(Objects!$Y$4-$A33-1)*Objects!$X$4,0)</f>
        <v>0</v>
      </c>
      <c r="ER33">
        <f ca="1">OFFSET(Objects!$HW$6,ER$1+(Objects!$Y$4-$A33-1)*Objects!$X$4,0)</f>
        <v>0</v>
      </c>
      <c r="ES33">
        <f ca="1">OFFSET(Objects!$HW$6,ES$1+(Objects!$Y$4-$A33-1)*Objects!$X$4,0)</f>
        <v>0</v>
      </c>
      <c r="ET33">
        <f ca="1">OFFSET(Objects!$HW$6,ET$1+(Objects!$Y$4-$A33-1)*Objects!$X$4,0)</f>
        <v>0</v>
      </c>
      <c r="EU33">
        <f ca="1">OFFSET(Objects!$HW$6,EU$1+(Objects!$Y$4-$A33-1)*Objects!$X$4,0)</f>
        <v>0</v>
      </c>
      <c r="EV33">
        <f ca="1">OFFSET(Objects!$HW$6,EV$1+(Objects!$Y$4-$A33-1)*Objects!$X$4,0)</f>
        <v>0</v>
      </c>
      <c r="EW33">
        <f ca="1">OFFSET(Objects!$HW$6,EW$1+(Objects!$Y$4-$A33-1)*Objects!$X$4,0)</f>
        <v>0</v>
      </c>
      <c r="EX33">
        <f ca="1">OFFSET(Objects!$HW$6,EX$1+(Objects!$Y$4-$A33-1)*Objects!$X$4,0)</f>
        <v>0</v>
      </c>
      <c r="EY33">
        <f ca="1">OFFSET(Objects!$HW$6,EY$1+(Objects!$Y$4-$A33-1)*Objects!$X$4,0)</f>
        <v>0</v>
      </c>
      <c r="EZ33">
        <f ca="1">OFFSET(Objects!$HW$6,EZ$1+(Objects!$Y$4-$A33-1)*Objects!$X$4,0)</f>
        <v>0</v>
      </c>
      <c r="FA33">
        <f ca="1">OFFSET(Objects!$HW$6,FA$1+(Objects!$Y$4-$A33-1)*Objects!$X$4,0)</f>
        <v>0</v>
      </c>
      <c r="FB33">
        <f ca="1">OFFSET(Objects!$HW$6,FB$1+(Objects!$Y$4-$A33-1)*Objects!$X$4,0)</f>
        <v>0</v>
      </c>
      <c r="FC33">
        <f ca="1">OFFSET(Objects!$HW$6,FC$1+(Objects!$Y$4-$A33-1)*Objects!$X$4,0)</f>
        <v>0</v>
      </c>
      <c r="FD33">
        <f ca="1">OFFSET(Objects!$HW$6,FD$1+(Objects!$Y$4-$A33-1)*Objects!$X$4,0)</f>
        <v>0</v>
      </c>
      <c r="FE33" s="22">
        <f ca="1">OFFSET(Objects!$HW$6,FE$1+(Objects!$Y$4-$A33-1)*Objects!$X$4,0)</f>
        <v>0</v>
      </c>
    </row>
    <row r="34" spans="1:161" ht="4.5" customHeight="1" x14ac:dyDescent="0.25">
      <c r="A34">
        <v>32</v>
      </c>
      <c r="B34" s="21">
        <f ca="1">OFFSET(Objects!$HW$6,B$1+(Objects!$Y$4-$A34-1)*Objects!$X$4,0)</f>
        <v>0</v>
      </c>
      <c r="C34">
        <f ca="1">OFFSET(Objects!$HW$6,C$1+(Objects!$Y$4-$A34-1)*Objects!$X$4,0)</f>
        <v>0</v>
      </c>
      <c r="D34">
        <f ca="1">OFFSET(Objects!$HW$6,D$1+(Objects!$Y$4-$A34-1)*Objects!$X$4,0)</f>
        <v>0</v>
      </c>
      <c r="E34">
        <f ca="1">OFFSET(Objects!$HW$6,E$1+(Objects!$Y$4-$A34-1)*Objects!$X$4,0)</f>
        <v>0</v>
      </c>
      <c r="F34">
        <f ca="1">OFFSET(Objects!$HW$6,F$1+(Objects!$Y$4-$A34-1)*Objects!$X$4,0)</f>
        <v>0</v>
      </c>
      <c r="G34">
        <f ca="1">OFFSET(Objects!$HW$6,G$1+(Objects!$Y$4-$A34-1)*Objects!$X$4,0)</f>
        <v>0</v>
      </c>
      <c r="H34">
        <f ca="1">OFFSET(Objects!$HW$6,H$1+(Objects!$Y$4-$A34-1)*Objects!$X$4,0)</f>
        <v>0</v>
      </c>
      <c r="I34">
        <f ca="1">OFFSET(Objects!$HW$6,I$1+(Objects!$Y$4-$A34-1)*Objects!$X$4,0)</f>
        <v>0</v>
      </c>
      <c r="J34">
        <f ca="1">OFFSET(Objects!$HW$6,J$1+(Objects!$Y$4-$A34-1)*Objects!$X$4,0)</f>
        <v>0</v>
      </c>
      <c r="K34">
        <f ca="1">OFFSET(Objects!$HW$6,K$1+(Objects!$Y$4-$A34-1)*Objects!$X$4,0)</f>
        <v>0</v>
      </c>
      <c r="L34">
        <f ca="1">OFFSET(Objects!$HW$6,L$1+(Objects!$Y$4-$A34-1)*Objects!$X$4,0)</f>
        <v>0</v>
      </c>
      <c r="M34">
        <f ca="1">OFFSET(Objects!$HW$6,M$1+(Objects!$Y$4-$A34-1)*Objects!$X$4,0)</f>
        <v>0</v>
      </c>
      <c r="N34">
        <f ca="1">OFFSET(Objects!$HW$6,N$1+(Objects!$Y$4-$A34-1)*Objects!$X$4,0)</f>
        <v>0</v>
      </c>
      <c r="O34">
        <f ca="1">OFFSET(Objects!$HW$6,O$1+(Objects!$Y$4-$A34-1)*Objects!$X$4,0)</f>
        <v>0</v>
      </c>
      <c r="P34">
        <f ca="1">OFFSET(Objects!$HW$6,P$1+(Objects!$Y$4-$A34-1)*Objects!$X$4,0)</f>
        <v>0</v>
      </c>
      <c r="Q34">
        <f ca="1">OFFSET(Objects!$HW$6,Q$1+(Objects!$Y$4-$A34-1)*Objects!$X$4,0)</f>
        <v>0</v>
      </c>
      <c r="R34">
        <f ca="1">OFFSET(Objects!$HW$6,R$1+(Objects!$Y$4-$A34-1)*Objects!$X$4,0)</f>
        <v>0</v>
      </c>
      <c r="S34">
        <f ca="1">OFFSET(Objects!$HW$6,S$1+(Objects!$Y$4-$A34-1)*Objects!$X$4,0)</f>
        <v>0</v>
      </c>
      <c r="T34">
        <f ca="1">OFFSET(Objects!$HW$6,T$1+(Objects!$Y$4-$A34-1)*Objects!$X$4,0)</f>
        <v>0</v>
      </c>
      <c r="U34">
        <f ca="1">OFFSET(Objects!$HW$6,U$1+(Objects!$Y$4-$A34-1)*Objects!$X$4,0)</f>
        <v>0</v>
      </c>
      <c r="V34">
        <f ca="1">OFFSET(Objects!$HW$6,V$1+(Objects!$Y$4-$A34-1)*Objects!$X$4,0)</f>
        <v>0</v>
      </c>
      <c r="W34">
        <f ca="1">OFFSET(Objects!$HW$6,W$1+(Objects!$Y$4-$A34-1)*Objects!$X$4,0)</f>
        <v>0</v>
      </c>
      <c r="X34">
        <f ca="1">OFFSET(Objects!$HW$6,X$1+(Objects!$Y$4-$A34-1)*Objects!$X$4,0)</f>
        <v>0</v>
      </c>
      <c r="Y34">
        <f ca="1">OFFSET(Objects!$HW$6,Y$1+(Objects!$Y$4-$A34-1)*Objects!$X$4,0)</f>
        <v>0</v>
      </c>
      <c r="Z34">
        <f ca="1">OFFSET(Objects!$HW$6,Z$1+(Objects!$Y$4-$A34-1)*Objects!$X$4,0)</f>
        <v>0</v>
      </c>
      <c r="AA34">
        <f ca="1">OFFSET(Objects!$HW$6,AA$1+(Objects!$Y$4-$A34-1)*Objects!$X$4,0)</f>
        <v>0</v>
      </c>
      <c r="AB34">
        <f ca="1">OFFSET(Objects!$HW$6,AB$1+(Objects!$Y$4-$A34-1)*Objects!$X$4,0)</f>
        <v>0</v>
      </c>
      <c r="AC34">
        <f ca="1">OFFSET(Objects!$HW$6,AC$1+(Objects!$Y$4-$A34-1)*Objects!$X$4,0)</f>
        <v>0</v>
      </c>
      <c r="AD34">
        <f ca="1">OFFSET(Objects!$HW$6,AD$1+(Objects!$Y$4-$A34-1)*Objects!$X$4,0)</f>
        <v>0</v>
      </c>
      <c r="AE34">
        <f ca="1">OFFSET(Objects!$HW$6,AE$1+(Objects!$Y$4-$A34-1)*Objects!$X$4,0)</f>
        <v>0</v>
      </c>
      <c r="AF34">
        <f ca="1">OFFSET(Objects!$HW$6,AF$1+(Objects!$Y$4-$A34-1)*Objects!$X$4,0)</f>
        <v>0</v>
      </c>
      <c r="AG34">
        <f ca="1">OFFSET(Objects!$HW$6,AG$1+(Objects!$Y$4-$A34-1)*Objects!$X$4,0)</f>
        <v>0</v>
      </c>
      <c r="AH34">
        <f ca="1">OFFSET(Objects!$HW$6,AH$1+(Objects!$Y$4-$A34-1)*Objects!$X$4,0)</f>
        <v>0</v>
      </c>
      <c r="AI34">
        <f ca="1">OFFSET(Objects!$HW$6,AI$1+(Objects!$Y$4-$A34-1)*Objects!$X$4,0)</f>
        <v>0</v>
      </c>
      <c r="AJ34">
        <f ca="1">OFFSET(Objects!$HW$6,AJ$1+(Objects!$Y$4-$A34-1)*Objects!$X$4,0)</f>
        <v>0</v>
      </c>
      <c r="AK34">
        <f ca="1">OFFSET(Objects!$HW$6,AK$1+(Objects!$Y$4-$A34-1)*Objects!$X$4,0)</f>
        <v>0</v>
      </c>
      <c r="AL34">
        <f ca="1">OFFSET(Objects!$HW$6,AL$1+(Objects!$Y$4-$A34-1)*Objects!$X$4,0)</f>
        <v>0</v>
      </c>
      <c r="AM34">
        <f ca="1">OFFSET(Objects!$HW$6,AM$1+(Objects!$Y$4-$A34-1)*Objects!$X$4,0)</f>
        <v>0</v>
      </c>
      <c r="AN34">
        <f ca="1">OFFSET(Objects!$HW$6,AN$1+(Objects!$Y$4-$A34-1)*Objects!$X$4,0)</f>
        <v>0</v>
      </c>
      <c r="AO34">
        <f ca="1">OFFSET(Objects!$HW$6,AO$1+(Objects!$Y$4-$A34-1)*Objects!$X$4,0)</f>
        <v>0</v>
      </c>
      <c r="AP34">
        <f ca="1">OFFSET(Objects!$HW$6,AP$1+(Objects!$Y$4-$A34-1)*Objects!$X$4,0)</f>
        <v>0</v>
      </c>
      <c r="AQ34">
        <f ca="1">OFFSET(Objects!$HW$6,AQ$1+(Objects!$Y$4-$A34-1)*Objects!$X$4,0)</f>
        <v>0</v>
      </c>
      <c r="AR34">
        <f ca="1">OFFSET(Objects!$HW$6,AR$1+(Objects!$Y$4-$A34-1)*Objects!$X$4,0)</f>
        <v>0</v>
      </c>
      <c r="AS34">
        <f ca="1">OFFSET(Objects!$HW$6,AS$1+(Objects!$Y$4-$A34-1)*Objects!$X$4,0)</f>
        <v>0</v>
      </c>
      <c r="AT34">
        <f ca="1">OFFSET(Objects!$HW$6,AT$1+(Objects!$Y$4-$A34-1)*Objects!$X$4,0)</f>
        <v>0</v>
      </c>
      <c r="AU34">
        <f ca="1">OFFSET(Objects!$HW$6,AU$1+(Objects!$Y$4-$A34-1)*Objects!$X$4,0)</f>
        <v>0</v>
      </c>
      <c r="AV34">
        <f ca="1">OFFSET(Objects!$HW$6,AV$1+(Objects!$Y$4-$A34-1)*Objects!$X$4,0)</f>
        <v>0</v>
      </c>
      <c r="AW34">
        <f ca="1">OFFSET(Objects!$HW$6,AW$1+(Objects!$Y$4-$A34-1)*Objects!$X$4,0)</f>
        <v>0</v>
      </c>
      <c r="AX34">
        <f ca="1">OFFSET(Objects!$HW$6,AX$1+(Objects!$Y$4-$A34-1)*Objects!$X$4,0)</f>
        <v>0</v>
      </c>
      <c r="AY34">
        <f ca="1">OFFSET(Objects!$HW$6,AY$1+(Objects!$Y$4-$A34-1)*Objects!$X$4,0)</f>
        <v>0</v>
      </c>
      <c r="AZ34">
        <f ca="1">OFFSET(Objects!$HW$6,AZ$1+(Objects!$Y$4-$A34-1)*Objects!$X$4,0)</f>
        <v>0</v>
      </c>
      <c r="BA34">
        <f ca="1">OFFSET(Objects!$HW$6,BA$1+(Objects!$Y$4-$A34-1)*Objects!$X$4,0)</f>
        <v>0</v>
      </c>
      <c r="BB34">
        <f ca="1">OFFSET(Objects!$HW$6,BB$1+(Objects!$Y$4-$A34-1)*Objects!$X$4,0)</f>
        <v>0</v>
      </c>
      <c r="BC34">
        <f ca="1">OFFSET(Objects!$HW$6,BC$1+(Objects!$Y$4-$A34-1)*Objects!$X$4,0)</f>
        <v>0</v>
      </c>
      <c r="BD34">
        <f ca="1">OFFSET(Objects!$HW$6,BD$1+(Objects!$Y$4-$A34-1)*Objects!$X$4,0)</f>
        <v>0</v>
      </c>
      <c r="BE34">
        <f ca="1">OFFSET(Objects!$HW$6,BE$1+(Objects!$Y$4-$A34-1)*Objects!$X$4,0)</f>
        <v>0</v>
      </c>
      <c r="BF34">
        <f ca="1">OFFSET(Objects!$HW$6,BF$1+(Objects!$Y$4-$A34-1)*Objects!$X$4,0)</f>
        <v>0</v>
      </c>
      <c r="BG34">
        <f ca="1">OFFSET(Objects!$HW$6,BG$1+(Objects!$Y$4-$A34-1)*Objects!$X$4,0)</f>
        <v>0</v>
      </c>
      <c r="BH34">
        <f ca="1">OFFSET(Objects!$HW$6,BH$1+(Objects!$Y$4-$A34-1)*Objects!$X$4,0)</f>
        <v>0</v>
      </c>
      <c r="BI34">
        <f ca="1">OFFSET(Objects!$HW$6,BI$1+(Objects!$Y$4-$A34-1)*Objects!$X$4,0)</f>
        <v>0</v>
      </c>
      <c r="BJ34">
        <f ca="1">OFFSET(Objects!$HW$6,BJ$1+(Objects!$Y$4-$A34-1)*Objects!$X$4,0)</f>
        <v>0</v>
      </c>
      <c r="BK34">
        <f ca="1">OFFSET(Objects!$HW$6,BK$1+(Objects!$Y$4-$A34-1)*Objects!$X$4,0)</f>
        <v>0</v>
      </c>
      <c r="BL34">
        <f ca="1">OFFSET(Objects!$HW$6,BL$1+(Objects!$Y$4-$A34-1)*Objects!$X$4,0)</f>
        <v>0</v>
      </c>
      <c r="BM34">
        <f ca="1">OFFSET(Objects!$HW$6,BM$1+(Objects!$Y$4-$A34-1)*Objects!$X$4,0)</f>
        <v>0</v>
      </c>
      <c r="BN34">
        <f ca="1">OFFSET(Objects!$HW$6,BN$1+(Objects!$Y$4-$A34-1)*Objects!$X$4,0)</f>
        <v>0</v>
      </c>
      <c r="BO34">
        <f ca="1">OFFSET(Objects!$HW$6,BO$1+(Objects!$Y$4-$A34-1)*Objects!$X$4,0)</f>
        <v>0</v>
      </c>
      <c r="BP34">
        <f ca="1">OFFSET(Objects!$HW$6,BP$1+(Objects!$Y$4-$A34-1)*Objects!$X$4,0)</f>
        <v>0</v>
      </c>
      <c r="BQ34">
        <f ca="1">OFFSET(Objects!$HW$6,BQ$1+(Objects!$Y$4-$A34-1)*Objects!$X$4,0)</f>
        <v>0</v>
      </c>
      <c r="BR34">
        <f ca="1">OFFSET(Objects!$HW$6,BR$1+(Objects!$Y$4-$A34-1)*Objects!$X$4,0)</f>
        <v>0</v>
      </c>
      <c r="BS34">
        <f ca="1">OFFSET(Objects!$HW$6,BS$1+(Objects!$Y$4-$A34-1)*Objects!$X$4,0)</f>
        <v>0</v>
      </c>
      <c r="BT34">
        <f ca="1">OFFSET(Objects!$HW$6,BT$1+(Objects!$Y$4-$A34-1)*Objects!$X$4,0)</f>
        <v>0</v>
      </c>
      <c r="BU34">
        <f ca="1">OFFSET(Objects!$HW$6,BU$1+(Objects!$Y$4-$A34-1)*Objects!$X$4,0)</f>
        <v>0</v>
      </c>
      <c r="BV34">
        <f ca="1">OFFSET(Objects!$HW$6,BV$1+(Objects!$Y$4-$A34-1)*Objects!$X$4,0)</f>
        <v>0</v>
      </c>
      <c r="BW34">
        <f ca="1">OFFSET(Objects!$HW$6,BW$1+(Objects!$Y$4-$A34-1)*Objects!$X$4,0)</f>
        <v>0</v>
      </c>
      <c r="BX34">
        <f ca="1">OFFSET(Objects!$HW$6,BX$1+(Objects!$Y$4-$A34-1)*Objects!$X$4,0)</f>
        <v>0</v>
      </c>
      <c r="BY34">
        <f ca="1">OFFSET(Objects!$HW$6,BY$1+(Objects!$Y$4-$A34-1)*Objects!$X$4,0)</f>
        <v>0</v>
      </c>
      <c r="BZ34">
        <f ca="1">OFFSET(Objects!$HW$6,BZ$1+(Objects!$Y$4-$A34-1)*Objects!$X$4,0)</f>
        <v>0</v>
      </c>
      <c r="CA34">
        <f ca="1">OFFSET(Objects!$HW$6,CA$1+(Objects!$Y$4-$A34-1)*Objects!$X$4,0)</f>
        <v>0</v>
      </c>
      <c r="CB34">
        <f ca="1">OFFSET(Objects!$HW$6,CB$1+(Objects!$Y$4-$A34-1)*Objects!$X$4,0)</f>
        <v>0</v>
      </c>
      <c r="CC34">
        <f ca="1">OFFSET(Objects!$HW$6,CC$1+(Objects!$Y$4-$A34-1)*Objects!$X$4,0)</f>
        <v>0</v>
      </c>
      <c r="CD34">
        <f ca="1">OFFSET(Objects!$HW$6,CD$1+(Objects!$Y$4-$A34-1)*Objects!$X$4,0)</f>
        <v>0</v>
      </c>
      <c r="CE34">
        <f ca="1">OFFSET(Objects!$HW$6,CE$1+(Objects!$Y$4-$A34-1)*Objects!$X$4,0)</f>
        <v>0</v>
      </c>
      <c r="CF34">
        <f ca="1">OFFSET(Objects!$HW$6,CF$1+(Objects!$Y$4-$A34-1)*Objects!$X$4,0)</f>
        <v>0</v>
      </c>
      <c r="CG34">
        <f ca="1">OFFSET(Objects!$HW$6,CG$1+(Objects!$Y$4-$A34-1)*Objects!$X$4,0)</f>
        <v>0</v>
      </c>
      <c r="CH34">
        <f ca="1">OFFSET(Objects!$HW$6,CH$1+(Objects!$Y$4-$A34-1)*Objects!$X$4,0)</f>
        <v>0</v>
      </c>
      <c r="CI34">
        <f ca="1">OFFSET(Objects!$HW$6,CI$1+(Objects!$Y$4-$A34-1)*Objects!$X$4,0)</f>
        <v>0</v>
      </c>
      <c r="CJ34">
        <f ca="1">OFFSET(Objects!$HW$6,CJ$1+(Objects!$Y$4-$A34-1)*Objects!$X$4,0)</f>
        <v>0</v>
      </c>
      <c r="CK34">
        <f ca="1">OFFSET(Objects!$HW$6,CK$1+(Objects!$Y$4-$A34-1)*Objects!$X$4,0)</f>
        <v>0</v>
      </c>
      <c r="CL34">
        <f ca="1">OFFSET(Objects!$HW$6,CL$1+(Objects!$Y$4-$A34-1)*Objects!$X$4,0)</f>
        <v>0</v>
      </c>
      <c r="CM34">
        <f ca="1">OFFSET(Objects!$HW$6,CM$1+(Objects!$Y$4-$A34-1)*Objects!$X$4,0)</f>
        <v>0</v>
      </c>
      <c r="CN34">
        <f ca="1">OFFSET(Objects!$HW$6,CN$1+(Objects!$Y$4-$A34-1)*Objects!$X$4,0)</f>
        <v>0</v>
      </c>
      <c r="CO34">
        <f ca="1">OFFSET(Objects!$HW$6,CO$1+(Objects!$Y$4-$A34-1)*Objects!$X$4,0)</f>
        <v>0</v>
      </c>
      <c r="CP34">
        <f ca="1">OFFSET(Objects!$HW$6,CP$1+(Objects!$Y$4-$A34-1)*Objects!$X$4,0)</f>
        <v>0</v>
      </c>
      <c r="CQ34">
        <f ca="1">OFFSET(Objects!$HW$6,CQ$1+(Objects!$Y$4-$A34-1)*Objects!$X$4,0)</f>
        <v>0</v>
      </c>
      <c r="CR34">
        <f ca="1">OFFSET(Objects!$HW$6,CR$1+(Objects!$Y$4-$A34-1)*Objects!$X$4,0)</f>
        <v>0</v>
      </c>
      <c r="CS34">
        <f ca="1">OFFSET(Objects!$HW$6,CS$1+(Objects!$Y$4-$A34-1)*Objects!$X$4,0)</f>
        <v>0</v>
      </c>
      <c r="CT34">
        <f ca="1">OFFSET(Objects!$HW$6,CT$1+(Objects!$Y$4-$A34-1)*Objects!$X$4,0)</f>
        <v>0</v>
      </c>
      <c r="CU34">
        <f ca="1">OFFSET(Objects!$HW$6,CU$1+(Objects!$Y$4-$A34-1)*Objects!$X$4,0)</f>
        <v>0</v>
      </c>
      <c r="CV34">
        <f ca="1">OFFSET(Objects!$HW$6,CV$1+(Objects!$Y$4-$A34-1)*Objects!$X$4,0)</f>
        <v>0</v>
      </c>
      <c r="CW34">
        <f ca="1">OFFSET(Objects!$HW$6,CW$1+(Objects!$Y$4-$A34-1)*Objects!$X$4,0)</f>
        <v>0</v>
      </c>
      <c r="CX34">
        <f ca="1">OFFSET(Objects!$HW$6,CX$1+(Objects!$Y$4-$A34-1)*Objects!$X$4,0)</f>
        <v>0</v>
      </c>
      <c r="CY34">
        <f ca="1">OFFSET(Objects!$HW$6,CY$1+(Objects!$Y$4-$A34-1)*Objects!$X$4,0)</f>
        <v>0</v>
      </c>
      <c r="CZ34">
        <f ca="1">OFFSET(Objects!$HW$6,CZ$1+(Objects!$Y$4-$A34-1)*Objects!$X$4,0)</f>
        <v>0</v>
      </c>
      <c r="DA34">
        <f ca="1">OFFSET(Objects!$HW$6,DA$1+(Objects!$Y$4-$A34-1)*Objects!$X$4,0)</f>
        <v>0</v>
      </c>
      <c r="DB34">
        <f ca="1">OFFSET(Objects!$HW$6,DB$1+(Objects!$Y$4-$A34-1)*Objects!$X$4,0)</f>
        <v>0</v>
      </c>
      <c r="DC34">
        <f ca="1">OFFSET(Objects!$HW$6,DC$1+(Objects!$Y$4-$A34-1)*Objects!$X$4,0)</f>
        <v>0</v>
      </c>
      <c r="DD34">
        <f ca="1">OFFSET(Objects!$HW$6,DD$1+(Objects!$Y$4-$A34-1)*Objects!$X$4,0)</f>
        <v>0</v>
      </c>
      <c r="DE34">
        <f ca="1">OFFSET(Objects!$HW$6,DE$1+(Objects!$Y$4-$A34-1)*Objects!$X$4,0)</f>
        <v>0</v>
      </c>
      <c r="DF34">
        <f ca="1">OFFSET(Objects!$HW$6,DF$1+(Objects!$Y$4-$A34-1)*Objects!$X$4,0)</f>
        <v>0</v>
      </c>
      <c r="DG34">
        <f ca="1">OFFSET(Objects!$HW$6,DG$1+(Objects!$Y$4-$A34-1)*Objects!$X$4,0)</f>
        <v>0</v>
      </c>
      <c r="DH34">
        <f ca="1">OFFSET(Objects!$HW$6,DH$1+(Objects!$Y$4-$A34-1)*Objects!$X$4,0)</f>
        <v>0</v>
      </c>
      <c r="DI34">
        <f ca="1">OFFSET(Objects!$HW$6,DI$1+(Objects!$Y$4-$A34-1)*Objects!$X$4,0)</f>
        <v>0</v>
      </c>
      <c r="DJ34">
        <f ca="1">OFFSET(Objects!$HW$6,DJ$1+(Objects!$Y$4-$A34-1)*Objects!$X$4,0)</f>
        <v>0</v>
      </c>
      <c r="DK34">
        <f ca="1">OFFSET(Objects!$HW$6,DK$1+(Objects!$Y$4-$A34-1)*Objects!$X$4,0)</f>
        <v>0</v>
      </c>
      <c r="DL34">
        <f ca="1">OFFSET(Objects!$HW$6,DL$1+(Objects!$Y$4-$A34-1)*Objects!$X$4,0)</f>
        <v>0</v>
      </c>
      <c r="DM34">
        <f ca="1">OFFSET(Objects!$HW$6,DM$1+(Objects!$Y$4-$A34-1)*Objects!$X$4,0)</f>
        <v>0</v>
      </c>
      <c r="DN34">
        <f ca="1">OFFSET(Objects!$HW$6,DN$1+(Objects!$Y$4-$A34-1)*Objects!$X$4,0)</f>
        <v>0</v>
      </c>
      <c r="DO34">
        <f ca="1">OFFSET(Objects!$HW$6,DO$1+(Objects!$Y$4-$A34-1)*Objects!$X$4,0)</f>
        <v>0</v>
      </c>
      <c r="DP34">
        <f ca="1">OFFSET(Objects!$HW$6,DP$1+(Objects!$Y$4-$A34-1)*Objects!$X$4,0)</f>
        <v>0</v>
      </c>
      <c r="DQ34">
        <f ca="1">OFFSET(Objects!$HW$6,DQ$1+(Objects!$Y$4-$A34-1)*Objects!$X$4,0)</f>
        <v>0</v>
      </c>
      <c r="DR34">
        <f ca="1">OFFSET(Objects!$HW$6,DR$1+(Objects!$Y$4-$A34-1)*Objects!$X$4,0)</f>
        <v>0</v>
      </c>
      <c r="DS34">
        <f ca="1">OFFSET(Objects!$HW$6,DS$1+(Objects!$Y$4-$A34-1)*Objects!$X$4,0)</f>
        <v>0</v>
      </c>
      <c r="DT34">
        <f ca="1">OFFSET(Objects!$HW$6,DT$1+(Objects!$Y$4-$A34-1)*Objects!$X$4,0)</f>
        <v>0</v>
      </c>
      <c r="DU34">
        <f ca="1">OFFSET(Objects!$HW$6,DU$1+(Objects!$Y$4-$A34-1)*Objects!$X$4,0)</f>
        <v>0</v>
      </c>
      <c r="DV34">
        <f ca="1">OFFSET(Objects!$HW$6,DV$1+(Objects!$Y$4-$A34-1)*Objects!$X$4,0)</f>
        <v>0</v>
      </c>
      <c r="DW34">
        <f ca="1">OFFSET(Objects!$HW$6,DW$1+(Objects!$Y$4-$A34-1)*Objects!$X$4,0)</f>
        <v>0</v>
      </c>
      <c r="DX34">
        <f ca="1">OFFSET(Objects!$HW$6,DX$1+(Objects!$Y$4-$A34-1)*Objects!$X$4,0)</f>
        <v>0</v>
      </c>
      <c r="DY34">
        <f ca="1">OFFSET(Objects!$HW$6,DY$1+(Objects!$Y$4-$A34-1)*Objects!$X$4,0)</f>
        <v>0</v>
      </c>
      <c r="DZ34">
        <f ca="1">OFFSET(Objects!$HW$6,DZ$1+(Objects!$Y$4-$A34-1)*Objects!$X$4,0)</f>
        <v>0</v>
      </c>
      <c r="EA34">
        <f ca="1">OFFSET(Objects!$HW$6,EA$1+(Objects!$Y$4-$A34-1)*Objects!$X$4,0)</f>
        <v>0</v>
      </c>
      <c r="EB34">
        <f ca="1">OFFSET(Objects!$HW$6,EB$1+(Objects!$Y$4-$A34-1)*Objects!$X$4,0)</f>
        <v>0</v>
      </c>
      <c r="EC34">
        <f ca="1">OFFSET(Objects!$HW$6,EC$1+(Objects!$Y$4-$A34-1)*Objects!$X$4,0)</f>
        <v>0</v>
      </c>
      <c r="ED34">
        <f ca="1">OFFSET(Objects!$HW$6,ED$1+(Objects!$Y$4-$A34-1)*Objects!$X$4,0)</f>
        <v>0</v>
      </c>
      <c r="EE34">
        <f ca="1">OFFSET(Objects!$HW$6,EE$1+(Objects!$Y$4-$A34-1)*Objects!$X$4,0)</f>
        <v>0</v>
      </c>
      <c r="EF34">
        <f ca="1">OFFSET(Objects!$HW$6,EF$1+(Objects!$Y$4-$A34-1)*Objects!$X$4,0)</f>
        <v>0</v>
      </c>
      <c r="EG34">
        <f ca="1">OFFSET(Objects!$HW$6,EG$1+(Objects!$Y$4-$A34-1)*Objects!$X$4,0)</f>
        <v>0</v>
      </c>
      <c r="EH34">
        <f ca="1">OFFSET(Objects!$HW$6,EH$1+(Objects!$Y$4-$A34-1)*Objects!$X$4,0)</f>
        <v>0</v>
      </c>
      <c r="EI34">
        <f ca="1">OFFSET(Objects!$HW$6,EI$1+(Objects!$Y$4-$A34-1)*Objects!$X$4,0)</f>
        <v>0</v>
      </c>
      <c r="EJ34">
        <f ca="1">OFFSET(Objects!$HW$6,EJ$1+(Objects!$Y$4-$A34-1)*Objects!$X$4,0)</f>
        <v>0</v>
      </c>
      <c r="EK34">
        <f ca="1">OFFSET(Objects!$HW$6,EK$1+(Objects!$Y$4-$A34-1)*Objects!$X$4,0)</f>
        <v>0</v>
      </c>
      <c r="EL34">
        <f ca="1">OFFSET(Objects!$HW$6,EL$1+(Objects!$Y$4-$A34-1)*Objects!$X$4,0)</f>
        <v>0</v>
      </c>
      <c r="EM34">
        <f ca="1">OFFSET(Objects!$HW$6,EM$1+(Objects!$Y$4-$A34-1)*Objects!$X$4,0)</f>
        <v>0</v>
      </c>
      <c r="EN34">
        <f ca="1">OFFSET(Objects!$HW$6,EN$1+(Objects!$Y$4-$A34-1)*Objects!$X$4,0)</f>
        <v>0</v>
      </c>
      <c r="EO34">
        <f ca="1">OFFSET(Objects!$HW$6,EO$1+(Objects!$Y$4-$A34-1)*Objects!$X$4,0)</f>
        <v>0</v>
      </c>
      <c r="EP34">
        <f ca="1">OFFSET(Objects!$HW$6,EP$1+(Objects!$Y$4-$A34-1)*Objects!$X$4,0)</f>
        <v>0</v>
      </c>
      <c r="EQ34">
        <f ca="1">OFFSET(Objects!$HW$6,EQ$1+(Objects!$Y$4-$A34-1)*Objects!$X$4,0)</f>
        <v>0</v>
      </c>
      <c r="ER34">
        <f ca="1">OFFSET(Objects!$HW$6,ER$1+(Objects!$Y$4-$A34-1)*Objects!$X$4,0)</f>
        <v>0</v>
      </c>
      <c r="ES34">
        <f ca="1">OFFSET(Objects!$HW$6,ES$1+(Objects!$Y$4-$A34-1)*Objects!$X$4,0)</f>
        <v>0</v>
      </c>
      <c r="ET34">
        <f ca="1">OFFSET(Objects!$HW$6,ET$1+(Objects!$Y$4-$A34-1)*Objects!$X$4,0)</f>
        <v>0</v>
      </c>
      <c r="EU34">
        <f ca="1">OFFSET(Objects!$HW$6,EU$1+(Objects!$Y$4-$A34-1)*Objects!$X$4,0)</f>
        <v>0</v>
      </c>
      <c r="EV34">
        <f ca="1">OFFSET(Objects!$HW$6,EV$1+(Objects!$Y$4-$A34-1)*Objects!$X$4,0)</f>
        <v>0</v>
      </c>
      <c r="EW34">
        <f ca="1">OFFSET(Objects!$HW$6,EW$1+(Objects!$Y$4-$A34-1)*Objects!$X$4,0)</f>
        <v>0</v>
      </c>
      <c r="EX34">
        <f ca="1">OFFSET(Objects!$HW$6,EX$1+(Objects!$Y$4-$A34-1)*Objects!$X$4,0)</f>
        <v>0</v>
      </c>
      <c r="EY34">
        <f ca="1">OFFSET(Objects!$HW$6,EY$1+(Objects!$Y$4-$A34-1)*Objects!$X$4,0)</f>
        <v>0</v>
      </c>
      <c r="EZ34">
        <f ca="1">OFFSET(Objects!$HW$6,EZ$1+(Objects!$Y$4-$A34-1)*Objects!$X$4,0)</f>
        <v>0</v>
      </c>
      <c r="FA34">
        <f ca="1">OFFSET(Objects!$HW$6,FA$1+(Objects!$Y$4-$A34-1)*Objects!$X$4,0)</f>
        <v>0</v>
      </c>
      <c r="FB34">
        <f ca="1">OFFSET(Objects!$HW$6,FB$1+(Objects!$Y$4-$A34-1)*Objects!$X$4,0)</f>
        <v>0</v>
      </c>
      <c r="FC34">
        <f ca="1">OFFSET(Objects!$HW$6,FC$1+(Objects!$Y$4-$A34-1)*Objects!$X$4,0)</f>
        <v>0</v>
      </c>
      <c r="FD34">
        <f ca="1">OFFSET(Objects!$HW$6,FD$1+(Objects!$Y$4-$A34-1)*Objects!$X$4,0)</f>
        <v>0</v>
      </c>
      <c r="FE34" s="22">
        <f ca="1">OFFSET(Objects!$HW$6,FE$1+(Objects!$Y$4-$A34-1)*Objects!$X$4,0)</f>
        <v>0</v>
      </c>
    </row>
    <row r="35" spans="1:161" ht="4.5" customHeight="1" x14ac:dyDescent="0.25">
      <c r="A35">
        <v>33</v>
      </c>
      <c r="B35" s="21">
        <f ca="1">OFFSET(Objects!$HW$6,B$1+(Objects!$Y$4-$A35-1)*Objects!$X$4,0)</f>
        <v>0</v>
      </c>
      <c r="C35">
        <f ca="1">OFFSET(Objects!$HW$6,C$1+(Objects!$Y$4-$A35-1)*Objects!$X$4,0)</f>
        <v>0</v>
      </c>
      <c r="D35">
        <f ca="1">OFFSET(Objects!$HW$6,D$1+(Objects!$Y$4-$A35-1)*Objects!$X$4,0)</f>
        <v>0</v>
      </c>
      <c r="E35">
        <f ca="1">OFFSET(Objects!$HW$6,E$1+(Objects!$Y$4-$A35-1)*Objects!$X$4,0)</f>
        <v>0</v>
      </c>
      <c r="F35">
        <f ca="1">OFFSET(Objects!$HW$6,F$1+(Objects!$Y$4-$A35-1)*Objects!$X$4,0)</f>
        <v>0</v>
      </c>
      <c r="G35">
        <f ca="1">OFFSET(Objects!$HW$6,G$1+(Objects!$Y$4-$A35-1)*Objects!$X$4,0)</f>
        <v>0</v>
      </c>
      <c r="H35">
        <f ca="1">OFFSET(Objects!$HW$6,H$1+(Objects!$Y$4-$A35-1)*Objects!$X$4,0)</f>
        <v>0</v>
      </c>
      <c r="I35">
        <f ca="1">OFFSET(Objects!$HW$6,I$1+(Objects!$Y$4-$A35-1)*Objects!$X$4,0)</f>
        <v>0</v>
      </c>
      <c r="J35">
        <f ca="1">OFFSET(Objects!$HW$6,J$1+(Objects!$Y$4-$A35-1)*Objects!$X$4,0)</f>
        <v>0</v>
      </c>
      <c r="K35">
        <f ca="1">OFFSET(Objects!$HW$6,K$1+(Objects!$Y$4-$A35-1)*Objects!$X$4,0)</f>
        <v>0</v>
      </c>
      <c r="L35">
        <f ca="1">OFFSET(Objects!$HW$6,L$1+(Objects!$Y$4-$A35-1)*Objects!$X$4,0)</f>
        <v>0</v>
      </c>
      <c r="M35">
        <f ca="1">OFFSET(Objects!$HW$6,M$1+(Objects!$Y$4-$A35-1)*Objects!$X$4,0)</f>
        <v>0</v>
      </c>
      <c r="N35">
        <f ca="1">OFFSET(Objects!$HW$6,N$1+(Objects!$Y$4-$A35-1)*Objects!$X$4,0)</f>
        <v>0</v>
      </c>
      <c r="O35">
        <f ca="1">OFFSET(Objects!$HW$6,O$1+(Objects!$Y$4-$A35-1)*Objects!$X$4,0)</f>
        <v>0</v>
      </c>
      <c r="P35">
        <f ca="1">OFFSET(Objects!$HW$6,P$1+(Objects!$Y$4-$A35-1)*Objects!$X$4,0)</f>
        <v>0</v>
      </c>
      <c r="Q35">
        <f ca="1">OFFSET(Objects!$HW$6,Q$1+(Objects!$Y$4-$A35-1)*Objects!$X$4,0)</f>
        <v>0</v>
      </c>
      <c r="R35">
        <f ca="1">OFFSET(Objects!$HW$6,R$1+(Objects!$Y$4-$A35-1)*Objects!$X$4,0)</f>
        <v>0</v>
      </c>
      <c r="S35">
        <f ca="1">OFFSET(Objects!$HW$6,S$1+(Objects!$Y$4-$A35-1)*Objects!$X$4,0)</f>
        <v>0</v>
      </c>
      <c r="T35">
        <f ca="1">OFFSET(Objects!$HW$6,T$1+(Objects!$Y$4-$A35-1)*Objects!$X$4,0)</f>
        <v>0</v>
      </c>
      <c r="U35">
        <f ca="1">OFFSET(Objects!$HW$6,U$1+(Objects!$Y$4-$A35-1)*Objects!$X$4,0)</f>
        <v>0</v>
      </c>
      <c r="V35">
        <f ca="1">OFFSET(Objects!$HW$6,V$1+(Objects!$Y$4-$A35-1)*Objects!$X$4,0)</f>
        <v>0</v>
      </c>
      <c r="W35">
        <f ca="1">OFFSET(Objects!$HW$6,W$1+(Objects!$Y$4-$A35-1)*Objects!$X$4,0)</f>
        <v>0</v>
      </c>
      <c r="X35">
        <f ca="1">OFFSET(Objects!$HW$6,X$1+(Objects!$Y$4-$A35-1)*Objects!$X$4,0)</f>
        <v>0</v>
      </c>
      <c r="Y35">
        <f ca="1">OFFSET(Objects!$HW$6,Y$1+(Objects!$Y$4-$A35-1)*Objects!$X$4,0)</f>
        <v>0</v>
      </c>
      <c r="Z35">
        <f ca="1">OFFSET(Objects!$HW$6,Z$1+(Objects!$Y$4-$A35-1)*Objects!$X$4,0)</f>
        <v>0</v>
      </c>
      <c r="AA35">
        <f ca="1">OFFSET(Objects!$HW$6,AA$1+(Objects!$Y$4-$A35-1)*Objects!$X$4,0)</f>
        <v>0</v>
      </c>
      <c r="AB35">
        <f ca="1">OFFSET(Objects!$HW$6,AB$1+(Objects!$Y$4-$A35-1)*Objects!$X$4,0)</f>
        <v>0</v>
      </c>
      <c r="AC35">
        <f ca="1">OFFSET(Objects!$HW$6,AC$1+(Objects!$Y$4-$A35-1)*Objects!$X$4,0)</f>
        <v>0</v>
      </c>
      <c r="AD35">
        <f ca="1">OFFSET(Objects!$HW$6,AD$1+(Objects!$Y$4-$A35-1)*Objects!$X$4,0)</f>
        <v>0</v>
      </c>
      <c r="AE35">
        <f ca="1">OFFSET(Objects!$HW$6,AE$1+(Objects!$Y$4-$A35-1)*Objects!$X$4,0)</f>
        <v>0</v>
      </c>
      <c r="AF35">
        <f ca="1">OFFSET(Objects!$HW$6,AF$1+(Objects!$Y$4-$A35-1)*Objects!$X$4,0)</f>
        <v>0</v>
      </c>
      <c r="AG35">
        <f ca="1">OFFSET(Objects!$HW$6,AG$1+(Objects!$Y$4-$A35-1)*Objects!$X$4,0)</f>
        <v>0</v>
      </c>
      <c r="AH35">
        <f ca="1">OFFSET(Objects!$HW$6,AH$1+(Objects!$Y$4-$A35-1)*Objects!$X$4,0)</f>
        <v>0</v>
      </c>
      <c r="AI35">
        <f ca="1">OFFSET(Objects!$HW$6,AI$1+(Objects!$Y$4-$A35-1)*Objects!$X$4,0)</f>
        <v>0</v>
      </c>
      <c r="AJ35">
        <f ca="1">OFFSET(Objects!$HW$6,AJ$1+(Objects!$Y$4-$A35-1)*Objects!$X$4,0)</f>
        <v>0</v>
      </c>
      <c r="AK35">
        <f ca="1">OFFSET(Objects!$HW$6,AK$1+(Objects!$Y$4-$A35-1)*Objects!$X$4,0)</f>
        <v>0</v>
      </c>
      <c r="AL35">
        <f ca="1">OFFSET(Objects!$HW$6,AL$1+(Objects!$Y$4-$A35-1)*Objects!$X$4,0)</f>
        <v>0</v>
      </c>
      <c r="AM35">
        <f ca="1">OFFSET(Objects!$HW$6,AM$1+(Objects!$Y$4-$A35-1)*Objects!$X$4,0)</f>
        <v>0</v>
      </c>
      <c r="AN35">
        <f ca="1">OFFSET(Objects!$HW$6,AN$1+(Objects!$Y$4-$A35-1)*Objects!$X$4,0)</f>
        <v>0</v>
      </c>
      <c r="AO35">
        <f ca="1">OFFSET(Objects!$HW$6,AO$1+(Objects!$Y$4-$A35-1)*Objects!$X$4,0)</f>
        <v>0</v>
      </c>
      <c r="AP35">
        <f ca="1">OFFSET(Objects!$HW$6,AP$1+(Objects!$Y$4-$A35-1)*Objects!$X$4,0)</f>
        <v>0</v>
      </c>
      <c r="AQ35">
        <f ca="1">OFFSET(Objects!$HW$6,AQ$1+(Objects!$Y$4-$A35-1)*Objects!$X$4,0)</f>
        <v>0</v>
      </c>
      <c r="AR35">
        <f ca="1">OFFSET(Objects!$HW$6,AR$1+(Objects!$Y$4-$A35-1)*Objects!$X$4,0)</f>
        <v>0</v>
      </c>
      <c r="AS35">
        <f ca="1">OFFSET(Objects!$HW$6,AS$1+(Objects!$Y$4-$A35-1)*Objects!$X$4,0)</f>
        <v>0</v>
      </c>
      <c r="AT35">
        <f ca="1">OFFSET(Objects!$HW$6,AT$1+(Objects!$Y$4-$A35-1)*Objects!$X$4,0)</f>
        <v>0</v>
      </c>
      <c r="AU35">
        <f ca="1">OFFSET(Objects!$HW$6,AU$1+(Objects!$Y$4-$A35-1)*Objects!$X$4,0)</f>
        <v>0</v>
      </c>
      <c r="AV35">
        <f ca="1">OFFSET(Objects!$HW$6,AV$1+(Objects!$Y$4-$A35-1)*Objects!$X$4,0)</f>
        <v>0</v>
      </c>
      <c r="AW35">
        <f ca="1">OFFSET(Objects!$HW$6,AW$1+(Objects!$Y$4-$A35-1)*Objects!$X$4,0)</f>
        <v>0</v>
      </c>
      <c r="AX35">
        <f ca="1">OFFSET(Objects!$HW$6,AX$1+(Objects!$Y$4-$A35-1)*Objects!$X$4,0)</f>
        <v>0</v>
      </c>
      <c r="AY35">
        <f ca="1">OFFSET(Objects!$HW$6,AY$1+(Objects!$Y$4-$A35-1)*Objects!$X$4,0)</f>
        <v>0</v>
      </c>
      <c r="AZ35">
        <f ca="1">OFFSET(Objects!$HW$6,AZ$1+(Objects!$Y$4-$A35-1)*Objects!$X$4,0)</f>
        <v>0</v>
      </c>
      <c r="BA35">
        <f ca="1">OFFSET(Objects!$HW$6,BA$1+(Objects!$Y$4-$A35-1)*Objects!$X$4,0)</f>
        <v>0</v>
      </c>
      <c r="BB35">
        <f ca="1">OFFSET(Objects!$HW$6,BB$1+(Objects!$Y$4-$A35-1)*Objects!$X$4,0)</f>
        <v>0</v>
      </c>
      <c r="BC35">
        <f ca="1">OFFSET(Objects!$HW$6,BC$1+(Objects!$Y$4-$A35-1)*Objects!$X$4,0)</f>
        <v>0</v>
      </c>
      <c r="BD35">
        <f ca="1">OFFSET(Objects!$HW$6,BD$1+(Objects!$Y$4-$A35-1)*Objects!$X$4,0)</f>
        <v>0</v>
      </c>
      <c r="BE35">
        <f ca="1">OFFSET(Objects!$HW$6,BE$1+(Objects!$Y$4-$A35-1)*Objects!$X$4,0)</f>
        <v>0</v>
      </c>
      <c r="BF35">
        <f ca="1">OFFSET(Objects!$HW$6,BF$1+(Objects!$Y$4-$A35-1)*Objects!$X$4,0)</f>
        <v>0</v>
      </c>
      <c r="BG35">
        <f ca="1">OFFSET(Objects!$HW$6,BG$1+(Objects!$Y$4-$A35-1)*Objects!$X$4,0)</f>
        <v>0</v>
      </c>
      <c r="BH35">
        <f ca="1">OFFSET(Objects!$HW$6,BH$1+(Objects!$Y$4-$A35-1)*Objects!$X$4,0)</f>
        <v>0</v>
      </c>
      <c r="BI35">
        <f ca="1">OFFSET(Objects!$HW$6,BI$1+(Objects!$Y$4-$A35-1)*Objects!$X$4,0)</f>
        <v>0</v>
      </c>
      <c r="BJ35">
        <f ca="1">OFFSET(Objects!$HW$6,BJ$1+(Objects!$Y$4-$A35-1)*Objects!$X$4,0)</f>
        <v>0</v>
      </c>
      <c r="BK35">
        <f ca="1">OFFSET(Objects!$HW$6,BK$1+(Objects!$Y$4-$A35-1)*Objects!$X$4,0)</f>
        <v>0</v>
      </c>
      <c r="BL35">
        <f ca="1">OFFSET(Objects!$HW$6,BL$1+(Objects!$Y$4-$A35-1)*Objects!$X$4,0)</f>
        <v>0</v>
      </c>
      <c r="BM35">
        <f ca="1">OFFSET(Objects!$HW$6,BM$1+(Objects!$Y$4-$A35-1)*Objects!$X$4,0)</f>
        <v>0</v>
      </c>
      <c r="BN35">
        <f ca="1">OFFSET(Objects!$HW$6,BN$1+(Objects!$Y$4-$A35-1)*Objects!$X$4,0)</f>
        <v>0</v>
      </c>
      <c r="BO35">
        <f ca="1">OFFSET(Objects!$HW$6,BO$1+(Objects!$Y$4-$A35-1)*Objects!$X$4,0)</f>
        <v>0</v>
      </c>
      <c r="BP35">
        <f ca="1">OFFSET(Objects!$HW$6,BP$1+(Objects!$Y$4-$A35-1)*Objects!$X$4,0)</f>
        <v>0</v>
      </c>
      <c r="BQ35">
        <f ca="1">OFFSET(Objects!$HW$6,BQ$1+(Objects!$Y$4-$A35-1)*Objects!$X$4,0)</f>
        <v>0</v>
      </c>
      <c r="BR35">
        <f ca="1">OFFSET(Objects!$HW$6,BR$1+(Objects!$Y$4-$A35-1)*Objects!$X$4,0)</f>
        <v>0</v>
      </c>
      <c r="BS35">
        <f ca="1">OFFSET(Objects!$HW$6,BS$1+(Objects!$Y$4-$A35-1)*Objects!$X$4,0)</f>
        <v>0</v>
      </c>
      <c r="BT35">
        <f ca="1">OFFSET(Objects!$HW$6,BT$1+(Objects!$Y$4-$A35-1)*Objects!$X$4,0)</f>
        <v>0</v>
      </c>
      <c r="BU35">
        <f ca="1">OFFSET(Objects!$HW$6,BU$1+(Objects!$Y$4-$A35-1)*Objects!$X$4,0)</f>
        <v>0</v>
      </c>
      <c r="BV35">
        <f ca="1">OFFSET(Objects!$HW$6,BV$1+(Objects!$Y$4-$A35-1)*Objects!$X$4,0)</f>
        <v>0</v>
      </c>
      <c r="BW35">
        <f ca="1">OFFSET(Objects!$HW$6,BW$1+(Objects!$Y$4-$A35-1)*Objects!$X$4,0)</f>
        <v>0</v>
      </c>
      <c r="BX35">
        <f ca="1">OFFSET(Objects!$HW$6,BX$1+(Objects!$Y$4-$A35-1)*Objects!$X$4,0)</f>
        <v>0</v>
      </c>
      <c r="BY35">
        <f ca="1">OFFSET(Objects!$HW$6,BY$1+(Objects!$Y$4-$A35-1)*Objects!$X$4,0)</f>
        <v>0</v>
      </c>
      <c r="BZ35">
        <f ca="1">OFFSET(Objects!$HW$6,BZ$1+(Objects!$Y$4-$A35-1)*Objects!$X$4,0)</f>
        <v>0</v>
      </c>
      <c r="CA35">
        <f ca="1">OFFSET(Objects!$HW$6,CA$1+(Objects!$Y$4-$A35-1)*Objects!$X$4,0)</f>
        <v>0</v>
      </c>
      <c r="CB35">
        <f ca="1">OFFSET(Objects!$HW$6,CB$1+(Objects!$Y$4-$A35-1)*Objects!$X$4,0)</f>
        <v>0</v>
      </c>
      <c r="CC35">
        <f ca="1">OFFSET(Objects!$HW$6,CC$1+(Objects!$Y$4-$A35-1)*Objects!$X$4,0)</f>
        <v>0</v>
      </c>
      <c r="CD35">
        <f ca="1">OFFSET(Objects!$HW$6,CD$1+(Objects!$Y$4-$A35-1)*Objects!$X$4,0)</f>
        <v>0</v>
      </c>
      <c r="CE35">
        <f ca="1">OFFSET(Objects!$HW$6,CE$1+(Objects!$Y$4-$A35-1)*Objects!$X$4,0)</f>
        <v>0</v>
      </c>
      <c r="CF35">
        <f ca="1">OFFSET(Objects!$HW$6,CF$1+(Objects!$Y$4-$A35-1)*Objects!$X$4,0)</f>
        <v>0</v>
      </c>
      <c r="CG35">
        <f ca="1">OFFSET(Objects!$HW$6,CG$1+(Objects!$Y$4-$A35-1)*Objects!$X$4,0)</f>
        <v>0</v>
      </c>
      <c r="CH35">
        <f ca="1">OFFSET(Objects!$HW$6,CH$1+(Objects!$Y$4-$A35-1)*Objects!$X$4,0)</f>
        <v>0</v>
      </c>
      <c r="CI35">
        <f ca="1">OFFSET(Objects!$HW$6,CI$1+(Objects!$Y$4-$A35-1)*Objects!$X$4,0)</f>
        <v>0</v>
      </c>
      <c r="CJ35">
        <f ca="1">OFFSET(Objects!$HW$6,CJ$1+(Objects!$Y$4-$A35-1)*Objects!$X$4,0)</f>
        <v>0</v>
      </c>
      <c r="CK35">
        <f ca="1">OFFSET(Objects!$HW$6,CK$1+(Objects!$Y$4-$A35-1)*Objects!$X$4,0)</f>
        <v>0</v>
      </c>
      <c r="CL35">
        <f ca="1">OFFSET(Objects!$HW$6,CL$1+(Objects!$Y$4-$A35-1)*Objects!$X$4,0)</f>
        <v>0</v>
      </c>
      <c r="CM35">
        <f ca="1">OFFSET(Objects!$HW$6,CM$1+(Objects!$Y$4-$A35-1)*Objects!$X$4,0)</f>
        <v>0</v>
      </c>
      <c r="CN35">
        <f ca="1">OFFSET(Objects!$HW$6,CN$1+(Objects!$Y$4-$A35-1)*Objects!$X$4,0)</f>
        <v>0</v>
      </c>
      <c r="CO35">
        <f ca="1">OFFSET(Objects!$HW$6,CO$1+(Objects!$Y$4-$A35-1)*Objects!$X$4,0)</f>
        <v>0</v>
      </c>
      <c r="CP35">
        <f ca="1">OFFSET(Objects!$HW$6,CP$1+(Objects!$Y$4-$A35-1)*Objects!$X$4,0)</f>
        <v>0</v>
      </c>
      <c r="CQ35">
        <f ca="1">OFFSET(Objects!$HW$6,CQ$1+(Objects!$Y$4-$A35-1)*Objects!$X$4,0)</f>
        <v>0</v>
      </c>
      <c r="CR35">
        <f ca="1">OFFSET(Objects!$HW$6,CR$1+(Objects!$Y$4-$A35-1)*Objects!$X$4,0)</f>
        <v>0</v>
      </c>
      <c r="CS35">
        <f ca="1">OFFSET(Objects!$HW$6,CS$1+(Objects!$Y$4-$A35-1)*Objects!$X$4,0)</f>
        <v>0</v>
      </c>
      <c r="CT35">
        <f ca="1">OFFSET(Objects!$HW$6,CT$1+(Objects!$Y$4-$A35-1)*Objects!$X$4,0)</f>
        <v>0</v>
      </c>
      <c r="CU35">
        <f ca="1">OFFSET(Objects!$HW$6,CU$1+(Objects!$Y$4-$A35-1)*Objects!$X$4,0)</f>
        <v>0</v>
      </c>
      <c r="CV35">
        <f ca="1">OFFSET(Objects!$HW$6,CV$1+(Objects!$Y$4-$A35-1)*Objects!$X$4,0)</f>
        <v>0</v>
      </c>
      <c r="CW35">
        <f ca="1">OFFSET(Objects!$HW$6,CW$1+(Objects!$Y$4-$A35-1)*Objects!$X$4,0)</f>
        <v>0</v>
      </c>
      <c r="CX35">
        <f ca="1">OFFSET(Objects!$HW$6,CX$1+(Objects!$Y$4-$A35-1)*Objects!$X$4,0)</f>
        <v>0</v>
      </c>
      <c r="CY35">
        <f ca="1">OFFSET(Objects!$HW$6,CY$1+(Objects!$Y$4-$A35-1)*Objects!$X$4,0)</f>
        <v>0</v>
      </c>
      <c r="CZ35">
        <f ca="1">OFFSET(Objects!$HW$6,CZ$1+(Objects!$Y$4-$A35-1)*Objects!$X$4,0)</f>
        <v>0</v>
      </c>
      <c r="DA35">
        <f ca="1">OFFSET(Objects!$HW$6,DA$1+(Objects!$Y$4-$A35-1)*Objects!$X$4,0)</f>
        <v>0</v>
      </c>
      <c r="DB35">
        <f ca="1">OFFSET(Objects!$HW$6,DB$1+(Objects!$Y$4-$A35-1)*Objects!$X$4,0)</f>
        <v>0</v>
      </c>
      <c r="DC35">
        <f ca="1">OFFSET(Objects!$HW$6,DC$1+(Objects!$Y$4-$A35-1)*Objects!$X$4,0)</f>
        <v>0</v>
      </c>
      <c r="DD35">
        <f ca="1">OFFSET(Objects!$HW$6,DD$1+(Objects!$Y$4-$A35-1)*Objects!$X$4,0)</f>
        <v>0</v>
      </c>
      <c r="DE35">
        <f ca="1">OFFSET(Objects!$HW$6,DE$1+(Objects!$Y$4-$A35-1)*Objects!$X$4,0)</f>
        <v>0</v>
      </c>
      <c r="DF35">
        <f ca="1">OFFSET(Objects!$HW$6,DF$1+(Objects!$Y$4-$A35-1)*Objects!$X$4,0)</f>
        <v>0</v>
      </c>
      <c r="DG35">
        <f ca="1">OFFSET(Objects!$HW$6,DG$1+(Objects!$Y$4-$A35-1)*Objects!$X$4,0)</f>
        <v>0</v>
      </c>
      <c r="DH35">
        <f ca="1">OFFSET(Objects!$HW$6,DH$1+(Objects!$Y$4-$A35-1)*Objects!$X$4,0)</f>
        <v>0</v>
      </c>
      <c r="DI35">
        <f ca="1">OFFSET(Objects!$HW$6,DI$1+(Objects!$Y$4-$A35-1)*Objects!$X$4,0)</f>
        <v>0</v>
      </c>
      <c r="DJ35">
        <f ca="1">OFFSET(Objects!$HW$6,DJ$1+(Objects!$Y$4-$A35-1)*Objects!$X$4,0)</f>
        <v>0</v>
      </c>
      <c r="DK35">
        <f ca="1">OFFSET(Objects!$HW$6,DK$1+(Objects!$Y$4-$A35-1)*Objects!$X$4,0)</f>
        <v>0</v>
      </c>
      <c r="DL35">
        <f ca="1">OFFSET(Objects!$HW$6,DL$1+(Objects!$Y$4-$A35-1)*Objects!$X$4,0)</f>
        <v>0</v>
      </c>
      <c r="DM35">
        <f ca="1">OFFSET(Objects!$HW$6,DM$1+(Objects!$Y$4-$A35-1)*Objects!$X$4,0)</f>
        <v>0</v>
      </c>
      <c r="DN35">
        <f ca="1">OFFSET(Objects!$HW$6,DN$1+(Objects!$Y$4-$A35-1)*Objects!$X$4,0)</f>
        <v>0</v>
      </c>
      <c r="DO35">
        <f ca="1">OFFSET(Objects!$HW$6,DO$1+(Objects!$Y$4-$A35-1)*Objects!$X$4,0)</f>
        <v>0</v>
      </c>
      <c r="DP35">
        <f ca="1">OFFSET(Objects!$HW$6,DP$1+(Objects!$Y$4-$A35-1)*Objects!$X$4,0)</f>
        <v>0</v>
      </c>
      <c r="DQ35">
        <f ca="1">OFFSET(Objects!$HW$6,DQ$1+(Objects!$Y$4-$A35-1)*Objects!$X$4,0)</f>
        <v>0</v>
      </c>
      <c r="DR35">
        <f ca="1">OFFSET(Objects!$HW$6,DR$1+(Objects!$Y$4-$A35-1)*Objects!$X$4,0)</f>
        <v>0</v>
      </c>
      <c r="DS35">
        <f ca="1">OFFSET(Objects!$HW$6,DS$1+(Objects!$Y$4-$A35-1)*Objects!$X$4,0)</f>
        <v>0</v>
      </c>
      <c r="DT35">
        <f ca="1">OFFSET(Objects!$HW$6,DT$1+(Objects!$Y$4-$A35-1)*Objects!$X$4,0)</f>
        <v>0</v>
      </c>
      <c r="DU35">
        <f ca="1">OFFSET(Objects!$HW$6,DU$1+(Objects!$Y$4-$A35-1)*Objects!$X$4,0)</f>
        <v>0</v>
      </c>
      <c r="DV35">
        <f ca="1">OFFSET(Objects!$HW$6,DV$1+(Objects!$Y$4-$A35-1)*Objects!$X$4,0)</f>
        <v>0</v>
      </c>
      <c r="DW35">
        <f ca="1">OFFSET(Objects!$HW$6,DW$1+(Objects!$Y$4-$A35-1)*Objects!$X$4,0)</f>
        <v>0</v>
      </c>
      <c r="DX35">
        <f ca="1">OFFSET(Objects!$HW$6,DX$1+(Objects!$Y$4-$A35-1)*Objects!$X$4,0)</f>
        <v>0</v>
      </c>
      <c r="DY35">
        <f ca="1">OFFSET(Objects!$HW$6,DY$1+(Objects!$Y$4-$A35-1)*Objects!$X$4,0)</f>
        <v>0</v>
      </c>
      <c r="DZ35">
        <f ca="1">OFFSET(Objects!$HW$6,DZ$1+(Objects!$Y$4-$A35-1)*Objects!$X$4,0)</f>
        <v>0</v>
      </c>
      <c r="EA35">
        <f ca="1">OFFSET(Objects!$HW$6,EA$1+(Objects!$Y$4-$A35-1)*Objects!$X$4,0)</f>
        <v>0</v>
      </c>
      <c r="EB35">
        <f ca="1">OFFSET(Objects!$HW$6,EB$1+(Objects!$Y$4-$A35-1)*Objects!$X$4,0)</f>
        <v>0</v>
      </c>
      <c r="EC35">
        <f ca="1">OFFSET(Objects!$HW$6,EC$1+(Objects!$Y$4-$A35-1)*Objects!$X$4,0)</f>
        <v>0</v>
      </c>
      <c r="ED35">
        <f ca="1">OFFSET(Objects!$HW$6,ED$1+(Objects!$Y$4-$A35-1)*Objects!$X$4,0)</f>
        <v>0</v>
      </c>
      <c r="EE35">
        <f ca="1">OFFSET(Objects!$HW$6,EE$1+(Objects!$Y$4-$A35-1)*Objects!$X$4,0)</f>
        <v>0</v>
      </c>
      <c r="EF35">
        <f ca="1">OFFSET(Objects!$HW$6,EF$1+(Objects!$Y$4-$A35-1)*Objects!$X$4,0)</f>
        <v>0</v>
      </c>
      <c r="EG35">
        <f ca="1">OFFSET(Objects!$HW$6,EG$1+(Objects!$Y$4-$A35-1)*Objects!$X$4,0)</f>
        <v>0</v>
      </c>
      <c r="EH35">
        <f ca="1">OFFSET(Objects!$HW$6,EH$1+(Objects!$Y$4-$A35-1)*Objects!$X$4,0)</f>
        <v>0</v>
      </c>
      <c r="EI35">
        <f ca="1">OFFSET(Objects!$HW$6,EI$1+(Objects!$Y$4-$A35-1)*Objects!$X$4,0)</f>
        <v>0</v>
      </c>
      <c r="EJ35">
        <f ca="1">OFFSET(Objects!$HW$6,EJ$1+(Objects!$Y$4-$A35-1)*Objects!$X$4,0)</f>
        <v>0</v>
      </c>
      <c r="EK35">
        <f ca="1">OFFSET(Objects!$HW$6,EK$1+(Objects!$Y$4-$A35-1)*Objects!$X$4,0)</f>
        <v>0</v>
      </c>
      <c r="EL35">
        <f ca="1">OFFSET(Objects!$HW$6,EL$1+(Objects!$Y$4-$A35-1)*Objects!$X$4,0)</f>
        <v>0</v>
      </c>
      <c r="EM35">
        <f ca="1">OFFSET(Objects!$HW$6,EM$1+(Objects!$Y$4-$A35-1)*Objects!$X$4,0)</f>
        <v>0</v>
      </c>
      <c r="EN35">
        <f ca="1">OFFSET(Objects!$HW$6,EN$1+(Objects!$Y$4-$A35-1)*Objects!$X$4,0)</f>
        <v>0</v>
      </c>
      <c r="EO35">
        <f ca="1">OFFSET(Objects!$HW$6,EO$1+(Objects!$Y$4-$A35-1)*Objects!$X$4,0)</f>
        <v>0</v>
      </c>
      <c r="EP35">
        <f ca="1">OFFSET(Objects!$HW$6,EP$1+(Objects!$Y$4-$A35-1)*Objects!$X$4,0)</f>
        <v>0</v>
      </c>
      <c r="EQ35">
        <f ca="1">OFFSET(Objects!$HW$6,EQ$1+(Objects!$Y$4-$A35-1)*Objects!$X$4,0)</f>
        <v>0</v>
      </c>
      <c r="ER35">
        <f ca="1">OFFSET(Objects!$HW$6,ER$1+(Objects!$Y$4-$A35-1)*Objects!$X$4,0)</f>
        <v>0</v>
      </c>
      <c r="ES35">
        <f ca="1">OFFSET(Objects!$HW$6,ES$1+(Objects!$Y$4-$A35-1)*Objects!$X$4,0)</f>
        <v>0</v>
      </c>
      <c r="ET35">
        <f ca="1">OFFSET(Objects!$HW$6,ET$1+(Objects!$Y$4-$A35-1)*Objects!$X$4,0)</f>
        <v>0</v>
      </c>
      <c r="EU35">
        <f ca="1">OFFSET(Objects!$HW$6,EU$1+(Objects!$Y$4-$A35-1)*Objects!$X$4,0)</f>
        <v>0</v>
      </c>
      <c r="EV35">
        <f ca="1">OFFSET(Objects!$HW$6,EV$1+(Objects!$Y$4-$A35-1)*Objects!$X$4,0)</f>
        <v>0</v>
      </c>
      <c r="EW35">
        <f ca="1">OFFSET(Objects!$HW$6,EW$1+(Objects!$Y$4-$A35-1)*Objects!$X$4,0)</f>
        <v>0</v>
      </c>
      <c r="EX35">
        <f ca="1">OFFSET(Objects!$HW$6,EX$1+(Objects!$Y$4-$A35-1)*Objects!$X$4,0)</f>
        <v>0</v>
      </c>
      <c r="EY35">
        <f ca="1">OFFSET(Objects!$HW$6,EY$1+(Objects!$Y$4-$A35-1)*Objects!$X$4,0)</f>
        <v>0</v>
      </c>
      <c r="EZ35">
        <f ca="1">OFFSET(Objects!$HW$6,EZ$1+(Objects!$Y$4-$A35-1)*Objects!$X$4,0)</f>
        <v>0</v>
      </c>
      <c r="FA35">
        <f ca="1">OFFSET(Objects!$HW$6,FA$1+(Objects!$Y$4-$A35-1)*Objects!$X$4,0)</f>
        <v>0</v>
      </c>
      <c r="FB35">
        <f ca="1">OFFSET(Objects!$HW$6,FB$1+(Objects!$Y$4-$A35-1)*Objects!$X$4,0)</f>
        <v>0</v>
      </c>
      <c r="FC35">
        <f ca="1">OFFSET(Objects!$HW$6,FC$1+(Objects!$Y$4-$A35-1)*Objects!$X$4,0)</f>
        <v>0</v>
      </c>
      <c r="FD35">
        <f ca="1">OFFSET(Objects!$HW$6,FD$1+(Objects!$Y$4-$A35-1)*Objects!$X$4,0)</f>
        <v>0</v>
      </c>
      <c r="FE35" s="22">
        <f ca="1">OFFSET(Objects!$HW$6,FE$1+(Objects!$Y$4-$A35-1)*Objects!$X$4,0)</f>
        <v>0</v>
      </c>
    </row>
    <row r="36" spans="1:161" ht="4.5" customHeight="1" x14ac:dyDescent="0.25">
      <c r="A36">
        <v>34</v>
      </c>
      <c r="B36" s="21">
        <f ca="1">OFFSET(Objects!$HW$6,B$1+(Objects!$Y$4-$A36-1)*Objects!$X$4,0)</f>
        <v>0</v>
      </c>
      <c r="C36">
        <f ca="1">OFFSET(Objects!$HW$6,C$1+(Objects!$Y$4-$A36-1)*Objects!$X$4,0)</f>
        <v>0</v>
      </c>
      <c r="D36">
        <f ca="1">OFFSET(Objects!$HW$6,D$1+(Objects!$Y$4-$A36-1)*Objects!$X$4,0)</f>
        <v>0</v>
      </c>
      <c r="E36">
        <f ca="1">OFFSET(Objects!$HW$6,E$1+(Objects!$Y$4-$A36-1)*Objects!$X$4,0)</f>
        <v>0</v>
      </c>
      <c r="F36">
        <f ca="1">OFFSET(Objects!$HW$6,F$1+(Objects!$Y$4-$A36-1)*Objects!$X$4,0)</f>
        <v>0</v>
      </c>
      <c r="G36">
        <f ca="1">OFFSET(Objects!$HW$6,G$1+(Objects!$Y$4-$A36-1)*Objects!$X$4,0)</f>
        <v>0</v>
      </c>
      <c r="H36">
        <f ca="1">OFFSET(Objects!$HW$6,H$1+(Objects!$Y$4-$A36-1)*Objects!$X$4,0)</f>
        <v>0</v>
      </c>
      <c r="I36">
        <f ca="1">OFFSET(Objects!$HW$6,I$1+(Objects!$Y$4-$A36-1)*Objects!$X$4,0)</f>
        <v>0</v>
      </c>
      <c r="J36">
        <f ca="1">OFFSET(Objects!$HW$6,J$1+(Objects!$Y$4-$A36-1)*Objects!$X$4,0)</f>
        <v>0</v>
      </c>
      <c r="K36">
        <f ca="1">OFFSET(Objects!$HW$6,K$1+(Objects!$Y$4-$A36-1)*Objects!$X$4,0)</f>
        <v>0</v>
      </c>
      <c r="L36">
        <f ca="1">OFFSET(Objects!$HW$6,L$1+(Objects!$Y$4-$A36-1)*Objects!$X$4,0)</f>
        <v>0</v>
      </c>
      <c r="M36">
        <f ca="1">OFFSET(Objects!$HW$6,M$1+(Objects!$Y$4-$A36-1)*Objects!$X$4,0)</f>
        <v>0</v>
      </c>
      <c r="N36">
        <f ca="1">OFFSET(Objects!$HW$6,N$1+(Objects!$Y$4-$A36-1)*Objects!$X$4,0)</f>
        <v>0</v>
      </c>
      <c r="O36">
        <f ca="1">OFFSET(Objects!$HW$6,O$1+(Objects!$Y$4-$A36-1)*Objects!$X$4,0)</f>
        <v>0</v>
      </c>
      <c r="P36">
        <f ca="1">OFFSET(Objects!$HW$6,P$1+(Objects!$Y$4-$A36-1)*Objects!$X$4,0)</f>
        <v>0</v>
      </c>
      <c r="Q36">
        <f ca="1">OFFSET(Objects!$HW$6,Q$1+(Objects!$Y$4-$A36-1)*Objects!$X$4,0)</f>
        <v>0</v>
      </c>
      <c r="R36">
        <f ca="1">OFFSET(Objects!$HW$6,R$1+(Objects!$Y$4-$A36-1)*Objects!$X$4,0)</f>
        <v>0</v>
      </c>
      <c r="S36">
        <f ca="1">OFFSET(Objects!$HW$6,S$1+(Objects!$Y$4-$A36-1)*Objects!$X$4,0)</f>
        <v>0</v>
      </c>
      <c r="T36">
        <f ca="1">OFFSET(Objects!$HW$6,T$1+(Objects!$Y$4-$A36-1)*Objects!$X$4,0)</f>
        <v>0</v>
      </c>
      <c r="U36">
        <f ca="1">OFFSET(Objects!$HW$6,U$1+(Objects!$Y$4-$A36-1)*Objects!$X$4,0)</f>
        <v>0</v>
      </c>
      <c r="V36">
        <f ca="1">OFFSET(Objects!$HW$6,V$1+(Objects!$Y$4-$A36-1)*Objects!$X$4,0)</f>
        <v>0</v>
      </c>
      <c r="W36">
        <f ca="1">OFFSET(Objects!$HW$6,W$1+(Objects!$Y$4-$A36-1)*Objects!$X$4,0)</f>
        <v>0</v>
      </c>
      <c r="X36">
        <f ca="1">OFFSET(Objects!$HW$6,X$1+(Objects!$Y$4-$A36-1)*Objects!$X$4,0)</f>
        <v>0</v>
      </c>
      <c r="Y36">
        <f ca="1">OFFSET(Objects!$HW$6,Y$1+(Objects!$Y$4-$A36-1)*Objects!$X$4,0)</f>
        <v>0</v>
      </c>
      <c r="Z36">
        <f ca="1">OFFSET(Objects!$HW$6,Z$1+(Objects!$Y$4-$A36-1)*Objects!$X$4,0)</f>
        <v>0</v>
      </c>
      <c r="AA36">
        <f ca="1">OFFSET(Objects!$HW$6,AA$1+(Objects!$Y$4-$A36-1)*Objects!$X$4,0)</f>
        <v>0</v>
      </c>
      <c r="AB36">
        <f ca="1">OFFSET(Objects!$HW$6,AB$1+(Objects!$Y$4-$A36-1)*Objects!$X$4,0)</f>
        <v>0</v>
      </c>
      <c r="AC36">
        <f ca="1">OFFSET(Objects!$HW$6,AC$1+(Objects!$Y$4-$A36-1)*Objects!$X$4,0)</f>
        <v>0</v>
      </c>
      <c r="AD36">
        <f ca="1">OFFSET(Objects!$HW$6,AD$1+(Objects!$Y$4-$A36-1)*Objects!$X$4,0)</f>
        <v>0</v>
      </c>
      <c r="AE36">
        <f ca="1">OFFSET(Objects!$HW$6,AE$1+(Objects!$Y$4-$A36-1)*Objects!$X$4,0)</f>
        <v>0</v>
      </c>
      <c r="AF36">
        <f ca="1">OFFSET(Objects!$HW$6,AF$1+(Objects!$Y$4-$A36-1)*Objects!$X$4,0)</f>
        <v>0</v>
      </c>
      <c r="AG36">
        <f ca="1">OFFSET(Objects!$HW$6,AG$1+(Objects!$Y$4-$A36-1)*Objects!$X$4,0)</f>
        <v>0</v>
      </c>
      <c r="AH36">
        <f ca="1">OFFSET(Objects!$HW$6,AH$1+(Objects!$Y$4-$A36-1)*Objects!$X$4,0)</f>
        <v>0</v>
      </c>
      <c r="AI36">
        <f ca="1">OFFSET(Objects!$HW$6,AI$1+(Objects!$Y$4-$A36-1)*Objects!$X$4,0)</f>
        <v>0</v>
      </c>
      <c r="AJ36">
        <f ca="1">OFFSET(Objects!$HW$6,AJ$1+(Objects!$Y$4-$A36-1)*Objects!$X$4,0)</f>
        <v>0</v>
      </c>
      <c r="AK36">
        <f ca="1">OFFSET(Objects!$HW$6,AK$1+(Objects!$Y$4-$A36-1)*Objects!$X$4,0)</f>
        <v>0</v>
      </c>
      <c r="AL36">
        <f ca="1">OFFSET(Objects!$HW$6,AL$1+(Objects!$Y$4-$A36-1)*Objects!$X$4,0)</f>
        <v>0</v>
      </c>
      <c r="AM36">
        <f ca="1">OFFSET(Objects!$HW$6,AM$1+(Objects!$Y$4-$A36-1)*Objects!$X$4,0)</f>
        <v>0</v>
      </c>
      <c r="AN36">
        <f ca="1">OFFSET(Objects!$HW$6,AN$1+(Objects!$Y$4-$A36-1)*Objects!$X$4,0)</f>
        <v>0</v>
      </c>
      <c r="AO36">
        <f ca="1">OFFSET(Objects!$HW$6,AO$1+(Objects!$Y$4-$A36-1)*Objects!$X$4,0)</f>
        <v>0</v>
      </c>
      <c r="AP36">
        <f ca="1">OFFSET(Objects!$HW$6,AP$1+(Objects!$Y$4-$A36-1)*Objects!$X$4,0)</f>
        <v>0</v>
      </c>
      <c r="AQ36">
        <f ca="1">OFFSET(Objects!$HW$6,AQ$1+(Objects!$Y$4-$A36-1)*Objects!$X$4,0)</f>
        <v>0</v>
      </c>
      <c r="AR36">
        <f ca="1">OFFSET(Objects!$HW$6,AR$1+(Objects!$Y$4-$A36-1)*Objects!$X$4,0)</f>
        <v>0</v>
      </c>
      <c r="AS36">
        <f ca="1">OFFSET(Objects!$HW$6,AS$1+(Objects!$Y$4-$A36-1)*Objects!$X$4,0)</f>
        <v>0</v>
      </c>
      <c r="AT36">
        <f ca="1">OFFSET(Objects!$HW$6,AT$1+(Objects!$Y$4-$A36-1)*Objects!$X$4,0)</f>
        <v>0</v>
      </c>
      <c r="AU36">
        <f ca="1">OFFSET(Objects!$HW$6,AU$1+(Objects!$Y$4-$A36-1)*Objects!$X$4,0)</f>
        <v>0</v>
      </c>
      <c r="AV36">
        <f ca="1">OFFSET(Objects!$HW$6,AV$1+(Objects!$Y$4-$A36-1)*Objects!$X$4,0)</f>
        <v>0</v>
      </c>
      <c r="AW36">
        <f ca="1">OFFSET(Objects!$HW$6,AW$1+(Objects!$Y$4-$A36-1)*Objects!$X$4,0)</f>
        <v>0</v>
      </c>
      <c r="AX36">
        <f ca="1">OFFSET(Objects!$HW$6,AX$1+(Objects!$Y$4-$A36-1)*Objects!$X$4,0)</f>
        <v>0</v>
      </c>
      <c r="AY36">
        <f ca="1">OFFSET(Objects!$HW$6,AY$1+(Objects!$Y$4-$A36-1)*Objects!$X$4,0)</f>
        <v>0</v>
      </c>
      <c r="AZ36">
        <f ca="1">OFFSET(Objects!$HW$6,AZ$1+(Objects!$Y$4-$A36-1)*Objects!$X$4,0)</f>
        <v>0</v>
      </c>
      <c r="BA36">
        <f ca="1">OFFSET(Objects!$HW$6,BA$1+(Objects!$Y$4-$A36-1)*Objects!$X$4,0)</f>
        <v>0</v>
      </c>
      <c r="BB36">
        <f ca="1">OFFSET(Objects!$HW$6,BB$1+(Objects!$Y$4-$A36-1)*Objects!$X$4,0)</f>
        <v>0</v>
      </c>
      <c r="BC36">
        <f ca="1">OFFSET(Objects!$HW$6,BC$1+(Objects!$Y$4-$A36-1)*Objects!$X$4,0)</f>
        <v>0</v>
      </c>
      <c r="BD36">
        <f ca="1">OFFSET(Objects!$HW$6,BD$1+(Objects!$Y$4-$A36-1)*Objects!$X$4,0)</f>
        <v>0</v>
      </c>
      <c r="BE36">
        <f ca="1">OFFSET(Objects!$HW$6,BE$1+(Objects!$Y$4-$A36-1)*Objects!$X$4,0)</f>
        <v>0</v>
      </c>
      <c r="BF36">
        <f ca="1">OFFSET(Objects!$HW$6,BF$1+(Objects!$Y$4-$A36-1)*Objects!$X$4,0)</f>
        <v>0</v>
      </c>
      <c r="BG36">
        <f ca="1">OFFSET(Objects!$HW$6,BG$1+(Objects!$Y$4-$A36-1)*Objects!$X$4,0)</f>
        <v>0</v>
      </c>
      <c r="BH36">
        <f ca="1">OFFSET(Objects!$HW$6,BH$1+(Objects!$Y$4-$A36-1)*Objects!$X$4,0)</f>
        <v>0</v>
      </c>
      <c r="BI36">
        <f ca="1">OFFSET(Objects!$HW$6,BI$1+(Objects!$Y$4-$A36-1)*Objects!$X$4,0)</f>
        <v>0</v>
      </c>
      <c r="BJ36">
        <f ca="1">OFFSET(Objects!$HW$6,BJ$1+(Objects!$Y$4-$A36-1)*Objects!$X$4,0)</f>
        <v>0</v>
      </c>
      <c r="BK36">
        <f ca="1">OFFSET(Objects!$HW$6,BK$1+(Objects!$Y$4-$A36-1)*Objects!$X$4,0)</f>
        <v>0</v>
      </c>
      <c r="BL36">
        <f ca="1">OFFSET(Objects!$HW$6,BL$1+(Objects!$Y$4-$A36-1)*Objects!$X$4,0)</f>
        <v>0</v>
      </c>
      <c r="BM36">
        <f ca="1">OFFSET(Objects!$HW$6,BM$1+(Objects!$Y$4-$A36-1)*Objects!$X$4,0)</f>
        <v>0</v>
      </c>
      <c r="BN36">
        <f ca="1">OFFSET(Objects!$HW$6,BN$1+(Objects!$Y$4-$A36-1)*Objects!$X$4,0)</f>
        <v>0</v>
      </c>
      <c r="BO36">
        <f ca="1">OFFSET(Objects!$HW$6,BO$1+(Objects!$Y$4-$A36-1)*Objects!$X$4,0)</f>
        <v>0</v>
      </c>
      <c r="BP36">
        <f ca="1">OFFSET(Objects!$HW$6,BP$1+(Objects!$Y$4-$A36-1)*Objects!$X$4,0)</f>
        <v>0</v>
      </c>
      <c r="BQ36">
        <f ca="1">OFFSET(Objects!$HW$6,BQ$1+(Objects!$Y$4-$A36-1)*Objects!$X$4,0)</f>
        <v>0</v>
      </c>
      <c r="BR36">
        <f ca="1">OFFSET(Objects!$HW$6,BR$1+(Objects!$Y$4-$A36-1)*Objects!$X$4,0)</f>
        <v>0</v>
      </c>
      <c r="BS36">
        <f ca="1">OFFSET(Objects!$HW$6,BS$1+(Objects!$Y$4-$A36-1)*Objects!$X$4,0)</f>
        <v>0</v>
      </c>
      <c r="BT36">
        <f ca="1">OFFSET(Objects!$HW$6,BT$1+(Objects!$Y$4-$A36-1)*Objects!$X$4,0)</f>
        <v>0</v>
      </c>
      <c r="BU36">
        <f ca="1">OFFSET(Objects!$HW$6,BU$1+(Objects!$Y$4-$A36-1)*Objects!$X$4,0)</f>
        <v>0</v>
      </c>
      <c r="BV36">
        <f ca="1">OFFSET(Objects!$HW$6,BV$1+(Objects!$Y$4-$A36-1)*Objects!$X$4,0)</f>
        <v>0</v>
      </c>
      <c r="BW36">
        <f ca="1">OFFSET(Objects!$HW$6,BW$1+(Objects!$Y$4-$A36-1)*Objects!$X$4,0)</f>
        <v>0</v>
      </c>
      <c r="BX36">
        <f ca="1">OFFSET(Objects!$HW$6,BX$1+(Objects!$Y$4-$A36-1)*Objects!$X$4,0)</f>
        <v>0</v>
      </c>
      <c r="BY36">
        <f ca="1">OFFSET(Objects!$HW$6,BY$1+(Objects!$Y$4-$A36-1)*Objects!$X$4,0)</f>
        <v>0</v>
      </c>
      <c r="BZ36">
        <f ca="1">OFFSET(Objects!$HW$6,BZ$1+(Objects!$Y$4-$A36-1)*Objects!$X$4,0)</f>
        <v>0</v>
      </c>
      <c r="CA36">
        <f ca="1">OFFSET(Objects!$HW$6,CA$1+(Objects!$Y$4-$A36-1)*Objects!$X$4,0)</f>
        <v>0</v>
      </c>
      <c r="CB36">
        <f ca="1">OFFSET(Objects!$HW$6,CB$1+(Objects!$Y$4-$A36-1)*Objects!$X$4,0)</f>
        <v>0</v>
      </c>
      <c r="CC36">
        <f ca="1">OFFSET(Objects!$HW$6,CC$1+(Objects!$Y$4-$A36-1)*Objects!$X$4,0)</f>
        <v>0</v>
      </c>
      <c r="CD36">
        <f ca="1">OFFSET(Objects!$HW$6,CD$1+(Objects!$Y$4-$A36-1)*Objects!$X$4,0)</f>
        <v>0</v>
      </c>
      <c r="CE36">
        <f ca="1">OFFSET(Objects!$HW$6,CE$1+(Objects!$Y$4-$A36-1)*Objects!$X$4,0)</f>
        <v>0</v>
      </c>
      <c r="CF36">
        <f ca="1">OFFSET(Objects!$HW$6,CF$1+(Objects!$Y$4-$A36-1)*Objects!$X$4,0)</f>
        <v>0</v>
      </c>
      <c r="CG36">
        <f ca="1">OFFSET(Objects!$HW$6,CG$1+(Objects!$Y$4-$A36-1)*Objects!$X$4,0)</f>
        <v>0</v>
      </c>
      <c r="CH36">
        <f ca="1">OFFSET(Objects!$HW$6,CH$1+(Objects!$Y$4-$A36-1)*Objects!$X$4,0)</f>
        <v>0</v>
      </c>
      <c r="CI36">
        <f ca="1">OFFSET(Objects!$HW$6,CI$1+(Objects!$Y$4-$A36-1)*Objects!$X$4,0)</f>
        <v>0</v>
      </c>
      <c r="CJ36">
        <f ca="1">OFFSET(Objects!$HW$6,CJ$1+(Objects!$Y$4-$A36-1)*Objects!$X$4,0)</f>
        <v>0</v>
      </c>
      <c r="CK36">
        <f ca="1">OFFSET(Objects!$HW$6,CK$1+(Objects!$Y$4-$A36-1)*Objects!$X$4,0)</f>
        <v>0</v>
      </c>
      <c r="CL36">
        <f ca="1">OFFSET(Objects!$HW$6,CL$1+(Objects!$Y$4-$A36-1)*Objects!$X$4,0)</f>
        <v>0</v>
      </c>
      <c r="CM36">
        <f ca="1">OFFSET(Objects!$HW$6,CM$1+(Objects!$Y$4-$A36-1)*Objects!$X$4,0)</f>
        <v>0</v>
      </c>
      <c r="CN36">
        <f ca="1">OFFSET(Objects!$HW$6,CN$1+(Objects!$Y$4-$A36-1)*Objects!$X$4,0)</f>
        <v>0</v>
      </c>
      <c r="CO36">
        <f ca="1">OFFSET(Objects!$HW$6,CO$1+(Objects!$Y$4-$A36-1)*Objects!$X$4,0)</f>
        <v>0</v>
      </c>
      <c r="CP36">
        <f ca="1">OFFSET(Objects!$HW$6,CP$1+(Objects!$Y$4-$A36-1)*Objects!$X$4,0)</f>
        <v>0</v>
      </c>
      <c r="CQ36">
        <f ca="1">OFFSET(Objects!$HW$6,CQ$1+(Objects!$Y$4-$A36-1)*Objects!$X$4,0)</f>
        <v>0</v>
      </c>
      <c r="CR36">
        <f ca="1">OFFSET(Objects!$HW$6,CR$1+(Objects!$Y$4-$A36-1)*Objects!$X$4,0)</f>
        <v>0</v>
      </c>
      <c r="CS36">
        <f ca="1">OFFSET(Objects!$HW$6,CS$1+(Objects!$Y$4-$A36-1)*Objects!$X$4,0)</f>
        <v>0</v>
      </c>
      <c r="CT36">
        <f ca="1">OFFSET(Objects!$HW$6,CT$1+(Objects!$Y$4-$A36-1)*Objects!$X$4,0)</f>
        <v>0</v>
      </c>
      <c r="CU36">
        <f ca="1">OFFSET(Objects!$HW$6,CU$1+(Objects!$Y$4-$A36-1)*Objects!$X$4,0)</f>
        <v>0</v>
      </c>
      <c r="CV36">
        <f ca="1">OFFSET(Objects!$HW$6,CV$1+(Objects!$Y$4-$A36-1)*Objects!$X$4,0)</f>
        <v>0</v>
      </c>
      <c r="CW36">
        <f ca="1">OFFSET(Objects!$HW$6,CW$1+(Objects!$Y$4-$A36-1)*Objects!$X$4,0)</f>
        <v>0</v>
      </c>
      <c r="CX36">
        <f ca="1">OFFSET(Objects!$HW$6,CX$1+(Objects!$Y$4-$A36-1)*Objects!$X$4,0)</f>
        <v>0</v>
      </c>
      <c r="CY36">
        <f ca="1">OFFSET(Objects!$HW$6,CY$1+(Objects!$Y$4-$A36-1)*Objects!$X$4,0)</f>
        <v>0</v>
      </c>
      <c r="CZ36">
        <f ca="1">OFFSET(Objects!$HW$6,CZ$1+(Objects!$Y$4-$A36-1)*Objects!$X$4,0)</f>
        <v>0</v>
      </c>
      <c r="DA36">
        <f ca="1">OFFSET(Objects!$HW$6,DA$1+(Objects!$Y$4-$A36-1)*Objects!$X$4,0)</f>
        <v>0</v>
      </c>
      <c r="DB36">
        <f ca="1">OFFSET(Objects!$HW$6,DB$1+(Objects!$Y$4-$A36-1)*Objects!$X$4,0)</f>
        <v>0</v>
      </c>
      <c r="DC36">
        <f ca="1">OFFSET(Objects!$HW$6,DC$1+(Objects!$Y$4-$A36-1)*Objects!$X$4,0)</f>
        <v>0</v>
      </c>
      <c r="DD36">
        <f ca="1">OFFSET(Objects!$HW$6,DD$1+(Objects!$Y$4-$A36-1)*Objects!$X$4,0)</f>
        <v>0</v>
      </c>
      <c r="DE36">
        <f ca="1">OFFSET(Objects!$HW$6,DE$1+(Objects!$Y$4-$A36-1)*Objects!$X$4,0)</f>
        <v>0</v>
      </c>
      <c r="DF36">
        <f ca="1">OFFSET(Objects!$HW$6,DF$1+(Objects!$Y$4-$A36-1)*Objects!$X$4,0)</f>
        <v>0</v>
      </c>
      <c r="DG36">
        <f ca="1">OFFSET(Objects!$HW$6,DG$1+(Objects!$Y$4-$A36-1)*Objects!$X$4,0)</f>
        <v>0</v>
      </c>
      <c r="DH36">
        <f ca="1">OFFSET(Objects!$HW$6,DH$1+(Objects!$Y$4-$A36-1)*Objects!$X$4,0)</f>
        <v>0</v>
      </c>
      <c r="DI36">
        <f ca="1">OFFSET(Objects!$HW$6,DI$1+(Objects!$Y$4-$A36-1)*Objects!$X$4,0)</f>
        <v>0</v>
      </c>
      <c r="DJ36">
        <f ca="1">OFFSET(Objects!$HW$6,DJ$1+(Objects!$Y$4-$A36-1)*Objects!$X$4,0)</f>
        <v>0</v>
      </c>
      <c r="DK36">
        <f ca="1">OFFSET(Objects!$HW$6,DK$1+(Objects!$Y$4-$A36-1)*Objects!$X$4,0)</f>
        <v>0</v>
      </c>
      <c r="DL36">
        <f ca="1">OFFSET(Objects!$HW$6,DL$1+(Objects!$Y$4-$A36-1)*Objects!$X$4,0)</f>
        <v>0</v>
      </c>
      <c r="DM36">
        <f ca="1">OFFSET(Objects!$HW$6,DM$1+(Objects!$Y$4-$A36-1)*Objects!$X$4,0)</f>
        <v>0</v>
      </c>
      <c r="DN36">
        <f ca="1">OFFSET(Objects!$HW$6,DN$1+(Objects!$Y$4-$A36-1)*Objects!$X$4,0)</f>
        <v>0</v>
      </c>
      <c r="DO36">
        <f ca="1">OFFSET(Objects!$HW$6,DO$1+(Objects!$Y$4-$A36-1)*Objects!$X$4,0)</f>
        <v>0</v>
      </c>
      <c r="DP36">
        <f ca="1">OFFSET(Objects!$HW$6,DP$1+(Objects!$Y$4-$A36-1)*Objects!$X$4,0)</f>
        <v>0</v>
      </c>
      <c r="DQ36">
        <f ca="1">OFFSET(Objects!$HW$6,DQ$1+(Objects!$Y$4-$A36-1)*Objects!$X$4,0)</f>
        <v>0</v>
      </c>
      <c r="DR36">
        <f ca="1">OFFSET(Objects!$HW$6,DR$1+(Objects!$Y$4-$A36-1)*Objects!$X$4,0)</f>
        <v>0</v>
      </c>
      <c r="DS36">
        <f ca="1">OFFSET(Objects!$HW$6,DS$1+(Objects!$Y$4-$A36-1)*Objects!$X$4,0)</f>
        <v>0</v>
      </c>
      <c r="DT36">
        <f ca="1">OFFSET(Objects!$HW$6,DT$1+(Objects!$Y$4-$A36-1)*Objects!$X$4,0)</f>
        <v>0</v>
      </c>
      <c r="DU36">
        <f ca="1">OFFSET(Objects!$HW$6,DU$1+(Objects!$Y$4-$A36-1)*Objects!$X$4,0)</f>
        <v>0</v>
      </c>
      <c r="DV36">
        <f ca="1">OFFSET(Objects!$HW$6,DV$1+(Objects!$Y$4-$A36-1)*Objects!$X$4,0)</f>
        <v>0</v>
      </c>
      <c r="DW36">
        <f ca="1">OFFSET(Objects!$HW$6,DW$1+(Objects!$Y$4-$A36-1)*Objects!$X$4,0)</f>
        <v>0</v>
      </c>
      <c r="DX36">
        <f ca="1">OFFSET(Objects!$HW$6,DX$1+(Objects!$Y$4-$A36-1)*Objects!$X$4,0)</f>
        <v>0</v>
      </c>
      <c r="DY36">
        <f ca="1">OFFSET(Objects!$HW$6,DY$1+(Objects!$Y$4-$A36-1)*Objects!$X$4,0)</f>
        <v>0</v>
      </c>
      <c r="DZ36">
        <f ca="1">OFFSET(Objects!$HW$6,DZ$1+(Objects!$Y$4-$A36-1)*Objects!$X$4,0)</f>
        <v>0</v>
      </c>
      <c r="EA36">
        <f ca="1">OFFSET(Objects!$HW$6,EA$1+(Objects!$Y$4-$A36-1)*Objects!$X$4,0)</f>
        <v>0</v>
      </c>
      <c r="EB36">
        <f ca="1">OFFSET(Objects!$HW$6,EB$1+(Objects!$Y$4-$A36-1)*Objects!$X$4,0)</f>
        <v>0</v>
      </c>
      <c r="EC36">
        <f ca="1">OFFSET(Objects!$HW$6,EC$1+(Objects!$Y$4-$A36-1)*Objects!$X$4,0)</f>
        <v>0</v>
      </c>
      <c r="ED36">
        <f ca="1">OFFSET(Objects!$HW$6,ED$1+(Objects!$Y$4-$A36-1)*Objects!$X$4,0)</f>
        <v>0</v>
      </c>
      <c r="EE36">
        <f ca="1">OFFSET(Objects!$HW$6,EE$1+(Objects!$Y$4-$A36-1)*Objects!$X$4,0)</f>
        <v>0</v>
      </c>
      <c r="EF36">
        <f ca="1">OFFSET(Objects!$HW$6,EF$1+(Objects!$Y$4-$A36-1)*Objects!$X$4,0)</f>
        <v>0</v>
      </c>
      <c r="EG36">
        <f ca="1">OFFSET(Objects!$HW$6,EG$1+(Objects!$Y$4-$A36-1)*Objects!$X$4,0)</f>
        <v>0</v>
      </c>
      <c r="EH36">
        <f ca="1">OFFSET(Objects!$HW$6,EH$1+(Objects!$Y$4-$A36-1)*Objects!$X$4,0)</f>
        <v>0</v>
      </c>
      <c r="EI36">
        <f ca="1">OFFSET(Objects!$HW$6,EI$1+(Objects!$Y$4-$A36-1)*Objects!$X$4,0)</f>
        <v>0</v>
      </c>
      <c r="EJ36">
        <f ca="1">OFFSET(Objects!$HW$6,EJ$1+(Objects!$Y$4-$A36-1)*Objects!$X$4,0)</f>
        <v>0</v>
      </c>
      <c r="EK36">
        <f ca="1">OFFSET(Objects!$HW$6,EK$1+(Objects!$Y$4-$A36-1)*Objects!$X$4,0)</f>
        <v>0</v>
      </c>
      <c r="EL36">
        <f ca="1">OFFSET(Objects!$HW$6,EL$1+(Objects!$Y$4-$A36-1)*Objects!$X$4,0)</f>
        <v>0</v>
      </c>
      <c r="EM36">
        <f ca="1">OFFSET(Objects!$HW$6,EM$1+(Objects!$Y$4-$A36-1)*Objects!$X$4,0)</f>
        <v>0</v>
      </c>
      <c r="EN36">
        <f ca="1">OFFSET(Objects!$HW$6,EN$1+(Objects!$Y$4-$A36-1)*Objects!$X$4,0)</f>
        <v>0</v>
      </c>
      <c r="EO36">
        <f ca="1">OFFSET(Objects!$HW$6,EO$1+(Objects!$Y$4-$A36-1)*Objects!$X$4,0)</f>
        <v>0</v>
      </c>
      <c r="EP36">
        <f ca="1">OFFSET(Objects!$HW$6,EP$1+(Objects!$Y$4-$A36-1)*Objects!$X$4,0)</f>
        <v>0</v>
      </c>
      <c r="EQ36">
        <f ca="1">OFFSET(Objects!$HW$6,EQ$1+(Objects!$Y$4-$A36-1)*Objects!$X$4,0)</f>
        <v>0</v>
      </c>
      <c r="ER36">
        <f ca="1">OFFSET(Objects!$HW$6,ER$1+(Objects!$Y$4-$A36-1)*Objects!$X$4,0)</f>
        <v>0</v>
      </c>
      <c r="ES36">
        <f ca="1">OFFSET(Objects!$HW$6,ES$1+(Objects!$Y$4-$A36-1)*Objects!$X$4,0)</f>
        <v>0</v>
      </c>
      <c r="ET36">
        <f ca="1">OFFSET(Objects!$HW$6,ET$1+(Objects!$Y$4-$A36-1)*Objects!$X$4,0)</f>
        <v>0</v>
      </c>
      <c r="EU36">
        <f ca="1">OFFSET(Objects!$HW$6,EU$1+(Objects!$Y$4-$A36-1)*Objects!$X$4,0)</f>
        <v>0</v>
      </c>
      <c r="EV36">
        <f ca="1">OFFSET(Objects!$HW$6,EV$1+(Objects!$Y$4-$A36-1)*Objects!$X$4,0)</f>
        <v>0</v>
      </c>
      <c r="EW36">
        <f ca="1">OFFSET(Objects!$HW$6,EW$1+(Objects!$Y$4-$A36-1)*Objects!$X$4,0)</f>
        <v>0</v>
      </c>
      <c r="EX36">
        <f ca="1">OFFSET(Objects!$HW$6,EX$1+(Objects!$Y$4-$A36-1)*Objects!$X$4,0)</f>
        <v>0</v>
      </c>
      <c r="EY36">
        <f ca="1">OFFSET(Objects!$HW$6,EY$1+(Objects!$Y$4-$A36-1)*Objects!$X$4,0)</f>
        <v>0</v>
      </c>
      <c r="EZ36">
        <f ca="1">OFFSET(Objects!$HW$6,EZ$1+(Objects!$Y$4-$A36-1)*Objects!$X$4,0)</f>
        <v>0</v>
      </c>
      <c r="FA36">
        <f ca="1">OFFSET(Objects!$HW$6,FA$1+(Objects!$Y$4-$A36-1)*Objects!$X$4,0)</f>
        <v>0</v>
      </c>
      <c r="FB36">
        <f ca="1">OFFSET(Objects!$HW$6,FB$1+(Objects!$Y$4-$A36-1)*Objects!$X$4,0)</f>
        <v>0</v>
      </c>
      <c r="FC36">
        <f ca="1">OFFSET(Objects!$HW$6,FC$1+(Objects!$Y$4-$A36-1)*Objects!$X$4,0)</f>
        <v>0</v>
      </c>
      <c r="FD36">
        <f ca="1">OFFSET(Objects!$HW$6,FD$1+(Objects!$Y$4-$A36-1)*Objects!$X$4,0)</f>
        <v>0</v>
      </c>
      <c r="FE36" s="22">
        <f ca="1">OFFSET(Objects!$HW$6,FE$1+(Objects!$Y$4-$A36-1)*Objects!$X$4,0)</f>
        <v>0</v>
      </c>
    </row>
    <row r="37" spans="1:161" ht="4.5" customHeight="1" x14ac:dyDescent="0.25">
      <c r="A37">
        <v>35</v>
      </c>
      <c r="B37" s="21">
        <f ca="1">OFFSET(Objects!$HW$6,B$1+(Objects!$Y$4-$A37-1)*Objects!$X$4,0)</f>
        <v>0</v>
      </c>
      <c r="C37">
        <f ca="1">OFFSET(Objects!$HW$6,C$1+(Objects!$Y$4-$A37-1)*Objects!$X$4,0)</f>
        <v>0</v>
      </c>
      <c r="D37">
        <f ca="1">OFFSET(Objects!$HW$6,D$1+(Objects!$Y$4-$A37-1)*Objects!$X$4,0)</f>
        <v>0</v>
      </c>
      <c r="E37">
        <f ca="1">OFFSET(Objects!$HW$6,E$1+(Objects!$Y$4-$A37-1)*Objects!$X$4,0)</f>
        <v>0</v>
      </c>
      <c r="F37">
        <f ca="1">OFFSET(Objects!$HW$6,F$1+(Objects!$Y$4-$A37-1)*Objects!$X$4,0)</f>
        <v>0</v>
      </c>
      <c r="G37">
        <f ca="1">OFFSET(Objects!$HW$6,G$1+(Objects!$Y$4-$A37-1)*Objects!$X$4,0)</f>
        <v>0</v>
      </c>
      <c r="H37">
        <f ca="1">OFFSET(Objects!$HW$6,H$1+(Objects!$Y$4-$A37-1)*Objects!$X$4,0)</f>
        <v>0</v>
      </c>
      <c r="I37">
        <f ca="1">OFFSET(Objects!$HW$6,I$1+(Objects!$Y$4-$A37-1)*Objects!$X$4,0)</f>
        <v>0</v>
      </c>
      <c r="J37">
        <f ca="1">OFFSET(Objects!$HW$6,J$1+(Objects!$Y$4-$A37-1)*Objects!$X$4,0)</f>
        <v>0</v>
      </c>
      <c r="K37">
        <f ca="1">OFFSET(Objects!$HW$6,K$1+(Objects!$Y$4-$A37-1)*Objects!$X$4,0)</f>
        <v>0</v>
      </c>
      <c r="L37">
        <f ca="1">OFFSET(Objects!$HW$6,L$1+(Objects!$Y$4-$A37-1)*Objects!$X$4,0)</f>
        <v>0</v>
      </c>
      <c r="M37">
        <f ca="1">OFFSET(Objects!$HW$6,M$1+(Objects!$Y$4-$A37-1)*Objects!$X$4,0)</f>
        <v>0</v>
      </c>
      <c r="N37">
        <f ca="1">OFFSET(Objects!$HW$6,N$1+(Objects!$Y$4-$A37-1)*Objects!$X$4,0)</f>
        <v>0</v>
      </c>
      <c r="O37">
        <f ca="1">OFFSET(Objects!$HW$6,O$1+(Objects!$Y$4-$A37-1)*Objects!$X$4,0)</f>
        <v>0</v>
      </c>
      <c r="P37">
        <f ca="1">OFFSET(Objects!$HW$6,P$1+(Objects!$Y$4-$A37-1)*Objects!$X$4,0)</f>
        <v>0</v>
      </c>
      <c r="Q37">
        <f ca="1">OFFSET(Objects!$HW$6,Q$1+(Objects!$Y$4-$A37-1)*Objects!$X$4,0)</f>
        <v>0</v>
      </c>
      <c r="R37">
        <f ca="1">OFFSET(Objects!$HW$6,R$1+(Objects!$Y$4-$A37-1)*Objects!$X$4,0)</f>
        <v>0</v>
      </c>
      <c r="S37">
        <f ca="1">OFFSET(Objects!$HW$6,S$1+(Objects!$Y$4-$A37-1)*Objects!$X$4,0)</f>
        <v>0</v>
      </c>
      <c r="T37">
        <f ca="1">OFFSET(Objects!$HW$6,T$1+(Objects!$Y$4-$A37-1)*Objects!$X$4,0)</f>
        <v>0</v>
      </c>
      <c r="U37">
        <f ca="1">OFFSET(Objects!$HW$6,U$1+(Objects!$Y$4-$A37-1)*Objects!$X$4,0)</f>
        <v>0</v>
      </c>
      <c r="V37">
        <f ca="1">OFFSET(Objects!$HW$6,V$1+(Objects!$Y$4-$A37-1)*Objects!$X$4,0)</f>
        <v>0</v>
      </c>
      <c r="W37">
        <f ca="1">OFFSET(Objects!$HW$6,W$1+(Objects!$Y$4-$A37-1)*Objects!$X$4,0)</f>
        <v>0</v>
      </c>
      <c r="X37">
        <f ca="1">OFFSET(Objects!$HW$6,X$1+(Objects!$Y$4-$A37-1)*Objects!$X$4,0)</f>
        <v>0</v>
      </c>
      <c r="Y37">
        <f ca="1">OFFSET(Objects!$HW$6,Y$1+(Objects!$Y$4-$A37-1)*Objects!$X$4,0)</f>
        <v>0</v>
      </c>
      <c r="Z37">
        <f ca="1">OFFSET(Objects!$HW$6,Z$1+(Objects!$Y$4-$A37-1)*Objects!$X$4,0)</f>
        <v>0</v>
      </c>
      <c r="AA37">
        <f ca="1">OFFSET(Objects!$HW$6,AA$1+(Objects!$Y$4-$A37-1)*Objects!$X$4,0)</f>
        <v>0</v>
      </c>
      <c r="AB37">
        <f ca="1">OFFSET(Objects!$HW$6,AB$1+(Objects!$Y$4-$A37-1)*Objects!$X$4,0)</f>
        <v>0</v>
      </c>
      <c r="AC37">
        <f ca="1">OFFSET(Objects!$HW$6,AC$1+(Objects!$Y$4-$A37-1)*Objects!$X$4,0)</f>
        <v>0</v>
      </c>
      <c r="AD37">
        <f ca="1">OFFSET(Objects!$HW$6,AD$1+(Objects!$Y$4-$A37-1)*Objects!$X$4,0)</f>
        <v>0</v>
      </c>
      <c r="AE37">
        <f ca="1">OFFSET(Objects!$HW$6,AE$1+(Objects!$Y$4-$A37-1)*Objects!$X$4,0)</f>
        <v>0</v>
      </c>
      <c r="AF37">
        <f ca="1">OFFSET(Objects!$HW$6,AF$1+(Objects!$Y$4-$A37-1)*Objects!$X$4,0)</f>
        <v>0</v>
      </c>
      <c r="AG37">
        <f ca="1">OFFSET(Objects!$HW$6,AG$1+(Objects!$Y$4-$A37-1)*Objects!$X$4,0)</f>
        <v>0</v>
      </c>
      <c r="AH37">
        <f ca="1">OFFSET(Objects!$HW$6,AH$1+(Objects!$Y$4-$A37-1)*Objects!$X$4,0)</f>
        <v>0</v>
      </c>
      <c r="AI37">
        <f ca="1">OFFSET(Objects!$HW$6,AI$1+(Objects!$Y$4-$A37-1)*Objects!$X$4,0)</f>
        <v>0</v>
      </c>
      <c r="AJ37">
        <f ca="1">OFFSET(Objects!$HW$6,AJ$1+(Objects!$Y$4-$A37-1)*Objects!$X$4,0)</f>
        <v>0</v>
      </c>
      <c r="AK37">
        <f ca="1">OFFSET(Objects!$HW$6,AK$1+(Objects!$Y$4-$A37-1)*Objects!$X$4,0)</f>
        <v>0</v>
      </c>
      <c r="AL37">
        <f ca="1">OFFSET(Objects!$HW$6,AL$1+(Objects!$Y$4-$A37-1)*Objects!$X$4,0)</f>
        <v>0</v>
      </c>
      <c r="AM37">
        <f ca="1">OFFSET(Objects!$HW$6,AM$1+(Objects!$Y$4-$A37-1)*Objects!$X$4,0)</f>
        <v>0</v>
      </c>
      <c r="AN37">
        <f ca="1">OFFSET(Objects!$HW$6,AN$1+(Objects!$Y$4-$A37-1)*Objects!$X$4,0)</f>
        <v>0</v>
      </c>
      <c r="AO37">
        <f ca="1">OFFSET(Objects!$HW$6,AO$1+(Objects!$Y$4-$A37-1)*Objects!$X$4,0)</f>
        <v>0</v>
      </c>
      <c r="AP37">
        <f ca="1">OFFSET(Objects!$HW$6,AP$1+(Objects!$Y$4-$A37-1)*Objects!$X$4,0)</f>
        <v>0</v>
      </c>
      <c r="AQ37">
        <f ca="1">OFFSET(Objects!$HW$6,AQ$1+(Objects!$Y$4-$A37-1)*Objects!$X$4,0)</f>
        <v>0</v>
      </c>
      <c r="AR37">
        <f ca="1">OFFSET(Objects!$HW$6,AR$1+(Objects!$Y$4-$A37-1)*Objects!$X$4,0)</f>
        <v>0</v>
      </c>
      <c r="AS37">
        <f ca="1">OFFSET(Objects!$HW$6,AS$1+(Objects!$Y$4-$A37-1)*Objects!$X$4,0)</f>
        <v>0</v>
      </c>
      <c r="AT37">
        <f ca="1">OFFSET(Objects!$HW$6,AT$1+(Objects!$Y$4-$A37-1)*Objects!$X$4,0)</f>
        <v>0</v>
      </c>
      <c r="AU37">
        <f ca="1">OFFSET(Objects!$HW$6,AU$1+(Objects!$Y$4-$A37-1)*Objects!$X$4,0)</f>
        <v>0</v>
      </c>
      <c r="AV37">
        <f ca="1">OFFSET(Objects!$HW$6,AV$1+(Objects!$Y$4-$A37-1)*Objects!$X$4,0)</f>
        <v>0</v>
      </c>
      <c r="AW37">
        <f ca="1">OFFSET(Objects!$HW$6,AW$1+(Objects!$Y$4-$A37-1)*Objects!$X$4,0)</f>
        <v>0</v>
      </c>
      <c r="AX37">
        <f ca="1">OFFSET(Objects!$HW$6,AX$1+(Objects!$Y$4-$A37-1)*Objects!$X$4,0)</f>
        <v>0</v>
      </c>
      <c r="AY37">
        <f ca="1">OFFSET(Objects!$HW$6,AY$1+(Objects!$Y$4-$A37-1)*Objects!$X$4,0)</f>
        <v>0</v>
      </c>
      <c r="AZ37">
        <f ca="1">OFFSET(Objects!$HW$6,AZ$1+(Objects!$Y$4-$A37-1)*Objects!$X$4,0)</f>
        <v>0</v>
      </c>
      <c r="BA37">
        <f ca="1">OFFSET(Objects!$HW$6,BA$1+(Objects!$Y$4-$A37-1)*Objects!$X$4,0)</f>
        <v>0</v>
      </c>
      <c r="BB37">
        <f ca="1">OFFSET(Objects!$HW$6,BB$1+(Objects!$Y$4-$A37-1)*Objects!$X$4,0)</f>
        <v>0</v>
      </c>
      <c r="BC37">
        <f ca="1">OFFSET(Objects!$HW$6,BC$1+(Objects!$Y$4-$A37-1)*Objects!$X$4,0)</f>
        <v>0</v>
      </c>
      <c r="BD37">
        <f ca="1">OFFSET(Objects!$HW$6,BD$1+(Objects!$Y$4-$A37-1)*Objects!$X$4,0)</f>
        <v>0</v>
      </c>
      <c r="BE37">
        <f ca="1">OFFSET(Objects!$HW$6,BE$1+(Objects!$Y$4-$A37-1)*Objects!$X$4,0)</f>
        <v>0</v>
      </c>
      <c r="BF37">
        <f ca="1">OFFSET(Objects!$HW$6,BF$1+(Objects!$Y$4-$A37-1)*Objects!$X$4,0)</f>
        <v>0</v>
      </c>
      <c r="BG37">
        <f ca="1">OFFSET(Objects!$HW$6,BG$1+(Objects!$Y$4-$A37-1)*Objects!$X$4,0)</f>
        <v>0</v>
      </c>
      <c r="BH37">
        <f ca="1">OFFSET(Objects!$HW$6,BH$1+(Objects!$Y$4-$A37-1)*Objects!$X$4,0)</f>
        <v>0</v>
      </c>
      <c r="BI37">
        <f ca="1">OFFSET(Objects!$HW$6,BI$1+(Objects!$Y$4-$A37-1)*Objects!$X$4,0)</f>
        <v>0</v>
      </c>
      <c r="BJ37">
        <f ca="1">OFFSET(Objects!$HW$6,BJ$1+(Objects!$Y$4-$A37-1)*Objects!$X$4,0)</f>
        <v>0</v>
      </c>
      <c r="BK37">
        <f ca="1">OFFSET(Objects!$HW$6,BK$1+(Objects!$Y$4-$A37-1)*Objects!$X$4,0)</f>
        <v>0</v>
      </c>
      <c r="BL37">
        <f ca="1">OFFSET(Objects!$HW$6,BL$1+(Objects!$Y$4-$A37-1)*Objects!$X$4,0)</f>
        <v>0</v>
      </c>
      <c r="BM37">
        <f ca="1">OFFSET(Objects!$HW$6,BM$1+(Objects!$Y$4-$A37-1)*Objects!$X$4,0)</f>
        <v>0</v>
      </c>
      <c r="BN37">
        <f ca="1">OFFSET(Objects!$HW$6,BN$1+(Objects!$Y$4-$A37-1)*Objects!$X$4,0)</f>
        <v>0</v>
      </c>
      <c r="BO37">
        <f ca="1">OFFSET(Objects!$HW$6,BO$1+(Objects!$Y$4-$A37-1)*Objects!$X$4,0)</f>
        <v>0</v>
      </c>
      <c r="BP37">
        <f ca="1">OFFSET(Objects!$HW$6,BP$1+(Objects!$Y$4-$A37-1)*Objects!$X$4,0)</f>
        <v>0</v>
      </c>
      <c r="BQ37">
        <f ca="1">OFFSET(Objects!$HW$6,BQ$1+(Objects!$Y$4-$A37-1)*Objects!$X$4,0)</f>
        <v>0</v>
      </c>
      <c r="BR37">
        <f ca="1">OFFSET(Objects!$HW$6,BR$1+(Objects!$Y$4-$A37-1)*Objects!$X$4,0)</f>
        <v>0</v>
      </c>
      <c r="BS37">
        <f ca="1">OFFSET(Objects!$HW$6,BS$1+(Objects!$Y$4-$A37-1)*Objects!$X$4,0)</f>
        <v>0</v>
      </c>
      <c r="BT37">
        <f ca="1">OFFSET(Objects!$HW$6,BT$1+(Objects!$Y$4-$A37-1)*Objects!$X$4,0)</f>
        <v>0</v>
      </c>
      <c r="BU37">
        <f ca="1">OFFSET(Objects!$HW$6,BU$1+(Objects!$Y$4-$A37-1)*Objects!$X$4,0)</f>
        <v>0</v>
      </c>
      <c r="BV37">
        <f ca="1">OFFSET(Objects!$HW$6,BV$1+(Objects!$Y$4-$A37-1)*Objects!$X$4,0)</f>
        <v>0</v>
      </c>
      <c r="BW37">
        <f ca="1">OFFSET(Objects!$HW$6,BW$1+(Objects!$Y$4-$A37-1)*Objects!$X$4,0)</f>
        <v>0</v>
      </c>
      <c r="BX37">
        <f ca="1">OFFSET(Objects!$HW$6,BX$1+(Objects!$Y$4-$A37-1)*Objects!$X$4,0)</f>
        <v>0</v>
      </c>
      <c r="BY37">
        <f ca="1">OFFSET(Objects!$HW$6,BY$1+(Objects!$Y$4-$A37-1)*Objects!$X$4,0)</f>
        <v>0</v>
      </c>
      <c r="BZ37">
        <f ca="1">OFFSET(Objects!$HW$6,BZ$1+(Objects!$Y$4-$A37-1)*Objects!$X$4,0)</f>
        <v>0</v>
      </c>
      <c r="CA37">
        <f ca="1">OFFSET(Objects!$HW$6,CA$1+(Objects!$Y$4-$A37-1)*Objects!$X$4,0)</f>
        <v>0</v>
      </c>
      <c r="CB37">
        <f ca="1">OFFSET(Objects!$HW$6,CB$1+(Objects!$Y$4-$A37-1)*Objects!$X$4,0)</f>
        <v>0</v>
      </c>
      <c r="CC37">
        <f ca="1">OFFSET(Objects!$HW$6,CC$1+(Objects!$Y$4-$A37-1)*Objects!$X$4,0)</f>
        <v>0</v>
      </c>
      <c r="CD37">
        <f ca="1">OFFSET(Objects!$HW$6,CD$1+(Objects!$Y$4-$A37-1)*Objects!$X$4,0)</f>
        <v>0</v>
      </c>
      <c r="CE37">
        <f ca="1">OFFSET(Objects!$HW$6,CE$1+(Objects!$Y$4-$A37-1)*Objects!$X$4,0)</f>
        <v>0</v>
      </c>
      <c r="CF37">
        <f ca="1">OFFSET(Objects!$HW$6,CF$1+(Objects!$Y$4-$A37-1)*Objects!$X$4,0)</f>
        <v>0</v>
      </c>
      <c r="CG37">
        <f ca="1">OFFSET(Objects!$HW$6,CG$1+(Objects!$Y$4-$A37-1)*Objects!$X$4,0)</f>
        <v>0</v>
      </c>
      <c r="CH37">
        <f ca="1">OFFSET(Objects!$HW$6,CH$1+(Objects!$Y$4-$A37-1)*Objects!$X$4,0)</f>
        <v>0</v>
      </c>
      <c r="CI37">
        <f ca="1">OFFSET(Objects!$HW$6,CI$1+(Objects!$Y$4-$A37-1)*Objects!$X$4,0)</f>
        <v>0</v>
      </c>
      <c r="CJ37">
        <f ca="1">OFFSET(Objects!$HW$6,CJ$1+(Objects!$Y$4-$A37-1)*Objects!$X$4,0)</f>
        <v>0</v>
      </c>
      <c r="CK37">
        <f ca="1">OFFSET(Objects!$HW$6,CK$1+(Objects!$Y$4-$A37-1)*Objects!$X$4,0)</f>
        <v>0</v>
      </c>
      <c r="CL37">
        <f ca="1">OFFSET(Objects!$HW$6,CL$1+(Objects!$Y$4-$A37-1)*Objects!$X$4,0)</f>
        <v>0</v>
      </c>
      <c r="CM37">
        <f ca="1">OFFSET(Objects!$HW$6,CM$1+(Objects!$Y$4-$A37-1)*Objects!$X$4,0)</f>
        <v>0</v>
      </c>
      <c r="CN37">
        <f ca="1">OFFSET(Objects!$HW$6,CN$1+(Objects!$Y$4-$A37-1)*Objects!$X$4,0)</f>
        <v>0</v>
      </c>
      <c r="CO37">
        <f ca="1">OFFSET(Objects!$HW$6,CO$1+(Objects!$Y$4-$A37-1)*Objects!$X$4,0)</f>
        <v>0</v>
      </c>
      <c r="CP37">
        <f ca="1">OFFSET(Objects!$HW$6,CP$1+(Objects!$Y$4-$A37-1)*Objects!$X$4,0)</f>
        <v>0</v>
      </c>
      <c r="CQ37">
        <f ca="1">OFFSET(Objects!$HW$6,CQ$1+(Objects!$Y$4-$A37-1)*Objects!$X$4,0)</f>
        <v>0</v>
      </c>
      <c r="CR37">
        <f ca="1">OFFSET(Objects!$HW$6,CR$1+(Objects!$Y$4-$A37-1)*Objects!$X$4,0)</f>
        <v>0</v>
      </c>
      <c r="CS37">
        <f ca="1">OFFSET(Objects!$HW$6,CS$1+(Objects!$Y$4-$A37-1)*Objects!$X$4,0)</f>
        <v>0</v>
      </c>
      <c r="CT37">
        <f ca="1">OFFSET(Objects!$HW$6,CT$1+(Objects!$Y$4-$A37-1)*Objects!$X$4,0)</f>
        <v>0</v>
      </c>
      <c r="CU37">
        <f ca="1">OFFSET(Objects!$HW$6,CU$1+(Objects!$Y$4-$A37-1)*Objects!$X$4,0)</f>
        <v>0</v>
      </c>
      <c r="CV37">
        <f ca="1">OFFSET(Objects!$HW$6,CV$1+(Objects!$Y$4-$A37-1)*Objects!$X$4,0)</f>
        <v>0</v>
      </c>
      <c r="CW37">
        <f ca="1">OFFSET(Objects!$HW$6,CW$1+(Objects!$Y$4-$A37-1)*Objects!$X$4,0)</f>
        <v>0</v>
      </c>
      <c r="CX37">
        <f ca="1">OFFSET(Objects!$HW$6,CX$1+(Objects!$Y$4-$A37-1)*Objects!$X$4,0)</f>
        <v>0</v>
      </c>
      <c r="CY37">
        <f ca="1">OFFSET(Objects!$HW$6,CY$1+(Objects!$Y$4-$A37-1)*Objects!$X$4,0)</f>
        <v>0</v>
      </c>
      <c r="CZ37">
        <f ca="1">OFFSET(Objects!$HW$6,CZ$1+(Objects!$Y$4-$A37-1)*Objects!$X$4,0)</f>
        <v>0</v>
      </c>
      <c r="DA37">
        <f ca="1">OFFSET(Objects!$HW$6,DA$1+(Objects!$Y$4-$A37-1)*Objects!$X$4,0)</f>
        <v>0</v>
      </c>
      <c r="DB37">
        <f ca="1">OFFSET(Objects!$HW$6,DB$1+(Objects!$Y$4-$A37-1)*Objects!$X$4,0)</f>
        <v>0</v>
      </c>
      <c r="DC37">
        <f ca="1">OFFSET(Objects!$HW$6,DC$1+(Objects!$Y$4-$A37-1)*Objects!$X$4,0)</f>
        <v>0</v>
      </c>
      <c r="DD37">
        <f ca="1">OFFSET(Objects!$HW$6,DD$1+(Objects!$Y$4-$A37-1)*Objects!$X$4,0)</f>
        <v>0</v>
      </c>
      <c r="DE37">
        <f ca="1">OFFSET(Objects!$HW$6,DE$1+(Objects!$Y$4-$A37-1)*Objects!$X$4,0)</f>
        <v>0</v>
      </c>
      <c r="DF37">
        <f ca="1">OFFSET(Objects!$HW$6,DF$1+(Objects!$Y$4-$A37-1)*Objects!$X$4,0)</f>
        <v>0</v>
      </c>
      <c r="DG37">
        <f ca="1">OFFSET(Objects!$HW$6,DG$1+(Objects!$Y$4-$A37-1)*Objects!$X$4,0)</f>
        <v>0</v>
      </c>
      <c r="DH37">
        <f ca="1">OFFSET(Objects!$HW$6,DH$1+(Objects!$Y$4-$A37-1)*Objects!$X$4,0)</f>
        <v>0</v>
      </c>
      <c r="DI37">
        <f ca="1">OFFSET(Objects!$HW$6,DI$1+(Objects!$Y$4-$A37-1)*Objects!$X$4,0)</f>
        <v>0</v>
      </c>
      <c r="DJ37">
        <f ca="1">OFFSET(Objects!$HW$6,DJ$1+(Objects!$Y$4-$A37-1)*Objects!$X$4,0)</f>
        <v>0</v>
      </c>
      <c r="DK37">
        <f ca="1">OFFSET(Objects!$HW$6,DK$1+(Objects!$Y$4-$A37-1)*Objects!$X$4,0)</f>
        <v>0</v>
      </c>
      <c r="DL37">
        <f ca="1">OFFSET(Objects!$HW$6,DL$1+(Objects!$Y$4-$A37-1)*Objects!$X$4,0)</f>
        <v>0</v>
      </c>
      <c r="DM37">
        <f ca="1">OFFSET(Objects!$HW$6,DM$1+(Objects!$Y$4-$A37-1)*Objects!$X$4,0)</f>
        <v>0</v>
      </c>
      <c r="DN37">
        <f ca="1">OFFSET(Objects!$HW$6,DN$1+(Objects!$Y$4-$A37-1)*Objects!$X$4,0)</f>
        <v>0</v>
      </c>
      <c r="DO37">
        <f ca="1">OFFSET(Objects!$HW$6,DO$1+(Objects!$Y$4-$A37-1)*Objects!$X$4,0)</f>
        <v>0</v>
      </c>
      <c r="DP37">
        <f ca="1">OFFSET(Objects!$HW$6,DP$1+(Objects!$Y$4-$A37-1)*Objects!$X$4,0)</f>
        <v>0</v>
      </c>
      <c r="DQ37">
        <f ca="1">OFFSET(Objects!$HW$6,DQ$1+(Objects!$Y$4-$A37-1)*Objects!$X$4,0)</f>
        <v>0</v>
      </c>
      <c r="DR37">
        <f ca="1">OFFSET(Objects!$HW$6,DR$1+(Objects!$Y$4-$A37-1)*Objects!$X$4,0)</f>
        <v>0</v>
      </c>
      <c r="DS37">
        <f ca="1">OFFSET(Objects!$HW$6,DS$1+(Objects!$Y$4-$A37-1)*Objects!$X$4,0)</f>
        <v>0</v>
      </c>
      <c r="DT37">
        <f ca="1">OFFSET(Objects!$HW$6,DT$1+(Objects!$Y$4-$A37-1)*Objects!$X$4,0)</f>
        <v>0</v>
      </c>
      <c r="DU37">
        <f ca="1">OFFSET(Objects!$HW$6,DU$1+(Objects!$Y$4-$A37-1)*Objects!$X$4,0)</f>
        <v>0</v>
      </c>
      <c r="DV37">
        <f ca="1">OFFSET(Objects!$HW$6,DV$1+(Objects!$Y$4-$A37-1)*Objects!$X$4,0)</f>
        <v>0</v>
      </c>
      <c r="DW37">
        <f ca="1">OFFSET(Objects!$HW$6,DW$1+(Objects!$Y$4-$A37-1)*Objects!$X$4,0)</f>
        <v>0</v>
      </c>
      <c r="DX37">
        <f ca="1">OFFSET(Objects!$HW$6,DX$1+(Objects!$Y$4-$A37-1)*Objects!$X$4,0)</f>
        <v>0</v>
      </c>
      <c r="DY37">
        <f ca="1">OFFSET(Objects!$HW$6,DY$1+(Objects!$Y$4-$A37-1)*Objects!$X$4,0)</f>
        <v>0</v>
      </c>
      <c r="DZ37">
        <f ca="1">OFFSET(Objects!$HW$6,DZ$1+(Objects!$Y$4-$A37-1)*Objects!$X$4,0)</f>
        <v>0</v>
      </c>
      <c r="EA37">
        <f ca="1">OFFSET(Objects!$HW$6,EA$1+(Objects!$Y$4-$A37-1)*Objects!$X$4,0)</f>
        <v>0</v>
      </c>
      <c r="EB37">
        <f ca="1">OFFSET(Objects!$HW$6,EB$1+(Objects!$Y$4-$A37-1)*Objects!$X$4,0)</f>
        <v>0</v>
      </c>
      <c r="EC37">
        <f ca="1">OFFSET(Objects!$HW$6,EC$1+(Objects!$Y$4-$A37-1)*Objects!$X$4,0)</f>
        <v>0</v>
      </c>
      <c r="ED37">
        <f ca="1">OFFSET(Objects!$HW$6,ED$1+(Objects!$Y$4-$A37-1)*Objects!$X$4,0)</f>
        <v>0</v>
      </c>
      <c r="EE37">
        <f ca="1">OFFSET(Objects!$HW$6,EE$1+(Objects!$Y$4-$A37-1)*Objects!$X$4,0)</f>
        <v>0</v>
      </c>
      <c r="EF37">
        <f ca="1">OFFSET(Objects!$HW$6,EF$1+(Objects!$Y$4-$A37-1)*Objects!$X$4,0)</f>
        <v>0</v>
      </c>
      <c r="EG37">
        <f ca="1">OFFSET(Objects!$HW$6,EG$1+(Objects!$Y$4-$A37-1)*Objects!$X$4,0)</f>
        <v>0</v>
      </c>
      <c r="EH37">
        <f ca="1">OFFSET(Objects!$HW$6,EH$1+(Objects!$Y$4-$A37-1)*Objects!$X$4,0)</f>
        <v>0</v>
      </c>
      <c r="EI37">
        <f ca="1">OFFSET(Objects!$HW$6,EI$1+(Objects!$Y$4-$A37-1)*Objects!$X$4,0)</f>
        <v>0</v>
      </c>
      <c r="EJ37">
        <f ca="1">OFFSET(Objects!$HW$6,EJ$1+(Objects!$Y$4-$A37-1)*Objects!$X$4,0)</f>
        <v>0</v>
      </c>
      <c r="EK37">
        <f ca="1">OFFSET(Objects!$HW$6,EK$1+(Objects!$Y$4-$A37-1)*Objects!$X$4,0)</f>
        <v>0</v>
      </c>
      <c r="EL37">
        <f ca="1">OFFSET(Objects!$HW$6,EL$1+(Objects!$Y$4-$A37-1)*Objects!$X$4,0)</f>
        <v>0</v>
      </c>
      <c r="EM37">
        <f ca="1">OFFSET(Objects!$HW$6,EM$1+(Objects!$Y$4-$A37-1)*Objects!$X$4,0)</f>
        <v>0</v>
      </c>
      <c r="EN37">
        <f ca="1">OFFSET(Objects!$HW$6,EN$1+(Objects!$Y$4-$A37-1)*Objects!$X$4,0)</f>
        <v>0</v>
      </c>
      <c r="EO37">
        <f ca="1">OFFSET(Objects!$HW$6,EO$1+(Objects!$Y$4-$A37-1)*Objects!$X$4,0)</f>
        <v>0</v>
      </c>
      <c r="EP37">
        <f ca="1">OFFSET(Objects!$HW$6,EP$1+(Objects!$Y$4-$A37-1)*Objects!$X$4,0)</f>
        <v>0</v>
      </c>
      <c r="EQ37">
        <f ca="1">OFFSET(Objects!$HW$6,EQ$1+(Objects!$Y$4-$A37-1)*Objects!$X$4,0)</f>
        <v>0</v>
      </c>
      <c r="ER37">
        <f ca="1">OFFSET(Objects!$HW$6,ER$1+(Objects!$Y$4-$A37-1)*Objects!$X$4,0)</f>
        <v>0</v>
      </c>
      <c r="ES37">
        <f ca="1">OFFSET(Objects!$HW$6,ES$1+(Objects!$Y$4-$A37-1)*Objects!$X$4,0)</f>
        <v>0</v>
      </c>
      <c r="ET37">
        <f ca="1">OFFSET(Objects!$HW$6,ET$1+(Objects!$Y$4-$A37-1)*Objects!$X$4,0)</f>
        <v>0</v>
      </c>
      <c r="EU37">
        <f ca="1">OFFSET(Objects!$HW$6,EU$1+(Objects!$Y$4-$A37-1)*Objects!$X$4,0)</f>
        <v>0</v>
      </c>
      <c r="EV37">
        <f ca="1">OFFSET(Objects!$HW$6,EV$1+(Objects!$Y$4-$A37-1)*Objects!$X$4,0)</f>
        <v>0</v>
      </c>
      <c r="EW37">
        <f ca="1">OFFSET(Objects!$HW$6,EW$1+(Objects!$Y$4-$A37-1)*Objects!$X$4,0)</f>
        <v>0</v>
      </c>
      <c r="EX37">
        <f ca="1">OFFSET(Objects!$HW$6,EX$1+(Objects!$Y$4-$A37-1)*Objects!$X$4,0)</f>
        <v>0</v>
      </c>
      <c r="EY37">
        <f ca="1">OFFSET(Objects!$HW$6,EY$1+(Objects!$Y$4-$A37-1)*Objects!$X$4,0)</f>
        <v>0</v>
      </c>
      <c r="EZ37">
        <f ca="1">OFFSET(Objects!$HW$6,EZ$1+(Objects!$Y$4-$A37-1)*Objects!$X$4,0)</f>
        <v>0</v>
      </c>
      <c r="FA37">
        <f ca="1">OFFSET(Objects!$HW$6,FA$1+(Objects!$Y$4-$A37-1)*Objects!$X$4,0)</f>
        <v>0</v>
      </c>
      <c r="FB37">
        <f ca="1">OFFSET(Objects!$HW$6,FB$1+(Objects!$Y$4-$A37-1)*Objects!$X$4,0)</f>
        <v>0</v>
      </c>
      <c r="FC37">
        <f ca="1">OFFSET(Objects!$HW$6,FC$1+(Objects!$Y$4-$A37-1)*Objects!$X$4,0)</f>
        <v>0</v>
      </c>
      <c r="FD37">
        <f ca="1">OFFSET(Objects!$HW$6,FD$1+(Objects!$Y$4-$A37-1)*Objects!$X$4,0)</f>
        <v>0</v>
      </c>
      <c r="FE37" s="22">
        <f ca="1">OFFSET(Objects!$HW$6,FE$1+(Objects!$Y$4-$A37-1)*Objects!$X$4,0)</f>
        <v>0</v>
      </c>
    </row>
    <row r="38" spans="1:161" ht="4.5" customHeight="1" x14ac:dyDescent="0.25">
      <c r="A38">
        <v>36</v>
      </c>
      <c r="B38" s="21">
        <f ca="1">OFFSET(Objects!$HW$6,B$1+(Objects!$Y$4-$A38-1)*Objects!$X$4,0)</f>
        <v>0</v>
      </c>
      <c r="C38">
        <f ca="1">OFFSET(Objects!$HW$6,C$1+(Objects!$Y$4-$A38-1)*Objects!$X$4,0)</f>
        <v>0</v>
      </c>
      <c r="D38">
        <f ca="1">OFFSET(Objects!$HW$6,D$1+(Objects!$Y$4-$A38-1)*Objects!$X$4,0)</f>
        <v>0</v>
      </c>
      <c r="E38">
        <f ca="1">OFFSET(Objects!$HW$6,E$1+(Objects!$Y$4-$A38-1)*Objects!$X$4,0)</f>
        <v>0</v>
      </c>
      <c r="F38">
        <f ca="1">OFFSET(Objects!$HW$6,F$1+(Objects!$Y$4-$A38-1)*Objects!$X$4,0)</f>
        <v>0</v>
      </c>
      <c r="G38">
        <f ca="1">OFFSET(Objects!$HW$6,G$1+(Objects!$Y$4-$A38-1)*Objects!$X$4,0)</f>
        <v>0</v>
      </c>
      <c r="H38">
        <f ca="1">OFFSET(Objects!$HW$6,H$1+(Objects!$Y$4-$A38-1)*Objects!$X$4,0)</f>
        <v>0</v>
      </c>
      <c r="I38">
        <f ca="1">OFFSET(Objects!$HW$6,I$1+(Objects!$Y$4-$A38-1)*Objects!$X$4,0)</f>
        <v>0</v>
      </c>
      <c r="J38">
        <f ca="1">OFFSET(Objects!$HW$6,J$1+(Objects!$Y$4-$A38-1)*Objects!$X$4,0)</f>
        <v>0</v>
      </c>
      <c r="K38">
        <f ca="1">OFFSET(Objects!$HW$6,K$1+(Objects!$Y$4-$A38-1)*Objects!$X$4,0)</f>
        <v>0</v>
      </c>
      <c r="L38">
        <f ca="1">OFFSET(Objects!$HW$6,L$1+(Objects!$Y$4-$A38-1)*Objects!$X$4,0)</f>
        <v>0</v>
      </c>
      <c r="M38">
        <f ca="1">OFFSET(Objects!$HW$6,M$1+(Objects!$Y$4-$A38-1)*Objects!$X$4,0)</f>
        <v>0</v>
      </c>
      <c r="N38">
        <f ca="1">OFFSET(Objects!$HW$6,N$1+(Objects!$Y$4-$A38-1)*Objects!$X$4,0)</f>
        <v>0</v>
      </c>
      <c r="O38">
        <f ca="1">OFFSET(Objects!$HW$6,O$1+(Objects!$Y$4-$A38-1)*Objects!$X$4,0)</f>
        <v>0</v>
      </c>
      <c r="P38">
        <f ca="1">OFFSET(Objects!$HW$6,P$1+(Objects!$Y$4-$A38-1)*Objects!$X$4,0)</f>
        <v>0</v>
      </c>
      <c r="Q38">
        <f ca="1">OFFSET(Objects!$HW$6,Q$1+(Objects!$Y$4-$A38-1)*Objects!$X$4,0)</f>
        <v>0</v>
      </c>
      <c r="R38">
        <f ca="1">OFFSET(Objects!$HW$6,R$1+(Objects!$Y$4-$A38-1)*Objects!$X$4,0)</f>
        <v>0</v>
      </c>
      <c r="S38">
        <f ca="1">OFFSET(Objects!$HW$6,S$1+(Objects!$Y$4-$A38-1)*Objects!$X$4,0)</f>
        <v>0</v>
      </c>
      <c r="T38">
        <f ca="1">OFFSET(Objects!$HW$6,T$1+(Objects!$Y$4-$A38-1)*Objects!$X$4,0)</f>
        <v>0</v>
      </c>
      <c r="U38">
        <f ca="1">OFFSET(Objects!$HW$6,U$1+(Objects!$Y$4-$A38-1)*Objects!$X$4,0)</f>
        <v>0</v>
      </c>
      <c r="V38">
        <f ca="1">OFFSET(Objects!$HW$6,V$1+(Objects!$Y$4-$A38-1)*Objects!$X$4,0)</f>
        <v>0</v>
      </c>
      <c r="W38">
        <f ca="1">OFFSET(Objects!$HW$6,W$1+(Objects!$Y$4-$A38-1)*Objects!$X$4,0)</f>
        <v>0</v>
      </c>
      <c r="X38">
        <f ca="1">OFFSET(Objects!$HW$6,X$1+(Objects!$Y$4-$A38-1)*Objects!$X$4,0)</f>
        <v>0</v>
      </c>
      <c r="Y38">
        <f ca="1">OFFSET(Objects!$HW$6,Y$1+(Objects!$Y$4-$A38-1)*Objects!$X$4,0)</f>
        <v>0</v>
      </c>
      <c r="Z38">
        <f ca="1">OFFSET(Objects!$HW$6,Z$1+(Objects!$Y$4-$A38-1)*Objects!$X$4,0)</f>
        <v>0</v>
      </c>
      <c r="AA38">
        <f ca="1">OFFSET(Objects!$HW$6,AA$1+(Objects!$Y$4-$A38-1)*Objects!$X$4,0)</f>
        <v>0</v>
      </c>
      <c r="AB38">
        <f ca="1">OFFSET(Objects!$HW$6,AB$1+(Objects!$Y$4-$A38-1)*Objects!$X$4,0)</f>
        <v>0</v>
      </c>
      <c r="AC38">
        <f ca="1">OFFSET(Objects!$HW$6,AC$1+(Objects!$Y$4-$A38-1)*Objects!$X$4,0)</f>
        <v>0</v>
      </c>
      <c r="AD38">
        <f ca="1">OFFSET(Objects!$HW$6,AD$1+(Objects!$Y$4-$A38-1)*Objects!$X$4,0)</f>
        <v>0</v>
      </c>
      <c r="AE38">
        <f ca="1">OFFSET(Objects!$HW$6,AE$1+(Objects!$Y$4-$A38-1)*Objects!$X$4,0)</f>
        <v>0</v>
      </c>
      <c r="AF38">
        <f ca="1">OFFSET(Objects!$HW$6,AF$1+(Objects!$Y$4-$A38-1)*Objects!$X$4,0)</f>
        <v>0</v>
      </c>
      <c r="AG38">
        <f ca="1">OFFSET(Objects!$HW$6,AG$1+(Objects!$Y$4-$A38-1)*Objects!$X$4,0)</f>
        <v>0</v>
      </c>
      <c r="AH38">
        <f ca="1">OFFSET(Objects!$HW$6,AH$1+(Objects!$Y$4-$A38-1)*Objects!$X$4,0)</f>
        <v>0</v>
      </c>
      <c r="AI38">
        <f ca="1">OFFSET(Objects!$HW$6,AI$1+(Objects!$Y$4-$A38-1)*Objects!$X$4,0)</f>
        <v>0</v>
      </c>
      <c r="AJ38">
        <f ca="1">OFFSET(Objects!$HW$6,AJ$1+(Objects!$Y$4-$A38-1)*Objects!$X$4,0)</f>
        <v>0</v>
      </c>
      <c r="AK38">
        <f ca="1">OFFSET(Objects!$HW$6,AK$1+(Objects!$Y$4-$A38-1)*Objects!$X$4,0)</f>
        <v>0</v>
      </c>
      <c r="AL38">
        <f ca="1">OFFSET(Objects!$HW$6,AL$1+(Objects!$Y$4-$A38-1)*Objects!$X$4,0)</f>
        <v>0</v>
      </c>
      <c r="AM38">
        <f ca="1">OFFSET(Objects!$HW$6,AM$1+(Objects!$Y$4-$A38-1)*Objects!$X$4,0)</f>
        <v>0</v>
      </c>
      <c r="AN38">
        <f ca="1">OFFSET(Objects!$HW$6,AN$1+(Objects!$Y$4-$A38-1)*Objects!$X$4,0)</f>
        <v>0</v>
      </c>
      <c r="AO38">
        <f ca="1">OFFSET(Objects!$HW$6,AO$1+(Objects!$Y$4-$A38-1)*Objects!$X$4,0)</f>
        <v>0</v>
      </c>
      <c r="AP38">
        <f ca="1">OFFSET(Objects!$HW$6,AP$1+(Objects!$Y$4-$A38-1)*Objects!$X$4,0)</f>
        <v>0</v>
      </c>
      <c r="AQ38">
        <f ca="1">OFFSET(Objects!$HW$6,AQ$1+(Objects!$Y$4-$A38-1)*Objects!$X$4,0)</f>
        <v>0</v>
      </c>
      <c r="AR38">
        <f ca="1">OFFSET(Objects!$HW$6,AR$1+(Objects!$Y$4-$A38-1)*Objects!$X$4,0)</f>
        <v>0</v>
      </c>
      <c r="AS38">
        <f ca="1">OFFSET(Objects!$HW$6,AS$1+(Objects!$Y$4-$A38-1)*Objects!$X$4,0)</f>
        <v>0</v>
      </c>
      <c r="AT38">
        <f ca="1">OFFSET(Objects!$HW$6,AT$1+(Objects!$Y$4-$A38-1)*Objects!$X$4,0)</f>
        <v>0</v>
      </c>
      <c r="AU38">
        <f ca="1">OFFSET(Objects!$HW$6,AU$1+(Objects!$Y$4-$A38-1)*Objects!$X$4,0)</f>
        <v>0</v>
      </c>
      <c r="AV38">
        <f ca="1">OFFSET(Objects!$HW$6,AV$1+(Objects!$Y$4-$A38-1)*Objects!$X$4,0)</f>
        <v>0</v>
      </c>
      <c r="AW38">
        <f ca="1">OFFSET(Objects!$HW$6,AW$1+(Objects!$Y$4-$A38-1)*Objects!$X$4,0)</f>
        <v>0</v>
      </c>
      <c r="AX38">
        <f ca="1">OFFSET(Objects!$HW$6,AX$1+(Objects!$Y$4-$A38-1)*Objects!$X$4,0)</f>
        <v>0</v>
      </c>
      <c r="AY38">
        <f ca="1">OFFSET(Objects!$HW$6,AY$1+(Objects!$Y$4-$A38-1)*Objects!$X$4,0)</f>
        <v>0</v>
      </c>
      <c r="AZ38">
        <f ca="1">OFFSET(Objects!$HW$6,AZ$1+(Objects!$Y$4-$A38-1)*Objects!$X$4,0)</f>
        <v>0</v>
      </c>
      <c r="BA38">
        <f ca="1">OFFSET(Objects!$HW$6,BA$1+(Objects!$Y$4-$A38-1)*Objects!$X$4,0)</f>
        <v>0</v>
      </c>
      <c r="BB38">
        <f ca="1">OFFSET(Objects!$HW$6,BB$1+(Objects!$Y$4-$A38-1)*Objects!$X$4,0)</f>
        <v>0</v>
      </c>
      <c r="BC38">
        <f ca="1">OFFSET(Objects!$HW$6,BC$1+(Objects!$Y$4-$A38-1)*Objects!$X$4,0)</f>
        <v>0</v>
      </c>
      <c r="BD38">
        <f ca="1">OFFSET(Objects!$HW$6,BD$1+(Objects!$Y$4-$A38-1)*Objects!$X$4,0)</f>
        <v>0</v>
      </c>
      <c r="BE38">
        <f ca="1">OFFSET(Objects!$HW$6,BE$1+(Objects!$Y$4-$A38-1)*Objects!$X$4,0)</f>
        <v>0</v>
      </c>
      <c r="BF38">
        <f ca="1">OFFSET(Objects!$HW$6,BF$1+(Objects!$Y$4-$A38-1)*Objects!$X$4,0)</f>
        <v>0</v>
      </c>
      <c r="BG38">
        <f ca="1">OFFSET(Objects!$HW$6,BG$1+(Objects!$Y$4-$A38-1)*Objects!$X$4,0)</f>
        <v>0</v>
      </c>
      <c r="BH38">
        <f ca="1">OFFSET(Objects!$HW$6,BH$1+(Objects!$Y$4-$A38-1)*Objects!$X$4,0)</f>
        <v>0</v>
      </c>
      <c r="BI38">
        <f ca="1">OFFSET(Objects!$HW$6,BI$1+(Objects!$Y$4-$A38-1)*Objects!$X$4,0)</f>
        <v>0</v>
      </c>
      <c r="BJ38">
        <f ca="1">OFFSET(Objects!$HW$6,BJ$1+(Objects!$Y$4-$A38-1)*Objects!$X$4,0)</f>
        <v>0</v>
      </c>
      <c r="BK38">
        <f ca="1">OFFSET(Objects!$HW$6,BK$1+(Objects!$Y$4-$A38-1)*Objects!$X$4,0)</f>
        <v>0</v>
      </c>
      <c r="BL38">
        <f ca="1">OFFSET(Objects!$HW$6,BL$1+(Objects!$Y$4-$A38-1)*Objects!$X$4,0)</f>
        <v>0</v>
      </c>
      <c r="BM38">
        <f ca="1">OFFSET(Objects!$HW$6,BM$1+(Objects!$Y$4-$A38-1)*Objects!$X$4,0)</f>
        <v>0</v>
      </c>
      <c r="BN38">
        <f ca="1">OFFSET(Objects!$HW$6,BN$1+(Objects!$Y$4-$A38-1)*Objects!$X$4,0)</f>
        <v>0</v>
      </c>
      <c r="BO38">
        <f ca="1">OFFSET(Objects!$HW$6,BO$1+(Objects!$Y$4-$A38-1)*Objects!$X$4,0)</f>
        <v>0</v>
      </c>
      <c r="BP38">
        <f ca="1">OFFSET(Objects!$HW$6,BP$1+(Objects!$Y$4-$A38-1)*Objects!$X$4,0)</f>
        <v>0</v>
      </c>
      <c r="BQ38">
        <f ca="1">OFFSET(Objects!$HW$6,BQ$1+(Objects!$Y$4-$A38-1)*Objects!$X$4,0)</f>
        <v>0</v>
      </c>
      <c r="BR38">
        <f ca="1">OFFSET(Objects!$HW$6,BR$1+(Objects!$Y$4-$A38-1)*Objects!$X$4,0)</f>
        <v>0</v>
      </c>
      <c r="BS38">
        <f ca="1">OFFSET(Objects!$HW$6,BS$1+(Objects!$Y$4-$A38-1)*Objects!$X$4,0)</f>
        <v>0</v>
      </c>
      <c r="BT38">
        <f ca="1">OFFSET(Objects!$HW$6,BT$1+(Objects!$Y$4-$A38-1)*Objects!$X$4,0)</f>
        <v>0</v>
      </c>
      <c r="BU38">
        <f ca="1">OFFSET(Objects!$HW$6,BU$1+(Objects!$Y$4-$A38-1)*Objects!$X$4,0)</f>
        <v>0</v>
      </c>
      <c r="BV38">
        <f ca="1">OFFSET(Objects!$HW$6,BV$1+(Objects!$Y$4-$A38-1)*Objects!$X$4,0)</f>
        <v>0</v>
      </c>
      <c r="BW38">
        <f ca="1">OFFSET(Objects!$HW$6,BW$1+(Objects!$Y$4-$A38-1)*Objects!$X$4,0)</f>
        <v>0</v>
      </c>
      <c r="BX38">
        <f ca="1">OFFSET(Objects!$HW$6,BX$1+(Objects!$Y$4-$A38-1)*Objects!$X$4,0)</f>
        <v>0</v>
      </c>
      <c r="BY38">
        <f ca="1">OFFSET(Objects!$HW$6,BY$1+(Objects!$Y$4-$A38-1)*Objects!$X$4,0)</f>
        <v>0</v>
      </c>
      <c r="BZ38">
        <f ca="1">OFFSET(Objects!$HW$6,BZ$1+(Objects!$Y$4-$A38-1)*Objects!$X$4,0)</f>
        <v>0</v>
      </c>
      <c r="CA38">
        <f ca="1">OFFSET(Objects!$HW$6,CA$1+(Objects!$Y$4-$A38-1)*Objects!$X$4,0)</f>
        <v>0</v>
      </c>
      <c r="CB38">
        <f ca="1">OFFSET(Objects!$HW$6,CB$1+(Objects!$Y$4-$A38-1)*Objects!$X$4,0)</f>
        <v>0</v>
      </c>
      <c r="CC38">
        <f ca="1">OFFSET(Objects!$HW$6,CC$1+(Objects!$Y$4-$A38-1)*Objects!$X$4,0)</f>
        <v>0</v>
      </c>
      <c r="CD38">
        <f ca="1">OFFSET(Objects!$HW$6,CD$1+(Objects!$Y$4-$A38-1)*Objects!$X$4,0)</f>
        <v>0</v>
      </c>
      <c r="CE38">
        <f ca="1">OFFSET(Objects!$HW$6,CE$1+(Objects!$Y$4-$A38-1)*Objects!$X$4,0)</f>
        <v>0</v>
      </c>
      <c r="CF38">
        <f ca="1">OFFSET(Objects!$HW$6,CF$1+(Objects!$Y$4-$A38-1)*Objects!$X$4,0)</f>
        <v>0</v>
      </c>
      <c r="CG38">
        <f ca="1">OFFSET(Objects!$HW$6,CG$1+(Objects!$Y$4-$A38-1)*Objects!$X$4,0)</f>
        <v>0</v>
      </c>
      <c r="CH38">
        <f ca="1">OFFSET(Objects!$HW$6,CH$1+(Objects!$Y$4-$A38-1)*Objects!$X$4,0)</f>
        <v>0</v>
      </c>
      <c r="CI38">
        <f ca="1">OFFSET(Objects!$HW$6,CI$1+(Objects!$Y$4-$A38-1)*Objects!$X$4,0)</f>
        <v>0</v>
      </c>
      <c r="CJ38">
        <f ca="1">OFFSET(Objects!$HW$6,CJ$1+(Objects!$Y$4-$A38-1)*Objects!$X$4,0)</f>
        <v>0</v>
      </c>
      <c r="CK38">
        <f ca="1">OFFSET(Objects!$HW$6,CK$1+(Objects!$Y$4-$A38-1)*Objects!$X$4,0)</f>
        <v>0</v>
      </c>
      <c r="CL38">
        <f ca="1">OFFSET(Objects!$HW$6,CL$1+(Objects!$Y$4-$A38-1)*Objects!$X$4,0)</f>
        <v>0</v>
      </c>
      <c r="CM38">
        <f ca="1">OFFSET(Objects!$HW$6,CM$1+(Objects!$Y$4-$A38-1)*Objects!$X$4,0)</f>
        <v>0</v>
      </c>
      <c r="CN38">
        <f ca="1">OFFSET(Objects!$HW$6,CN$1+(Objects!$Y$4-$A38-1)*Objects!$X$4,0)</f>
        <v>0</v>
      </c>
      <c r="CO38">
        <f ca="1">OFFSET(Objects!$HW$6,CO$1+(Objects!$Y$4-$A38-1)*Objects!$X$4,0)</f>
        <v>0</v>
      </c>
      <c r="CP38">
        <f ca="1">OFFSET(Objects!$HW$6,CP$1+(Objects!$Y$4-$A38-1)*Objects!$X$4,0)</f>
        <v>0</v>
      </c>
      <c r="CQ38">
        <f ca="1">OFFSET(Objects!$HW$6,CQ$1+(Objects!$Y$4-$A38-1)*Objects!$X$4,0)</f>
        <v>0</v>
      </c>
      <c r="CR38">
        <f ca="1">OFFSET(Objects!$HW$6,CR$1+(Objects!$Y$4-$A38-1)*Objects!$X$4,0)</f>
        <v>0</v>
      </c>
      <c r="CS38">
        <f ca="1">OFFSET(Objects!$HW$6,CS$1+(Objects!$Y$4-$A38-1)*Objects!$X$4,0)</f>
        <v>0</v>
      </c>
      <c r="CT38">
        <f ca="1">OFFSET(Objects!$HW$6,CT$1+(Objects!$Y$4-$A38-1)*Objects!$X$4,0)</f>
        <v>0</v>
      </c>
      <c r="CU38">
        <f ca="1">OFFSET(Objects!$HW$6,CU$1+(Objects!$Y$4-$A38-1)*Objects!$X$4,0)</f>
        <v>0</v>
      </c>
      <c r="CV38">
        <f ca="1">OFFSET(Objects!$HW$6,CV$1+(Objects!$Y$4-$A38-1)*Objects!$X$4,0)</f>
        <v>0</v>
      </c>
      <c r="CW38">
        <f ca="1">OFFSET(Objects!$HW$6,CW$1+(Objects!$Y$4-$A38-1)*Objects!$X$4,0)</f>
        <v>0</v>
      </c>
      <c r="CX38">
        <f ca="1">OFFSET(Objects!$HW$6,CX$1+(Objects!$Y$4-$A38-1)*Objects!$X$4,0)</f>
        <v>0</v>
      </c>
      <c r="CY38">
        <f ca="1">OFFSET(Objects!$HW$6,CY$1+(Objects!$Y$4-$A38-1)*Objects!$X$4,0)</f>
        <v>0</v>
      </c>
      <c r="CZ38">
        <f ca="1">OFFSET(Objects!$HW$6,CZ$1+(Objects!$Y$4-$A38-1)*Objects!$X$4,0)</f>
        <v>0</v>
      </c>
      <c r="DA38">
        <f ca="1">OFFSET(Objects!$HW$6,DA$1+(Objects!$Y$4-$A38-1)*Objects!$X$4,0)</f>
        <v>0</v>
      </c>
      <c r="DB38">
        <f ca="1">OFFSET(Objects!$HW$6,DB$1+(Objects!$Y$4-$A38-1)*Objects!$X$4,0)</f>
        <v>0</v>
      </c>
      <c r="DC38">
        <f ca="1">OFFSET(Objects!$HW$6,DC$1+(Objects!$Y$4-$A38-1)*Objects!$X$4,0)</f>
        <v>0</v>
      </c>
      <c r="DD38">
        <f ca="1">OFFSET(Objects!$HW$6,DD$1+(Objects!$Y$4-$A38-1)*Objects!$X$4,0)</f>
        <v>0</v>
      </c>
      <c r="DE38">
        <f ca="1">OFFSET(Objects!$HW$6,DE$1+(Objects!$Y$4-$A38-1)*Objects!$X$4,0)</f>
        <v>0</v>
      </c>
      <c r="DF38">
        <f ca="1">OFFSET(Objects!$HW$6,DF$1+(Objects!$Y$4-$A38-1)*Objects!$X$4,0)</f>
        <v>0</v>
      </c>
      <c r="DG38">
        <f ca="1">OFFSET(Objects!$HW$6,DG$1+(Objects!$Y$4-$A38-1)*Objects!$X$4,0)</f>
        <v>0</v>
      </c>
      <c r="DH38">
        <f ca="1">OFFSET(Objects!$HW$6,DH$1+(Objects!$Y$4-$A38-1)*Objects!$X$4,0)</f>
        <v>0</v>
      </c>
      <c r="DI38">
        <f ca="1">OFFSET(Objects!$HW$6,DI$1+(Objects!$Y$4-$A38-1)*Objects!$X$4,0)</f>
        <v>0</v>
      </c>
      <c r="DJ38">
        <f ca="1">OFFSET(Objects!$HW$6,DJ$1+(Objects!$Y$4-$A38-1)*Objects!$X$4,0)</f>
        <v>0</v>
      </c>
      <c r="DK38">
        <f ca="1">OFFSET(Objects!$HW$6,DK$1+(Objects!$Y$4-$A38-1)*Objects!$X$4,0)</f>
        <v>0</v>
      </c>
      <c r="DL38">
        <f ca="1">OFFSET(Objects!$HW$6,DL$1+(Objects!$Y$4-$A38-1)*Objects!$X$4,0)</f>
        <v>0</v>
      </c>
      <c r="DM38">
        <f ca="1">OFFSET(Objects!$HW$6,DM$1+(Objects!$Y$4-$A38-1)*Objects!$X$4,0)</f>
        <v>0</v>
      </c>
      <c r="DN38">
        <f ca="1">OFFSET(Objects!$HW$6,DN$1+(Objects!$Y$4-$A38-1)*Objects!$X$4,0)</f>
        <v>0</v>
      </c>
      <c r="DO38">
        <f ca="1">OFFSET(Objects!$HW$6,DO$1+(Objects!$Y$4-$A38-1)*Objects!$X$4,0)</f>
        <v>0</v>
      </c>
      <c r="DP38">
        <f ca="1">OFFSET(Objects!$HW$6,DP$1+(Objects!$Y$4-$A38-1)*Objects!$X$4,0)</f>
        <v>0</v>
      </c>
      <c r="DQ38">
        <f ca="1">OFFSET(Objects!$HW$6,DQ$1+(Objects!$Y$4-$A38-1)*Objects!$X$4,0)</f>
        <v>0</v>
      </c>
      <c r="DR38">
        <f ca="1">OFFSET(Objects!$HW$6,DR$1+(Objects!$Y$4-$A38-1)*Objects!$X$4,0)</f>
        <v>0</v>
      </c>
      <c r="DS38">
        <f ca="1">OFFSET(Objects!$HW$6,DS$1+(Objects!$Y$4-$A38-1)*Objects!$X$4,0)</f>
        <v>0</v>
      </c>
      <c r="DT38">
        <f ca="1">OFFSET(Objects!$HW$6,DT$1+(Objects!$Y$4-$A38-1)*Objects!$X$4,0)</f>
        <v>0</v>
      </c>
      <c r="DU38">
        <f ca="1">OFFSET(Objects!$HW$6,DU$1+(Objects!$Y$4-$A38-1)*Objects!$X$4,0)</f>
        <v>0</v>
      </c>
      <c r="DV38">
        <f ca="1">OFFSET(Objects!$HW$6,DV$1+(Objects!$Y$4-$A38-1)*Objects!$X$4,0)</f>
        <v>0</v>
      </c>
      <c r="DW38">
        <f ca="1">OFFSET(Objects!$HW$6,DW$1+(Objects!$Y$4-$A38-1)*Objects!$X$4,0)</f>
        <v>0</v>
      </c>
      <c r="DX38">
        <f ca="1">OFFSET(Objects!$HW$6,DX$1+(Objects!$Y$4-$A38-1)*Objects!$X$4,0)</f>
        <v>0</v>
      </c>
      <c r="DY38">
        <f ca="1">OFFSET(Objects!$HW$6,DY$1+(Objects!$Y$4-$A38-1)*Objects!$X$4,0)</f>
        <v>0</v>
      </c>
      <c r="DZ38">
        <f ca="1">OFFSET(Objects!$HW$6,DZ$1+(Objects!$Y$4-$A38-1)*Objects!$X$4,0)</f>
        <v>0</v>
      </c>
      <c r="EA38">
        <f ca="1">OFFSET(Objects!$HW$6,EA$1+(Objects!$Y$4-$A38-1)*Objects!$X$4,0)</f>
        <v>0</v>
      </c>
      <c r="EB38">
        <f ca="1">OFFSET(Objects!$HW$6,EB$1+(Objects!$Y$4-$A38-1)*Objects!$X$4,0)</f>
        <v>0</v>
      </c>
      <c r="EC38">
        <f ca="1">OFFSET(Objects!$HW$6,EC$1+(Objects!$Y$4-$A38-1)*Objects!$X$4,0)</f>
        <v>0</v>
      </c>
      <c r="ED38">
        <f ca="1">OFFSET(Objects!$HW$6,ED$1+(Objects!$Y$4-$A38-1)*Objects!$X$4,0)</f>
        <v>0</v>
      </c>
      <c r="EE38">
        <f ca="1">OFFSET(Objects!$HW$6,EE$1+(Objects!$Y$4-$A38-1)*Objects!$X$4,0)</f>
        <v>0</v>
      </c>
      <c r="EF38">
        <f ca="1">OFFSET(Objects!$HW$6,EF$1+(Objects!$Y$4-$A38-1)*Objects!$X$4,0)</f>
        <v>0</v>
      </c>
      <c r="EG38">
        <f ca="1">OFFSET(Objects!$HW$6,EG$1+(Objects!$Y$4-$A38-1)*Objects!$X$4,0)</f>
        <v>0</v>
      </c>
      <c r="EH38">
        <f ca="1">OFFSET(Objects!$HW$6,EH$1+(Objects!$Y$4-$A38-1)*Objects!$X$4,0)</f>
        <v>0</v>
      </c>
      <c r="EI38">
        <f ca="1">OFFSET(Objects!$HW$6,EI$1+(Objects!$Y$4-$A38-1)*Objects!$X$4,0)</f>
        <v>0</v>
      </c>
      <c r="EJ38">
        <f ca="1">OFFSET(Objects!$HW$6,EJ$1+(Objects!$Y$4-$A38-1)*Objects!$X$4,0)</f>
        <v>0</v>
      </c>
      <c r="EK38">
        <f ca="1">OFFSET(Objects!$HW$6,EK$1+(Objects!$Y$4-$A38-1)*Objects!$X$4,0)</f>
        <v>0</v>
      </c>
      <c r="EL38">
        <f ca="1">OFFSET(Objects!$HW$6,EL$1+(Objects!$Y$4-$A38-1)*Objects!$X$4,0)</f>
        <v>0</v>
      </c>
      <c r="EM38">
        <f ca="1">OFFSET(Objects!$HW$6,EM$1+(Objects!$Y$4-$A38-1)*Objects!$X$4,0)</f>
        <v>0</v>
      </c>
      <c r="EN38">
        <f ca="1">OFFSET(Objects!$HW$6,EN$1+(Objects!$Y$4-$A38-1)*Objects!$X$4,0)</f>
        <v>0</v>
      </c>
      <c r="EO38">
        <f ca="1">OFFSET(Objects!$HW$6,EO$1+(Objects!$Y$4-$A38-1)*Objects!$X$4,0)</f>
        <v>0</v>
      </c>
      <c r="EP38">
        <f ca="1">OFFSET(Objects!$HW$6,EP$1+(Objects!$Y$4-$A38-1)*Objects!$X$4,0)</f>
        <v>0</v>
      </c>
      <c r="EQ38">
        <f ca="1">OFFSET(Objects!$HW$6,EQ$1+(Objects!$Y$4-$A38-1)*Objects!$X$4,0)</f>
        <v>0</v>
      </c>
      <c r="ER38">
        <f ca="1">OFFSET(Objects!$HW$6,ER$1+(Objects!$Y$4-$A38-1)*Objects!$X$4,0)</f>
        <v>0</v>
      </c>
      <c r="ES38">
        <f ca="1">OFFSET(Objects!$HW$6,ES$1+(Objects!$Y$4-$A38-1)*Objects!$X$4,0)</f>
        <v>0</v>
      </c>
      <c r="ET38">
        <f ca="1">OFFSET(Objects!$HW$6,ET$1+(Objects!$Y$4-$A38-1)*Objects!$X$4,0)</f>
        <v>0</v>
      </c>
      <c r="EU38">
        <f ca="1">OFFSET(Objects!$HW$6,EU$1+(Objects!$Y$4-$A38-1)*Objects!$X$4,0)</f>
        <v>0</v>
      </c>
      <c r="EV38">
        <f ca="1">OFFSET(Objects!$HW$6,EV$1+(Objects!$Y$4-$A38-1)*Objects!$X$4,0)</f>
        <v>0</v>
      </c>
      <c r="EW38">
        <f ca="1">OFFSET(Objects!$HW$6,EW$1+(Objects!$Y$4-$A38-1)*Objects!$X$4,0)</f>
        <v>0</v>
      </c>
      <c r="EX38">
        <f ca="1">OFFSET(Objects!$HW$6,EX$1+(Objects!$Y$4-$A38-1)*Objects!$X$4,0)</f>
        <v>0</v>
      </c>
      <c r="EY38">
        <f ca="1">OFFSET(Objects!$HW$6,EY$1+(Objects!$Y$4-$A38-1)*Objects!$X$4,0)</f>
        <v>0</v>
      </c>
      <c r="EZ38">
        <f ca="1">OFFSET(Objects!$HW$6,EZ$1+(Objects!$Y$4-$A38-1)*Objects!$X$4,0)</f>
        <v>0</v>
      </c>
      <c r="FA38">
        <f ca="1">OFFSET(Objects!$HW$6,FA$1+(Objects!$Y$4-$A38-1)*Objects!$X$4,0)</f>
        <v>0</v>
      </c>
      <c r="FB38">
        <f ca="1">OFFSET(Objects!$HW$6,FB$1+(Objects!$Y$4-$A38-1)*Objects!$X$4,0)</f>
        <v>0</v>
      </c>
      <c r="FC38">
        <f ca="1">OFFSET(Objects!$HW$6,FC$1+(Objects!$Y$4-$A38-1)*Objects!$X$4,0)</f>
        <v>0</v>
      </c>
      <c r="FD38">
        <f ca="1">OFFSET(Objects!$HW$6,FD$1+(Objects!$Y$4-$A38-1)*Objects!$X$4,0)</f>
        <v>0</v>
      </c>
      <c r="FE38" s="22">
        <f ca="1">OFFSET(Objects!$HW$6,FE$1+(Objects!$Y$4-$A38-1)*Objects!$X$4,0)</f>
        <v>0</v>
      </c>
    </row>
    <row r="39" spans="1:161" ht="4.5" customHeight="1" x14ac:dyDescent="0.25">
      <c r="A39">
        <v>37</v>
      </c>
      <c r="B39" s="21">
        <f ca="1">OFFSET(Objects!$HW$6,B$1+(Objects!$Y$4-$A39-1)*Objects!$X$4,0)</f>
        <v>0</v>
      </c>
      <c r="C39">
        <f ca="1">OFFSET(Objects!$HW$6,C$1+(Objects!$Y$4-$A39-1)*Objects!$X$4,0)</f>
        <v>0</v>
      </c>
      <c r="D39">
        <f ca="1">OFFSET(Objects!$HW$6,D$1+(Objects!$Y$4-$A39-1)*Objects!$X$4,0)</f>
        <v>0</v>
      </c>
      <c r="E39">
        <f ca="1">OFFSET(Objects!$HW$6,E$1+(Objects!$Y$4-$A39-1)*Objects!$X$4,0)</f>
        <v>0</v>
      </c>
      <c r="F39">
        <f ca="1">OFFSET(Objects!$HW$6,F$1+(Objects!$Y$4-$A39-1)*Objects!$X$4,0)</f>
        <v>0</v>
      </c>
      <c r="G39">
        <f ca="1">OFFSET(Objects!$HW$6,G$1+(Objects!$Y$4-$A39-1)*Objects!$X$4,0)</f>
        <v>0</v>
      </c>
      <c r="H39">
        <f ca="1">OFFSET(Objects!$HW$6,H$1+(Objects!$Y$4-$A39-1)*Objects!$X$4,0)</f>
        <v>0</v>
      </c>
      <c r="I39">
        <f ca="1">OFFSET(Objects!$HW$6,I$1+(Objects!$Y$4-$A39-1)*Objects!$X$4,0)</f>
        <v>0</v>
      </c>
      <c r="J39">
        <f ca="1">OFFSET(Objects!$HW$6,J$1+(Objects!$Y$4-$A39-1)*Objects!$X$4,0)</f>
        <v>0</v>
      </c>
      <c r="K39">
        <f ca="1">OFFSET(Objects!$HW$6,K$1+(Objects!$Y$4-$A39-1)*Objects!$X$4,0)</f>
        <v>0</v>
      </c>
      <c r="L39">
        <f ca="1">OFFSET(Objects!$HW$6,L$1+(Objects!$Y$4-$A39-1)*Objects!$X$4,0)</f>
        <v>0</v>
      </c>
      <c r="M39">
        <f ca="1">OFFSET(Objects!$HW$6,M$1+(Objects!$Y$4-$A39-1)*Objects!$X$4,0)</f>
        <v>0</v>
      </c>
      <c r="N39">
        <f ca="1">OFFSET(Objects!$HW$6,N$1+(Objects!$Y$4-$A39-1)*Objects!$X$4,0)</f>
        <v>0</v>
      </c>
      <c r="O39">
        <f ca="1">OFFSET(Objects!$HW$6,O$1+(Objects!$Y$4-$A39-1)*Objects!$X$4,0)</f>
        <v>0</v>
      </c>
      <c r="P39">
        <f ca="1">OFFSET(Objects!$HW$6,P$1+(Objects!$Y$4-$A39-1)*Objects!$X$4,0)</f>
        <v>0</v>
      </c>
      <c r="Q39">
        <f ca="1">OFFSET(Objects!$HW$6,Q$1+(Objects!$Y$4-$A39-1)*Objects!$X$4,0)</f>
        <v>0</v>
      </c>
      <c r="R39">
        <f ca="1">OFFSET(Objects!$HW$6,R$1+(Objects!$Y$4-$A39-1)*Objects!$X$4,0)</f>
        <v>0</v>
      </c>
      <c r="S39">
        <f ca="1">OFFSET(Objects!$HW$6,S$1+(Objects!$Y$4-$A39-1)*Objects!$X$4,0)</f>
        <v>0</v>
      </c>
      <c r="T39">
        <f ca="1">OFFSET(Objects!$HW$6,T$1+(Objects!$Y$4-$A39-1)*Objects!$X$4,0)</f>
        <v>0</v>
      </c>
      <c r="U39">
        <f ca="1">OFFSET(Objects!$HW$6,U$1+(Objects!$Y$4-$A39-1)*Objects!$X$4,0)</f>
        <v>0</v>
      </c>
      <c r="V39">
        <f ca="1">OFFSET(Objects!$HW$6,V$1+(Objects!$Y$4-$A39-1)*Objects!$X$4,0)</f>
        <v>0</v>
      </c>
      <c r="W39">
        <f ca="1">OFFSET(Objects!$HW$6,W$1+(Objects!$Y$4-$A39-1)*Objects!$X$4,0)</f>
        <v>0</v>
      </c>
      <c r="X39">
        <f ca="1">OFFSET(Objects!$HW$6,X$1+(Objects!$Y$4-$A39-1)*Objects!$X$4,0)</f>
        <v>0</v>
      </c>
      <c r="Y39">
        <f ca="1">OFFSET(Objects!$HW$6,Y$1+(Objects!$Y$4-$A39-1)*Objects!$X$4,0)</f>
        <v>0</v>
      </c>
      <c r="Z39">
        <f ca="1">OFFSET(Objects!$HW$6,Z$1+(Objects!$Y$4-$A39-1)*Objects!$X$4,0)</f>
        <v>0</v>
      </c>
      <c r="AA39">
        <f ca="1">OFFSET(Objects!$HW$6,AA$1+(Objects!$Y$4-$A39-1)*Objects!$X$4,0)</f>
        <v>0</v>
      </c>
      <c r="AB39">
        <f ca="1">OFFSET(Objects!$HW$6,AB$1+(Objects!$Y$4-$A39-1)*Objects!$X$4,0)</f>
        <v>0</v>
      </c>
      <c r="AC39">
        <f ca="1">OFFSET(Objects!$HW$6,AC$1+(Objects!$Y$4-$A39-1)*Objects!$X$4,0)</f>
        <v>0</v>
      </c>
      <c r="AD39">
        <f ca="1">OFFSET(Objects!$HW$6,AD$1+(Objects!$Y$4-$A39-1)*Objects!$X$4,0)</f>
        <v>0</v>
      </c>
      <c r="AE39">
        <f ca="1">OFFSET(Objects!$HW$6,AE$1+(Objects!$Y$4-$A39-1)*Objects!$X$4,0)</f>
        <v>0</v>
      </c>
      <c r="AF39">
        <f ca="1">OFFSET(Objects!$HW$6,AF$1+(Objects!$Y$4-$A39-1)*Objects!$X$4,0)</f>
        <v>0</v>
      </c>
      <c r="AG39">
        <f ca="1">OFFSET(Objects!$HW$6,AG$1+(Objects!$Y$4-$A39-1)*Objects!$X$4,0)</f>
        <v>0</v>
      </c>
      <c r="AH39">
        <f ca="1">OFFSET(Objects!$HW$6,AH$1+(Objects!$Y$4-$A39-1)*Objects!$X$4,0)</f>
        <v>0</v>
      </c>
      <c r="AI39">
        <f ca="1">OFFSET(Objects!$HW$6,AI$1+(Objects!$Y$4-$A39-1)*Objects!$X$4,0)</f>
        <v>0</v>
      </c>
      <c r="AJ39">
        <f ca="1">OFFSET(Objects!$HW$6,AJ$1+(Objects!$Y$4-$A39-1)*Objects!$X$4,0)</f>
        <v>0</v>
      </c>
      <c r="AK39">
        <f ca="1">OFFSET(Objects!$HW$6,AK$1+(Objects!$Y$4-$A39-1)*Objects!$X$4,0)</f>
        <v>0</v>
      </c>
      <c r="AL39">
        <f ca="1">OFFSET(Objects!$HW$6,AL$1+(Objects!$Y$4-$A39-1)*Objects!$X$4,0)</f>
        <v>0</v>
      </c>
      <c r="AM39">
        <f ca="1">OFFSET(Objects!$HW$6,AM$1+(Objects!$Y$4-$A39-1)*Objects!$X$4,0)</f>
        <v>0</v>
      </c>
      <c r="AN39">
        <f ca="1">OFFSET(Objects!$HW$6,AN$1+(Objects!$Y$4-$A39-1)*Objects!$X$4,0)</f>
        <v>0</v>
      </c>
      <c r="AO39">
        <f ca="1">OFFSET(Objects!$HW$6,AO$1+(Objects!$Y$4-$A39-1)*Objects!$X$4,0)</f>
        <v>0</v>
      </c>
      <c r="AP39">
        <f ca="1">OFFSET(Objects!$HW$6,AP$1+(Objects!$Y$4-$A39-1)*Objects!$X$4,0)</f>
        <v>0</v>
      </c>
      <c r="AQ39">
        <f ca="1">OFFSET(Objects!$HW$6,AQ$1+(Objects!$Y$4-$A39-1)*Objects!$X$4,0)</f>
        <v>0</v>
      </c>
      <c r="AR39">
        <f ca="1">OFFSET(Objects!$HW$6,AR$1+(Objects!$Y$4-$A39-1)*Objects!$X$4,0)</f>
        <v>0</v>
      </c>
      <c r="AS39">
        <f ca="1">OFFSET(Objects!$HW$6,AS$1+(Objects!$Y$4-$A39-1)*Objects!$X$4,0)</f>
        <v>0</v>
      </c>
      <c r="AT39">
        <f ca="1">OFFSET(Objects!$HW$6,AT$1+(Objects!$Y$4-$A39-1)*Objects!$X$4,0)</f>
        <v>0</v>
      </c>
      <c r="AU39">
        <f ca="1">OFFSET(Objects!$HW$6,AU$1+(Objects!$Y$4-$A39-1)*Objects!$X$4,0)</f>
        <v>0</v>
      </c>
      <c r="AV39">
        <f ca="1">OFFSET(Objects!$HW$6,AV$1+(Objects!$Y$4-$A39-1)*Objects!$X$4,0)</f>
        <v>0</v>
      </c>
      <c r="AW39">
        <f ca="1">OFFSET(Objects!$HW$6,AW$1+(Objects!$Y$4-$A39-1)*Objects!$X$4,0)</f>
        <v>0</v>
      </c>
      <c r="AX39">
        <f ca="1">OFFSET(Objects!$HW$6,AX$1+(Objects!$Y$4-$A39-1)*Objects!$X$4,0)</f>
        <v>0</v>
      </c>
      <c r="AY39">
        <f ca="1">OFFSET(Objects!$HW$6,AY$1+(Objects!$Y$4-$A39-1)*Objects!$X$4,0)</f>
        <v>0</v>
      </c>
      <c r="AZ39">
        <f ca="1">OFFSET(Objects!$HW$6,AZ$1+(Objects!$Y$4-$A39-1)*Objects!$X$4,0)</f>
        <v>0</v>
      </c>
      <c r="BA39">
        <f ca="1">OFFSET(Objects!$HW$6,BA$1+(Objects!$Y$4-$A39-1)*Objects!$X$4,0)</f>
        <v>0</v>
      </c>
      <c r="BB39">
        <f ca="1">OFFSET(Objects!$HW$6,BB$1+(Objects!$Y$4-$A39-1)*Objects!$X$4,0)</f>
        <v>0</v>
      </c>
      <c r="BC39">
        <f ca="1">OFFSET(Objects!$HW$6,BC$1+(Objects!$Y$4-$A39-1)*Objects!$X$4,0)</f>
        <v>0</v>
      </c>
      <c r="BD39">
        <f ca="1">OFFSET(Objects!$HW$6,BD$1+(Objects!$Y$4-$A39-1)*Objects!$X$4,0)</f>
        <v>0</v>
      </c>
      <c r="BE39">
        <f ca="1">OFFSET(Objects!$HW$6,BE$1+(Objects!$Y$4-$A39-1)*Objects!$X$4,0)</f>
        <v>0</v>
      </c>
      <c r="BF39">
        <f ca="1">OFFSET(Objects!$HW$6,BF$1+(Objects!$Y$4-$A39-1)*Objects!$X$4,0)</f>
        <v>0</v>
      </c>
      <c r="BG39">
        <f ca="1">OFFSET(Objects!$HW$6,BG$1+(Objects!$Y$4-$A39-1)*Objects!$X$4,0)</f>
        <v>0</v>
      </c>
      <c r="BH39">
        <f ca="1">OFFSET(Objects!$HW$6,BH$1+(Objects!$Y$4-$A39-1)*Objects!$X$4,0)</f>
        <v>0</v>
      </c>
      <c r="BI39">
        <f ca="1">OFFSET(Objects!$HW$6,BI$1+(Objects!$Y$4-$A39-1)*Objects!$X$4,0)</f>
        <v>0</v>
      </c>
      <c r="BJ39">
        <f ca="1">OFFSET(Objects!$HW$6,BJ$1+(Objects!$Y$4-$A39-1)*Objects!$X$4,0)</f>
        <v>0</v>
      </c>
      <c r="BK39">
        <f ca="1">OFFSET(Objects!$HW$6,BK$1+(Objects!$Y$4-$A39-1)*Objects!$X$4,0)</f>
        <v>0</v>
      </c>
      <c r="BL39">
        <f ca="1">OFFSET(Objects!$HW$6,BL$1+(Objects!$Y$4-$A39-1)*Objects!$X$4,0)</f>
        <v>0</v>
      </c>
      <c r="BM39">
        <f ca="1">OFFSET(Objects!$HW$6,BM$1+(Objects!$Y$4-$A39-1)*Objects!$X$4,0)</f>
        <v>0</v>
      </c>
      <c r="BN39">
        <f ca="1">OFFSET(Objects!$HW$6,BN$1+(Objects!$Y$4-$A39-1)*Objects!$X$4,0)</f>
        <v>0</v>
      </c>
      <c r="BO39">
        <f ca="1">OFFSET(Objects!$HW$6,BO$1+(Objects!$Y$4-$A39-1)*Objects!$X$4,0)</f>
        <v>0</v>
      </c>
      <c r="BP39">
        <f ca="1">OFFSET(Objects!$HW$6,BP$1+(Objects!$Y$4-$A39-1)*Objects!$X$4,0)</f>
        <v>0</v>
      </c>
      <c r="BQ39">
        <f ca="1">OFFSET(Objects!$HW$6,BQ$1+(Objects!$Y$4-$A39-1)*Objects!$X$4,0)</f>
        <v>0</v>
      </c>
      <c r="BR39">
        <f ca="1">OFFSET(Objects!$HW$6,BR$1+(Objects!$Y$4-$A39-1)*Objects!$X$4,0)</f>
        <v>0</v>
      </c>
      <c r="BS39">
        <f ca="1">OFFSET(Objects!$HW$6,BS$1+(Objects!$Y$4-$A39-1)*Objects!$X$4,0)</f>
        <v>0</v>
      </c>
      <c r="BT39">
        <f ca="1">OFFSET(Objects!$HW$6,BT$1+(Objects!$Y$4-$A39-1)*Objects!$X$4,0)</f>
        <v>0</v>
      </c>
      <c r="BU39">
        <f ca="1">OFFSET(Objects!$HW$6,BU$1+(Objects!$Y$4-$A39-1)*Objects!$X$4,0)</f>
        <v>0</v>
      </c>
      <c r="BV39">
        <f ca="1">OFFSET(Objects!$HW$6,BV$1+(Objects!$Y$4-$A39-1)*Objects!$X$4,0)</f>
        <v>0</v>
      </c>
      <c r="BW39">
        <f ca="1">OFFSET(Objects!$HW$6,BW$1+(Objects!$Y$4-$A39-1)*Objects!$X$4,0)</f>
        <v>0</v>
      </c>
      <c r="BX39">
        <f ca="1">OFFSET(Objects!$HW$6,BX$1+(Objects!$Y$4-$A39-1)*Objects!$X$4,0)</f>
        <v>0</v>
      </c>
      <c r="BY39">
        <f ca="1">OFFSET(Objects!$HW$6,BY$1+(Objects!$Y$4-$A39-1)*Objects!$X$4,0)</f>
        <v>0</v>
      </c>
      <c r="BZ39">
        <f ca="1">OFFSET(Objects!$HW$6,BZ$1+(Objects!$Y$4-$A39-1)*Objects!$X$4,0)</f>
        <v>0</v>
      </c>
      <c r="CA39">
        <f ca="1">OFFSET(Objects!$HW$6,CA$1+(Objects!$Y$4-$A39-1)*Objects!$X$4,0)</f>
        <v>0</v>
      </c>
      <c r="CB39">
        <f ca="1">OFFSET(Objects!$HW$6,CB$1+(Objects!$Y$4-$A39-1)*Objects!$X$4,0)</f>
        <v>0</v>
      </c>
      <c r="CC39">
        <f ca="1">OFFSET(Objects!$HW$6,CC$1+(Objects!$Y$4-$A39-1)*Objects!$X$4,0)</f>
        <v>0</v>
      </c>
      <c r="CD39">
        <f ca="1">OFFSET(Objects!$HW$6,CD$1+(Objects!$Y$4-$A39-1)*Objects!$X$4,0)</f>
        <v>0</v>
      </c>
      <c r="CE39">
        <f ca="1">OFFSET(Objects!$HW$6,CE$1+(Objects!$Y$4-$A39-1)*Objects!$X$4,0)</f>
        <v>0</v>
      </c>
      <c r="CF39">
        <f ca="1">OFFSET(Objects!$HW$6,CF$1+(Objects!$Y$4-$A39-1)*Objects!$X$4,0)</f>
        <v>0</v>
      </c>
      <c r="CG39">
        <f ca="1">OFFSET(Objects!$HW$6,CG$1+(Objects!$Y$4-$A39-1)*Objects!$X$4,0)</f>
        <v>0</v>
      </c>
      <c r="CH39">
        <f ca="1">OFFSET(Objects!$HW$6,CH$1+(Objects!$Y$4-$A39-1)*Objects!$X$4,0)</f>
        <v>0</v>
      </c>
      <c r="CI39">
        <f ca="1">OFFSET(Objects!$HW$6,CI$1+(Objects!$Y$4-$A39-1)*Objects!$X$4,0)</f>
        <v>0</v>
      </c>
      <c r="CJ39">
        <f ca="1">OFFSET(Objects!$HW$6,CJ$1+(Objects!$Y$4-$A39-1)*Objects!$X$4,0)</f>
        <v>0</v>
      </c>
      <c r="CK39">
        <f ca="1">OFFSET(Objects!$HW$6,CK$1+(Objects!$Y$4-$A39-1)*Objects!$X$4,0)</f>
        <v>0</v>
      </c>
      <c r="CL39">
        <f ca="1">OFFSET(Objects!$HW$6,CL$1+(Objects!$Y$4-$A39-1)*Objects!$X$4,0)</f>
        <v>0</v>
      </c>
      <c r="CM39">
        <f ca="1">OFFSET(Objects!$HW$6,CM$1+(Objects!$Y$4-$A39-1)*Objects!$X$4,0)</f>
        <v>0</v>
      </c>
      <c r="CN39">
        <f ca="1">OFFSET(Objects!$HW$6,CN$1+(Objects!$Y$4-$A39-1)*Objects!$X$4,0)</f>
        <v>0</v>
      </c>
      <c r="CO39">
        <f ca="1">OFFSET(Objects!$HW$6,CO$1+(Objects!$Y$4-$A39-1)*Objects!$X$4,0)</f>
        <v>0</v>
      </c>
      <c r="CP39">
        <f ca="1">OFFSET(Objects!$HW$6,CP$1+(Objects!$Y$4-$A39-1)*Objects!$X$4,0)</f>
        <v>0</v>
      </c>
      <c r="CQ39">
        <f ca="1">OFFSET(Objects!$HW$6,CQ$1+(Objects!$Y$4-$A39-1)*Objects!$X$4,0)</f>
        <v>0</v>
      </c>
      <c r="CR39">
        <f ca="1">OFFSET(Objects!$HW$6,CR$1+(Objects!$Y$4-$A39-1)*Objects!$X$4,0)</f>
        <v>0</v>
      </c>
      <c r="CS39">
        <f ca="1">OFFSET(Objects!$HW$6,CS$1+(Objects!$Y$4-$A39-1)*Objects!$X$4,0)</f>
        <v>0</v>
      </c>
      <c r="CT39">
        <f ca="1">OFFSET(Objects!$HW$6,CT$1+(Objects!$Y$4-$A39-1)*Objects!$X$4,0)</f>
        <v>0</v>
      </c>
      <c r="CU39">
        <f ca="1">OFFSET(Objects!$HW$6,CU$1+(Objects!$Y$4-$A39-1)*Objects!$X$4,0)</f>
        <v>0</v>
      </c>
      <c r="CV39">
        <f ca="1">OFFSET(Objects!$HW$6,CV$1+(Objects!$Y$4-$A39-1)*Objects!$X$4,0)</f>
        <v>0</v>
      </c>
      <c r="CW39">
        <f ca="1">OFFSET(Objects!$HW$6,CW$1+(Objects!$Y$4-$A39-1)*Objects!$X$4,0)</f>
        <v>0</v>
      </c>
      <c r="CX39">
        <f ca="1">OFFSET(Objects!$HW$6,CX$1+(Objects!$Y$4-$A39-1)*Objects!$X$4,0)</f>
        <v>0</v>
      </c>
      <c r="CY39">
        <f ca="1">OFFSET(Objects!$HW$6,CY$1+(Objects!$Y$4-$A39-1)*Objects!$X$4,0)</f>
        <v>0</v>
      </c>
      <c r="CZ39">
        <f ca="1">OFFSET(Objects!$HW$6,CZ$1+(Objects!$Y$4-$A39-1)*Objects!$X$4,0)</f>
        <v>0</v>
      </c>
      <c r="DA39">
        <f ca="1">OFFSET(Objects!$HW$6,DA$1+(Objects!$Y$4-$A39-1)*Objects!$X$4,0)</f>
        <v>0</v>
      </c>
      <c r="DB39">
        <f ca="1">OFFSET(Objects!$HW$6,DB$1+(Objects!$Y$4-$A39-1)*Objects!$X$4,0)</f>
        <v>0</v>
      </c>
      <c r="DC39">
        <f ca="1">OFFSET(Objects!$HW$6,DC$1+(Objects!$Y$4-$A39-1)*Objects!$X$4,0)</f>
        <v>0</v>
      </c>
      <c r="DD39">
        <f ca="1">OFFSET(Objects!$HW$6,DD$1+(Objects!$Y$4-$A39-1)*Objects!$X$4,0)</f>
        <v>0</v>
      </c>
      <c r="DE39">
        <f ca="1">OFFSET(Objects!$HW$6,DE$1+(Objects!$Y$4-$A39-1)*Objects!$X$4,0)</f>
        <v>0</v>
      </c>
      <c r="DF39">
        <f ca="1">OFFSET(Objects!$HW$6,DF$1+(Objects!$Y$4-$A39-1)*Objects!$X$4,0)</f>
        <v>0</v>
      </c>
      <c r="DG39">
        <f ca="1">OFFSET(Objects!$HW$6,DG$1+(Objects!$Y$4-$A39-1)*Objects!$X$4,0)</f>
        <v>0</v>
      </c>
      <c r="DH39">
        <f ca="1">OFFSET(Objects!$HW$6,DH$1+(Objects!$Y$4-$A39-1)*Objects!$X$4,0)</f>
        <v>0</v>
      </c>
      <c r="DI39">
        <f ca="1">OFFSET(Objects!$HW$6,DI$1+(Objects!$Y$4-$A39-1)*Objects!$X$4,0)</f>
        <v>0</v>
      </c>
      <c r="DJ39">
        <f ca="1">OFFSET(Objects!$HW$6,DJ$1+(Objects!$Y$4-$A39-1)*Objects!$X$4,0)</f>
        <v>0</v>
      </c>
      <c r="DK39">
        <f ca="1">OFFSET(Objects!$HW$6,DK$1+(Objects!$Y$4-$A39-1)*Objects!$X$4,0)</f>
        <v>0</v>
      </c>
      <c r="DL39">
        <f ca="1">OFFSET(Objects!$HW$6,DL$1+(Objects!$Y$4-$A39-1)*Objects!$X$4,0)</f>
        <v>0</v>
      </c>
      <c r="DM39">
        <f ca="1">OFFSET(Objects!$HW$6,DM$1+(Objects!$Y$4-$A39-1)*Objects!$X$4,0)</f>
        <v>0</v>
      </c>
      <c r="DN39">
        <f ca="1">OFFSET(Objects!$HW$6,DN$1+(Objects!$Y$4-$A39-1)*Objects!$X$4,0)</f>
        <v>0</v>
      </c>
      <c r="DO39">
        <f ca="1">OFFSET(Objects!$HW$6,DO$1+(Objects!$Y$4-$A39-1)*Objects!$X$4,0)</f>
        <v>0</v>
      </c>
      <c r="DP39">
        <f ca="1">OFFSET(Objects!$HW$6,DP$1+(Objects!$Y$4-$A39-1)*Objects!$X$4,0)</f>
        <v>0</v>
      </c>
      <c r="DQ39">
        <f ca="1">OFFSET(Objects!$HW$6,DQ$1+(Objects!$Y$4-$A39-1)*Objects!$X$4,0)</f>
        <v>0</v>
      </c>
      <c r="DR39">
        <f ca="1">OFFSET(Objects!$HW$6,DR$1+(Objects!$Y$4-$A39-1)*Objects!$X$4,0)</f>
        <v>0</v>
      </c>
      <c r="DS39">
        <f ca="1">OFFSET(Objects!$HW$6,DS$1+(Objects!$Y$4-$A39-1)*Objects!$X$4,0)</f>
        <v>0</v>
      </c>
      <c r="DT39">
        <f ca="1">OFFSET(Objects!$HW$6,DT$1+(Objects!$Y$4-$A39-1)*Objects!$X$4,0)</f>
        <v>0</v>
      </c>
      <c r="DU39">
        <f ca="1">OFFSET(Objects!$HW$6,DU$1+(Objects!$Y$4-$A39-1)*Objects!$X$4,0)</f>
        <v>0</v>
      </c>
      <c r="DV39">
        <f ca="1">OFFSET(Objects!$HW$6,DV$1+(Objects!$Y$4-$A39-1)*Objects!$X$4,0)</f>
        <v>0</v>
      </c>
      <c r="DW39">
        <f ca="1">OFFSET(Objects!$HW$6,DW$1+(Objects!$Y$4-$A39-1)*Objects!$X$4,0)</f>
        <v>0</v>
      </c>
      <c r="DX39">
        <f ca="1">OFFSET(Objects!$HW$6,DX$1+(Objects!$Y$4-$A39-1)*Objects!$X$4,0)</f>
        <v>0</v>
      </c>
      <c r="DY39">
        <f ca="1">OFFSET(Objects!$HW$6,DY$1+(Objects!$Y$4-$A39-1)*Objects!$X$4,0)</f>
        <v>0</v>
      </c>
      <c r="DZ39">
        <f ca="1">OFFSET(Objects!$HW$6,DZ$1+(Objects!$Y$4-$A39-1)*Objects!$X$4,0)</f>
        <v>0</v>
      </c>
      <c r="EA39">
        <f ca="1">OFFSET(Objects!$HW$6,EA$1+(Objects!$Y$4-$A39-1)*Objects!$X$4,0)</f>
        <v>0</v>
      </c>
      <c r="EB39">
        <f ca="1">OFFSET(Objects!$HW$6,EB$1+(Objects!$Y$4-$A39-1)*Objects!$X$4,0)</f>
        <v>0</v>
      </c>
      <c r="EC39">
        <f ca="1">OFFSET(Objects!$HW$6,EC$1+(Objects!$Y$4-$A39-1)*Objects!$X$4,0)</f>
        <v>0</v>
      </c>
      <c r="ED39">
        <f ca="1">OFFSET(Objects!$HW$6,ED$1+(Objects!$Y$4-$A39-1)*Objects!$X$4,0)</f>
        <v>0</v>
      </c>
      <c r="EE39">
        <f ca="1">OFFSET(Objects!$HW$6,EE$1+(Objects!$Y$4-$A39-1)*Objects!$X$4,0)</f>
        <v>0</v>
      </c>
      <c r="EF39">
        <f ca="1">OFFSET(Objects!$HW$6,EF$1+(Objects!$Y$4-$A39-1)*Objects!$X$4,0)</f>
        <v>0</v>
      </c>
      <c r="EG39">
        <f ca="1">OFFSET(Objects!$HW$6,EG$1+(Objects!$Y$4-$A39-1)*Objects!$X$4,0)</f>
        <v>0</v>
      </c>
      <c r="EH39">
        <f ca="1">OFFSET(Objects!$HW$6,EH$1+(Objects!$Y$4-$A39-1)*Objects!$X$4,0)</f>
        <v>0</v>
      </c>
      <c r="EI39">
        <f ca="1">OFFSET(Objects!$HW$6,EI$1+(Objects!$Y$4-$A39-1)*Objects!$X$4,0)</f>
        <v>0</v>
      </c>
      <c r="EJ39">
        <f ca="1">OFFSET(Objects!$HW$6,EJ$1+(Objects!$Y$4-$A39-1)*Objects!$X$4,0)</f>
        <v>0</v>
      </c>
      <c r="EK39">
        <f ca="1">OFFSET(Objects!$HW$6,EK$1+(Objects!$Y$4-$A39-1)*Objects!$X$4,0)</f>
        <v>0</v>
      </c>
      <c r="EL39">
        <f ca="1">OFFSET(Objects!$HW$6,EL$1+(Objects!$Y$4-$A39-1)*Objects!$X$4,0)</f>
        <v>0</v>
      </c>
      <c r="EM39">
        <f ca="1">OFFSET(Objects!$HW$6,EM$1+(Objects!$Y$4-$A39-1)*Objects!$X$4,0)</f>
        <v>0</v>
      </c>
      <c r="EN39">
        <f ca="1">OFFSET(Objects!$HW$6,EN$1+(Objects!$Y$4-$A39-1)*Objects!$X$4,0)</f>
        <v>0</v>
      </c>
      <c r="EO39">
        <f ca="1">OFFSET(Objects!$HW$6,EO$1+(Objects!$Y$4-$A39-1)*Objects!$X$4,0)</f>
        <v>0</v>
      </c>
      <c r="EP39">
        <f ca="1">OFFSET(Objects!$HW$6,EP$1+(Objects!$Y$4-$A39-1)*Objects!$X$4,0)</f>
        <v>0</v>
      </c>
      <c r="EQ39">
        <f ca="1">OFFSET(Objects!$HW$6,EQ$1+(Objects!$Y$4-$A39-1)*Objects!$X$4,0)</f>
        <v>0</v>
      </c>
      <c r="ER39">
        <f ca="1">OFFSET(Objects!$HW$6,ER$1+(Objects!$Y$4-$A39-1)*Objects!$X$4,0)</f>
        <v>0</v>
      </c>
      <c r="ES39">
        <f ca="1">OFFSET(Objects!$HW$6,ES$1+(Objects!$Y$4-$A39-1)*Objects!$X$4,0)</f>
        <v>0</v>
      </c>
      <c r="ET39">
        <f ca="1">OFFSET(Objects!$HW$6,ET$1+(Objects!$Y$4-$A39-1)*Objects!$X$4,0)</f>
        <v>0</v>
      </c>
      <c r="EU39">
        <f ca="1">OFFSET(Objects!$HW$6,EU$1+(Objects!$Y$4-$A39-1)*Objects!$X$4,0)</f>
        <v>0</v>
      </c>
      <c r="EV39">
        <f ca="1">OFFSET(Objects!$HW$6,EV$1+(Objects!$Y$4-$A39-1)*Objects!$X$4,0)</f>
        <v>0</v>
      </c>
      <c r="EW39">
        <f ca="1">OFFSET(Objects!$HW$6,EW$1+(Objects!$Y$4-$A39-1)*Objects!$X$4,0)</f>
        <v>0</v>
      </c>
      <c r="EX39">
        <f ca="1">OFFSET(Objects!$HW$6,EX$1+(Objects!$Y$4-$A39-1)*Objects!$X$4,0)</f>
        <v>0</v>
      </c>
      <c r="EY39">
        <f ca="1">OFFSET(Objects!$HW$6,EY$1+(Objects!$Y$4-$A39-1)*Objects!$X$4,0)</f>
        <v>0</v>
      </c>
      <c r="EZ39">
        <f ca="1">OFFSET(Objects!$HW$6,EZ$1+(Objects!$Y$4-$A39-1)*Objects!$X$4,0)</f>
        <v>0</v>
      </c>
      <c r="FA39">
        <f ca="1">OFFSET(Objects!$HW$6,FA$1+(Objects!$Y$4-$A39-1)*Objects!$X$4,0)</f>
        <v>0</v>
      </c>
      <c r="FB39">
        <f ca="1">OFFSET(Objects!$HW$6,FB$1+(Objects!$Y$4-$A39-1)*Objects!$X$4,0)</f>
        <v>0</v>
      </c>
      <c r="FC39">
        <f ca="1">OFFSET(Objects!$HW$6,FC$1+(Objects!$Y$4-$A39-1)*Objects!$X$4,0)</f>
        <v>0</v>
      </c>
      <c r="FD39">
        <f ca="1">OFFSET(Objects!$HW$6,FD$1+(Objects!$Y$4-$A39-1)*Objects!$X$4,0)</f>
        <v>0</v>
      </c>
      <c r="FE39" s="22">
        <f ca="1">OFFSET(Objects!$HW$6,FE$1+(Objects!$Y$4-$A39-1)*Objects!$X$4,0)</f>
        <v>0</v>
      </c>
    </row>
    <row r="40" spans="1:161" ht="4.5" customHeight="1" x14ac:dyDescent="0.25">
      <c r="A40">
        <v>38</v>
      </c>
      <c r="B40" s="21">
        <f ca="1">OFFSET(Objects!$HW$6,B$1+(Objects!$Y$4-$A40-1)*Objects!$X$4,0)</f>
        <v>0</v>
      </c>
      <c r="C40">
        <f ca="1">OFFSET(Objects!$HW$6,C$1+(Objects!$Y$4-$A40-1)*Objects!$X$4,0)</f>
        <v>0</v>
      </c>
      <c r="D40">
        <f ca="1">OFFSET(Objects!$HW$6,D$1+(Objects!$Y$4-$A40-1)*Objects!$X$4,0)</f>
        <v>0</v>
      </c>
      <c r="E40">
        <f ca="1">OFFSET(Objects!$HW$6,E$1+(Objects!$Y$4-$A40-1)*Objects!$X$4,0)</f>
        <v>0</v>
      </c>
      <c r="F40">
        <f ca="1">OFFSET(Objects!$HW$6,F$1+(Objects!$Y$4-$A40-1)*Objects!$X$4,0)</f>
        <v>0</v>
      </c>
      <c r="G40">
        <f ca="1">OFFSET(Objects!$HW$6,G$1+(Objects!$Y$4-$A40-1)*Objects!$X$4,0)</f>
        <v>0</v>
      </c>
      <c r="H40">
        <f ca="1">OFFSET(Objects!$HW$6,H$1+(Objects!$Y$4-$A40-1)*Objects!$X$4,0)</f>
        <v>0</v>
      </c>
      <c r="I40">
        <f ca="1">OFFSET(Objects!$HW$6,I$1+(Objects!$Y$4-$A40-1)*Objects!$X$4,0)</f>
        <v>0</v>
      </c>
      <c r="J40">
        <f ca="1">OFFSET(Objects!$HW$6,J$1+(Objects!$Y$4-$A40-1)*Objects!$X$4,0)</f>
        <v>0</v>
      </c>
      <c r="K40">
        <f ca="1">OFFSET(Objects!$HW$6,K$1+(Objects!$Y$4-$A40-1)*Objects!$X$4,0)</f>
        <v>0</v>
      </c>
      <c r="L40">
        <f ca="1">OFFSET(Objects!$HW$6,L$1+(Objects!$Y$4-$A40-1)*Objects!$X$4,0)</f>
        <v>0</v>
      </c>
      <c r="M40">
        <f ca="1">OFFSET(Objects!$HW$6,M$1+(Objects!$Y$4-$A40-1)*Objects!$X$4,0)</f>
        <v>0</v>
      </c>
      <c r="N40">
        <f ca="1">OFFSET(Objects!$HW$6,N$1+(Objects!$Y$4-$A40-1)*Objects!$X$4,0)</f>
        <v>0</v>
      </c>
      <c r="O40">
        <f ca="1">OFFSET(Objects!$HW$6,O$1+(Objects!$Y$4-$A40-1)*Objects!$X$4,0)</f>
        <v>0</v>
      </c>
      <c r="P40">
        <f ca="1">OFFSET(Objects!$HW$6,P$1+(Objects!$Y$4-$A40-1)*Objects!$X$4,0)</f>
        <v>0</v>
      </c>
      <c r="Q40">
        <f ca="1">OFFSET(Objects!$HW$6,Q$1+(Objects!$Y$4-$A40-1)*Objects!$X$4,0)</f>
        <v>0</v>
      </c>
      <c r="R40">
        <f ca="1">OFFSET(Objects!$HW$6,R$1+(Objects!$Y$4-$A40-1)*Objects!$X$4,0)</f>
        <v>0</v>
      </c>
      <c r="S40">
        <f ca="1">OFFSET(Objects!$HW$6,S$1+(Objects!$Y$4-$A40-1)*Objects!$X$4,0)</f>
        <v>0</v>
      </c>
      <c r="T40">
        <f ca="1">OFFSET(Objects!$HW$6,T$1+(Objects!$Y$4-$A40-1)*Objects!$X$4,0)</f>
        <v>0</v>
      </c>
      <c r="U40">
        <f ca="1">OFFSET(Objects!$HW$6,U$1+(Objects!$Y$4-$A40-1)*Objects!$X$4,0)</f>
        <v>0</v>
      </c>
      <c r="V40">
        <f ca="1">OFFSET(Objects!$HW$6,V$1+(Objects!$Y$4-$A40-1)*Objects!$X$4,0)</f>
        <v>0</v>
      </c>
      <c r="W40">
        <f ca="1">OFFSET(Objects!$HW$6,W$1+(Objects!$Y$4-$A40-1)*Objects!$X$4,0)</f>
        <v>0</v>
      </c>
      <c r="X40">
        <f ca="1">OFFSET(Objects!$HW$6,X$1+(Objects!$Y$4-$A40-1)*Objects!$X$4,0)</f>
        <v>0</v>
      </c>
      <c r="Y40">
        <f ca="1">OFFSET(Objects!$HW$6,Y$1+(Objects!$Y$4-$A40-1)*Objects!$X$4,0)</f>
        <v>0</v>
      </c>
      <c r="Z40">
        <f ca="1">OFFSET(Objects!$HW$6,Z$1+(Objects!$Y$4-$A40-1)*Objects!$X$4,0)</f>
        <v>0</v>
      </c>
      <c r="AA40">
        <f ca="1">OFFSET(Objects!$HW$6,AA$1+(Objects!$Y$4-$A40-1)*Objects!$X$4,0)</f>
        <v>0</v>
      </c>
      <c r="AB40">
        <f ca="1">OFFSET(Objects!$HW$6,AB$1+(Objects!$Y$4-$A40-1)*Objects!$X$4,0)</f>
        <v>0</v>
      </c>
      <c r="AC40">
        <f ca="1">OFFSET(Objects!$HW$6,AC$1+(Objects!$Y$4-$A40-1)*Objects!$X$4,0)</f>
        <v>0</v>
      </c>
      <c r="AD40">
        <f ca="1">OFFSET(Objects!$HW$6,AD$1+(Objects!$Y$4-$A40-1)*Objects!$X$4,0)</f>
        <v>0</v>
      </c>
      <c r="AE40">
        <f ca="1">OFFSET(Objects!$HW$6,AE$1+(Objects!$Y$4-$A40-1)*Objects!$X$4,0)</f>
        <v>0</v>
      </c>
      <c r="AF40">
        <f ca="1">OFFSET(Objects!$HW$6,AF$1+(Objects!$Y$4-$A40-1)*Objects!$X$4,0)</f>
        <v>0</v>
      </c>
      <c r="AG40">
        <f ca="1">OFFSET(Objects!$HW$6,AG$1+(Objects!$Y$4-$A40-1)*Objects!$X$4,0)</f>
        <v>0</v>
      </c>
      <c r="AH40">
        <f ca="1">OFFSET(Objects!$HW$6,AH$1+(Objects!$Y$4-$A40-1)*Objects!$X$4,0)</f>
        <v>0</v>
      </c>
      <c r="AI40">
        <f ca="1">OFFSET(Objects!$HW$6,AI$1+(Objects!$Y$4-$A40-1)*Objects!$X$4,0)</f>
        <v>0</v>
      </c>
      <c r="AJ40">
        <f ca="1">OFFSET(Objects!$HW$6,AJ$1+(Objects!$Y$4-$A40-1)*Objects!$X$4,0)</f>
        <v>0</v>
      </c>
      <c r="AK40">
        <f ca="1">OFFSET(Objects!$HW$6,AK$1+(Objects!$Y$4-$A40-1)*Objects!$X$4,0)</f>
        <v>0</v>
      </c>
      <c r="AL40">
        <f ca="1">OFFSET(Objects!$HW$6,AL$1+(Objects!$Y$4-$A40-1)*Objects!$X$4,0)</f>
        <v>0</v>
      </c>
      <c r="AM40">
        <f ca="1">OFFSET(Objects!$HW$6,AM$1+(Objects!$Y$4-$A40-1)*Objects!$X$4,0)</f>
        <v>0</v>
      </c>
      <c r="AN40">
        <f ca="1">OFFSET(Objects!$HW$6,AN$1+(Objects!$Y$4-$A40-1)*Objects!$X$4,0)</f>
        <v>0</v>
      </c>
      <c r="AO40">
        <f ca="1">OFFSET(Objects!$HW$6,AO$1+(Objects!$Y$4-$A40-1)*Objects!$X$4,0)</f>
        <v>0</v>
      </c>
      <c r="AP40">
        <f ca="1">OFFSET(Objects!$HW$6,AP$1+(Objects!$Y$4-$A40-1)*Objects!$X$4,0)</f>
        <v>0</v>
      </c>
      <c r="AQ40">
        <f ca="1">OFFSET(Objects!$HW$6,AQ$1+(Objects!$Y$4-$A40-1)*Objects!$X$4,0)</f>
        <v>0</v>
      </c>
      <c r="AR40">
        <f ca="1">OFFSET(Objects!$HW$6,AR$1+(Objects!$Y$4-$A40-1)*Objects!$X$4,0)</f>
        <v>0</v>
      </c>
      <c r="AS40">
        <f ca="1">OFFSET(Objects!$HW$6,AS$1+(Objects!$Y$4-$A40-1)*Objects!$X$4,0)</f>
        <v>0</v>
      </c>
      <c r="AT40">
        <f ca="1">OFFSET(Objects!$HW$6,AT$1+(Objects!$Y$4-$A40-1)*Objects!$X$4,0)</f>
        <v>0</v>
      </c>
      <c r="AU40">
        <f ca="1">OFFSET(Objects!$HW$6,AU$1+(Objects!$Y$4-$A40-1)*Objects!$X$4,0)</f>
        <v>0</v>
      </c>
      <c r="AV40">
        <f ca="1">OFFSET(Objects!$HW$6,AV$1+(Objects!$Y$4-$A40-1)*Objects!$X$4,0)</f>
        <v>0</v>
      </c>
      <c r="AW40">
        <f ca="1">OFFSET(Objects!$HW$6,AW$1+(Objects!$Y$4-$A40-1)*Objects!$X$4,0)</f>
        <v>0</v>
      </c>
      <c r="AX40">
        <f ca="1">OFFSET(Objects!$HW$6,AX$1+(Objects!$Y$4-$A40-1)*Objects!$X$4,0)</f>
        <v>0</v>
      </c>
      <c r="AY40">
        <f ca="1">OFFSET(Objects!$HW$6,AY$1+(Objects!$Y$4-$A40-1)*Objects!$X$4,0)</f>
        <v>0</v>
      </c>
      <c r="AZ40">
        <f ca="1">OFFSET(Objects!$HW$6,AZ$1+(Objects!$Y$4-$A40-1)*Objects!$X$4,0)</f>
        <v>0</v>
      </c>
      <c r="BA40">
        <f ca="1">OFFSET(Objects!$HW$6,BA$1+(Objects!$Y$4-$A40-1)*Objects!$X$4,0)</f>
        <v>0</v>
      </c>
      <c r="BB40">
        <f ca="1">OFFSET(Objects!$HW$6,BB$1+(Objects!$Y$4-$A40-1)*Objects!$X$4,0)</f>
        <v>0</v>
      </c>
      <c r="BC40">
        <f ca="1">OFFSET(Objects!$HW$6,BC$1+(Objects!$Y$4-$A40-1)*Objects!$X$4,0)</f>
        <v>0</v>
      </c>
      <c r="BD40">
        <f ca="1">OFFSET(Objects!$HW$6,BD$1+(Objects!$Y$4-$A40-1)*Objects!$X$4,0)</f>
        <v>0</v>
      </c>
      <c r="BE40">
        <f ca="1">OFFSET(Objects!$HW$6,BE$1+(Objects!$Y$4-$A40-1)*Objects!$X$4,0)</f>
        <v>0</v>
      </c>
      <c r="BF40">
        <f ca="1">OFFSET(Objects!$HW$6,BF$1+(Objects!$Y$4-$A40-1)*Objects!$X$4,0)</f>
        <v>0</v>
      </c>
      <c r="BG40">
        <f ca="1">OFFSET(Objects!$HW$6,BG$1+(Objects!$Y$4-$A40-1)*Objects!$X$4,0)</f>
        <v>0</v>
      </c>
      <c r="BH40">
        <f ca="1">OFFSET(Objects!$HW$6,BH$1+(Objects!$Y$4-$A40-1)*Objects!$X$4,0)</f>
        <v>0</v>
      </c>
      <c r="BI40">
        <f ca="1">OFFSET(Objects!$HW$6,BI$1+(Objects!$Y$4-$A40-1)*Objects!$X$4,0)</f>
        <v>0</v>
      </c>
      <c r="BJ40">
        <f ca="1">OFFSET(Objects!$HW$6,BJ$1+(Objects!$Y$4-$A40-1)*Objects!$X$4,0)</f>
        <v>0</v>
      </c>
      <c r="BK40">
        <f ca="1">OFFSET(Objects!$HW$6,BK$1+(Objects!$Y$4-$A40-1)*Objects!$X$4,0)</f>
        <v>0</v>
      </c>
      <c r="BL40">
        <f ca="1">OFFSET(Objects!$HW$6,BL$1+(Objects!$Y$4-$A40-1)*Objects!$X$4,0)</f>
        <v>0</v>
      </c>
      <c r="BM40">
        <f ca="1">OFFSET(Objects!$HW$6,BM$1+(Objects!$Y$4-$A40-1)*Objects!$X$4,0)</f>
        <v>0</v>
      </c>
      <c r="BN40">
        <f ca="1">OFFSET(Objects!$HW$6,BN$1+(Objects!$Y$4-$A40-1)*Objects!$X$4,0)</f>
        <v>0</v>
      </c>
      <c r="BO40">
        <f ca="1">OFFSET(Objects!$HW$6,BO$1+(Objects!$Y$4-$A40-1)*Objects!$X$4,0)</f>
        <v>0</v>
      </c>
      <c r="BP40">
        <f ca="1">OFFSET(Objects!$HW$6,BP$1+(Objects!$Y$4-$A40-1)*Objects!$X$4,0)</f>
        <v>0</v>
      </c>
      <c r="BQ40">
        <f ca="1">OFFSET(Objects!$HW$6,BQ$1+(Objects!$Y$4-$A40-1)*Objects!$X$4,0)</f>
        <v>0</v>
      </c>
      <c r="BR40">
        <f ca="1">OFFSET(Objects!$HW$6,BR$1+(Objects!$Y$4-$A40-1)*Objects!$X$4,0)</f>
        <v>0</v>
      </c>
      <c r="BS40">
        <f ca="1">OFFSET(Objects!$HW$6,BS$1+(Objects!$Y$4-$A40-1)*Objects!$X$4,0)</f>
        <v>0</v>
      </c>
      <c r="BT40">
        <f ca="1">OFFSET(Objects!$HW$6,BT$1+(Objects!$Y$4-$A40-1)*Objects!$X$4,0)</f>
        <v>0</v>
      </c>
      <c r="BU40">
        <f ca="1">OFFSET(Objects!$HW$6,BU$1+(Objects!$Y$4-$A40-1)*Objects!$X$4,0)</f>
        <v>0</v>
      </c>
      <c r="BV40">
        <f ca="1">OFFSET(Objects!$HW$6,BV$1+(Objects!$Y$4-$A40-1)*Objects!$X$4,0)</f>
        <v>0</v>
      </c>
      <c r="BW40">
        <f ca="1">OFFSET(Objects!$HW$6,BW$1+(Objects!$Y$4-$A40-1)*Objects!$X$4,0)</f>
        <v>0</v>
      </c>
      <c r="BX40">
        <f ca="1">OFFSET(Objects!$HW$6,BX$1+(Objects!$Y$4-$A40-1)*Objects!$X$4,0)</f>
        <v>0</v>
      </c>
      <c r="BY40">
        <f ca="1">OFFSET(Objects!$HW$6,BY$1+(Objects!$Y$4-$A40-1)*Objects!$X$4,0)</f>
        <v>0</v>
      </c>
      <c r="BZ40">
        <f ca="1">OFFSET(Objects!$HW$6,BZ$1+(Objects!$Y$4-$A40-1)*Objects!$X$4,0)</f>
        <v>0</v>
      </c>
      <c r="CA40">
        <f ca="1">OFFSET(Objects!$HW$6,CA$1+(Objects!$Y$4-$A40-1)*Objects!$X$4,0)</f>
        <v>0</v>
      </c>
      <c r="CB40">
        <f ca="1">OFFSET(Objects!$HW$6,CB$1+(Objects!$Y$4-$A40-1)*Objects!$X$4,0)</f>
        <v>0</v>
      </c>
      <c r="CC40">
        <f ca="1">OFFSET(Objects!$HW$6,CC$1+(Objects!$Y$4-$A40-1)*Objects!$X$4,0)</f>
        <v>0</v>
      </c>
      <c r="CD40">
        <f ca="1">OFFSET(Objects!$HW$6,CD$1+(Objects!$Y$4-$A40-1)*Objects!$X$4,0)</f>
        <v>0</v>
      </c>
      <c r="CE40">
        <f ca="1">OFFSET(Objects!$HW$6,CE$1+(Objects!$Y$4-$A40-1)*Objects!$X$4,0)</f>
        <v>0</v>
      </c>
      <c r="CF40">
        <f ca="1">OFFSET(Objects!$HW$6,CF$1+(Objects!$Y$4-$A40-1)*Objects!$X$4,0)</f>
        <v>0</v>
      </c>
      <c r="CG40">
        <f ca="1">OFFSET(Objects!$HW$6,CG$1+(Objects!$Y$4-$A40-1)*Objects!$X$4,0)</f>
        <v>0</v>
      </c>
      <c r="CH40">
        <f ca="1">OFFSET(Objects!$HW$6,CH$1+(Objects!$Y$4-$A40-1)*Objects!$X$4,0)</f>
        <v>0</v>
      </c>
      <c r="CI40">
        <f ca="1">OFFSET(Objects!$HW$6,CI$1+(Objects!$Y$4-$A40-1)*Objects!$X$4,0)</f>
        <v>0</v>
      </c>
      <c r="CJ40">
        <f ca="1">OFFSET(Objects!$HW$6,CJ$1+(Objects!$Y$4-$A40-1)*Objects!$X$4,0)</f>
        <v>0</v>
      </c>
      <c r="CK40">
        <f ca="1">OFFSET(Objects!$HW$6,CK$1+(Objects!$Y$4-$A40-1)*Objects!$X$4,0)</f>
        <v>0</v>
      </c>
      <c r="CL40">
        <f ca="1">OFFSET(Objects!$HW$6,CL$1+(Objects!$Y$4-$A40-1)*Objects!$X$4,0)</f>
        <v>0</v>
      </c>
      <c r="CM40">
        <f ca="1">OFFSET(Objects!$HW$6,CM$1+(Objects!$Y$4-$A40-1)*Objects!$X$4,0)</f>
        <v>0</v>
      </c>
      <c r="CN40">
        <f ca="1">OFFSET(Objects!$HW$6,CN$1+(Objects!$Y$4-$A40-1)*Objects!$X$4,0)</f>
        <v>0</v>
      </c>
      <c r="CO40">
        <f ca="1">OFFSET(Objects!$HW$6,CO$1+(Objects!$Y$4-$A40-1)*Objects!$X$4,0)</f>
        <v>0</v>
      </c>
      <c r="CP40">
        <f ca="1">OFFSET(Objects!$HW$6,CP$1+(Objects!$Y$4-$A40-1)*Objects!$X$4,0)</f>
        <v>0</v>
      </c>
      <c r="CQ40">
        <f ca="1">OFFSET(Objects!$HW$6,CQ$1+(Objects!$Y$4-$A40-1)*Objects!$X$4,0)</f>
        <v>0</v>
      </c>
      <c r="CR40">
        <f ca="1">OFFSET(Objects!$HW$6,CR$1+(Objects!$Y$4-$A40-1)*Objects!$X$4,0)</f>
        <v>0</v>
      </c>
      <c r="CS40">
        <f ca="1">OFFSET(Objects!$HW$6,CS$1+(Objects!$Y$4-$A40-1)*Objects!$X$4,0)</f>
        <v>0</v>
      </c>
      <c r="CT40">
        <f ca="1">OFFSET(Objects!$HW$6,CT$1+(Objects!$Y$4-$A40-1)*Objects!$X$4,0)</f>
        <v>0</v>
      </c>
      <c r="CU40">
        <f ca="1">OFFSET(Objects!$HW$6,CU$1+(Objects!$Y$4-$A40-1)*Objects!$X$4,0)</f>
        <v>0</v>
      </c>
      <c r="CV40">
        <f ca="1">OFFSET(Objects!$HW$6,CV$1+(Objects!$Y$4-$A40-1)*Objects!$X$4,0)</f>
        <v>0</v>
      </c>
      <c r="CW40">
        <f ca="1">OFFSET(Objects!$HW$6,CW$1+(Objects!$Y$4-$A40-1)*Objects!$X$4,0)</f>
        <v>0</v>
      </c>
      <c r="CX40">
        <f ca="1">OFFSET(Objects!$HW$6,CX$1+(Objects!$Y$4-$A40-1)*Objects!$X$4,0)</f>
        <v>0</v>
      </c>
      <c r="CY40">
        <f ca="1">OFFSET(Objects!$HW$6,CY$1+(Objects!$Y$4-$A40-1)*Objects!$X$4,0)</f>
        <v>0</v>
      </c>
      <c r="CZ40">
        <f ca="1">OFFSET(Objects!$HW$6,CZ$1+(Objects!$Y$4-$A40-1)*Objects!$X$4,0)</f>
        <v>0</v>
      </c>
      <c r="DA40">
        <f ca="1">OFFSET(Objects!$HW$6,DA$1+(Objects!$Y$4-$A40-1)*Objects!$X$4,0)</f>
        <v>0</v>
      </c>
      <c r="DB40">
        <f ca="1">OFFSET(Objects!$HW$6,DB$1+(Objects!$Y$4-$A40-1)*Objects!$X$4,0)</f>
        <v>0</v>
      </c>
      <c r="DC40">
        <f ca="1">OFFSET(Objects!$HW$6,DC$1+(Objects!$Y$4-$A40-1)*Objects!$X$4,0)</f>
        <v>0</v>
      </c>
      <c r="DD40">
        <f ca="1">OFFSET(Objects!$HW$6,DD$1+(Objects!$Y$4-$A40-1)*Objects!$X$4,0)</f>
        <v>0</v>
      </c>
      <c r="DE40">
        <f ca="1">OFFSET(Objects!$HW$6,DE$1+(Objects!$Y$4-$A40-1)*Objects!$X$4,0)</f>
        <v>0</v>
      </c>
      <c r="DF40">
        <f ca="1">OFFSET(Objects!$HW$6,DF$1+(Objects!$Y$4-$A40-1)*Objects!$X$4,0)</f>
        <v>0</v>
      </c>
      <c r="DG40">
        <f ca="1">OFFSET(Objects!$HW$6,DG$1+(Objects!$Y$4-$A40-1)*Objects!$X$4,0)</f>
        <v>0</v>
      </c>
      <c r="DH40">
        <f ca="1">OFFSET(Objects!$HW$6,DH$1+(Objects!$Y$4-$A40-1)*Objects!$X$4,0)</f>
        <v>0</v>
      </c>
      <c r="DI40">
        <f ca="1">OFFSET(Objects!$HW$6,DI$1+(Objects!$Y$4-$A40-1)*Objects!$X$4,0)</f>
        <v>0</v>
      </c>
      <c r="DJ40">
        <f ca="1">OFFSET(Objects!$HW$6,DJ$1+(Objects!$Y$4-$A40-1)*Objects!$X$4,0)</f>
        <v>0</v>
      </c>
      <c r="DK40">
        <f ca="1">OFFSET(Objects!$HW$6,DK$1+(Objects!$Y$4-$A40-1)*Objects!$X$4,0)</f>
        <v>0</v>
      </c>
      <c r="DL40">
        <f ca="1">OFFSET(Objects!$HW$6,DL$1+(Objects!$Y$4-$A40-1)*Objects!$X$4,0)</f>
        <v>0</v>
      </c>
      <c r="DM40">
        <f ca="1">OFFSET(Objects!$HW$6,DM$1+(Objects!$Y$4-$A40-1)*Objects!$X$4,0)</f>
        <v>0</v>
      </c>
      <c r="DN40">
        <f ca="1">OFFSET(Objects!$HW$6,DN$1+(Objects!$Y$4-$A40-1)*Objects!$X$4,0)</f>
        <v>0</v>
      </c>
      <c r="DO40">
        <f ca="1">OFFSET(Objects!$HW$6,DO$1+(Objects!$Y$4-$A40-1)*Objects!$X$4,0)</f>
        <v>0</v>
      </c>
      <c r="DP40">
        <f ca="1">OFFSET(Objects!$HW$6,DP$1+(Objects!$Y$4-$A40-1)*Objects!$X$4,0)</f>
        <v>0</v>
      </c>
      <c r="DQ40">
        <f ca="1">OFFSET(Objects!$HW$6,DQ$1+(Objects!$Y$4-$A40-1)*Objects!$X$4,0)</f>
        <v>0</v>
      </c>
      <c r="DR40">
        <f ca="1">OFFSET(Objects!$HW$6,DR$1+(Objects!$Y$4-$A40-1)*Objects!$X$4,0)</f>
        <v>0</v>
      </c>
      <c r="DS40">
        <f ca="1">OFFSET(Objects!$HW$6,DS$1+(Objects!$Y$4-$A40-1)*Objects!$X$4,0)</f>
        <v>0</v>
      </c>
      <c r="DT40">
        <f ca="1">OFFSET(Objects!$HW$6,DT$1+(Objects!$Y$4-$A40-1)*Objects!$X$4,0)</f>
        <v>0</v>
      </c>
      <c r="DU40">
        <f ca="1">OFFSET(Objects!$HW$6,DU$1+(Objects!$Y$4-$A40-1)*Objects!$X$4,0)</f>
        <v>0</v>
      </c>
      <c r="DV40">
        <f ca="1">OFFSET(Objects!$HW$6,DV$1+(Objects!$Y$4-$A40-1)*Objects!$X$4,0)</f>
        <v>0</v>
      </c>
      <c r="DW40">
        <f ca="1">OFFSET(Objects!$HW$6,DW$1+(Objects!$Y$4-$A40-1)*Objects!$X$4,0)</f>
        <v>0</v>
      </c>
      <c r="DX40">
        <f ca="1">OFFSET(Objects!$HW$6,DX$1+(Objects!$Y$4-$A40-1)*Objects!$X$4,0)</f>
        <v>0</v>
      </c>
      <c r="DY40">
        <f ca="1">OFFSET(Objects!$HW$6,DY$1+(Objects!$Y$4-$A40-1)*Objects!$X$4,0)</f>
        <v>0</v>
      </c>
      <c r="DZ40">
        <f ca="1">OFFSET(Objects!$HW$6,DZ$1+(Objects!$Y$4-$A40-1)*Objects!$X$4,0)</f>
        <v>0</v>
      </c>
      <c r="EA40">
        <f ca="1">OFFSET(Objects!$HW$6,EA$1+(Objects!$Y$4-$A40-1)*Objects!$X$4,0)</f>
        <v>0</v>
      </c>
      <c r="EB40">
        <f ca="1">OFFSET(Objects!$HW$6,EB$1+(Objects!$Y$4-$A40-1)*Objects!$X$4,0)</f>
        <v>0</v>
      </c>
      <c r="EC40">
        <f ca="1">OFFSET(Objects!$HW$6,EC$1+(Objects!$Y$4-$A40-1)*Objects!$X$4,0)</f>
        <v>0</v>
      </c>
      <c r="ED40">
        <f ca="1">OFFSET(Objects!$HW$6,ED$1+(Objects!$Y$4-$A40-1)*Objects!$X$4,0)</f>
        <v>0</v>
      </c>
      <c r="EE40">
        <f ca="1">OFFSET(Objects!$HW$6,EE$1+(Objects!$Y$4-$A40-1)*Objects!$X$4,0)</f>
        <v>0</v>
      </c>
      <c r="EF40">
        <f ca="1">OFFSET(Objects!$HW$6,EF$1+(Objects!$Y$4-$A40-1)*Objects!$X$4,0)</f>
        <v>0</v>
      </c>
      <c r="EG40">
        <f ca="1">OFFSET(Objects!$HW$6,EG$1+(Objects!$Y$4-$A40-1)*Objects!$X$4,0)</f>
        <v>0</v>
      </c>
      <c r="EH40">
        <f ca="1">OFFSET(Objects!$HW$6,EH$1+(Objects!$Y$4-$A40-1)*Objects!$X$4,0)</f>
        <v>0</v>
      </c>
      <c r="EI40">
        <f ca="1">OFFSET(Objects!$HW$6,EI$1+(Objects!$Y$4-$A40-1)*Objects!$X$4,0)</f>
        <v>0</v>
      </c>
      <c r="EJ40">
        <f ca="1">OFFSET(Objects!$HW$6,EJ$1+(Objects!$Y$4-$A40-1)*Objects!$X$4,0)</f>
        <v>0</v>
      </c>
      <c r="EK40">
        <f ca="1">OFFSET(Objects!$HW$6,EK$1+(Objects!$Y$4-$A40-1)*Objects!$X$4,0)</f>
        <v>0</v>
      </c>
      <c r="EL40">
        <f ca="1">OFFSET(Objects!$HW$6,EL$1+(Objects!$Y$4-$A40-1)*Objects!$X$4,0)</f>
        <v>0</v>
      </c>
      <c r="EM40">
        <f ca="1">OFFSET(Objects!$HW$6,EM$1+(Objects!$Y$4-$A40-1)*Objects!$X$4,0)</f>
        <v>0</v>
      </c>
      <c r="EN40">
        <f ca="1">OFFSET(Objects!$HW$6,EN$1+(Objects!$Y$4-$A40-1)*Objects!$X$4,0)</f>
        <v>0</v>
      </c>
      <c r="EO40">
        <f ca="1">OFFSET(Objects!$HW$6,EO$1+(Objects!$Y$4-$A40-1)*Objects!$X$4,0)</f>
        <v>0</v>
      </c>
      <c r="EP40">
        <f ca="1">OFFSET(Objects!$HW$6,EP$1+(Objects!$Y$4-$A40-1)*Objects!$X$4,0)</f>
        <v>0</v>
      </c>
      <c r="EQ40">
        <f ca="1">OFFSET(Objects!$HW$6,EQ$1+(Objects!$Y$4-$A40-1)*Objects!$X$4,0)</f>
        <v>0</v>
      </c>
      <c r="ER40">
        <f ca="1">OFFSET(Objects!$HW$6,ER$1+(Objects!$Y$4-$A40-1)*Objects!$X$4,0)</f>
        <v>0</v>
      </c>
      <c r="ES40">
        <f ca="1">OFFSET(Objects!$HW$6,ES$1+(Objects!$Y$4-$A40-1)*Objects!$X$4,0)</f>
        <v>0</v>
      </c>
      <c r="ET40">
        <f ca="1">OFFSET(Objects!$HW$6,ET$1+(Objects!$Y$4-$A40-1)*Objects!$X$4,0)</f>
        <v>0</v>
      </c>
      <c r="EU40">
        <f ca="1">OFFSET(Objects!$HW$6,EU$1+(Objects!$Y$4-$A40-1)*Objects!$X$4,0)</f>
        <v>0</v>
      </c>
      <c r="EV40">
        <f ca="1">OFFSET(Objects!$HW$6,EV$1+(Objects!$Y$4-$A40-1)*Objects!$X$4,0)</f>
        <v>0</v>
      </c>
      <c r="EW40">
        <f ca="1">OFFSET(Objects!$HW$6,EW$1+(Objects!$Y$4-$A40-1)*Objects!$X$4,0)</f>
        <v>0</v>
      </c>
      <c r="EX40">
        <f ca="1">OFFSET(Objects!$HW$6,EX$1+(Objects!$Y$4-$A40-1)*Objects!$X$4,0)</f>
        <v>0</v>
      </c>
      <c r="EY40">
        <f ca="1">OFFSET(Objects!$HW$6,EY$1+(Objects!$Y$4-$A40-1)*Objects!$X$4,0)</f>
        <v>0</v>
      </c>
      <c r="EZ40">
        <f ca="1">OFFSET(Objects!$HW$6,EZ$1+(Objects!$Y$4-$A40-1)*Objects!$X$4,0)</f>
        <v>0</v>
      </c>
      <c r="FA40">
        <f ca="1">OFFSET(Objects!$HW$6,FA$1+(Objects!$Y$4-$A40-1)*Objects!$X$4,0)</f>
        <v>0</v>
      </c>
      <c r="FB40">
        <f ca="1">OFFSET(Objects!$HW$6,FB$1+(Objects!$Y$4-$A40-1)*Objects!$X$4,0)</f>
        <v>0</v>
      </c>
      <c r="FC40">
        <f ca="1">OFFSET(Objects!$HW$6,FC$1+(Objects!$Y$4-$A40-1)*Objects!$X$4,0)</f>
        <v>0</v>
      </c>
      <c r="FD40">
        <f ca="1">OFFSET(Objects!$HW$6,FD$1+(Objects!$Y$4-$A40-1)*Objects!$X$4,0)</f>
        <v>0</v>
      </c>
      <c r="FE40" s="22">
        <f ca="1">OFFSET(Objects!$HW$6,FE$1+(Objects!$Y$4-$A40-1)*Objects!$X$4,0)</f>
        <v>0</v>
      </c>
    </row>
    <row r="41" spans="1:161" ht="4.5" customHeight="1" x14ac:dyDescent="0.25">
      <c r="A41">
        <v>39</v>
      </c>
      <c r="B41" s="21">
        <f ca="1">OFFSET(Objects!$HW$6,B$1+(Objects!$Y$4-$A41-1)*Objects!$X$4,0)</f>
        <v>0</v>
      </c>
      <c r="C41">
        <f ca="1">OFFSET(Objects!$HW$6,C$1+(Objects!$Y$4-$A41-1)*Objects!$X$4,0)</f>
        <v>0</v>
      </c>
      <c r="D41">
        <f ca="1">OFFSET(Objects!$HW$6,D$1+(Objects!$Y$4-$A41-1)*Objects!$X$4,0)</f>
        <v>0</v>
      </c>
      <c r="E41">
        <f ca="1">OFFSET(Objects!$HW$6,E$1+(Objects!$Y$4-$A41-1)*Objects!$X$4,0)</f>
        <v>0</v>
      </c>
      <c r="F41">
        <f ca="1">OFFSET(Objects!$HW$6,F$1+(Objects!$Y$4-$A41-1)*Objects!$X$4,0)</f>
        <v>0</v>
      </c>
      <c r="G41">
        <f ca="1">OFFSET(Objects!$HW$6,G$1+(Objects!$Y$4-$A41-1)*Objects!$X$4,0)</f>
        <v>0</v>
      </c>
      <c r="H41">
        <f ca="1">OFFSET(Objects!$HW$6,H$1+(Objects!$Y$4-$A41-1)*Objects!$X$4,0)</f>
        <v>0</v>
      </c>
      <c r="I41">
        <f ca="1">OFFSET(Objects!$HW$6,I$1+(Objects!$Y$4-$A41-1)*Objects!$X$4,0)</f>
        <v>0</v>
      </c>
      <c r="J41">
        <f ca="1">OFFSET(Objects!$HW$6,J$1+(Objects!$Y$4-$A41-1)*Objects!$X$4,0)</f>
        <v>0</v>
      </c>
      <c r="K41">
        <f ca="1">OFFSET(Objects!$HW$6,K$1+(Objects!$Y$4-$A41-1)*Objects!$X$4,0)</f>
        <v>0</v>
      </c>
      <c r="L41">
        <f ca="1">OFFSET(Objects!$HW$6,L$1+(Objects!$Y$4-$A41-1)*Objects!$X$4,0)</f>
        <v>0</v>
      </c>
      <c r="M41">
        <f ca="1">OFFSET(Objects!$HW$6,M$1+(Objects!$Y$4-$A41-1)*Objects!$X$4,0)</f>
        <v>0</v>
      </c>
      <c r="N41">
        <f ca="1">OFFSET(Objects!$HW$6,N$1+(Objects!$Y$4-$A41-1)*Objects!$X$4,0)</f>
        <v>0</v>
      </c>
      <c r="O41">
        <f ca="1">OFFSET(Objects!$HW$6,O$1+(Objects!$Y$4-$A41-1)*Objects!$X$4,0)</f>
        <v>0</v>
      </c>
      <c r="P41">
        <f ca="1">OFFSET(Objects!$HW$6,P$1+(Objects!$Y$4-$A41-1)*Objects!$X$4,0)</f>
        <v>0</v>
      </c>
      <c r="Q41">
        <f ca="1">OFFSET(Objects!$HW$6,Q$1+(Objects!$Y$4-$A41-1)*Objects!$X$4,0)</f>
        <v>0</v>
      </c>
      <c r="R41">
        <f ca="1">OFFSET(Objects!$HW$6,R$1+(Objects!$Y$4-$A41-1)*Objects!$X$4,0)</f>
        <v>0</v>
      </c>
      <c r="S41">
        <f ca="1">OFFSET(Objects!$HW$6,S$1+(Objects!$Y$4-$A41-1)*Objects!$X$4,0)</f>
        <v>0</v>
      </c>
      <c r="T41">
        <f ca="1">OFFSET(Objects!$HW$6,T$1+(Objects!$Y$4-$A41-1)*Objects!$X$4,0)</f>
        <v>0</v>
      </c>
      <c r="U41">
        <f ca="1">OFFSET(Objects!$HW$6,U$1+(Objects!$Y$4-$A41-1)*Objects!$X$4,0)</f>
        <v>0</v>
      </c>
      <c r="V41">
        <f ca="1">OFFSET(Objects!$HW$6,V$1+(Objects!$Y$4-$A41-1)*Objects!$X$4,0)</f>
        <v>0</v>
      </c>
      <c r="W41">
        <f ca="1">OFFSET(Objects!$HW$6,W$1+(Objects!$Y$4-$A41-1)*Objects!$X$4,0)</f>
        <v>0</v>
      </c>
      <c r="X41">
        <f ca="1">OFFSET(Objects!$HW$6,X$1+(Objects!$Y$4-$A41-1)*Objects!$X$4,0)</f>
        <v>0</v>
      </c>
      <c r="Y41">
        <f ca="1">OFFSET(Objects!$HW$6,Y$1+(Objects!$Y$4-$A41-1)*Objects!$X$4,0)</f>
        <v>0</v>
      </c>
      <c r="Z41">
        <f ca="1">OFFSET(Objects!$HW$6,Z$1+(Objects!$Y$4-$A41-1)*Objects!$X$4,0)</f>
        <v>0</v>
      </c>
      <c r="AA41">
        <f ca="1">OFFSET(Objects!$HW$6,AA$1+(Objects!$Y$4-$A41-1)*Objects!$X$4,0)</f>
        <v>0</v>
      </c>
      <c r="AB41">
        <f ca="1">OFFSET(Objects!$HW$6,AB$1+(Objects!$Y$4-$A41-1)*Objects!$X$4,0)</f>
        <v>0</v>
      </c>
      <c r="AC41">
        <f ca="1">OFFSET(Objects!$HW$6,AC$1+(Objects!$Y$4-$A41-1)*Objects!$X$4,0)</f>
        <v>0</v>
      </c>
      <c r="AD41">
        <f ca="1">OFFSET(Objects!$HW$6,AD$1+(Objects!$Y$4-$A41-1)*Objects!$X$4,0)</f>
        <v>0</v>
      </c>
      <c r="AE41">
        <f ca="1">OFFSET(Objects!$HW$6,AE$1+(Objects!$Y$4-$A41-1)*Objects!$X$4,0)</f>
        <v>0</v>
      </c>
      <c r="AF41">
        <f ca="1">OFFSET(Objects!$HW$6,AF$1+(Objects!$Y$4-$A41-1)*Objects!$X$4,0)</f>
        <v>0</v>
      </c>
      <c r="AG41">
        <f ca="1">OFFSET(Objects!$HW$6,AG$1+(Objects!$Y$4-$A41-1)*Objects!$X$4,0)</f>
        <v>0</v>
      </c>
      <c r="AH41">
        <f ca="1">OFFSET(Objects!$HW$6,AH$1+(Objects!$Y$4-$A41-1)*Objects!$X$4,0)</f>
        <v>0</v>
      </c>
      <c r="AI41">
        <f ca="1">OFFSET(Objects!$HW$6,AI$1+(Objects!$Y$4-$A41-1)*Objects!$X$4,0)</f>
        <v>0</v>
      </c>
      <c r="AJ41">
        <f ca="1">OFFSET(Objects!$HW$6,AJ$1+(Objects!$Y$4-$A41-1)*Objects!$X$4,0)</f>
        <v>0</v>
      </c>
      <c r="AK41">
        <f ca="1">OFFSET(Objects!$HW$6,AK$1+(Objects!$Y$4-$A41-1)*Objects!$X$4,0)</f>
        <v>0</v>
      </c>
      <c r="AL41">
        <f ca="1">OFFSET(Objects!$HW$6,AL$1+(Objects!$Y$4-$A41-1)*Objects!$X$4,0)</f>
        <v>0</v>
      </c>
      <c r="AM41">
        <f ca="1">OFFSET(Objects!$HW$6,AM$1+(Objects!$Y$4-$A41-1)*Objects!$X$4,0)</f>
        <v>0</v>
      </c>
      <c r="AN41">
        <f ca="1">OFFSET(Objects!$HW$6,AN$1+(Objects!$Y$4-$A41-1)*Objects!$X$4,0)</f>
        <v>0</v>
      </c>
      <c r="AO41">
        <f ca="1">OFFSET(Objects!$HW$6,AO$1+(Objects!$Y$4-$A41-1)*Objects!$X$4,0)</f>
        <v>0</v>
      </c>
      <c r="AP41">
        <f ca="1">OFFSET(Objects!$HW$6,AP$1+(Objects!$Y$4-$A41-1)*Objects!$X$4,0)</f>
        <v>0</v>
      </c>
      <c r="AQ41">
        <f ca="1">OFFSET(Objects!$HW$6,AQ$1+(Objects!$Y$4-$A41-1)*Objects!$X$4,0)</f>
        <v>0</v>
      </c>
      <c r="AR41">
        <f ca="1">OFFSET(Objects!$HW$6,AR$1+(Objects!$Y$4-$A41-1)*Objects!$X$4,0)</f>
        <v>0</v>
      </c>
      <c r="AS41">
        <f ca="1">OFFSET(Objects!$HW$6,AS$1+(Objects!$Y$4-$A41-1)*Objects!$X$4,0)</f>
        <v>0</v>
      </c>
      <c r="AT41">
        <f ca="1">OFFSET(Objects!$HW$6,AT$1+(Objects!$Y$4-$A41-1)*Objects!$X$4,0)</f>
        <v>0</v>
      </c>
      <c r="AU41">
        <f ca="1">OFFSET(Objects!$HW$6,AU$1+(Objects!$Y$4-$A41-1)*Objects!$X$4,0)</f>
        <v>0</v>
      </c>
      <c r="AV41">
        <f ca="1">OFFSET(Objects!$HW$6,AV$1+(Objects!$Y$4-$A41-1)*Objects!$X$4,0)</f>
        <v>0</v>
      </c>
      <c r="AW41">
        <f ca="1">OFFSET(Objects!$HW$6,AW$1+(Objects!$Y$4-$A41-1)*Objects!$X$4,0)</f>
        <v>0</v>
      </c>
      <c r="AX41">
        <f ca="1">OFFSET(Objects!$HW$6,AX$1+(Objects!$Y$4-$A41-1)*Objects!$X$4,0)</f>
        <v>0</v>
      </c>
      <c r="AY41">
        <f ca="1">OFFSET(Objects!$HW$6,AY$1+(Objects!$Y$4-$A41-1)*Objects!$X$4,0)</f>
        <v>0</v>
      </c>
      <c r="AZ41">
        <f ca="1">OFFSET(Objects!$HW$6,AZ$1+(Objects!$Y$4-$A41-1)*Objects!$X$4,0)</f>
        <v>0</v>
      </c>
      <c r="BA41">
        <f ca="1">OFFSET(Objects!$HW$6,BA$1+(Objects!$Y$4-$A41-1)*Objects!$X$4,0)</f>
        <v>0</v>
      </c>
      <c r="BB41">
        <f ca="1">OFFSET(Objects!$HW$6,BB$1+(Objects!$Y$4-$A41-1)*Objects!$X$4,0)</f>
        <v>0</v>
      </c>
      <c r="BC41">
        <f ca="1">OFFSET(Objects!$HW$6,BC$1+(Objects!$Y$4-$A41-1)*Objects!$X$4,0)</f>
        <v>0</v>
      </c>
      <c r="BD41">
        <f ca="1">OFFSET(Objects!$HW$6,BD$1+(Objects!$Y$4-$A41-1)*Objects!$X$4,0)</f>
        <v>0</v>
      </c>
      <c r="BE41">
        <f ca="1">OFFSET(Objects!$HW$6,BE$1+(Objects!$Y$4-$A41-1)*Objects!$X$4,0)</f>
        <v>0</v>
      </c>
      <c r="BF41">
        <f ca="1">OFFSET(Objects!$HW$6,BF$1+(Objects!$Y$4-$A41-1)*Objects!$X$4,0)</f>
        <v>0</v>
      </c>
      <c r="BG41">
        <f ca="1">OFFSET(Objects!$HW$6,BG$1+(Objects!$Y$4-$A41-1)*Objects!$X$4,0)</f>
        <v>0</v>
      </c>
      <c r="BH41">
        <f ca="1">OFFSET(Objects!$HW$6,BH$1+(Objects!$Y$4-$A41-1)*Objects!$X$4,0)</f>
        <v>0</v>
      </c>
      <c r="BI41">
        <f ca="1">OFFSET(Objects!$HW$6,BI$1+(Objects!$Y$4-$A41-1)*Objects!$X$4,0)</f>
        <v>0</v>
      </c>
      <c r="BJ41">
        <f ca="1">OFFSET(Objects!$HW$6,BJ$1+(Objects!$Y$4-$A41-1)*Objects!$X$4,0)</f>
        <v>0</v>
      </c>
      <c r="BK41">
        <f ca="1">OFFSET(Objects!$HW$6,BK$1+(Objects!$Y$4-$A41-1)*Objects!$X$4,0)</f>
        <v>0</v>
      </c>
      <c r="BL41">
        <f ca="1">OFFSET(Objects!$HW$6,BL$1+(Objects!$Y$4-$A41-1)*Objects!$X$4,0)</f>
        <v>0</v>
      </c>
      <c r="BM41">
        <f ca="1">OFFSET(Objects!$HW$6,BM$1+(Objects!$Y$4-$A41-1)*Objects!$X$4,0)</f>
        <v>0</v>
      </c>
      <c r="BN41">
        <f ca="1">OFFSET(Objects!$HW$6,BN$1+(Objects!$Y$4-$A41-1)*Objects!$X$4,0)</f>
        <v>0</v>
      </c>
      <c r="BO41">
        <f ca="1">OFFSET(Objects!$HW$6,BO$1+(Objects!$Y$4-$A41-1)*Objects!$X$4,0)</f>
        <v>0</v>
      </c>
      <c r="BP41">
        <f ca="1">OFFSET(Objects!$HW$6,BP$1+(Objects!$Y$4-$A41-1)*Objects!$X$4,0)</f>
        <v>0</v>
      </c>
      <c r="BQ41">
        <f ca="1">OFFSET(Objects!$HW$6,BQ$1+(Objects!$Y$4-$A41-1)*Objects!$X$4,0)</f>
        <v>0</v>
      </c>
      <c r="BR41">
        <f ca="1">OFFSET(Objects!$HW$6,BR$1+(Objects!$Y$4-$A41-1)*Objects!$X$4,0)</f>
        <v>0</v>
      </c>
      <c r="BS41">
        <f ca="1">OFFSET(Objects!$HW$6,BS$1+(Objects!$Y$4-$A41-1)*Objects!$X$4,0)</f>
        <v>0</v>
      </c>
      <c r="BT41">
        <f ca="1">OFFSET(Objects!$HW$6,BT$1+(Objects!$Y$4-$A41-1)*Objects!$X$4,0)</f>
        <v>0</v>
      </c>
      <c r="BU41">
        <f ca="1">OFFSET(Objects!$HW$6,BU$1+(Objects!$Y$4-$A41-1)*Objects!$X$4,0)</f>
        <v>0</v>
      </c>
      <c r="BV41">
        <f ca="1">OFFSET(Objects!$HW$6,BV$1+(Objects!$Y$4-$A41-1)*Objects!$X$4,0)</f>
        <v>0</v>
      </c>
      <c r="BW41">
        <f ca="1">OFFSET(Objects!$HW$6,BW$1+(Objects!$Y$4-$A41-1)*Objects!$X$4,0)</f>
        <v>0</v>
      </c>
      <c r="BX41">
        <f ca="1">OFFSET(Objects!$HW$6,BX$1+(Objects!$Y$4-$A41-1)*Objects!$X$4,0)</f>
        <v>0</v>
      </c>
      <c r="BY41">
        <f ca="1">OFFSET(Objects!$HW$6,BY$1+(Objects!$Y$4-$A41-1)*Objects!$X$4,0)</f>
        <v>0</v>
      </c>
      <c r="BZ41">
        <f ca="1">OFFSET(Objects!$HW$6,BZ$1+(Objects!$Y$4-$A41-1)*Objects!$X$4,0)</f>
        <v>0</v>
      </c>
      <c r="CA41">
        <f ca="1">OFFSET(Objects!$HW$6,CA$1+(Objects!$Y$4-$A41-1)*Objects!$X$4,0)</f>
        <v>0</v>
      </c>
      <c r="CB41">
        <f ca="1">OFFSET(Objects!$HW$6,CB$1+(Objects!$Y$4-$A41-1)*Objects!$X$4,0)</f>
        <v>0</v>
      </c>
      <c r="CC41">
        <f ca="1">OFFSET(Objects!$HW$6,CC$1+(Objects!$Y$4-$A41-1)*Objects!$X$4,0)</f>
        <v>0</v>
      </c>
      <c r="CD41">
        <f ca="1">OFFSET(Objects!$HW$6,CD$1+(Objects!$Y$4-$A41-1)*Objects!$X$4,0)</f>
        <v>0</v>
      </c>
      <c r="CE41">
        <f ca="1">OFFSET(Objects!$HW$6,CE$1+(Objects!$Y$4-$A41-1)*Objects!$X$4,0)</f>
        <v>0</v>
      </c>
      <c r="CF41">
        <f ca="1">OFFSET(Objects!$HW$6,CF$1+(Objects!$Y$4-$A41-1)*Objects!$X$4,0)</f>
        <v>0</v>
      </c>
      <c r="CG41">
        <f ca="1">OFFSET(Objects!$HW$6,CG$1+(Objects!$Y$4-$A41-1)*Objects!$X$4,0)</f>
        <v>0</v>
      </c>
      <c r="CH41">
        <f ca="1">OFFSET(Objects!$HW$6,CH$1+(Objects!$Y$4-$A41-1)*Objects!$X$4,0)</f>
        <v>0</v>
      </c>
      <c r="CI41">
        <f ca="1">OFFSET(Objects!$HW$6,CI$1+(Objects!$Y$4-$A41-1)*Objects!$X$4,0)</f>
        <v>0</v>
      </c>
      <c r="CJ41">
        <f ca="1">OFFSET(Objects!$HW$6,CJ$1+(Objects!$Y$4-$A41-1)*Objects!$X$4,0)</f>
        <v>0</v>
      </c>
      <c r="CK41">
        <f ca="1">OFFSET(Objects!$HW$6,CK$1+(Objects!$Y$4-$A41-1)*Objects!$X$4,0)</f>
        <v>0</v>
      </c>
      <c r="CL41">
        <f ca="1">OFFSET(Objects!$HW$6,CL$1+(Objects!$Y$4-$A41-1)*Objects!$X$4,0)</f>
        <v>0</v>
      </c>
      <c r="CM41">
        <f ca="1">OFFSET(Objects!$HW$6,CM$1+(Objects!$Y$4-$A41-1)*Objects!$X$4,0)</f>
        <v>0</v>
      </c>
      <c r="CN41">
        <f ca="1">OFFSET(Objects!$HW$6,CN$1+(Objects!$Y$4-$A41-1)*Objects!$X$4,0)</f>
        <v>0</v>
      </c>
      <c r="CO41">
        <f ca="1">OFFSET(Objects!$HW$6,CO$1+(Objects!$Y$4-$A41-1)*Objects!$X$4,0)</f>
        <v>0</v>
      </c>
      <c r="CP41">
        <f ca="1">OFFSET(Objects!$HW$6,CP$1+(Objects!$Y$4-$A41-1)*Objects!$X$4,0)</f>
        <v>0</v>
      </c>
      <c r="CQ41">
        <f ca="1">OFFSET(Objects!$HW$6,CQ$1+(Objects!$Y$4-$A41-1)*Objects!$X$4,0)</f>
        <v>0</v>
      </c>
      <c r="CR41">
        <f ca="1">OFFSET(Objects!$HW$6,CR$1+(Objects!$Y$4-$A41-1)*Objects!$X$4,0)</f>
        <v>0</v>
      </c>
      <c r="CS41">
        <f ca="1">OFFSET(Objects!$HW$6,CS$1+(Objects!$Y$4-$A41-1)*Objects!$X$4,0)</f>
        <v>0</v>
      </c>
      <c r="CT41">
        <f ca="1">OFFSET(Objects!$HW$6,CT$1+(Objects!$Y$4-$A41-1)*Objects!$X$4,0)</f>
        <v>0</v>
      </c>
      <c r="CU41">
        <f ca="1">OFFSET(Objects!$HW$6,CU$1+(Objects!$Y$4-$A41-1)*Objects!$X$4,0)</f>
        <v>0</v>
      </c>
      <c r="CV41">
        <f ca="1">OFFSET(Objects!$HW$6,CV$1+(Objects!$Y$4-$A41-1)*Objects!$X$4,0)</f>
        <v>0</v>
      </c>
      <c r="CW41">
        <f ca="1">OFFSET(Objects!$HW$6,CW$1+(Objects!$Y$4-$A41-1)*Objects!$X$4,0)</f>
        <v>0</v>
      </c>
      <c r="CX41">
        <f ca="1">OFFSET(Objects!$HW$6,CX$1+(Objects!$Y$4-$A41-1)*Objects!$X$4,0)</f>
        <v>0</v>
      </c>
      <c r="CY41">
        <f ca="1">OFFSET(Objects!$HW$6,CY$1+(Objects!$Y$4-$A41-1)*Objects!$X$4,0)</f>
        <v>0</v>
      </c>
      <c r="CZ41">
        <f ca="1">OFFSET(Objects!$HW$6,CZ$1+(Objects!$Y$4-$A41-1)*Objects!$X$4,0)</f>
        <v>0</v>
      </c>
      <c r="DA41">
        <f ca="1">OFFSET(Objects!$HW$6,DA$1+(Objects!$Y$4-$A41-1)*Objects!$X$4,0)</f>
        <v>0</v>
      </c>
      <c r="DB41">
        <f ca="1">OFFSET(Objects!$HW$6,DB$1+(Objects!$Y$4-$A41-1)*Objects!$X$4,0)</f>
        <v>0</v>
      </c>
      <c r="DC41">
        <f ca="1">OFFSET(Objects!$HW$6,DC$1+(Objects!$Y$4-$A41-1)*Objects!$X$4,0)</f>
        <v>0</v>
      </c>
      <c r="DD41">
        <f ca="1">OFFSET(Objects!$HW$6,DD$1+(Objects!$Y$4-$A41-1)*Objects!$X$4,0)</f>
        <v>0</v>
      </c>
      <c r="DE41">
        <f ca="1">OFFSET(Objects!$HW$6,DE$1+(Objects!$Y$4-$A41-1)*Objects!$X$4,0)</f>
        <v>0</v>
      </c>
      <c r="DF41">
        <f ca="1">OFFSET(Objects!$HW$6,DF$1+(Objects!$Y$4-$A41-1)*Objects!$X$4,0)</f>
        <v>0</v>
      </c>
      <c r="DG41">
        <f ca="1">OFFSET(Objects!$HW$6,DG$1+(Objects!$Y$4-$A41-1)*Objects!$X$4,0)</f>
        <v>0</v>
      </c>
      <c r="DH41">
        <f ca="1">OFFSET(Objects!$HW$6,DH$1+(Objects!$Y$4-$A41-1)*Objects!$X$4,0)</f>
        <v>0</v>
      </c>
      <c r="DI41">
        <f ca="1">OFFSET(Objects!$HW$6,DI$1+(Objects!$Y$4-$A41-1)*Objects!$X$4,0)</f>
        <v>0</v>
      </c>
      <c r="DJ41">
        <f ca="1">OFFSET(Objects!$HW$6,DJ$1+(Objects!$Y$4-$A41-1)*Objects!$X$4,0)</f>
        <v>0</v>
      </c>
      <c r="DK41">
        <f ca="1">OFFSET(Objects!$HW$6,DK$1+(Objects!$Y$4-$A41-1)*Objects!$X$4,0)</f>
        <v>0</v>
      </c>
      <c r="DL41">
        <f ca="1">OFFSET(Objects!$HW$6,DL$1+(Objects!$Y$4-$A41-1)*Objects!$X$4,0)</f>
        <v>0</v>
      </c>
      <c r="DM41">
        <f ca="1">OFFSET(Objects!$HW$6,DM$1+(Objects!$Y$4-$A41-1)*Objects!$X$4,0)</f>
        <v>0</v>
      </c>
      <c r="DN41">
        <f ca="1">OFFSET(Objects!$HW$6,DN$1+(Objects!$Y$4-$A41-1)*Objects!$X$4,0)</f>
        <v>0</v>
      </c>
      <c r="DO41">
        <f ca="1">OFFSET(Objects!$HW$6,DO$1+(Objects!$Y$4-$A41-1)*Objects!$X$4,0)</f>
        <v>0</v>
      </c>
      <c r="DP41">
        <f ca="1">OFFSET(Objects!$HW$6,DP$1+(Objects!$Y$4-$A41-1)*Objects!$X$4,0)</f>
        <v>0</v>
      </c>
      <c r="DQ41">
        <f ca="1">OFFSET(Objects!$HW$6,DQ$1+(Objects!$Y$4-$A41-1)*Objects!$X$4,0)</f>
        <v>0</v>
      </c>
      <c r="DR41">
        <f ca="1">OFFSET(Objects!$HW$6,DR$1+(Objects!$Y$4-$A41-1)*Objects!$X$4,0)</f>
        <v>0</v>
      </c>
      <c r="DS41">
        <f ca="1">OFFSET(Objects!$HW$6,DS$1+(Objects!$Y$4-$A41-1)*Objects!$X$4,0)</f>
        <v>0</v>
      </c>
      <c r="DT41">
        <f ca="1">OFFSET(Objects!$HW$6,DT$1+(Objects!$Y$4-$A41-1)*Objects!$X$4,0)</f>
        <v>0</v>
      </c>
      <c r="DU41">
        <f ca="1">OFFSET(Objects!$HW$6,DU$1+(Objects!$Y$4-$A41-1)*Objects!$X$4,0)</f>
        <v>0</v>
      </c>
      <c r="DV41">
        <f ca="1">OFFSET(Objects!$HW$6,DV$1+(Objects!$Y$4-$A41-1)*Objects!$X$4,0)</f>
        <v>0</v>
      </c>
      <c r="DW41">
        <f ca="1">OFFSET(Objects!$HW$6,DW$1+(Objects!$Y$4-$A41-1)*Objects!$X$4,0)</f>
        <v>0</v>
      </c>
      <c r="DX41">
        <f ca="1">OFFSET(Objects!$HW$6,DX$1+(Objects!$Y$4-$A41-1)*Objects!$X$4,0)</f>
        <v>0</v>
      </c>
      <c r="DY41">
        <f ca="1">OFFSET(Objects!$HW$6,DY$1+(Objects!$Y$4-$A41-1)*Objects!$X$4,0)</f>
        <v>0</v>
      </c>
      <c r="DZ41">
        <f ca="1">OFFSET(Objects!$HW$6,DZ$1+(Objects!$Y$4-$A41-1)*Objects!$X$4,0)</f>
        <v>0</v>
      </c>
      <c r="EA41">
        <f ca="1">OFFSET(Objects!$HW$6,EA$1+(Objects!$Y$4-$A41-1)*Objects!$X$4,0)</f>
        <v>0</v>
      </c>
      <c r="EB41">
        <f ca="1">OFFSET(Objects!$HW$6,EB$1+(Objects!$Y$4-$A41-1)*Objects!$X$4,0)</f>
        <v>0</v>
      </c>
      <c r="EC41">
        <f ca="1">OFFSET(Objects!$HW$6,EC$1+(Objects!$Y$4-$A41-1)*Objects!$X$4,0)</f>
        <v>0</v>
      </c>
      <c r="ED41">
        <f ca="1">OFFSET(Objects!$HW$6,ED$1+(Objects!$Y$4-$A41-1)*Objects!$X$4,0)</f>
        <v>0</v>
      </c>
      <c r="EE41">
        <f ca="1">OFFSET(Objects!$HW$6,EE$1+(Objects!$Y$4-$A41-1)*Objects!$X$4,0)</f>
        <v>0</v>
      </c>
      <c r="EF41">
        <f ca="1">OFFSET(Objects!$HW$6,EF$1+(Objects!$Y$4-$A41-1)*Objects!$X$4,0)</f>
        <v>0</v>
      </c>
      <c r="EG41">
        <f ca="1">OFFSET(Objects!$HW$6,EG$1+(Objects!$Y$4-$A41-1)*Objects!$X$4,0)</f>
        <v>0</v>
      </c>
      <c r="EH41">
        <f ca="1">OFFSET(Objects!$HW$6,EH$1+(Objects!$Y$4-$A41-1)*Objects!$X$4,0)</f>
        <v>0</v>
      </c>
      <c r="EI41">
        <f ca="1">OFFSET(Objects!$HW$6,EI$1+(Objects!$Y$4-$A41-1)*Objects!$X$4,0)</f>
        <v>0</v>
      </c>
      <c r="EJ41">
        <f ca="1">OFFSET(Objects!$HW$6,EJ$1+(Objects!$Y$4-$A41-1)*Objects!$X$4,0)</f>
        <v>0</v>
      </c>
      <c r="EK41">
        <f ca="1">OFFSET(Objects!$HW$6,EK$1+(Objects!$Y$4-$A41-1)*Objects!$X$4,0)</f>
        <v>0</v>
      </c>
      <c r="EL41">
        <f ca="1">OFFSET(Objects!$HW$6,EL$1+(Objects!$Y$4-$A41-1)*Objects!$X$4,0)</f>
        <v>0</v>
      </c>
      <c r="EM41">
        <f ca="1">OFFSET(Objects!$HW$6,EM$1+(Objects!$Y$4-$A41-1)*Objects!$X$4,0)</f>
        <v>0</v>
      </c>
      <c r="EN41">
        <f ca="1">OFFSET(Objects!$HW$6,EN$1+(Objects!$Y$4-$A41-1)*Objects!$X$4,0)</f>
        <v>0</v>
      </c>
      <c r="EO41">
        <f ca="1">OFFSET(Objects!$HW$6,EO$1+(Objects!$Y$4-$A41-1)*Objects!$X$4,0)</f>
        <v>0</v>
      </c>
      <c r="EP41">
        <f ca="1">OFFSET(Objects!$HW$6,EP$1+(Objects!$Y$4-$A41-1)*Objects!$X$4,0)</f>
        <v>0</v>
      </c>
      <c r="EQ41">
        <f ca="1">OFFSET(Objects!$HW$6,EQ$1+(Objects!$Y$4-$A41-1)*Objects!$X$4,0)</f>
        <v>0</v>
      </c>
      <c r="ER41">
        <f ca="1">OFFSET(Objects!$HW$6,ER$1+(Objects!$Y$4-$A41-1)*Objects!$X$4,0)</f>
        <v>0</v>
      </c>
      <c r="ES41">
        <f ca="1">OFFSET(Objects!$HW$6,ES$1+(Objects!$Y$4-$A41-1)*Objects!$X$4,0)</f>
        <v>0</v>
      </c>
      <c r="ET41">
        <f ca="1">OFFSET(Objects!$HW$6,ET$1+(Objects!$Y$4-$A41-1)*Objects!$X$4,0)</f>
        <v>0</v>
      </c>
      <c r="EU41">
        <f ca="1">OFFSET(Objects!$HW$6,EU$1+(Objects!$Y$4-$A41-1)*Objects!$X$4,0)</f>
        <v>0</v>
      </c>
      <c r="EV41">
        <f ca="1">OFFSET(Objects!$HW$6,EV$1+(Objects!$Y$4-$A41-1)*Objects!$X$4,0)</f>
        <v>0</v>
      </c>
      <c r="EW41">
        <f ca="1">OFFSET(Objects!$HW$6,EW$1+(Objects!$Y$4-$A41-1)*Objects!$X$4,0)</f>
        <v>0</v>
      </c>
      <c r="EX41">
        <f ca="1">OFFSET(Objects!$HW$6,EX$1+(Objects!$Y$4-$A41-1)*Objects!$X$4,0)</f>
        <v>0</v>
      </c>
      <c r="EY41">
        <f ca="1">OFFSET(Objects!$HW$6,EY$1+(Objects!$Y$4-$A41-1)*Objects!$X$4,0)</f>
        <v>0</v>
      </c>
      <c r="EZ41">
        <f ca="1">OFFSET(Objects!$HW$6,EZ$1+(Objects!$Y$4-$A41-1)*Objects!$X$4,0)</f>
        <v>0</v>
      </c>
      <c r="FA41">
        <f ca="1">OFFSET(Objects!$HW$6,FA$1+(Objects!$Y$4-$A41-1)*Objects!$X$4,0)</f>
        <v>0</v>
      </c>
      <c r="FB41">
        <f ca="1">OFFSET(Objects!$HW$6,FB$1+(Objects!$Y$4-$A41-1)*Objects!$X$4,0)</f>
        <v>0</v>
      </c>
      <c r="FC41">
        <f ca="1">OFFSET(Objects!$HW$6,FC$1+(Objects!$Y$4-$A41-1)*Objects!$X$4,0)</f>
        <v>0</v>
      </c>
      <c r="FD41">
        <f ca="1">OFFSET(Objects!$HW$6,FD$1+(Objects!$Y$4-$A41-1)*Objects!$X$4,0)</f>
        <v>0</v>
      </c>
      <c r="FE41" s="22">
        <f ca="1">OFFSET(Objects!$HW$6,FE$1+(Objects!$Y$4-$A41-1)*Objects!$X$4,0)</f>
        <v>0</v>
      </c>
    </row>
    <row r="42" spans="1:161" ht="4.5" customHeight="1" x14ac:dyDescent="0.25">
      <c r="A42">
        <v>40</v>
      </c>
      <c r="B42" s="21">
        <f ca="1">OFFSET(Objects!$HW$6,B$1+(Objects!$Y$4-$A42-1)*Objects!$X$4,0)</f>
        <v>0</v>
      </c>
      <c r="C42">
        <f ca="1">OFFSET(Objects!$HW$6,C$1+(Objects!$Y$4-$A42-1)*Objects!$X$4,0)</f>
        <v>0</v>
      </c>
      <c r="D42">
        <f ca="1">OFFSET(Objects!$HW$6,D$1+(Objects!$Y$4-$A42-1)*Objects!$X$4,0)</f>
        <v>0</v>
      </c>
      <c r="E42">
        <f ca="1">OFFSET(Objects!$HW$6,E$1+(Objects!$Y$4-$A42-1)*Objects!$X$4,0)</f>
        <v>0</v>
      </c>
      <c r="F42">
        <f ca="1">OFFSET(Objects!$HW$6,F$1+(Objects!$Y$4-$A42-1)*Objects!$X$4,0)</f>
        <v>0</v>
      </c>
      <c r="G42">
        <f ca="1">OFFSET(Objects!$HW$6,G$1+(Objects!$Y$4-$A42-1)*Objects!$X$4,0)</f>
        <v>0</v>
      </c>
      <c r="H42">
        <f ca="1">OFFSET(Objects!$HW$6,H$1+(Objects!$Y$4-$A42-1)*Objects!$X$4,0)</f>
        <v>0</v>
      </c>
      <c r="I42">
        <f ca="1">OFFSET(Objects!$HW$6,I$1+(Objects!$Y$4-$A42-1)*Objects!$X$4,0)</f>
        <v>0</v>
      </c>
      <c r="J42">
        <f ca="1">OFFSET(Objects!$HW$6,J$1+(Objects!$Y$4-$A42-1)*Objects!$X$4,0)</f>
        <v>0</v>
      </c>
      <c r="K42">
        <f ca="1">OFFSET(Objects!$HW$6,K$1+(Objects!$Y$4-$A42-1)*Objects!$X$4,0)</f>
        <v>0</v>
      </c>
      <c r="L42">
        <f ca="1">OFFSET(Objects!$HW$6,L$1+(Objects!$Y$4-$A42-1)*Objects!$X$4,0)</f>
        <v>0</v>
      </c>
      <c r="M42">
        <f ca="1">OFFSET(Objects!$HW$6,M$1+(Objects!$Y$4-$A42-1)*Objects!$X$4,0)</f>
        <v>0</v>
      </c>
      <c r="N42">
        <f ca="1">OFFSET(Objects!$HW$6,N$1+(Objects!$Y$4-$A42-1)*Objects!$X$4,0)</f>
        <v>0</v>
      </c>
      <c r="O42">
        <f ca="1">OFFSET(Objects!$HW$6,O$1+(Objects!$Y$4-$A42-1)*Objects!$X$4,0)</f>
        <v>0</v>
      </c>
      <c r="P42">
        <f ca="1">OFFSET(Objects!$HW$6,P$1+(Objects!$Y$4-$A42-1)*Objects!$X$4,0)</f>
        <v>0</v>
      </c>
      <c r="Q42">
        <f ca="1">OFFSET(Objects!$HW$6,Q$1+(Objects!$Y$4-$A42-1)*Objects!$X$4,0)</f>
        <v>0</v>
      </c>
      <c r="R42">
        <f ca="1">OFFSET(Objects!$HW$6,R$1+(Objects!$Y$4-$A42-1)*Objects!$X$4,0)</f>
        <v>0</v>
      </c>
      <c r="S42">
        <f ca="1">OFFSET(Objects!$HW$6,S$1+(Objects!$Y$4-$A42-1)*Objects!$X$4,0)</f>
        <v>0</v>
      </c>
      <c r="T42">
        <f ca="1">OFFSET(Objects!$HW$6,T$1+(Objects!$Y$4-$A42-1)*Objects!$X$4,0)</f>
        <v>0</v>
      </c>
      <c r="U42">
        <f ca="1">OFFSET(Objects!$HW$6,U$1+(Objects!$Y$4-$A42-1)*Objects!$X$4,0)</f>
        <v>0</v>
      </c>
      <c r="V42">
        <f ca="1">OFFSET(Objects!$HW$6,V$1+(Objects!$Y$4-$A42-1)*Objects!$X$4,0)</f>
        <v>0</v>
      </c>
      <c r="W42">
        <f ca="1">OFFSET(Objects!$HW$6,W$1+(Objects!$Y$4-$A42-1)*Objects!$X$4,0)</f>
        <v>0</v>
      </c>
      <c r="X42">
        <f ca="1">OFFSET(Objects!$HW$6,X$1+(Objects!$Y$4-$A42-1)*Objects!$X$4,0)</f>
        <v>0</v>
      </c>
      <c r="Y42">
        <f ca="1">OFFSET(Objects!$HW$6,Y$1+(Objects!$Y$4-$A42-1)*Objects!$X$4,0)</f>
        <v>0</v>
      </c>
      <c r="Z42">
        <f ca="1">OFFSET(Objects!$HW$6,Z$1+(Objects!$Y$4-$A42-1)*Objects!$X$4,0)</f>
        <v>0</v>
      </c>
      <c r="AA42">
        <f ca="1">OFFSET(Objects!$HW$6,AA$1+(Objects!$Y$4-$A42-1)*Objects!$X$4,0)</f>
        <v>0</v>
      </c>
      <c r="AB42">
        <f ca="1">OFFSET(Objects!$HW$6,AB$1+(Objects!$Y$4-$A42-1)*Objects!$X$4,0)</f>
        <v>0</v>
      </c>
      <c r="AC42">
        <f ca="1">OFFSET(Objects!$HW$6,AC$1+(Objects!$Y$4-$A42-1)*Objects!$X$4,0)</f>
        <v>0</v>
      </c>
      <c r="AD42">
        <f ca="1">OFFSET(Objects!$HW$6,AD$1+(Objects!$Y$4-$A42-1)*Objects!$X$4,0)</f>
        <v>0</v>
      </c>
      <c r="AE42">
        <f ca="1">OFFSET(Objects!$HW$6,AE$1+(Objects!$Y$4-$A42-1)*Objects!$X$4,0)</f>
        <v>0</v>
      </c>
      <c r="AF42">
        <f ca="1">OFFSET(Objects!$HW$6,AF$1+(Objects!$Y$4-$A42-1)*Objects!$X$4,0)</f>
        <v>0</v>
      </c>
      <c r="AG42">
        <f ca="1">OFFSET(Objects!$HW$6,AG$1+(Objects!$Y$4-$A42-1)*Objects!$X$4,0)</f>
        <v>0</v>
      </c>
      <c r="AH42">
        <f ca="1">OFFSET(Objects!$HW$6,AH$1+(Objects!$Y$4-$A42-1)*Objects!$X$4,0)</f>
        <v>0</v>
      </c>
      <c r="AI42">
        <f ca="1">OFFSET(Objects!$HW$6,AI$1+(Objects!$Y$4-$A42-1)*Objects!$X$4,0)</f>
        <v>0</v>
      </c>
      <c r="AJ42">
        <f ca="1">OFFSET(Objects!$HW$6,AJ$1+(Objects!$Y$4-$A42-1)*Objects!$X$4,0)</f>
        <v>0</v>
      </c>
      <c r="AK42">
        <f ca="1">OFFSET(Objects!$HW$6,AK$1+(Objects!$Y$4-$A42-1)*Objects!$X$4,0)</f>
        <v>0</v>
      </c>
      <c r="AL42">
        <f ca="1">OFFSET(Objects!$HW$6,AL$1+(Objects!$Y$4-$A42-1)*Objects!$X$4,0)</f>
        <v>0</v>
      </c>
      <c r="AM42">
        <f ca="1">OFFSET(Objects!$HW$6,AM$1+(Objects!$Y$4-$A42-1)*Objects!$X$4,0)</f>
        <v>0</v>
      </c>
      <c r="AN42">
        <f ca="1">OFFSET(Objects!$HW$6,AN$1+(Objects!$Y$4-$A42-1)*Objects!$X$4,0)</f>
        <v>0</v>
      </c>
      <c r="AO42">
        <f ca="1">OFFSET(Objects!$HW$6,AO$1+(Objects!$Y$4-$A42-1)*Objects!$X$4,0)</f>
        <v>0</v>
      </c>
      <c r="AP42">
        <f ca="1">OFFSET(Objects!$HW$6,AP$1+(Objects!$Y$4-$A42-1)*Objects!$X$4,0)</f>
        <v>0</v>
      </c>
      <c r="AQ42">
        <f ca="1">OFFSET(Objects!$HW$6,AQ$1+(Objects!$Y$4-$A42-1)*Objects!$X$4,0)</f>
        <v>0</v>
      </c>
      <c r="AR42">
        <f ca="1">OFFSET(Objects!$HW$6,AR$1+(Objects!$Y$4-$A42-1)*Objects!$X$4,0)</f>
        <v>0</v>
      </c>
      <c r="AS42">
        <f ca="1">OFFSET(Objects!$HW$6,AS$1+(Objects!$Y$4-$A42-1)*Objects!$X$4,0)</f>
        <v>0</v>
      </c>
      <c r="AT42">
        <f ca="1">OFFSET(Objects!$HW$6,AT$1+(Objects!$Y$4-$A42-1)*Objects!$X$4,0)</f>
        <v>0</v>
      </c>
      <c r="AU42">
        <f ca="1">OFFSET(Objects!$HW$6,AU$1+(Objects!$Y$4-$A42-1)*Objects!$X$4,0)</f>
        <v>0</v>
      </c>
      <c r="AV42">
        <f ca="1">OFFSET(Objects!$HW$6,AV$1+(Objects!$Y$4-$A42-1)*Objects!$X$4,0)</f>
        <v>0</v>
      </c>
      <c r="AW42">
        <f ca="1">OFFSET(Objects!$HW$6,AW$1+(Objects!$Y$4-$A42-1)*Objects!$X$4,0)</f>
        <v>0</v>
      </c>
      <c r="AX42">
        <f ca="1">OFFSET(Objects!$HW$6,AX$1+(Objects!$Y$4-$A42-1)*Objects!$X$4,0)</f>
        <v>0</v>
      </c>
      <c r="AY42">
        <f ca="1">OFFSET(Objects!$HW$6,AY$1+(Objects!$Y$4-$A42-1)*Objects!$X$4,0)</f>
        <v>0</v>
      </c>
      <c r="AZ42">
        <f ca="1">OFFSET(Objects!$HW$6,AZ$1+(Objects!$Y$4-$A42-1)*Objects!$X$4,0)</f>
        <v>0</v>
      </c>
      <c r="BA42">
        <f ca="1">OFFSET(Objects!$HW$6,BA$1+(Objects!$Y$4-$A42-1)*Objects!$X$4,0)</f>
        <v>0</v>
      </c>
      <c r="BB42">
        <f ca="1">OFFSET(Objects!$HW$6,BB$1+(Objects!$Y$4-$A42-1)*Objects!$X$4,0)</f>
        <v>0</v>
      </c>
      <c r="BC42">
        <f ca="1">OFFSET(Objects!$HW$6,BC$1+(Objects!$Y$4-$A42-1)*Objects!$X$4,0)</f>
        <v>0</v>
      </c>
      <c r="BD42">
        <f ca="1">OFFSET(Objects!$HW$6,BD$1+(Objects!$Y$4-$A42-1)*Objects!$X$4,0)</f>
        <v>0</v>
      </c>
      <c r="BE42">
        <f ca="1">OFFSET(Objects!$HW$6,BE$1+(Objects!$Y$4-$A42-1)*Objects!$X$4,0)</f>
        <v>0</v>
      </c>
      <c r="BF42">
        <f ca="1">OFFSET(Objects!$HW$6,BF$1+(Objects!$Y$4-$A42-1)*Objects!$X$4,0)</f>
        <v>0</v>
      </c>
      <c r="BG42">
        <f ca="1">OFFSET(Objects!$HW$6,BG$1+(Objects!$Y$4-$A42-1)*Objects!$X$4,0)</f>
        <v>0</v>
      </c>
      <c r="BH42">
        <f ca="1">OFFSET(Objects!$HW$6,BH$1+(Objects!$Y$4-$A42-1)*Objects!$X$4,0)</f>
        <v>0</v>
      </c>
      <c r="BI42">
        <f ca="1">OFFSET(Objects!$HW$6,BI$1+(Objects!$Y$4-$A42-1)*Objects!$X$4,0)</f>
        <v>0</v>
      </c>
      <c r="BJ42">
        <f ca="1">OFFSET(Objects!$HW$6,BJ$1+(Objects!$Y$4-$A42-1)*Objects!$X$4,0)</f>
        <v>0</v>
      </c>
      <c r="BK42">
        <f ca="1">OFFSET(Objects!$HW$6,BK$1+(Objects!$Y$4-$A42-1)*Objects!$X$4,0)</f>
        <v>0</v>
      </c>
      <c r="BL42">
        <f ca="1">OFFSET(Objects!$HW$6,BL$1+(Objects!$Y$4-$A42-1)*Objects!$X$4,0)</f>
        <v>0</v>
      </c>
      <c r="BM42">
        <f ca="1">OFFSET(Objects!$HW$6,BM$1+(Objects!$Y$4-$A42-1)*Objects!$X$4,0)</f>
        <v>0</v>
      </c>
      <c r="BN42">
        <f ca="1">OFFSET(Objects!$HW$6,BN$1+(Objects!$Y$4-$A42-1)*Objects!$X$4,0)</f>
        <v>0</v>
      </c>
      <c r="BO42">
        <f ca="1">OFFSET(Objects!$HW$6,BO$1+(Objects!$Y$4-$A42-1)*Objects!$X$4,0)</f>
        <v>0</v>
      </c>
      <c r="BP42">
        <f ca="1">OFFSET(Objects!$HW$6,BP$1+(Objects!$Y$4-$A42-1)*Objects!$X$4,0)</f>
        <v>0</v>
      </c>
      <c r="BQ42">
        <f ca="1">OFFSET(Objects!$HW$6,BQ$1+(Objects!$Y$4-$A42-1)*Objects!$X$4,0)</f>
        <v>0</v>
      </c>
      <c r="BR42">
        <f ca="1">OFFSET(Objects!$HW$6,BR$1+(Objects!$Y$4-$A42-1)*Objects!$X$4,0)</f>
        <v>0</v>
      </c>
      <c r="BS42">
        <f ca="1">OFFSET(Objects!$HW$6,BS$1+(Objects!$Y$4-$A42-1)*Objects!$X$4,0)</f>
        <v>0</v>
      </c>
      <c r="BT42">
        <f ca="1">OFFSET(Objects!$HW$6,BT$1+(Objects!$Y$4-$A42-1)*Objects!$X$4,0)</f>
        <v>0</v>
      </c>
      <c r="BU42">
        <f ca="1">OFFSET(Objects!$HW$6,BU$1+(Objects!$Y$4-$A42-1)*Objects!$X$4,0)</f>
        <v>0</v>
      </c>
      <c r="BV42">
        <f ca="1">OFFSET(Objects!$HW$6,BV$1+(Objects!$Y$4-$A42-1)*Objects!$X$4,0)</f>
        <v>0</v>
      </c>
      <c r="BW42">
        <f ca="1">OFFSET(Objects!$HW$6,BW$1+(Objects!$Y$4-$A42-1)*Objects!$X$4,0)</f>
        <v>0</v>
      </c>
      <c r="BX42">
        <f ca="1">OFFSET(Objects!$HW$6,BX$1+(Objects!$Y$4-$A42-1)*Objects!$X$4,0)</f>
        <v>0</v>
      </c>
      <c r="BY42">
        <f ca="1">OFFSET(Objects!$HW$6,BY$1+(Objects!$Y$4-$A42-1)*Objects!$X$4,0)</f>
        <v>0</v>
      </c>
      <c r="BZ42">
        <f ca="1">OFFSET(Objects!$HW$6,BZ$1+(Objects!$Y$4-$A42-1)*Objects!$X$4,0)</f>
        <v>0</v>
      </c>
      <c r="CA42">
        <f ca="1">OFFSET(Objects!$HW$6,CA$1+(Objects!$Y$4-$A42-1)*Objects!$X$4,0)</f>
        <v>0</v>
      </c>
      <c r="CB42">
        <f ca="1">OFFSET(Objects!$HW$6,CB$1+(Objects!$Y$4-$A42-1)*Objects!$X$4,0)</f>
        <v>0</v>
      </c>
      <c r="CC42">
        <f ca="1">OFFSET(Objects!$HW$6,CC$1+(Objects!$Y$4-$A42-1)*Objects!$X$4,0)</f>
        <v>0</v>
      </c>
      <c r="CD42">
        <f ca="1">OFFSET(Objects!$HW$6,CD$1+(Objects!$Y$4-$A42-1)*Objects!$X$4,0)</f>
        <v>0</v>
      </c>
      <c r="CE42">
        <f ca="1">OFFSET(Objects!$HW$6,CE$1+(Objects!$Y$4-$A42-1)*Objects!$X$4,0)</f>
        <v>0</v>
      </c>
      <c r="CF42">
        <f ca="1">OFFSET(Objects!$HW$6,CF$1+(Objects!$Y$4-$A42-1)*Objects!$X$4,0)</f>
        <v>0</v>
      </c>
      <c r="CG42">
        <f ca="1">OFFSET(Objects!$HW$6,CG$1+(Objects!$Y$4-$A42-1)*Objects!$X$4,0)</f>
        <v>0</v>
      </c>
      <c r="CH42">
        <f ca="1">OFFSET(Objects!$HW$6,CH$1+(Objects!$Y$4-$A42-1)*Objects!$X$4,0)</f>
        <v>0</v>
      </c>
      <c r="CI42">
        <f ca="1">OFFSET(Objects!$HW$6,CI$1+(Objects!$Y$4-$A42-1)*Objects!$X$4,0)</f>
        <v>0</v>
      </c>
      <c r="CJ42">
        <f ca="1">OFFSET(Objects!$HW$6,CJ$1+(Objects!$Y$4-$A42-1)*Objects!$X$4,0)</f>
        <v>0</v>
      </c>
      <c r="CK42">
        <f ca="1">OFFSET(Objects!$HW$6,CK$1+(Objects!$Y$4-$A42-1)*Objects!$X$4,0)</f>
        <v>0</v>
      </c>
      <c r="CL42">
        <f ca="1">OFFSET(Objects!$HW$6,CL$1+(Objects!$Y$4-$A42-1)*Objects!$X$4,0)</f>
        <v>0</v>
      </c>
      <c r="CM42">
        <f ca="1">OFFSET(Objects!$HW$6,CM$1+(Objects!$Y$4-$A42-1)*Objects!$X$4,0)</f>
        <v>0</v>
      </c>
      <c r="CN42">
        <f ca="1">OFFSET(Objects!$HW$6,CN$1+(Objects!$Y$4-$A42-1)*Objects!$X$4,0)</f>
        <v>0</v>
      </c>
      <c r="CO42">
        <f ca="1">OFFSET(Objects!$HW$6,CO$1+(Objects!$Y$4-$A42-1)*Objects!$X$4,0)</f>
        <v>0</v>
      </c>
      <c r="CP42">
        <f ca="1">OFFSET(Objects!$HW$6,CP$1+(Objects!$Y$4-$A42-1)*Objects!$X$4,0)</f>
        <v>0</v>
      </c>
      <c r="CQ42">
        <f ca="1">OFFSET(Objects!$HW$6,CQ$1+(Objects!$Y$4-$A42-1)*Objects!$X$4,0)</f>
        <v>0</v>
      </c>
      <c r="CR42">
        <f ca="1">OFFSET(Objects!$HW$6,CR$1+(Objects!$Y$4-$A42-1)*Objects!$X$4,0)</f>
        <v>0</v>
      </c>
      <c r="CS42">
        <f ca="1">OFFSET(Objects!$HW$6,CS$1+(Objects!$Y$4-$A42-1)*Objects!$X$4,0)</f>
        <v>0</v>
      </c>
      <c r="CT42">
        <f ca="1">OFFSET(Objects!$HW$6,CT$1+(Objects!$Y$4-$A42-1)*Objects!$X$4,0)</f>
        <v>0</v>
      </c>
      <c r="CU42">
        <f ca="1">OFFSET(Objects!$HW$6,CU$1+(Objects!$Y$4-$A42-1)*Objects!$X$4,0)</f>
        <v>0</v>
      </c>
      <c r="CV42">
        <f ca="1">OFFSET(Objects!$HW$6,CV$1+(Objects!$Y$4-$A42-1)*Objects!$X$4,0)</f>
        <v>0</v>
      </c>
      <c r="CW42">
        <f ca="1">OFFSET(Objects!$HW$6,CW$1+(Objects!$Y$4-$A42-1)*Objects!$X$4,0)</f>
        <v>0</v>
      </c>
      <c r="CX42">
        <f ca="1">OFFSET(Objects!$HW$6,CX$1+(Objects!$Y$4-$A42-1)*Objects!$X$4,0)</f>
        <v>0</v>
      </c>
      <c r="CY42">
        <f ca="1">OFFSET(Objects!$HW$6,CY$1+(Objects!$Y$4-$A42-1)*Objects!$X$4,0)</f>
        <v>0</v>
      </c>
      <c r="CZ42">
        <f ca="1">OFFSET(Objects!$HW$6,CZ$1+(Objects!$Y$4-$A42-1)*Objects!$X$4,0)</f>
        <v>0</v>
      </c>
      <c r="DA42">
        <f ca="1">OFFSET(Objects!$HW$6,DA$1+(Objects!$Y$4-$A42-1)*Objects!$X$4,0)</f>
        <v>0</v>
      </c>
      <c r="DB42">
        <f ca="1">OFFSET(Objects!$HW$6,DB$1+(Objects!$Y$4-$A42-1)*Objects!$X$4,0)</f>
        <v>0</v>
      </c>
      <c r="DC42">
        <f ca="1">OFFSET(Objects!$HW$6,DC$1+(Objects!$Y$4-$A42-1)*Objects!$X$4,0)</f>
        <v>0</v>
      </c>
      <c r="DD42">
        <f ca="1">OFFSET(Objects!$HW$6,DD$1+(Objects!$Y$4-$A42-1)*Objects!$X$4,0)</f>
        <v>0</v>
      </c>
      <c r="DE42">
        <f ca="1">OFFSET(Objects!$HW$6,DE$1+(Objects!$Y$4-$A42-1)*Objects!$X$4,0)</f>
        <v>0</v>
      </c>
      <c r="DF42">
        <f ca="1">OFFSET(Objects!$HW$6,DF$1+(Objects!$Y$4-$A42-1)*Objects!$X$4,0)</f>
        <v>0</v>
      </c>
      <c r="DG42">
        <f ca="1">OFFSET(Objects!$HW$6,DG$1+(Objects!$Y$4-$A42-1)*Objects!$X$4,0)</f>
        <v>0</v>
      </c>
      <c r="DH42">
        <f ca="1">OFFSET(Objects!$HW$6,DH$1+(Objects!$Y$4-$A42-1)*Objects!$X$4,0)</f>
        <v>0</v>
      </c>
      <c r="DI42">
        <f ca="1">OFFSET(Objects!$HW$6,DI$1+(Objects!$Y$4-$A42-1)*Objects!$X$4,0)</f>
        <v>0</v>
      </c>
      <c r="DJ42">
        <f ca="1">OFFSET(Objects!$HW$6,DJ$1+(Objects!$Y$4-$A42-1)*Objects!$X$4,0)</f>
        <v>0</v>
      </c>
      <c r="DK42">
        <f ca="1">OFFSET(Objects!$HW$6,DK$1+(Objects!$Y$4-$A42-1)*Objects!$X$4,0)</f>
        <v>0</v>
      </c>
      <c r="DL42">
        <f ca="1">OFFSET(Objects!$HW$6,DL$1+(Objects!$Y$4-$A42-1)*Objects!$X$4,0)</f>
        <v>0</v>
      </c>
      <c r="DM42">
        <f ca="1">OFFSET(Objects!$HW$6,DM$1+(Objects!$Y$4-$A42-1)*Objects!$X$4,0)</f>
        <v>0</v>
      </c>
      <c r="DN42">
        <f ca="1">OFFSET(Objects!$HW$6,DN$1+(Objects!$Y$4-$A42-1)*Objects!$X$4,0)</f>
        <v>0</v>
      </c>
      <c r="DO42">
        <f ca="1">OFFSET(Objects!$HW$6,DO$1+(Objects!$Y$4-$A42-1)*Objects!$X$4,0)</f>
        <v>0</v>
      </c>
      <c r="DP42">
        <f ca="1">OFFSET(Objects!$HW$6,DP$1+(Objects!$Y$4-$A42-1)*Objects!$X$4,0)</f>
        <v>0</v>
      </c>
      <c r="DQ42">
        <f ca="1">OFFSET(Objects!$HW$6,DQ$1+(Objects!$Y$4-$A42-1)*Objects!$X$4,0)</f>
        <v>0</v>
      </c>
      <c r="DR42">
        <f ca="1">OFFSET(Objects!$HW$6,DR$1+(Objects!$Y$4-$A42-1)*Objects!$X$4,0)</f>
        <v>0</v>
      </c>
      <c r="DS42">
        <f ca="1">OFFSET(Objects!$HW$6,DS$1+(Objects!$Y$4-$A42-1)*Objects!$X$4,0)</f>
        <v>0</v>
      </c>
      <c r="DT42">
        <f ca="1">OFFSET(Objects!$HW$6,DT$1+(Objects!$Y$4-$A42-1)*Objects!$X$4,0)</f>
        <v>0</v>
      </c>
      <c r="DU42">
        <f ca="1">OFFSET(Objects!$HW$6,DU$1+(Objects!$Y$4-$A42-1)*Objects!$X$4,0)</f>
        <v>0</v>
      </c>
      <c r="DV42">
        <f ca="1">OFFSET(Objects!$HW$6,DV$1+(Objects!$Y$4-$A42-1)*Objects!$X$4,0)</f>
        <v>0</v>
      </c>
      <c r="DW42">
        <f ca="1">OFFSET(Objects!$HW$6,DW$1+(Objects!$Y$4-$A42-1)*Objects!$X$4,0)</f>
        <v>0</v>
      </c>
      <c r="DX42">
        <f ca="1">OFFSET(Objects!$HW$6,DX$1+(Objects!$Y$4-$A42-1)*Objects!$X$4,0)</f>
        <v>0</v>
      </c>
      <c r="DY42">
        <f ca="1">OFFSET(Objects!$HW$6,DY$1+(Objects!$Y$4-$A42-1)*Objects!$X$4,0)</f>
        <v>0</v>
      </c>
      <c r="DZ42">
        <f ca="1">OFFSET(Objects!$HW$6,DZ$1+(Objects!$Y$4-$A42-1)*Objects!$X$4,0)</f>
        <v>0</v>
      </c>
      <c r="EA42">
        <f ca="1">OFFSET(Objects!$HW$6,EA$1+(Objects!$Y$4-$A42-1)*Objects!$X$4,0)</f>
        <v>0</v>
      </c>
      <c r="EB42">
        <f ca="1">OFFSET(Objects!$HW$6,EB$1+(Objects!$Y$4-$A42-1)*Objects!$X$4,0)</f>
        <v>0</v>
      </c>
      <c r="EC42">
        <f ca="1">OFFSET(Objects!$HW$6,EC$1+(Objects!$Y$4-$A42-1)*Objects!$X$4,0)</f>
        <v>0</v>
      </c>
      <c r="ED42">
        <f ca="1">OFFSET(Objects!$HW$6,ED$1+(Objects!$Y$4-$A42-1)*Objects!$X$4,0)</f>
        <v>0</v>
      </c>
      <c r="EE42">
        <f ca="1">OFFSET(Objects!$HW$6,EE$1+(Objects!$Y$4-$A42-1)*Objects!$X$4,0)</f>
        <v>0</v>
      </c>
      <c r="EF42">
        <f ca="1">OFFSET(Objects!$HW$6,EF$1+(Objects!$Y$4-$A42-1)*Objects!$X$4,0)</f>
        <v>0</v>
      </c>
      <c r="EG42">
        <f ca="1">OFFSET(Objects!$HW$6,EG$1+(Objects!$Y$4-$A42-1)*Objects!$X$4,0)</f>
        <v>0</v>
      </c>
      <c r="EH42">
        <f ca="1">OFFSET(Objects!$HW$6,EH$1+(Objects!$Y$4-$A42-1)*Objects!$X$4,0)</f>
        <v>0</v>
      </c>
      <c r="EI42">
        <f ca="1">OFFSET(Objects!$HW$6,EI$1+(Objects!$Y$4-$A42-1)*Objects!$X$4,0)</f>
        <v>0</v>
      </c>
      <c r="EJ42">
        <f ca="1">OFFSET(Objects!$HW$6,EJ$1+(Objects!$Y$4-$A42-1)*Objects!$X$4,0)</f>
        <v>0</v>
      </c>
      <c r="EK42">
        <f ca="1">OFFSET(Objects!$HW$6,EK$1+(Objects!$Y$4-$A42-1)*Objects!$X$4,0)</f>
        <v>0</v>
      </c>
      <c r="EL42">
        <f ca="1">OFFSET(Objects!$HW$6,EL$1+(Objects!$Y$4-$A42-1)*Objects!$X$4,0)</f>
        <v>0</v>
      </c>
      <c r="EM42">
        <f ca="1">OFFSET(Objects!$HW$6,EM$1+(Objects!$Y$4-$A42-1)*Objects!$X$4,0)</f>
        <v>0</v>
      </c>
      <c r="EN42">
        <f ca="1">OFFSET(Objects!$HW$6,EN$1+(Objects!$Y$4-$A42-1)*Objects!$X$4,0)</f>
        <v>0</v>
      </c>
      <c r="EO42">
        <f ca="1">OFFSET(Objects!$HW$6,EO$1+(Objects!$Y$4-$A42-1)*Objects!$X$4,0)</f>
        <v>0</v>
      </c>
      <c r="EP42">
        <f ca="1">OFFSET(Objects!$HW$6,EP$1+(Objects!$Y$4-$A42-1)*Objects!$X$4,0)</f>
        <v>0</v>
      </c>
      <c r="EQ42">
        <f ca="1">OFFSET(Objects!$HW$6,EQ$1+(Objects!$Y$4-$A42-1)*Objects!$X$4,0)</f>
        <v>0</v>
      </c>
      <c r="ER42">
        <f ca="1">OFFSET(Objects!$HW$6,ER$1+(Objects!$Y$4-$A42-1)*Objects!$X$4,0)</f>
        <v>0</v>
      </c>
      <c r="ES42">
        <f ca="1">OFFSET(Objects!$HW$6,ES$1+(Objects!$Y$4-$A42-1)*Objects!$X$4,0)</f>
        <v>0</v>
      </c>
      <c r="ET42">
        <f ca="1">OFFSET(Objects!$HW$6,ET$1+(Objects!$Y$4-$A42-1)*Objects!$X$4,0)</f>
        <v>0</v>
      </c>
      <c r="EU42">
        <f ca="1">OFFSET(Objects!$HW$6,EU$1+(Objects!$Y$4-$A42-1)*Objects!$X$4,0)</f>
        <v>0</v>
      </c>
      <c r="EV42">
        <f ca="1">OFFSET(Objects!$HW$6,EV$1+(Objects!$Y$4-$A42-1)*Objects!$X$4,0)</f>
        <v>0</v>
      </c>
      <c r="EW42">
        <f ca="1">OFFSET(Objects!$HW$6,EW$1+(Objects!$Y$4-$A42-1)*Objects!$X$4,0)</f>
        <v>0</v>
      </c>
      <c r="EX42">
        <f ca="1">OFFSET(Objects!$HW$6,EX$1+(Objects!$Y$4-$A42-1)*Objects!$X$4,0)</f>
        <v>0</v>
      </c>
      <c r="EY42">
        <f ca="1">OFFSET(Objects!$HW$6,EY$1+(Objects!$Y$4-$A42-1)*Objects!$X$4,0)</f>
        <v>0</v>
      </c>
      <c r="EZ42">
        <f ca="1">OFFSET(Objects!$HW$6,EZ$1+(Objects!$Y$4-$A42-1)*Objects!$X$4,0)</f>
        <v>0</v>
      </c>
      <c r="FA42">
        <f ca="1">OFFSET(Objects!$HW$6,FA$1+(Objects!$Y$4-$A42-1)*Objects!$X$4,0)</f>
        <v>0</v>
      </c>
      <c r="FB42">
        <f ca="1">OFFSET(Objects!$HW$6,FB$1+(Objects!$Y$4-$A42-1)*Objects!$X$4,0)</f>
        <v>0</v>
      </c>
      <c r="FC42">
        <f ca="1">OFFSET(Objects!$HW$6,FC$1+(Objects!$Y$4-$A42-1)*Objects!$X$4,0)</f>
        <v>0</v>
      </c>
      <c r="FD42">
        <f ca="1">OFFSET(Objects!$HW$6,FD$1+(Objects!$Y$4-$A42-1)*Objects!$X$4,0)</f>
        <v>0</v>
      </c>
      <c r="FE42" s="22">
        <f ca="1">OFFSET(Objects!$HW$6,FE$1+(Objects!$Y$4-$A42-1)*Objects!$X$4,0)</f>
        <v>0</v>
      </c>
    </row>
    <row r="43" spans="1:161" ht="4.5" customHeight="1" x14ac:dyDescent="0.25">
      <c r="A43">
        <v>41</v>
      </c>
      <c r="B43" s="21">
        <f ca="1">OFFSET(Objects!$HW$6,B$1+(Objects!$Y$4-$A43-1)*Objects!$X$4,0)</f>
        <v>0</v>
      </c>
      <c r="C43">
        <f ca="1">OFFSET(Objects!$HW$6,C$1+(Objects!$Y$4-$A43-1)*Objects!$X$4,0)</f>
        <v>0</v>
      </c>
      <c r="D43">
        <f ca="1">OFFSET(Objects!$HW$6,D$1+(Objects!$Y$4-$A43-1)*Objects!$X$4,0)</f>
        <v>0</v>
      </c>
      <c r="E43">
        <f ca="1">OFFSET(Objects!$HW$6,E$1+(Objects!$Y$4-$A43-1)*Objects!$X$4,0)</f>
        <v>0</v>
      </c>
      <c r="F43">
        <f ca="1">OFFSET(Objects!$HW$6,F$1+(Objects!$Y$4-$A43-1)*Objects!$X$4,0)</f>
        <v>0</v>
      </c>
      <c r="G43">
        <f ca="1">OFFSET(Objects!$HW$6,G$1+(Objects!$Y$4-$A43-1)*Objects!$X$4,0)</f>
        <v>0</v>
      </c>
      <c r="H43">
        <f ca="1">OFFSET(Objects!$HW$6,H$1+(Objects!$Y$4-$A43-1)*Objects!$X$4,0)</f>
        <v>0</v>
      </c>
      <c r="I43">
        <f ca="1">OFFSET(Objects!$HW$6,I$1+(Objects!$Y$4-$A43-1)*Objects!$X$4,0)</f>
        <v>0</v>
      </c>
      <c r="J43">
        <f ca="1">OFFSET(Objects!$HW$6,J$1+(Objects!$Y$4-$A43-1)*Objects!$X$4,0)</f>
        <v>0</v>
      </c>
      <c r="K43">
        <f ca="1">OFFSET(Objects!$HW$6,K$1+(Objects!$Y$4-$A43-1)*Objects!$X$4,0)</f>
        <v>0</v>
      </c>
      <c r="L43">
        <f ca="1">OFFSET(Objects!$HW$6,L$1+(Objects!$Y$4-$A43-1)*Objects!$X$4,0)</f>
        <v>0</v>
      </c>
      <c r="M43">
        <f ca="1">OFFSET(Objects!$HW$6,M$1+(Objects!$Y$4-$A43-1)*Objects!$X$4,0)</f>
        <v>0</v>
      </c>
      <c r="N43">
        <f ca="1">OFFSET(Objects!$HW$6,N$1+(Objects!$Y$4-$A43-1)*Objects!$X$4,0)</f>
        <v>0</v>
      </c>
      <c r="O43">
        <f ca="1">OFFSET(Objects!$HW$6,O$1+(Objects!$Y$4-$A43-1)*Objects!$X$4,0)</f>
        <v>0</v>
      </c>
      <c r="P43">
        <f ca="1">OFFSET(Objects!$HW$6,P$1+(Objects!$Y$4-$A43-1)*Objects!$X$4,0)</f>
        <v>0</v>
      </c>
      <c r="Q43">
        <f ca="1">OFFSET(Objects!$HW$6,Q$1+(Objects!$Y$4-$A43-1)*Objects!$X$4,0)</f>
        <v>0</v>
      </c>
      <c r="R43">
        <f ca="1">OFFSET(Objects!$HW$6,R$1+(Objects!$Y$4-$A43-1)*Objects!$X$4,0)</f>
        <v>0</v>
      </c>
      <c r="S43">
        <f ca="1">OFFSET(Objects!$HW$6,S$1+(Objects!$Y$4-$A43-1)*Objects!$X$4,0)</f>
        <v>0</v>
      </c>
      <c r="T43">
        <f ca="1">OFFSET(Objects!$HW$6,T$1+(Objects!$Y$4-$A43-1)*Objects!$X$4,0)</f>
        <v>0</v>
      </c>
      <c r="U43">
        <f ca="1">OFFSET(Objects!$HW$6,U$1+(Objects!$Y$4-$A43-1)*Objects!$X$4,0)</f>
        <v>0</v>
      </c>
      <c r="V43">
        <f ca="1">OFFSET(Objects!$HW$6,V$1+(Objects!$Y$4-$A43-1)*Objects!$X$4,0)</f>
        <v>0</v>
      </c>
      <c r="W43">
        <f ca="1">OFFSET(Objects!$HW$6,W$1+(Objects!$Y$4-$A43-1)*Objects!$X$4,0)</f>
        <v>0</v>
      </c>
      <c r="X43">
        <f ca="1">OFFSET(Objects!$HW$6,X$1+(Objects!$Y$4-$A43-1)*Objects!$X$4,0)</f>
        <v>0</v>
      </c>
      <c r="Y43">
        <f ca="1">OFFSET(Objects!$HW$6,Y$1+(Objects!$Y$4-$A43-1)*Objects!$X$4,0)</f>
        <v>0</v>
      </c>
      <c r="Z43">
        <f ca="1">OFFSET(Objects!$HW$6,Z$1+(Objects!$Y$4-$A43-1)*Objects!$X$4,0)</f>
        <v>0</v>
      </c>
      <c r="AA43">
        <f ca="1">OFFSET(Objects!$HW$6,AA$1+(Objects!$Y$4-$A43-1)*Objects!$X$4,0)</f>
        <v>0</v>
      </c>
      <c r="AB43">
        <f ca="1">OFFSET(Objects!$HW$6,AB$1+(Objects!$Y$4-$A43-1)*Objects!$X$4,0)</f>
        <v>0</v>
      </c>
      <c r="AC43">
        <f ca="1">OFFSET(Objects!$HW$6,AC$1+(Objects!$Y$4-$A43-1)*Objects!$X$4,0)</f>
        <v>0</v>
      </c>
      <c r="AD43">
        <f ca="1">OFFSET(Objects!$HW$6,AD$1+(Objects!$Y$4-$A43-1)*Objects!$X$4,0)</f>
        <v>0</v>
      </c>
      <c r="AE43">
        <f ca="1">OFFSET(Objects!$HW$6,AE$1+(Objects!$Y$4-$A43-1)*Objects!$X$4,0)</f>
        <v>0</v>
      </c>
      <c r="AF43">
        <f ca="1">OFFSET(Objects!$HW$6,AF$1+(Objects!$Y$4-$A43-1)*Objects!$X$4,0)</f>
        <v>0</v>
      </c>
      <c r="AG43">
        <f ca="1">OFFSET(Objects!$HW$6,AG$1+(Objects!$Y$4-$A43-1)*Objects!$X$4,0)</f>
        <v>0</v>
      </c>
      <c r="AH43">
        <f ca="1">OFFSET(Objects!$HW$6,AH$1+(Objects!$Y$4-$A43-1)*Objects!$X$4,0)</f>
        <v>0</v>
      </c>
      <c r="AI43">
        <f ca="1">OFFSET(Objects!$HW$6,AI$1+(Objects!$Y$4-$A43-1)*Objects!$X$4,0)</f>
        <v>0</v>
      </c>
      <c r="AJ43">
        <f ca="1">OFFSET(Objects!$HW$6,AJ$1+(Objects!$Y$4-$A43-1)*Objects!$X$4,0)</f>
        <v>0</v>
      </c>
      <c r="AK43">
        <f ca="1">OFFSET(Objects!$HW$6,AK$1+(Objects!$Y$4-$A43-1)*Objects!$X$4,0)</f>
        <v>0</v>
      </c>
      <c r="AL43">
        <f ca="1">OFFSET(Objects!$HW$6,AL$1+(Objects!$Y$4-$A43-1)*Objects!$X$4,0)</f>
        <v>0</v>
      </c>
      <c r="AM43">
        <f ca="1">OFFSET(Objects!$HW$6,AM$1+(Objects!$Y$4-$A43-1)*Objects!$X$4,0)</f>
        <v>0</v>
      </c>
      <c r="AN43">
        <f ca="1">OFFSET(Objects!$HW$6,AN$1+(Objects!$Y$4-$A43-1)*Objects!$X$4,0)</f>
        <v>0</v>
      </c>
      <c r="AO43">
        <f ca="1">OFFSET(Objects!$HW$6,AO$1+(Objects!$Y$4-$A43-1)*Objects!$X$4,0)</f>
        <v>0</v>
      </c>
      <c r="AP43">
        <f ca="1">OFFSET(Objects!$HW$6,AP$1+(Objects!$Y$4-$A43-1)*Objects!$X$4,0)</f>
        <v>0</v>
      </c>
      <c r="AQ43">
        <f ca="1">OFFSET(Objects!$HW$6,AQ$1+(Objects!$Y$4-$A43-1)*Objects!$X$4,0)</f>
        <v>0</v>
      </c>
      <c r="AR43">
        <f ca="1">OFFSET(Objects!$HW$6,AR$1+(Objects!$Y$4-$A43-1)*Objects!$X$4,0)</f>
        <v>0</v>
      </c>
      <c r="AS43">
        <f ca="1">OFFSET(Objects!$HW$6,AS$1+(Objects!$Y$4-$A43-1)*Objects!$X$4,0)</f>
        <v>0</v>
      </c>
      <c r="AT43">
        <f ca="1">OFFSET(Objects!$HW$6,AT$1+(Objects!$Y$4-$A43-1)*Objects!$X$4,0)</f>
        <v>0</v>
      </c>
      <c r="AU43">
        <f ca="1">OFFSET(Objects!$HW$6,AU$1+(Objects!$Y$4-$A43-1)*Objects!$X$4,0)</f>
        <v>0</v>
      </c>
      <c r="AV43">
        <f ca="1">OFFSET(Objects!$HW$6,AV$1+(Objects!$Y$4-$A43-1)*Objects!$X$4,0)</f>
        <v>0</v>
      </c>
      <c r="AW43">
        <f ca="1">OFFSET(Objects!$HW$6,AW$1+(Objects!$Y$4-$A43-1)*Objects!$X$4,0)</f>
        <v>0</v>
      </c>
      <c r="AX43">
        <f ca="1">OFFSET(Objects!$HW$6,AX$1+(Objects!$Y$4-$A43-1)*Objects!$X$4,0)</f>
        <v>0</v>
      </c>
      <c r="AY43">
        <f ca="1">OFFSET(Objects!$HW$6,AY$1+(Objects!$Y$4-$A43-1)*Objects!$X$4,0)</f>
        <v>0</v>
      </c>
      <c r="AZ43">
        <f ca="1">OFFSET(Objects!$HW$6,AZ$1+(Objects!$Y$4-$A43-1)*Objects!$X$4,0)</f>
        <v>0</v>
      </c>
      <c r="BA43">
        <f ca="1">OFFSET(Objects!$HW$6,BA$1+(Objects!$Y$4-$A43-1)*Objects!$X$4,0)</f>
        <v>0</v>
      </c>
      <c r="BB43">
        <f ca="1">OFFSET(Objects!$HW$6,BB$1+(Objects!$Y$4-$A43-1)*Objects!$X$4,0)</f>
        <v>0</v>
      </c>
      <c r="BC43">
        <f ca="1">OFFSET(Objects!$HW$6,BC$1+(Objects!$Y$4-$A43-1)*Objects!$X$4,0)</f>
        <v>0</v>
      </c>
      <c r="BD43">
        <f ca="1">OFFSET(Objects!$HW$6,BD$1+(Objects!$Y$4-$A43-1)*Objects!$X$4,0)</f>
        <v>0</v>
      </c>
      <c r="BE43">
        <f ca="1">OFFSET(Objects!$HW$6,BE$1+(Objects!$Y$4-$A43-1)*Objects!$X$4,0)</f>
        <v>0</v>
      </c>
      <c r="BF43">
        <f ca="1">OFFSET(Objects!$HW$6,BF$1+(Objects!$Y$4-$A43-1)*Objects!$X$4,0)</f>
        <v>0</v>
      </c>
      <c r="BG43">
        <f ca="1">OFFSET(Objects!$HW$6,BG$1+(Objects!$Y$4-$A43-1)*Objects!$X$4,0)</f>
        <v>0</v>
      </c>
      <c r="BH43">
        <f ca="1">OFFSET(Objects!$HW$6,BH$1+(Objects!$Y$4-$A43-1)*Objects!$X$4,0)</f>
        <v>0</v>
      </c>
      <c r="BI43">
        <f ca="1">OFFSET(Objects!$HW$6,BI$1+(Objects!$Y$4-$A43-1)*Objects!$X$4,0)</f>
        <v>0</v>
      </c>
      <c r="BJ43">
        <f ca="1">OFFSET(Objects!$HW$6,BJ$1+(Objects!$Y$4-$A43-1)*Objects!$X$4,0)</f>
        <v>0</v>
      </c>
      <c r="BK43">
        <f ca="1">OFFSET(Objects!$HW$6,BK$1+(Objects!$Y$4-$A43-1)*Objects!$X$4,0)</f>
        <v>0</v>
      </c>
      <c r="BL43">
        <f ca="1">OFFSET(Objects!$HW$6,BL$1+(Objects!$Y$4-$A43-1)*Objects!$X$4,0)</f>
        <v>0</v>
      </c>
      <c r="BM43">
        <f ca="1">OFFSET(Objects!$HW$6,BM$1+(Objects!$Y$4-$A43-1)*Objects!$X$4,0)</f>
        <v>0</v>
      </c>
      <c r="BN43">
        <f ca="1">OFFSET(Objects!$HW$6,BN$1+(Objects!$Y$4-$A43-1)*Objects!$X$4,0)</f>
        <v>0</v>
      </c>
      <c r="BO43">
        <f ca="1">OFFSET(Objects!$HW$6,BO$1+(Objects!$Y$4-$A43-1)*Objects!$X$4,0)</f>
        <v>0</v>
      </c>
      <c r="BP43">
        <f ca="1">OFFSET(Objects!$HW$6,BP$1+(Objects!$Y$4-$A43-1)*Objects!$X$4,0)</f>
        <v>0</v>
      </c>
      <c r="BQ43">
        <f ca="1">OFFSET(Objects!$HW$6,BQ$1+(Objects!$Y$4-$A43-1)*Objects!$X$4,0)</f>
        <v>0</v>
      </c>
      <c r="BR43">
        <f ca="1">OFFSET(Objects!$HW$6,BR$1+(Objects!$Y$4-$A43-1)*Objects!$X$4,0)</f>
        <v>0</v>
      </c>
      <c r="BS43">
        <f ca="1">OFFSET(Objects!$HW$6,BS$1+(Objects!$Y$4-$A43-1)*Objects!$X$4,0)</f>
        <v>0</v>
      </c>
      <c r="BT43">
        <f ca="1">OFFSET(Objects!$HW$6,BT$1+(Objects!$Y$4-$A43-1)*Objects!$X$4,0)</f>
        <v>0</v>
      </c>
      <c r="BU43">
        <f ca="1">OFFSET(Objects!$HW$6,BU$1+(Objects!$Y$4-$A43-1)*Objects!$X$4,0)</f>
        <v>0</v>
      </c>
      <c r="BV43">
        <f ca="1">OFFSET(Objects!$HW$6,BV$1+(Objects!$Y$4-$A43-1)*Objects!$X$4,0)</f>
        <v>0</v>
      </c>
      <c r="BW43">
        <f ca="1">OFFSET(Objects!$HW$6,BW$1+(Objects!$Y$4-$A43-1)*Objects!$X$4,0)</f>
        <v>0</v>
      </c>
      <c r="BX43">
        <f ca="1">OFFSET(Objects!$HW$6,BX$1+(Objects!$Y$4-$A43-1)*Objects!$X$4,0)</f>
        <v>0</v>
      </c>
      <c r="BY43">
        <f ca="1">OFFSET(Objects!$HW$6,BY$1+(Objects!$Y$4-$A43-1)*Objects!$X$4,0)</f>
        <v>0</v>
      </c>
      <c r="BZ43">
        <f ca="1">OFFSET(Objects!$HW$6,BZ$1+(Objects!$Y$4-$A43-1)*Objects!$X$4,0)</f>
        <v>0</v>
      </c>
      <c r="CA43">
        <f ca="1">OFFSET(Objects!$HW$6,CA$1+(Objects!$Y$4-$A43-1)*Objects!$X$4,0)</f>
        <v>0</v>
      </c>
      <c r="CB43">
        <f ca="1">OFFSET(Objects!$HW$6,CB$1+(Objects!$Y$4-$A43-1)*Objects!$X$4,0)</f>
        <v>0</v>
      </c>
      <c r="CC43">
        <f ca="1">OFFSET(Objects!$HW$6,CC$1+(Objects!$Y$4-$A43-1)*Objects!$X$4,0)</f>
        <v>0</v>
      </c>
      <c r="CD43">
        <f ca="1">OFFSET(Objects!$HW$6,CD$1+(Objects!$Y$4-$A43-1)*Objects!$X$4,0)</f>
        <v>0</v>
      </c>
      <c r="CE43">
        <f ca="1">OFFSET(Objects!$HW$6,CE$1+(Objects!$Y$4-$A43-1)*Objects!$X$4,0)</f>
        <v>0</v>
      </c>
      <c r="CF43">
        <f ca="1">OFFSET(Objects!$HW$6,CF$1+(Objects!$Y$4-$A43-1)*Objects!$X$4,0)</f>
        <v>0</v>
      </c>
      <c r="CG43">
        <f ca="1">OFFSET(Objects!$HW$6,CG$1+(Objects!$Y$4-$A43-1)*Objects!$X$4,0)</f>
        <v>0</v>
      </c>
      <c r="CH43">
        <f ca="1">OFFSET(Objects!$HW$6,CH$1+(Objects!$Y$4-$A43-1)*Objects!$X$4,0)</f>
        <v>0</v>
      </c>
      <c r="CI43">
        <f ca="1">OFFSET(Objects!$HW$6,CI$1+(Objects!$Y$4-$A43-1)*Objects!$X$4,0)</f>
        <v>0</v>
      </c>
      <c r="CJ43">
        <f ca="1">OFFSET(Objects!$HW$6,CJ$1+(Objects!$Y$4-$A43-1)*Objects!$X$4,0)</f>
        <v>0</v>
      </c>
      <c r="CK43">
        <f ca="1">OFFSET(Objects!$HW$6,CK$1+(Objects!$Y$4-$A43-1)*Objects!$X$4,0)</f>
        <v>0</v>
      </c>
      <c r="CL43">
        <f ca="1">OFFSET(Objects!$HW$6,CL$1+(Objects!$Y$4-$A43-1)*Objects!$X$4,0)</f>
        <v>0</v>
      </c>
      <c r="CM43">
        <f ca="1">OFFSET(Objects!$HW$6,CM$1+(Objects!$Y$4-$A43-1)*Objects!$X$4,0)</f>
        <v>0</v>
      </c>
      <c r="CN43">
        <f ca="1">OFFSET(Objects!$HW$6,CN$1+(Objects!$Y$4-$A43-1)*Objects!$X$4,0)</f>
        <v>0</v>
      </c>
      <c r="CO43">
        <f ca="1">OFFSET(Objects!$HW$6,CO$1+(Objects!$Y$4-$A43-1)*Objects!$X$4,0)</f>
        <v>0</v>
      </c>
      <c r="CP43">
        <f ca="1">OFFSET(Objects!$HW$6,CP$1+(Objects!$Y$4-$A43-1)*Objects!$X$4,0)</f>
        <v>0</v>
      </c>
      <c r="CQ43">
        <f ca="1">OFFSET(Objects!$HW$6,CQ$1+(Objects!$Y$4-$A43-1)*Objects!$X$4,0)</f>
        <v>0</v>
      </c>
      <c r="CR43">
        <f ca="1">OFFSET(Objects!$HW$6,CR$1+(Objects!$Y$4-$A43-1)*Objects!$X$4,0)</f>
        <v>0</v>
      </c>
      <c r="CS43">
        <f ca="1">OFFSET(Objects!$HW$6,CS$1+(Objects!$Y$4-$A43-1)*Objects!$X$4,0)</f>
        <v>0</v>
      </c>
      <c r="CT43">
        <f ca="1">OFFSET(Objects!$HW$6,CT$1+(Objects!$Y$4-$A43-1)*Objects!$X$4,0)</f>
        <v>0</v>
      </c>
      <c r="CU43">
        <f ca="1">OFFSET(Objects!$HW$6,CU$1+(Objects!$Y$4-$A43-1)*Objects!$X$4,0)</f>
        <v>0</v>
      </c>
      <c r="CV43">
        <f ca="1">OFFSET(Objects!$HW$6,CV$1+(Objects!$Y$4-$A43-1)*Objects!$X$4,0)</f>
        <v>0</v>
      </c>
      <c r="CW43">
        <f ca="1">OFFSET(Objects!$HW$6,CW$1+(Objects!$Y$4-$A43-1)*Objects!$X$4,0)</f>
        <v>0</v>
      </c>
      <c r="CX43">
        <f ca="1">OFFSET(Objects!$HW$6,CX$1+(Objects!$Y$4-$A43-1)*Objects!$X$4,0)</f>
        <v>0</v>
      </c>
      <c r="CY43">
        <f ca="1">OFFSET(Objects!$HW$6,CY$1+(Objects!$Y$4-$A43-1)*Objects!$X$4,0)</f>
        <v>0</v>
      </c>
      <c r="CZ43">
        <f ca="1">OFFSET(Objects!$HW$6,CZ$1+(Objects!$Y$4-$A43-1)*Objects!$X$4,0)</f>
        <v>0</v>
      </c>
      <c r="DA43">
        <f ca="1">OFFSET(Objects!$HW$6,DA$1+(Objects!$Y$4-$A43-1)*Objects!$X$4,0)</f>
        <v>0</v>
      </c>
      <c r="DB43">
        <f ca="1">OFFSET(Objects!$HW$6,DB$1+(Objects!$Y$4-$A43-1)*Objects!$X$4,0)</f>
        <v>0</v>
      </c>
      <c r="DC43">
        <f ca="1">OFFSET(Objects!$HW$6,DC$1+(Objects!$Y$4-$A43-1)*Objects!$X$4,0)</f>
        <v>0</v>
      </c>
      <c r="DD43">
        <f ca="1">OFFSET(Objects!$HW$6,DD$1+(Objects!$Y$4-$A43-1)*Objects!$X$4,0)</f>
        <v>0</v>
      </c>
      <c r="DE43">
        <f ca="1">OFFSET(Objects!$HW$6,DE$1+(Objects!$Y$4-$A43-1)*Objects!$X$4,0)</f>
        <v>0</v>
      </c>
      <c r="DF43">
        <f ca="1">OFFSET(Objects!$HW$6,DF$1+(Objects!$Y$4-$A43-1)*Objects!$X$4,0)</f>
        <v>0</v>
      </c>
      <c r="DG43">
        <f ca="1">OFFSET(Objects!$HW$6,DG$1+(Objects!$Y$4-$A43-1)*Objects!$X$4,0)</f>
        <v>0</v>
      </c>
      <c r="DH43">
        <f ca="1">OFFSET(Objects!$HW$6,DH$1+(Objects!$Y$4-$A43-1)*Objects!$X$4,0)</f>
        <v>0</v>
      </c>
      <c r="DI43">
        <f ca="1">OFFSET(Objects!$HW$6,DI$1+(Objects!$Y$4-$A43-1)*Objects!$X$4,0)</f>
        <v>0</v>
      </c>
      <c r="DJ43">
        <f ca="1">OFFSET(Objects!$HW$6,DJ$1+(Objects!$Y$4-$A43-1)*Objects!$X$4,0)</f>
        <v>0</v>
      </c>
      <c r="DK43">
        <f ca="1">OFFSET(Objects!$HW$6,DK$1+(Objects!$Y$4-$A43-1)*Objects!$X$4,0)</f>
        <v>0</v>
      </c>
      <c r="DL43">
        <f ca="1">OFFSET(Objects!$HW$6,DL$1+(Objects!$Y$4-$A43-1)*Objects!$X$4,0)</f>
        <v>0</v>
      </c>
      <c r="DM43">
        <f ca="1">OFFSET(Objects!$HW$6,DM$1+(Objects!$Y$4-$A43-1)*Objects!$X$4,0)</f>
        <v>0</v>
      </c>
      <c r="DN43">
        <f ca="1">OFFSET(Objects!$HW$6,DN$1+(Objects!$Y$4-$A43-1)*Objects!$X$4,0)</f>
        <v>0</v>
      </c>
      <c r="DO43">
        <f ca="1">OFFSET(Objects!$HW$6,DO$1+(Objects!$Y$4-$A43-1)*Objects!$X$4,0)</f>
        <v>0</v>
      </c>
      <c r="DP43">
        <f ca="1">OFFSET(Objects!$HW$6,DP$1+(Objects!$Y$4-$A43-1)*Objects!$X$4,0)</f>
        <v>0</v>
      </c>
      <c r="DQ43">
        <f ca="1">OFFSET(Objects!$HW$6,DQ$1+(Objects!$Y$4-$A43-1)*Objects!$X$4,0)</f>
        <v>0</v>
      </c>
      <c r="DR43">
        <f ca="1">OFFSET(Objects!$HW$6,DR$1+(Objects!$Y$4-$A43-1)*Objects!$X$4,0)</f>
        <v>0</v>
      </c>
      <c r="DS43">
        <f ca="1">OFFSET(Objects!$HW$6,DS$1+(Objects!$Y$4-$A43-1)*Objects!$X$4,0)</f>
        <v>0</v>
      </c>
      <c r="DT43">
        <f ca="1">OFFSET(Objects!$HW$6,DT$1+(Objects!$Y$4-$A43-1)*Objects!$X$4,0)</f>
        <v>0</v>
      </c>
      <c r="DU43">
        <f ca="1">OFFSET(Objects!$HW$6,DU$1+(Objects!$Y$4-$A43-1)*Objects!$X$4,0)</f>
        <v>0</v>
      </c>
      <c r="DV43">
        <f ca="1">OFFSET(Objects!$HW$6,DV$1+(Objects!$Y$4-$A43-1)*Objects!$X$4,0)</f>
        <v>0</v>
      </c>
      <c r="DW43">
        <f ca="1">OFFSET(Objects!$HW$6,DW$1+(Objects!$Y$4-$A43-1)*Objects!$X$4,0)</f>
        <v>0</v>
      </c>
      <c r="DX43">
        <f ca="1">OFFSET(Objects!$HW$6,DX$1+(Objects!$Y$4-$A43-1)*Objects!$X$4,0)</f>
        <v>0</v>
      </c>
      <c r="DY43">
        <f ca="1">OFFSET(Objects!$HW$6,DY$1+(Objects!$Y$4-$A43-1)*Objects!$X$4,0)</f>
        <v>0</v>
      </c>
      <c r="DZ43">
        <f ca="1">OFFSET(Objects!$HW$6,DZ$1+(Objects!$Y$4-$A43-1)*Objects!$X$4,0)</f>
        <v>0</v>
      </c>
      <c r="EA43">
        <f ca="1">OFFSET(Objects!$HW$6,EA$1+(Objects!$Y$4-$A43-1)*Objects!$X$4,0)</f>
        <v>0</v>
      </c>
      <c r="EB43">
        <f ca="1">OFFSET(Objects!$HW$6,EB$1+(Objects!$Y$4-$A43-1)*Objects!$X$4,0)</f>
        <v>0</v>
      </c>
      <c r="EC43">
        <f ca="1">OFFSET(Objects!$HW$6,EC$1+(Objects!$Y$4-$A43-1)*Objects!$X$4,0)</f>
        <v>0</v>
      </c>
      <c r="ED43">
        <f ca="1">OFFSET(Objects!$HW$6,ED$1+(Objects!$Y$4-$A43-1)*Objects!$X$4,0)</f>
        <v>0</v>
      </c>
      <c r="EE43">
        <f ca="1">OFFSET(Objects!$HW$6,EE$1+(Objects!$Y$4-$A43-1)*Objects!$X$4,0)</f>
        <v>0</v>
      </c>
      <c r="EF43">
        <f ca="1">OFFSET(Objects!$HW$6,EF$1+(Objects!$Y$4-$A43-1)*Objects!$X$4,0)</f>
        <v>0</v>
      </c>
      <c r="EG43">
        <f ca="1">OFFSET(Objects!$HW$6,EG$1+(Objects!$Y$4-$A43-1)*Objects!$X$4,0)</f>
        <v>0</v>
      </c>
      <c r="EH43">
        <f ca="1">OFFSET(Objects!$HW$6,EH$1+(Objects!$Y$4-$A43-1)*Objects!$X$4,0)</f>
        <v>0</v>
      </c>
      <c r="EI43">
        <f ca="1">OFFSET(Objects!$HW$6,EI$1+(Objects!$Y$4-$A43-1)*Objects!$X$4,0)</f>
        <v>0</v>
      </c>
      <c r="EJ43">
        <f ca="1">OFFSET(Objects!$HW$6,EJ$1+(Objects!$Y$4-$A43-1)*Objects!$X$4,0)</f>
        <v>0</v>
      </c>
      <c r="EK43">
        <f ca="1">OFFSET(Objects!$HW$6,EK$1+(Objects!$Y$4-$A43-1)*Objects!$X$4,0)</f>
        <v>0</v>
      </c>
      <c r="EL43">
        <f ca="1">OFFSET(Objects!$HW$6,EL$1+(Objects!$Y$4-$A43-1)*Objects!$X$4,0)</f>
        <v>0</v>
      </c>
      <c r="EM43">
        <f ca="1">OFFSET(Objects!$HW$6,EM$1+(Objects!$Y$4-$A43-1)*Objects!$X$4,0)</f>
        <v>0</v>
      </c>
      <c r="EN43">
        <f ca="1">OFFSET(Objects!$HW$6,EN$1+(Objects!$Y$4-$A43-1)*Objects!$X$4,0)</f>
        <v>0</v>
      </c>
      <c r="EO43">
        <f ca="1">OFFSET(Objects!$HW$6,EO$1+(Objects!$Y$4-$A43-1)*Objects!$X$4,0)</f>
        <v>0</v>
      </c>
      <c r="EP43">
        <f ca="1">OFFSET(Objects!$HW$6,EP$1+(Objects!$Y$4-$A43-1)*Objects!$X$4,0)</f>
        <v>0</v>
      </c>
      <c r="EQ43">
        <f ca="1">OFFSET(Objects!$HW$6,EQ$1+(Objects!$Y$4-$A43-1)*Objects!$X$4,0)</f>
        <v>0</v>
      </c>
      <c r="ER43">
        <f ca="1">OFFSET(Objects!$HW$6,ER$1+(Objects!$Y$4-$A43-1)*Objects!$X$4,0)</f>
        <v>0</v>
      </c>
      <c r="ES43">
        <f ca="1">OFFSET(Objects!$HW$6,ES$1+(Objects!$Y$4-$A43-1)*Objects!$X$4,0)</f>
        <v>0</v>
      </c>
      <c r="ET43">
        <f ca="1">OFFSET(Objects!$HW$6,ET$1+(Objects!$Y$4-$A43-1)*Objects!$X$4,0)</f>
        <v>0</v>
      </c>
      <c r="EU43">
        <f ca="1">OFFSET(Objects!$HW$6,EU$1+(Objects!$Y$4-$A43-1)*Objects!$X$4,0)</f>
        <v>0</v>
      </c>
      <c r="EV43">
        <f ca="1">OFFSET(Objects!$HW$6,EV$1+(Objects!$Y$4-$A43-1)*Objects!$X$4,0)</f>
        <v>0</v>
      </c>
      <c r="EW43">
        <f ca="1">OFFSET(Objects!$HW$6,EW$1+(Objects!$Y$4-$A43-1)*Objects!$X$4,0)</f>
        <v>0</v>
      </c>
      <c r="EX43">
        <f ca="1">OFFSET(Objects!$HW$6,EX$1+(Objects!$Y$4-$A43-1)*Objects!$X$4,0)</f>
        <v>0</v>
      </c>
      <c r="EY43">
        <f ca="1">OFFSET(Objects!$HW$6,EY$1+(Objects!$Y$4-$A43-1)*Objects!$X$4,0)</f>
        <v>0</v>
      </c>
      <c r="EZ43">
        <f ca="1">OFFSET(Objects!$HW$6,EZ$1+(Objects!$Y$4-$A43-1)*Objects!$X$4,0)</f>
        <v>0</v>
      </c>
      <c r="FA43">
        <f ca="1">OFFSET(Objects!$HW$6,FA$1+(Objects!$Y$4-$A43-1)*Objects!$X$4,0)</f>
        <v>0</v>
      </c>
      <c r="FB43">
        <f ca="1">OFFSET(Objects!$HW$6,FB$1+(Objects!$Y$4-$A43-1)*Objects!$X$4,0)</f>
        <v>0</v>
      </c>
      <c r="FC43">
        <f ca="1">OFFSET(Objects!$HW$6,FC$1+(Objects!$Y$4-$A43-1)*Objects!$X$4,0)</f>
        <v>0</v>
      </c>
      <c r="FD43">
        <f ca="1">OFFSET(Objects!$HW$6,FD$1+(Objects!$Y$4-$A43-1)*Objects!$X$4,0)</f>
        <v>0</v>
      </c>
      <c r="FE43" s="22">
        <f ca="1">OFFSET(Objects!$HW$6,FE$1+(Objects!$Y$4-$A43-1)*Objects!$X$4,0)</f>
        <v>0</v>
      </c>
    </row>
    <row r="44" spans="1:161" ht="4.5" customHeight="1" x14ac:dyDescent="0.25">
      <c r="A44">
        <v>42</v>
      </c>
      <c r="B44" s="21">
        <f ca="1">OFFSET(Objects!$HW$6,B$1+(Objects!$Y$4-$A44-1)*Objects!$X$4,0)</f>
        <v>0</v>
      </c>
      <c r="C44">
        <f ca="1">OFFSET(Objects!$HW$6,C$1+(Objects!$Y$4-$A44-1)*Objects!$X$4,0)</f>
        <v>0</v>
      </c>
      <c r="D44">
        <f ca="1">OFFSET(Objects!$HW$6,D$1+(Objects!$Y$4-$A44-1)*Objects!$X$4,0)</f>
        <v>0</v>
      </c>
      <c r="E44">
        <f ca="1">OFFSET(Objects!$HW$6,E$1+(Objects!$Y$4-$A44-1)*Objects!$X$4,0)</f>
        <v>0</v>
      </c>
      <c r="F44">
        <f ca="1">OFFSET(Objects!$HW$6,F$1+(Objects!$Y$4-$A44-1)*Objects!$X$4,0)</f>
        <v>0</v>
      </c>
      <c r="G44">
        <f ca="1">OFFSET(Objects!$HW$6,G$1+(Objects!$Y$4-$A44-1)*Objects!$X$4,0)</f>
        <v>0</v>
      </c>
      <c r="H44">
        <f ca="1">OFFSET(Objects!$HW$6,H$1+(Objects!$Y$4-$A44-1)*Objects!$X$4,0)</f>
        <v>0</v>
      </c>
      <c r="I44">
        <f ca="1">OFFSET(Objects!$HW$6,I$1+(Objects!$Y$4-$A44-1)*Objects!$X$4,0)</f>
        <v>0</v>
      </c>
      <c r="J44">
        <f ca="1">OFFSET(Objects!$HW$6,J$1+(Objects!$Y$4-$A44-1)*Objects!$X$4,0)</f>
        <v>0</v>
      </c>
      <c r="K44">
        <f ca="1">OFFSET(Objects!$HW$6,K$1+(Objects!$Y$4-$A44-1)*Objects!$X$4,0)</f>
        <v>0</v>
      </c>
      <c r="L44">
        <f ca="1">OFFSET(Objects!$HW$6,L$1+(Objects!$Y$4-$A44-1)*Objects!$X$4,0)</f>
        <v>0</v>
      </c>
      <c r="M44">
        <f ca="1">OFFSET(Objects!$HW$6,M$1+(Objects!$Y$4-$A44-1)*Objects!$X$4,0)</f>
        <v>0</v>
      </c>
      <c r="N44">
        <f ca="1">OFFSET(Objects!$HW$6,N$1+(Objects!$Y$4-$A44-1)*Objects!$X$4,0)</f>
        <v>0</v>
      </c>
      <c r="O44">
        <f ca="1">OFFSET(Objects!$HW$6,O$1+(Objects!$Y$4-$A44-1)*Objects!$X$4,0)</f>
        <v>0</v>
      </c>
      <c r="P44">
        <f ca="1">OFFSET(Objects!$HW$6,P$1+(Objects!$Y$4-$A44-1)*Objects!$X$4,0)</f>
        <v>0</v>
      </c>
      <c r="Q44">
        <f ca="1">OFFSET(Objects!$HW$6,Q$1+(Objects!$Y$4-$A44-1)*Objects!$X$4,0)</f>
        <v>0</v>
      </c>
      <c r="R44">
        <f ca="1">OFFSET(Objects!$HW$6,R$1+(Objects!$Y$4-$A44-1)*Objects!$X$4,0)</f>
        <v>0</v>
      </c>
      <c r="S44">
        <f ca="1">OFFSET(Objects!$HW$6,S$1+(Objects!$Y$4-$A44-1)*Objects!$X$4,0)</f>
        <v>0</v>
      </c>
      <c r="T44">
        <f ca="1">OFFSET(Objects!$HW$6,T$1+(Objects!$Y$4-$A44-1)*Objects!$X$4,0)</f>
        <v>0</v>
      </c>
      <c r="U44">
        <f ca="1">OFFSET(Objects!$HW$6,U$1+(Objects!$Y$4-$A44-1)*Objects!$X$4,0)</f>
        <v>0</v>
      </c>
      <c r="V44">
        <f ca="1">OFFSET(Objects!$HW$6,V$1+(Objects!$Y$4-$A44-1)*Objects!$X$4,0)</f>
        <v>0</v>
      </c>
      <c r="W44">
        <f ca="1">OFFSET(Objects!$HW$6,W$1+(Objects!$Y$4-$A44-1)*Objects!$X$4,0)</f>
        <v>0</v>
      </c>
      <c r="X44">
        <f ca="1">OFFSET(Objects!$HW$6,X$1+(Objects!$Y$4-$A44-1)*Objects!$X$4,0)</f>
        <v>0</v>
      </c>
      <c r="Y44">
        <f ca="1">OFFSET(Objects!$HW$6,Y$1+(Objects!$Y$4-$A44-1)*Objects!$X$4,0)</f>
        <v>0</v>
      </c>
      <c r="Z44">
        <f ca="1">OFFSET(Objects!$HW$6,Z$1+(Objects!$Y$4-$A44-1)*Objects!$X$4,0)</f>
        <v>0</v>
      </c>
      <c r="AA44">
        <f ca="1">OFFSET(Objects!$HW$6,AA$1+(Objects!$Y$4-$A44-1)*Objects!$X$4,0)</f>
        <v>0</v>
      </c>
      <c r="AB44">
        <f ca="1">OFFSET(Objects!$HW$6,AB$1+(Objects!$Y$4-$A44-1)*Objects!$X$4,0)</f>
        <v>0</v>
      </c>
      <c r="AC44">
        <f ca="1">OFFSET(Objects!$HW$6,AC$1+(Objects!$Y$4-$A44-1)*Objects!$X$4,0)</f>
        <v>0</v>
      </c>
      <c r="AD44">
        <f ca="1">OFFSET(Objects!$HW$6,AD$1+(Objects!$Y$4-$A44-1)*Objects!$X$4,0)</f>
        <v>0</v>
      </c>
      <c r="AE44">
        <f ca="1">OFFSET(Objects!$HW$6,AE$1+(Objects!$Y$4-$A44-1)*Objects!$X$4,0)</f>
        <v>0</v>
      </c>
      <c r="AF44">
        <f ca="1">OFFSET(Objects!$HW$6,AF$1+(Objects!$Y$4-$A44-1)*Objects!$X$4,0)</f>
        <v>0</v>
      </c>
      <c r="AG44">
        <f ca="1">OFFSET(Objects!$HW$6,AG$1+(Objects!$Y$4-$A44-1)*Objects!$X$4,0)</f>
        <v>0</v>
      </c>
      <c r="AH44">
        <f ca="1">OFFSET(Objects!$HW$6,AH$1+(Objects!$Y$4-$A44-1)*Objects!$X$4,0)</f>
        <v>0</v>
      </c>
      <c r="AI44">
        <f ca="1">OFFSET(Objects!$HW$6,AI$1+(Objects!$Y$4-$A44-1)*Objects!$X$4,0)</f>
        <v>0</v>
      </c>
      <c r="AJ44">
        <f ca="1">OFFSET(Objects!$HW$6,AJ$1+(Objects!$Y$4-$A44-1)*Objects!$X$4,0)</f>
        <v>0</v>
      </c>
      <c r="AK44">
        <f ca="1">OFFSET(Objects!$HW$6,AK$1+(Objects!$Y$4-$A44-1)*Objects!$X$4,0)</f>
        <v>0</v>
      </c>
      <c r="AL44">
        <f ca="1">OFFSET(Objects!$HW$6,AL$1+(Objects!$Y$4-$A44-1)*Objects!$X$4,0)</f>
        <v>0</v>
      </c>
      <c r="AM44">
        <f ca="1">OFFSET(Objects!$HW$6,AM$1+(Objects!$Y$4-$A44-1)*Objects!$X$4,0)</f>
        <v>0</v>
      </c>
      <c r="AN44">
        <f ca="1">OFFSET(Objects!$HW$6,AN$1+(Objects!$Y$4-$A44-1)*Objects!$X$4,0)</f>
        <v>0</v>
      </c>
      <c r="AO44">
        <f ca="1">OFFSET(Objects!$HW$6,AO$1+(Objects!$Y$4-$A44-1)*Objects!$X$4,0)</f>
        <v>0</v>
      </c>
      <c r="AP44">
        <f ca="1">OFFSET(Objects!$HW$6,AP$1+(Objects!$Y$4-$A44-1)*Objects!$X$4,0)</f>
        <v>0</v>
      </c>
      <c r="AQ44">
        <f ca="1">OFFSET(Objects!$HW$6,AQ$1+(Objects!$Y$4-$A44-1)*Objects!$X$4,0)</f>
        <v>0</v>
      </c>
      <c r="AR44">
        <f ca="1">OFFSET(Objects!$HW$6,AR$1+(Objects!$Y$4-$A44-1)*Objects!$X$4,0)</f>
        <v>0</v>
      </c>
      <c r="AS44">
        <f ca="1">OFFSET(Objects!$HW$6,AS$1+(Objects!$Y$4-$A44-1)*Objects!$X$4,0)</f>
        <v>0</v>
      </c>
      <c r="AT44">
        <f ca="1">OFFSET(Objects!$HW$6,AT$1+(Objects!$Y$4-$A44-1)*Objects!$X$4,0)</f>
        <v>0</v>
      </c>
      <c r="AU44">
        <f ca="1">OFFSET(Objects!$HW$6,AU$1+(Objects!$Y$4-$A44-1)*Objects!$X$4,0)</f>
        <v>0</v>
      </c>
      <c r="AV44">
        <f ca="1">OFFSET(Objects!$HW$6,AV$1+(Objects!$Y$4-$A44-1)*Objects!$X$4,0)</f>
        <v>0</v>
      </c>
      <c r="AW44">
        <f ca="1">OFFSET(Objects!$HW$6,AW$1+(Objects!$Y$4-$A44-1)*Objects!$X$4,0)</f>
        <v>0</v>
      </c>
      <c r="AX44">
        <f ca="1">OFFSET(Objects!$HW$6,AX$1+(Objects!$Y$4-$A44-1)*Objects!$X$4,0)</f>
        <v>0</v>
      </c>
      <c r="AY44">
        <f ca="1">OFFSET(Objects!$HW$6,AY$1+(Objects!$Y$4-$A44-1)*Objects!$X$4,0)</f>
        <v>0</v>
      </c>
      <c r="AZ44">
        <f ca="1">OFFSET(Objects!$HW$6,AZ$1+(Objects!$Y$4-$A44-1)*Objects!$X$4,0)</f>
        <v>0</v>
      </c>
      <c r="BA44">
        <f ca="1">OFFSET(Objects!$HW$6,BA$1+(Objects!$Y$4-$A44-1)*Objects!$X$4,0)</f>
        <v>0</v>
      </c>
      <c r="BB44">
        <f ca="1">OFFSET(Objects!$HW$6,BB$1+(Objects!$Y$4-$A44-1)*Objects!$X$4,0)</f>
        <v>0</v>
      </c>
      <c r="BC44">
        <f ca="1">OFFSET(Objects!$HW$6,BC$1+(Objects!$Y$4-$A44-1)*Objects!$X$4,0)</f>
        <v>0</v>
      </c>
      <c r="BD44">
        <f ca="1">OFFSET(Objects!$HW$6,BD$1+(Objects!$Y$4-$A44-1)*Objects!$X$4,0)</f>
        <v>0</v>
      </c>
      <c r="BE44">
        <f ca="1">OFFSET(Objects!$HW$6,BE$1+(Objects!$Y$4-$A44-1)*Objects!$X$4,0)</f>
        <v>0</v>
      </c>
      <c r="BF44">
        <f ca="1">OFFSET(Objects!$HW$6,BF$1+(Objects!$Y$4-$A44-1)*Objects!$X$4,0)</f>
        <v>0</v>
      </c>
      <c r="BG44">
        <f ca="1">OFFSET(Objects!$HW$6,BG$1+(Objects!$Y$4-$A44-1)*Objects!$X$4,0)</f>
        <v>0</v>
      </c>
      <c r="BH44">
        <f ca="1">OFFSET(Objects!$HW$6,BH$1+(Objects!$Y$4-$A44-1)*Objects!$X$4,0)</f>
        <v>0</v>
      </c>
      <c r="BI44">
        <f ca="1">OFFSET(Objects!$HW$6,BI$1+(Objects!$Y$4-$A44-1)*Objects!$X$4,0)</f>
        <v>0</v>
      </c>
      <c r="BJ44">
        <f ca="1">OFFSET(Objects!$HW$6,BJ$1+(Objects!$Y$4-$A44-1)*Objects!$X$4,0)</f>
        <v>0</v>
      </c>
      <c r="BK44">
        <f ca="1">OFFSET(Objects!$HW$6,BK$1+(Objects!$Y$4-$A44-1)*Objects!$X$4,0)</f>
        <v>0</v>
      </c>
      <c r="BL44">
        <f ca="1">OFFSET(Objects!$HW$6,BL$1+(Objects!$Y$4-$A44-1)*Objects!$X$4,0)</f>
        <v>0</v>
      </c>
      <c r="BM44">
        <f ca="1">OFFSET(Objects!$HW$6,BM$1+(Objects!$Y$4-$A44-1)*Objects!$X$4,0)</f>
        <v>0</v>
      </c>
      <c r="BN44">
        <f ca="1">OFFSET(Objects!$HW$6,BN$1+(Objects!$Y$4-$A44-1)*Objects!$X$4,0)</f>
        <v>0</v>
      </c>
      <c r="BO44">
        <f ca="1">OFFSET(Objects!$HW$6,BO$1+(Objects!$Y$4-$A44-1)*Objects!$X$4,0)</f>
        <v>0</v>
      </c>
      <c r="BP44">
        <f ca="1">OFFSET(Objects!$HW$6,BP$1+(Objects!$Y$4-$A44-1)*Objects!$X$4,0)</f>
        <v>0</v>
      </c>
      <c r="BQ44">
        <f ca="1">OFFSET(Objects!$HW$6,BQ$1+(Objects!$Y$4-$A44-1)*Objects!$X$4,0)</f>
        <v>0</v>
      </c>
      <c r="BR44">
        <f ca="1">OFFSET(Objects!$HW$6,BR$1+(Objects!$Y$4-$A44-1)*Objects!$X$4,0)</f>
        <v>0</v>
      </c>
      <c r="BS44">
        <f ca="1">OFFSET(Objects!$HW$6,BS$1+(Objects!$Y$4-$A44-1)*Objects!$X$4,0)</f>
        <v>0</v>
      </c>
      <c r="BT44">
        <f ca="1">OFFSET(Objects!$HW$6,BT$1+(Objects!$Y$4-$A44-1)*Objects!$X$4,0)</f>
        <v>0</v>
      </c>
      <c r="BU44">
        <f ca="1">OFFSET(Objects!$HW$6,BU$1+(Objects!$Y$4-$A44-1)*Objects!$X$4,0)</f>
        <v>0</v>
      </c>
      <c r="BV44">
        <f ca="1">OFFSET(Objects!$HW$6,BV$1+(Objects!$Y$4-$A44-1)*Objects!$X$4,0)</f>
        <v>0</v>
      </c>
      <c r="BW44">
        <f ca="1">OFFSET(Objects!$HW$6,BW$1+(Objects!$Y$4-$A44-1)*Objects!$X$4,0)</f>
        <v>0</v>
      </c>
      <c r="BX44">
        <f ca="1">OFFSET(Objects!$HW$6,BX$1+(Objects!$Y$4-$A44-1)*Objects!$X$4,0)</f>
        <v>0</v>
      </c>
      <c r="BY44">
        <f ca="1">OFFSET(Objects!$HW$6,BY$1+(Objects!$Y$4-$A44-1)*Objects!$X$4,0)</f>
        <v>0</v>
      </c>
      <c r="BZ44">
        <f ca="1">OFFSET(Objects!$HW$6,BZ$1+(Objects!$Y$4-$A44-1)*Objects!$X$4,0)</f>
        <v>0</v>
      </c>
      <c r="CA44">
        <f ca="1">OFFSET(Objects!$HW$6,CA$1+(Objects!$Y$4-$A44-1)*Objects!$X$4,0)</f>
        <v>0</v>
      </c>
      <c r="CB44">
        <f ca="1">OFFSET(Objects!$HW$6,CB$1+(Objects!$Y$4-$A44-1)*Objects!$X$4,0)</f>
        <v>0</v>
      </c>
      <c r="CC44">
        <f ca="1">OFFSET(Objects!$HW$6,CC$1+(Objects!$Y$4-$A44-1)*Objects!$X$4,0)</f>
        <v>0</v>
      </c>
      <c r="CD44">
        <f ca="1">OFFSET(Objects!$HW$6,CD$1+(Objects!$Y$4-$A44-1)*Objects!$X$4,0)</f>
        <v>0</v>
      </c>
      <c r="CE44">
        <f ca="1">OFFSET(Objects!$HW$6,CE$1+(Objects!$Y$4-$A44-1)*Objects!$X$4,0)</f>
        <v>0</v>
      </c>
      <c r="CF44">
        <f ca="1">OFFSET(Objects!$HW$6,CF$1+(Objects!$Y$4-$A44-1)*Objects!$X$4,0)</f>
        <v>0</v>
      </c>
      <c r="CG44">
        <f ca="1">OFFSET(Objects!$HW$6,CG$1+(Objects!$Y$4-$A44-1)*Objects!$X$4,0)</f>
        <v>0</v>
      </c>
      <c r="CH44">
        <f ca="1">OFFSET(Objects!$HW$6,CH$1+(Objects!$Y$4-$A44-1)*Objects!$X$4,0)</f>
        <v>0</v>
      </c>
      <c r="CI44">
        <f ca="1">OFFSET(Objects!$HW$6,CI$1+(Objects!$Y$4-$A44-1)*Objects!$X$4,0)</f>
        <v>0</v>
      </c>
      <c r="CJ44">
        <f ca="1">OFFSET(Objects!$HW$6,CJ$1+(Objects!$Y$4-$A44-1)*Objects!$X$4,0)</f>
        <v>0</v>
      </c>
      <c r="CK44">
        <f ca="1">OFFSET(Objects!$HW$6,CK$1+(Objects!$Y$4-$A44-1)*Objects!$X$4,0)</f>
        <v>0</v>
      </c>
      <c r="CL44">
        <f ca="1">OFFSET(Objects!$HW$6,CL$1+(Objects!$Y$4-$A44-1)*Objects!$X$4,0)</f>
        <v>0</v>
      </c>
      <c r="CM44">
        <f ca="1">OFFSET(Objects!$HW$6,CM$1+(Objects!$Y$4-$A44-1)*Objects!$X$4,0)</f>
        <v>0</v>
      </c>
      <c r="CN44">
        <f ca="1">OFFSET(Objects!$HW$6,CN$1+(Objects!$Y$4-$A44-1)*Objects!$X$4,0)</f>
        <v>0</v>
      </c>
      <c r="CO44">
        <f ca="1">OFFSET(Objects!$HW$6,CO$1+(Objects!$Y$4-$A44-1)*Objects!$X$4,0)</f>
        <v>0</v>
      </c>
      <c r="CP44">
        <f ca="1">OFFSET(Objects!$HW$6,CP$1+(Objects!$Y$4-$A44-1)*Objects!$X$4,0)</f>
        <v>0</v>
      </c>
      <c r="CQ44">
        <f ca="1">OFFSET(Objects!$HW$6,CQ$1+(Objects!$Y$4-$A44-1)*Objects!$X$4,0)</f>
        <v>0</v>
      </c>
      <c r="CR44">
        <f ca="1">OFFSET(Objects!$HW$6,CR$1+(Objects!$Y$4-$A44-1)*Objects!$X$4,0)</f>
        <v>0</v>
      </c>
      <c r="CS44">
        <f ca="1">OFFSET(Objects!$HW$6,CS$1+(Objects!$Y$4-$A44-1)*Objects!$X$4,0)</f>
        <v>0</v>
      </c>
      <c r="CT44">
        <f ca="1">OFFSET(Objects!$HW$6,CT$1+(Objects!$Y$4-$A44-1)*Objects!$X$4,0)</f>
        <v>0</v>
      </c>
      <c r="CU44">
        <f ca="1">OFFSET(Objects!$HW$6,CU$1+(Objects!$Y$4-$A44-1)*Objects!$X$4,0)</f>
        <v>0</v>
      </c>
      <c r="CV44">
        <f ca="1">OFFSET(Objects!$HW$6,CV$1+(Objects!$Y$4-$A44-1)*Objects!$X$4,0)</f>
        <v>0</v>
      </c>
      <c r="CW44">
        <f ca="1">OFFSET(Objects!$HW$6,CW$1+(Objects!$Y$4-$A44-1)*Objects!$X$4,0)</f>
        <v>0</v>
      </c>
      <c r="CX44">
        <f ca="1">OFFSET(Objects!$HW$6,CX$1+(Objects!$Y$4-$A44-1)*Objects!$X$4,0)</f>
        <v>0</v>
      </c>
      <c r="CY44">
        <f ca="1">OFFSET(Objects!$HW$6,CY$1+(Objects!$Y$4-$A44-1)*Objects!$X$4,0)</f>
        <v>0</v>
      </c>
      <c r="CZ44">
        <f ca="1">OFFSET(Objects!$HW$6,CZ$1+(Objects!$Y$4-$A44-1)*Objects!$X$4,0)</f>
        <v>0</v>
      </c>
      <c r="DA44">
        <f ca="1">OFFSET(Objects!$HW$6,DA$1+(Objects!$Y$4-$A44-1)*Objects!$X$4,0)</f>
        <v>0</v>
      </c>
      <c r="DB44">
        <f ca="1">OFFSET(Objects!$HW$6,DB$1+(Objects!$Y$4-$A44-1)*Objects!$X$4,0)</f>
        <v>0</v>
      </c>
      <c r="DC44">
        <f ca="1">OFFSET(Objects!$HW$6,DC$1+(Objects!$Y$4-$A44-1)*Objects!$X$4,0)</f>
        <v>0</v>
      </c>
      <c r="DD44">
        <f ca="1">OFFSET(Objects!$HW$6,DD$1+(Objects!$Y$4-$A44-1)*Objects!$X$4,0)</f>
        <v>0</v>
      </c>
      <c r="DE44">
        <f ca="1">OFFSET(Objects!$HW$6,DE$1+(Objects!$Y$4-$A44-1)*Objects!$X$4,0)</f>
        <v>0</v>
      </c>
      <c r="DF44">
        <f ca="1">OFFSET(Objects!$HW$6,DF$1+(Objects!$Y$4-$A44-1)*Objects!$X$4,0)</f>
        <v>0</v>
      </c>
      <c r="DG44">
        <f ca="1">OFFSET(Objects!$HW$6,DG$1+(Objects!$Y$4-$A44-1)*Objects!$X$4,0)</f>
        <v>0</v>
      </c>
      <c r="DH44">
        <f ca="1">OFFSET(Objects!$HW$6,DH$1+(Objects!$Y$4-$A44-1)*Objects!$X$4,0)</f>
        <v>0</v>
      </c>
      <c r="DI44">
        <f ca="1">OFFSET(Objects!$HW$6,DI$1+(Objects!$Y$4-$A44-1)*Objects!$X$4,0)</f>
        <v>0</v>
      </c>
      <c r="DJ44">
        <f ca="1">OFFSET(Objects!$HW$6,DJ$1+(Objects!$Y$4-$A44-1)*Objects!$X$4,0)</f>
        <v>0</v>
      </c>
      <c r="DK44">
        <f ca="1">OFFSET(Objects!$HW$6,DK$1+(Objects!$Y$4-$A44-1)*Objects!$X$4,0)</f>
        <v>0</v>
      </c>
      <c r="DL44">
        <f ca="1">OFFSET(Objects!$HW$6,DL$1+(Objects!$Y$4-$A44-1)*Objects!$X$4,0)</f>
        <v>0</v>
      </c>
      <c r="DM44">
        <f ca="1">OFFSET(Objects!$HW$6,DM$1+(Objects!$Y$4-$A44-1)*Objects!$X$4,0)</f>
        <v>0</v>
      </c>
      <c r="DN44">
        <f ca="1">OFFSET(Objects!$HW$6,DN$1+(Objects!$Y$4-$A44-1)*Objects!$X$4,0)</f>
        <v>0</v>
      </c>
      <c r="DO44">
        <f ca="1">OFFSET(Objects!$HW$6,DO$1+(Objects!$Y$4-$A44-1)*Objects!$X$4,0)</f>
        <v>0</v>
      </c>
      <c r="DP44">
        <f ca="1">OFFSET(Objects!$HW$6,DP$1+(Objects!$Y$4-$A44-1)*Objects!$X$4,0)</f>
        <v>0</v>
      </c>
      <c r="DQ44">
        <f ca="1">OFFSET(Objects!$HW$6,DQ$1+(Objects!$Y$4-$A44-1)*Objects!$X$4,0)</f>
        <v>0</v>
      </c>
      <c r="DR44">
        <f ca="1">OFFSET(Objects!$HW$6,DR$1+(Objects!$Y$4-$A44-1)*Objects!$X$4,0)</f>
        <v>0</v>
      </c>
      <c r="DS44">
        <f ca="1">OFFSET(Objects!$HW$6,DS$1+(Objects!$Y$4-$A44-1)*Objects!$X$4,0)</f>
        <v>0</v>
      </c>
      <c r="DT44">
        <f ca="1">OFFSET(Objects!$HW$6,DT$1+(Objects!$Y$4-$A44-1)*Objects!$X$4,0)</f>
        <v>0</v>
      </c>
      <c r="DU44">
        <f ca="1">OFFSET(Objects!$HW$6,DU$1+(Objects!$Y$4-$A44-1)*Objects!$X$4,0)</f>
        <v>0</v>
      </c>
      <c r="DV44">
        <f ca="1">OFFSET(Objects!$HW$6,DV$1+(Objects!$Y$4-$A44-1)*Objects!$X$4,0)</f>
        <v>0</v>
      </c>
      <c r="DW44">
        <f ca="1">OFFSET(Objects!$HW$6,DW$1+(Objects!$Y$4-$A44-1)*Objects!$X$4,0)</f>
        <v>0</v>
      </c>
      <c r="DX44">
        <f ca="1">OFFSET(Objects!$HW$6,DX$1+(Objects!$Y$4-$A44-1)*Objects!$X$4,0)</f>
        <v>0</v>
      </c>
      <c r="DY44">
        <f ca="1">OFFSET(Objects!$HW$6,DY$1+(Objects!$Y$4-$A44-1)*Objects!$X$4,0)</f>
        <v>0</v>
      </c>
      <c r="DZ44">
        <f ca="1">OFFSET(Objects!$HW$6,DZ$1+(Objects!$Y$4-$A44-1)*Objects!$X$4,0)</f>
        <v>0</v>
      </c>
      <c r="EA44">
        <f ca="1">OFFSET(Objects!$HW$6,EA$1+(Objects!$Y$4-$A44-1)*Objects!$X$4,0)</f>
        <v>0</v>
      </c>
      <c r="EB44">
        <f ca="1">OFFSET(Objects!$HW$6,EB$1+(Objects!$Y$4-$A44-1)*Objects!$X$4,0)</f>
        <v>0</v>
      </c>
      <c r="EC44">
        <f ca="1">OFFSET(Objects!$HW$6,EC$1+(Objects!$Y$4-$A44-1)*Objects!$X$4,0)</f>
        <v>0</v>
      </c>
      <c r="ED44">
        <f ca="1">OFFSET(Objects!$HW$6,ED$1+(Objects!$Y$4-$A44-1)*Objects!$X$4,0)</f>
        <v>0</v>
      </c>
      <c r="EE44">
        <f ca="1">OFFSET(Objects!$HW$6,EE$1+(Objects!$Y$4-$A44-1)*Objects!$X$4,0)</f>
        <v>0</v>
      </c>
      <c r="EF44">
        <f ca="1">OFFSET(Objects!$HW$6,EF$1+(Objects!$Y$4-$A44-1)*Objects!$X$4,0)</f>
        <v>0</v>
      </c>
      <c r="EG44">
        <f ca="1">OFFSET(Objects!$HW$6,EG$1+(Objects!$Y$4-$A44-1)*Objects!$X$4,0)</f>
        <v>0</v>
      </c>
      <c r="EH44">
        <f ca="1">OFFSET(Objects!$HW$6,EH$1+(Objects!$Y$4-$A44-1)*Objects!$X$4,0)</f>
        <v>0</v>
      </c>
      <c r="EI44">
        <f ca="1">OFFSET(Objects!$HW$6,EI$1+(Objects!$Y$4-$A44-1)*Objects!$X$4,0)</f>
        <v>0</v>
      </c>
      <c r="EJ44">
        <f ca="1">OFFSET(Objects!$HW$6,EJ$1+(Objects!$Y$4-$A44-1)*Objects!$X$4,0)</f>
        <v>0</v>
      </c>
      <c r="EK44">
        <f ca="1">OFFSET(Objects!$HW$6,EK$1+(Objects!$Y$4-$A44-1)*Objects!$X$4,0)</f>
        <v>0</v>
      </c>
      <c r="EL44">
        <f ca="1">OFFSET(Objects!$HW$6,EL$1+(Objects!$Y$4-$A44-1)*Objects!$X$4,0)</f>
        <v>0</v>
      </c>
      <c r="EM44">
        <f ca="1">OFFSET(Objects!$HW$6,EM$1+(Objects!$Y$4-$A44-1)*Objects!$X$4,0)</f>
        <v>0</v>
      </c>
      <c r="EN44">
        <f ca="1">OFFSET(Objects!$HW$6,EN$1+(Objects!$Y$4-$A44-1)*Objects!$X$4,0)</f>
        <v>0</v>
      </c>
      <c r="EO44">
        <f ca="1">OFFSET(Objects!$HW$6,EO$1+(Objects!$Y$4-$A44-1)*Objects!$X$4,0)</f>
        <v>0</v>
      </c>
      <c r="EP44">
        <f ca="1">OFFSET(Objects!$HW$6,EP$1+(Objects!$Y$4-$A44-1)*Objects!$X$4,0)</f>
        <v>0</v>
      </c>
      <c r="EQ44">
        <f ca="1">OFFSET(Objects!$HW$6,EQ$1+(Objects!$Y$4-$A44-1)*Objects!$X$4,0)</f>
        <v>0</v>
      </c>
      <c r="ER44">
        <f ca="1">OFFSET(Objects!$HW$6,ER$1+(Objects!$Y$4-$A44-1)*Objects!$X$4,0)</f>
        <v>0</v>
      </c>
      <c r="ES44">
        <f ca="1">OFFSET(Objects!$HW$6,ES$1+(Objects!$Y$4-$A44-1)*Objects!$X$4,0)</f>
        <v>0</v>
      </c>
      <c r="ET44">
        <f ca="1">OFFSET(Objects!$HW$6,ET$1+(Objects!$Y$4-$A44-1)*Objects!$X$4,0)</f>
        <v>0</v>
      </c>
      <c r="EU44">
        <f ca="1">OFFSET(Objects!$HW$6,EU$1+(Objects!$Y$4-$A44-1)*Objects!$X$4,0)</f>
        <v>0</v>
      </c>
      <c r="EV44">
        <f ca="1">OFFSET(Objects!$HW$6,EV$1+(Objects!$Y$4-$A44-1)*Objects!$X$4,0)</f>
        <v>0</v>
      </c>
      <c r="EW44">
        <f ca="1">OFFSET(Objects!$HW$6,EW$1+(Objects!$Y$4-$A44-1)*Objects!$X$4,0)</f>
        <v>0</v>
      </c>
      <c r="EX44">
        <f ca="1">OFFSET(Objects!$HW$6,EX$1+(Objects!$Y$4-$A44-1)*Objects!$X$4,0)</f>
        <v>0</v>
      </c>
      <c r="EY44">
        <f ca="1">OFFSET(Objects!$HW$6,EY$1+(Objects!$Y$4-$A44-1)*Objects!$X$4,0)</f>
        <v>0</v>
      </c>
      <c r="EZ44">
        <f ca="1">OFFSET(Objects!$HW$6,EZ$1+(Objects!$Y$4-$A44-1)*Objects!$X$4,0)</f>
        <v>0</v>
      </c>
      <c r="FA44">
        <f ca="1">OFFSET(Objects!$HW$6,FA$1+(Objects!$Y$4-$A44-1)*Objects!$X$4,0)</f>
        <v>0</v>
      </c>
      <c r="FB44">
        <f ca="1">OFFSET(Objects!$HW$6,FB$1+(Objects!$Y$4-$A44-1)*Objects!$X$4,0)</f>
        <v>0</v>
      </c>
      <c r="FC44">
        <f ca="1">OFFSET(Objects!$HW$6,FC$1+(Objects!$Y$4-$A44-1)*Objects!$X$4,0)</f>
        <v>0</v>
      </c>
      <c r="FD44">
        <f ca="1">OFFSET(Objects!$HW$6,FD$1+(Objects!$Y$4-$A44-1)*Objects!$X$4,0)</f>
        <v>0</v>
      </c>
      <c r="FE44" s="22">
        <f ca="1">OFFSET(Objects!$HW$6,FE$1+(Objects!$Y$4-$A44-1)*Objects!$X$4,0)</f>
        <v>0</v>
      </c>
    </row>
    <row r="45" spans="1:161" ht="4.5" customHeight="1" x14ac:dyDescent="0.25">
      <c r="A45">
        <v>43</v>
      </c>
      <c r="B45" s="21">
        <f ca="1">OFFSET(Objects!$HW$6,B$1+(Objects!$Y$4-$A45-1)*Objects!$X$4,0)</f>
        <v>0</v>
      </c>
      <c r="C45">
        <f ca="1">OFFSET(Objects!$HW$6,C$1+(Objects!$Y$4-$A45-1)*Objects!$X$4,0)</f>
        <v>0</v>
      </c>
      <c r="D45">
        <f ca="1">OFFSET(Objects!$HW$6,D$1+(Objects!$Y$4-$A45-1)*Objects!$X$4,0)</f>
        <v>0</v>
      </c>
      <c r="E45">
        <f ca="1">OFFSET(Objects!$HW$6,E$1+(Objects!$Y$4-$A45-1)*Objects!$X$4,0)</f>
        <v>0</v>
      </c>
      <c r="F45">
        <f ca="1">OFFSET(Objects!$HW$6,F$1+(Objects!$Y$4-$A45-1)*Objects!$X$4,0)</f>
        <v>0</v>
      </c>
      <c r="G45">
        <f ca="1">OFFSET(Objects!$HW$6,G$1+(Objects!$Y$4-$A45-1)*Objects!$X$4,0)</f>
        <v>0</v>
      </c>
      <c r="H45">
        <f ca="1">OFFSET(Objects!$HW$6,H$1+(Objects!$Y$4-$A45-1)*Objects!$X$4,0)</f>
        <v>0</v>
      </c>
      <c r="I45">
        <f ca="1">OFFSET(Objects!$HW$6,I$1+(Objects!$Y$4-$A45-1)*Objects!$X$4,0)</f>
        <v>0</v>
      </c>
      <c r="J45">
        <f ca="1">OFFSET(Objects!$HW$6,J$1+(Objects!$Y$4-$A45-1)*Objects!$X$4,0)</f>
        <v>0</v>
      </c>
      <c r="K45">
        <f ca="1">OFFSET(Objects!$HW$6,K$1+(Objects!$Y$4-$A45-1)*Objects!$X$4,0)</f>
        <v>0</v>
      </c>
      <c r="L45">
        <f ca="1">OFFSET(Objects!$HW$6,L$1+(Objects!$Y$4-$A45-1)*Objects!$X$4,0)</f>
        <v>0</v>
      </c>
      <c r="M45">
        <f ca="1">OFFSET(Objects!$HW$6,M$1+(Objects!$Y$4-$A45-1)*Objects!$X$4,0)</f>
        <v>0</v>
      </c>
      <c r="N45">
        <f ca="1">OFFSET(Objects!$HW$6,N$1+(Objects!$Y$4-$A45-1)*Objects!$X$4,0)</f>
        <v>0</v>
      </c>
      <c r="O45">
        <f ca="1">OFFSET(Objects!$HW$6,O$1+(Objects!$Y$4-$A45-1)*Objects!$X$4,0)</f>
        <v>0</v>
      </c>
      <c r="P45">
        <f ca="1">OFFSET(Objects!$HW$6,P$1+(Objects!$Y$4-$A45-1)*Objects!$X$4,0)</f>
        <v>0</v>
      </c>
      <c r="Q45">
        <f ca="1">OFFSET(Objects!$HW$6,Q$1+(Objects!$Y$4-$A45-1)*Objects!$X$4,0)</f>
        <v>0</v>
      </c>
      <c r="R45">
        <f ca="1">OFFSET(Objects!$HW$6,R$1+(Objects!$Y$4-$A45-1)*Objects!$X$4,0)</f>
        <v>0</v>
      </c>
      <c r="S45">
        <f ca="1">OFFSET(Objects!$HW$6,S$1+(Objects!$Y$4-$A45-1)*Objects!$X$4,0)</f>
        <v>0</v>
      </c>
      <c r="T45">
        <f ca="1">OFFSET(Objects!$HW$6,T$1+(Objects!$Y$4-$A45-1)*Objects!$X$4,0)</f>
        <v>0</v>
      </c>
      <c r="U45">
        <f ca="1">OFFSET(Objects!$HW$6,U$1+(Objects!$Y$4-$A45-1)*Objects!$X$4,0)</f>
        <v>0</v>
      </c>
      <c r="V45">
        <f ca="1">OFFSET(Objects!$HW$6,V$1+(Objects!$Y$4-$A45-1)*Objects!$X$4,0)</f>
        <v>0</v>
      </c>
      <c r="W45">
        <f ca="1">OFFSET(Objects!$HW$6,W$1+(Objects!$Y$4-$A45-1)*Objects!$X$4,0)</f>
        <v>0</v>
      </c>
      <c r="X45">
        <f ca="1">OFFSET(Objects!$HW$6,X$1+(Objects!$Y$4-$A45-1)*Objects!$X$4,0)</f>
        <v>0</v>
      </c>
      <c r="Y45">
        <f ca="1">OFFSET(Objects!$HW$6,Y$1+(Objects!$Y$4-$A45-1)*Objects!$X$4,0)</f>
        <v>0</v>
      </c>
      <c r="Z45">
        <f ca="1">OFFSET(Objects!$HW$6,Z$1+(Objects!$Y$4-$A45-1)*Objects!$X$4,0)</f>
        <v>0</v>
      </c>
      <c r="AA45">
        <f ca="1">OFFSET(Objects!$HW$6,AA$1+(Objects!$Y$4-$A45-1)*Objects!$X$4,0)</f>
        <v>0</v>
      </c>
      <c r="AB45">
        <f ca="1">OFFSET(Objects!$HW$6,AB$1+(Objects!$Y$4-$A45-1)*Objects!$X$4,0)</f>
        <v>0</v>
      </c>
      <c r="AC45">
        <f ca="1">OFFSET(Objects!$HW$6,AC$1+(Objects!$Y$4-$A45-1)*Objects!$X$4,0)</f>
        <v>0</v>
      </c>
      <c r="AD45">
        <f ca="1">OFFSET(Objects!$HW$6,AD$1+(Objects!$Y$4-$A45-1)*Objects!$X$4,0)</f>
        <v>0</v>
      </c>
      <c r="AE45">
        <f ca="1">OFFSET(Objects!$HW$6,AE$1+(Objects!$Y$4-$A45-1)*Objects!$X$4,0)</f>
        <v>0</v>
      </c>
      <c r="AF45">
        <f ca="1">OFFSET(Objects!$HW$6,AF$1+(Objects!$Y$4-$A45-1)*Objects!$X$4,0)</f>
        <v>0</v>
      </c>
      <c r="AG45">
        <f ca="1">OFFSET(Objects!$HW$6,AG$1+(Objects!$Y$4-$A45-1)*Objects!$X$4,0)</f>
        <v>0</v>
      </c>
      <c r="AH45">
        <f ca="1">OFFSET(Objects!$HW$6,AH$1+(Objects!$Y$4-$A45-1)*Objects!$X$4,0)</f>
        <v>0</v>
      </c>
      <c r="AI45">
        <f ca="1">OFFSET(Objects!$HW$6,AI$1+(Objects!$Y$4-$A45-1)*Objects!$X$4,0)</f>
        <v>0</v>
      </c>
      <c r="AJ45">
        <f ca="1">OFFSET(Objects!$HW$6,AJ$1+(Objects!$Y$4-$A45-1)*Objects!$X$4,0)</f>
        <v>0</v>
      </c>
      <c r="AK45">
        <f ca="1">OFFSET(Objects!$HW$6,AK$1+(Objects!$Y$4-$A45-1)*Objects!$X$4,0)</f>
        <v>0</v>
      </c>
      <c r="AL45">
        <f ca="1">OFFSET(Objects!$HW$6,AL$1+(Objects!$Y$4-$A45-1)*Objects!$X$4,0)</f>
        <v>0</v>
      </c>
      <c r="AM45">
        <f ca="1">OFFSET(Objects!$HW$6,AM$1+(Objects!$Y$4-$A45-1)*Objects!$X$4,0)</f>
        <v>0</v>
      </c>
      <c r="AN45">
        <f ca="1">OFFSET(Objects!$HW$6,AN$1+(Objects!$Y$4-$A45-1)*Objects!$X$4,0)</f>
        <v>0</v>
      </c>
      <c r="AO45">
        <f ca="1">OFFSET(Objects!$HW$6,AO$1+(Objects!$Y$4-$A45-1)*Objects!$X$4,0)</f>
        <v>0</v>
      </c>
      <c r="AP45">
        <f ca="1">OFFSET(Objects!$HW$6,AP$1+(Objects!$Y$4-$A45-1)*Objects!$X$4,0)</f>
        <v>0</v>
      </c>
      <c r="AQ45">
        <f ca="1">OFFSET(Objects!$HW$6,AQ$1+(Objects!$Y$4-$A45-1)*Objects!$X$4,0)</f>
        <v>0</v>
      </c>
      <c r="AR45">
        <f ca="1">OFFSET(Objects!$HW$6,AR$1+(Objects!$Y$4-$A45-1)*Objects!$X$4,0)</f>
        <v>0</v>
      </c>
      <c r="AS45">
        <f ca="1">OFFSET(Objects!$HW$6,AS$1+(Objects!$Y$4-$A45-1)*Objects!$X$4,0)</f>
        <v>0</v>
      </c>
      <c r="AT45">
        <f ca="1">OFFSET(Objects!$HW$6,AT$1+(Objects!$Y$4-$A45-1)*Objects!$X$4,0)</f>
        <v>0</v>
      </c>
      <c r="AU45">
        <f ca="1">OFFSET(Objects!$HW$6,AU$1+(Objects!$Y$4-$A45-1)*Objects!$X$4,0)</f>
        <v>0</v>
      </c>
      <c r="AV45">
        <f ca="1">OFFSET(Objects!$HW$6,AV$1+(Objects!$Y$4-$A45-1)*Objects!$X$4,0)</f>
        <v>0</v>
      </c>
      <c r="AW45">
        <f ca="1">OFFSET(Objects!$HW$6,AW$1+(Objects!$Y$4-$A45-1)*Objects!$X$4,0)</f>
        <v>0</v>
      </c>
      <c r="AX45">
        <f ca="1">OFFSET(Objects!$HW$6,AX$1+(Objects!$Y$4-$A45-1)*Objects!$X$4,0)</f>
        <v>0</v>
      </c>
      <c r="AY45">
        <f ca="1">OFFSET(Objects!$HW$6,AY$1+(Objects!$Y$4-$A45-1)*Objects!$X$4,0)</f>
        <v>0</v>
      </c>
      <c r="AZ45">
        <f ca="1">OFFSET(Objects!$HW$6,AZ$1+(Objects!$Y$4-$A45-1)*Objects!$X$4,0)</f>
        <v>0</v>
      </c>
      <c r="BA45">
        <f ca="1">OFFSET(Objects!$HW$6,BA$1+(Objects!$Y$4-$A45-1)*Objects!$X$4,0)</f>
        <v>0</v>
      </c>
      <c r="BB45">
        <f ca="1">OFFSET(Objects!$HW$6,BB$1+(Objects!$Y$4-$A45-1)*Objects!$X$4,0)</f>
        <v>0</v>
      </c>
      <c r="BC45">
        <f ca="1">OFFSET(Objects!$HW$6,BC$1+(Objects!$Y$4-$A45-1)*Objects!$X$4,0)</f>
        <v>0</v>
      </c>
      <c r="BD45">
        <f ca="1">OFFSET(Objects!$HW$6,BD$1+(Objects!$Y$4-$A45-1)*Objects!$X$4,0)</f>
        <v>0</v>
      </c>
      <c r="BE45">
        <f ca="1">OFFSET(Objects!$HW$6,BE$1+(Objects!$Y$4-$A45-1)*Objects!$X$4,0)</f>
        <v>0</v>
      </c>
      <c r="BF45">
        <f ca="1">OFFSET(Objects!$HW$6,BF$1+(Objects!$Y$4-$A45-1)*Objects!$X$4,0)</f>
        <v>0</v>
      </c>
      <c r="BG45">
        <f ca="1">OFFSET(Objects!$HW$6,BG$1+(Objects!$Y$4-$A45-1)*Objects!$X$4,0)</f>
        <v>0</v>
      </c>
      <c r="BH45">
        <f ca="1">OFFSET(Objects!$HW$6,BH$1+(Objects!$Y$4-$A45-1)*Objects!$X$4,0)</f>
        <v>0</v>
      </c>
      <c r="BI45">
        <f ca="1">OFFSET(Objects!$HW$6,BI$1+(Objects!$Y$4-$A45-1)*Objects!$X$4,0)</f>
        <v>0</v>
      </c>
      <c r="BJ45">
        <f ca="1">OFFSET(Objects!$HW$6,BJ$1+(Objects!$Y$4-$A45-1)*Objects!$X$4,0)</f>
        <v>0</v>
      </c>
      <c r="BK45">
        <f ca="1">OFFSET(Objects!$HW$6,BK$1+(Objects!$Y$4-$A45-1)*Objects!$X$4,0)</f>
        <v>0</v>
      </c>
      <c r="BL45">
        <f ca="1">OFFSET(Objects!$HW$6,BL$1+(Objects!$Y$4-$A45-1)*Objects!$X$4,0)</f>
        <v>0</v>
      </c>
      <c r="BM45">
        <f ca="1">OFFSET(Objects!$HW$6,BM$1+(Objects!$Y$4-$A45-1)*Objects!$X$4,0)</f>
        <v>0</v>
      </c>
      <c r="BN45">
        <f ca="1">OFFSET(Objects!$HW$6,BN$1+(Objects!$Y$4-$A45-1)*Objects!$X$4,0)</f>
        <v>0</v>
      </c>
      <c r="BO45">
        <f ca="1">OFFSET(Objects!$HW$6,BO$1+(Objects!$Y$4-$A45-1)*Objects!$X$4,0)</f>
        <v>0</v>
      </c>
      <c r="BP45">
        <f ca="1">OFFSET(Objects!$HW$6,BP$1+(Objects!$Y$4-$A45-1)*Objects!$X$4,0)</f>
        <v>0</v>
      </c>
      <c r="BQ45">
        <f ca="1">OFFSET(Objects!$HW$6,BQ$1+(Objects!$Y$4-$A45-1)*Objects!$X$4,0)</f>
        <v>0</v>
      </c>
      <c r="BR45">
        <f ca="1">OFFSET(Objects!$HW$6,BR$1+(Objects!$Y$4-$A45-1)*Objects!$X$4,0)</f>
        <v>0</v>
      </c>
      <c r="BS45">
        <f ca="1">OFFSET(Objects!$HW$6,BS$1+(Objects!$Y$4-$A45-1)*Objects!$X$4,0)</f>
        <v>0</v>
      </c>
      <c r="BT45">
        <f ca="1">OFFSET(Objects!$HW$6,BT$1+(Objects!$Y$4-$A45-1)*Objects!$X$4,0)</f>
        <v>0</v>
      </c>
      <c r="BU45">
        <f ca="1">OFFSET(Objects!$HW$6,BU$1+(Objects!$Y$4-$A45-1)*Objects!$X$4,0)</f>
        <v>0</v>
      </c>
      <c r="BV45">
        <f ca="1">OFFSET(Objects!$HW$6,BV$1+(Objects!$Y$4-$A45-1)*Objects!$X$4,0)</f>
        <v>0</v>
      </c>
      <c r="BW45">
        <f ca="1">OFFSET(Objects!$HW$6,BW$1+(Objects!$Y$4-$A45-1)*Objects!$X$4,0)</f>
        <v>0</v>
      </c>
      <c r="BX45">
        <f ca="1">OFFSET(Objects!$HW$6,BX$1+(Objects!$Y$4-$A45-1)*Objects!$X$4,0)</f>
        <v>0</v>
      </c>
      <c r="BY45">
        <f ca="1">OFFSET(Objects!$HW$6,BY$1+(Objects!$Y$4-$A45-1)*Objects!$X$4,0)</f>
        <v>0</v>
      </c>
      <c r="BZ45">
        <f ca="1">OFFSET(Objects!$HW$6,BZ$1+(Objects!$Y$4-$A45-1)*Objects!$X$4,0)</f>
        <v>0</v>
      </c>
      <c r="CA45">
        <f ca="1">OFFSET(Objects!$HW$6,CA$1+(Objects!$Y$4-$A45-1)*Objects!$X$4,0)</f>
        <v>0</v>
      </c>
      <c r="CB45">
        <f ca="1">OFFSET(Objects!$HW$6,CB$1+(Objects!$Y$4-$A45-1)*Objects!$X$4,0)</f>
        <v>0</v>
      </c>
      <c r="CC45">
        <f ca="1">OFFSET(Objects!$HW$6,CC$1+(Objects!$Y$4-$A45-1)*Objects!$X$4,0)</f>
        <v>0</v>
      </c>
      <c r="CD45">
        <f ca="1">OFFSET(Objects!$HW$6,CD$1+(Objects!$Y$4-$A45-1)*Objects!$X$4,0)</f>
        <v>0</v>
      </c>
      <c r="CE45">
        <f ca="1">OFFSET(Objects!$HW$6,CE$1+(Objects!$Y$4-$A45-1)*Objects!$X$4,0)</f>
        <v>0</v>
      </c>
      <c r="CF45">
        <f ca="1">OFFSET(Objects!$HW$6,CF$1+(Objects!$Y$4-$A45-1)*Objects!$X$4,0)</f>
        <v>0</v>
      </c>
      <c r="CG45">
        <f ca="1">OFFSET(Objects!$HW$6,CG$1+(Objects!$Y$4-$A45-1)*Objects!$X$4,0)</f>
        <v>0</v>
      </c>
      <c r="CH45">
        <f ca="1">OFFSET(Objects!$HW$6,CH$1+(Objects!$Y$4-$A45-1)*Objects!$X$4,0)</f>
        <v>0</v>
      </c>
      <c r="CI45">
        <f ca="1">OFFSET(Objects!$HW$6,CI$1+(Objects!$Y$4-$A45-1)*Objects!$X$4,0)</f>
        <v>0</v>
      </c>
      <c r="CJ45">
        <f ca="1">OFFSET(Objects!$HW$6,CJ$1+(Objects!$Y$4-$A45-1)*Objects!$X$4,0)</f>
        <v>0</v>
      </c>
      <c r="CK45">
        <f ca="1">OFFSET(Objects!$HW$6,CK$1+(Objects!$Y$4-$A45-1)*Objects!$X$4,0)</f>
        <v>0</v>
      </c>
      <c r="CL45">
        <f ca="1">OFFSET(Objects!$HW$6,CL$1+(Objects!$Y$4-$A45-1)*Objects!$X$4,0)</f>
        <v>0</v>
      </c>
      <c r="CM45">
        <f ca="1">OFFSET(Objects!$HW$6,CM$1+(Objects!$Y$4-$A45-1)*Objects!$X$4,0)</f>
        <v>0</v>
      </c>
      <c r="CN45">
        <f ca="1">OFFSET(Objects!$HW$6,CN$1+(Objects!$Y$4-$A45-1)*Objects!$X$4,0)</f>
        <v>0</v>
      </c>
      <c r="CO45">
        <f ca="1">OFFSET(Objects!$HW$6,CO$1+(Objects!$Y$4-$A45-1)*Objects!$X$4,0)</f>
        <v>0</v>
      </c>
      <c r="CP45">
        <f ca="1">OFFSET(Objects!$HW$6,CP$1+(Objects!$Y$4-$A45-1)*Objects!$X$4,0)</f>
        <v>0</v>
      </c>
      <c r="CQ45">
        <f ca="1">OFFSET(Objects!$HW$6,CQ$1+(Objects!$Y$4-$A45-1)*Objects!$X$4,0)</f>
        <v>0</v>
      </c>
      <c r="CR45">
        <f ca="1">OFFSET(Objects!$HW$6,CR$1+(Objects!$Y$4-$A45-1)*Objects!$X$4,0)</f>
        <v>0</v>
      </c>
      <c r="CS45">
        <f ca="1">OFFSET(Objects!$HW$6,CS$1+(Objects!$Y$4-$A45-1)*Objects!$X$4,0)</f>
        <v>0</v>
      </c>
      <c r="CT45">
        <f ca="1">OFFSET(Objects!$HW$6,CT$1+(Objects!$Y$4-$A45-1)*Objects!$X$4,0)</f>
        <v>0</v>
      </c>
      <c r="CU45">
        <f ca="1">OFFSET(Objects!$HW$6,CU$1+(Objects!$Y$4-$A45-1)*Objects!$X$4,0)</f>
        <v>0</v>
      </c>
      <c r="CV45">
        <f ca="1">OFFSET(Objects!$HW$6,CV$1+(Objects!$Y$4-$A45-1)*Objects!$X$4,0)</f>
        <v>0</v>
      </c>
      <c r="CW45">
        <f ca="1">OFFSET(Objects!$HW$6,CW$1+(Objects!$Y$4-$A45-1)*Objects!$X$4,0)</f>
        <v>0</v>
      </c>
      <c r="CX45">
        <f ca="1">OFFSET(Objects!$HW$6,CX$1+(Objects!$Y$4-$A45-1)*Objects!$X$4,0)</f>
        <v>0</v>
      </c>
      <c r="CY45">
        <f ca="1">OFFSET(Objects!$HW$6,CY$1+(Objects!$Y$4-$A45-1)*Objects!$X$4,0)</f>
        <v>0</v>
      </c>
      <c r="CZ45">
        <f ca="1">OFFSET(Objects!$HW$6,CZ$1+(Objects!$Y$4-$A45-1)*Objects!$X$4,0)</f>
        <v>0</v>
      </c>
      <c r="DA45">
        <f ca="1">OFFSET(Objects!$HW$6,DA$1+(Objects!$Y$4-$A45-1)*Objects!$X$4,0)</f>
        <v>0</v>
      </c>
      <c r="DB45">
        <f ca="1">OFFSET(Objects!$HW$6,DB$1+(Objects!$Y$4-$A45-1)*Objects!$X$4,0)</f>
        <v>0</v>
      </c>
      <c r="DC45">
        <f ca="1">OFFSET(Objects!$HW$6,DC$1+(Objects!$Y$4-$A45-1)*Objects!$X$4,0)</f>
        <v>0</v>
      </c>
      <c r="DD45">
        <f ca="1">OFFSET(Objects!$HW$6,DD$1+(Objects!$Y$4-$A45-1)*Objects!$X$4,0)</f>
        <v>0</v>
      </c>
      <c r="DE45">
        <f ca="1">OFFSET(Objects!$HW$6,DE$1+(Objects!$Y$4-$A45-1)*Objects!$X$4,0)</f>
        <v>0</v>
      </c>
      <c r="DF45">
        <f ca="1">OFFSET(Objects!$HW$6,DF$1+(Objects!$Y$4-$A45-1)*Objects!$X$4,0)</f>
        <v>0</v>
      </c>
      <c r="DG45">
        <f ca="1">OFFSET(Objects!$HW$6,DG$1+(Objects!$Y$4-$A45-1)*Objects!$X$4,0)</f>
        <v>0</v>
      </c>
      <c r="DH45">
        <f ca="1">OFFSET(Objects!$HW$6,DH$1+(Objects!$Y$4-$A45-1)*Objects!$X$4,0)</f>
        <v>0</v>
      </c>
      <c r="DI45">
        <f ca="1">OFFSET(Objects!$HW$6,DI$1+(Objects!$Y$4-$A45-1)*Objects!$X$4,0)</f>
        <v>0</v>
      </c>
      <c r="DJ45">
        <f ca="1">OFFSET(Objects!$HW$6,DJ$1+(Objects!$Y$4-$A45-1)*Objects!$X$4,0)</f>
        <v>0</v>
      </c>
      <c r="DK45">
        <f ca="1">OFFSET(Objects!$HW$6,DK$1+(Objects!$Y$4-$A45-1)*Objects!$X$4,0)</f>
        <v>0</v>
      </c>
      <c r="DL45">
        <f ca="1">OFFSET(Objects!$HW$6,DL$1+(Objects!$Y$4-$A45-1)*Objects!$X$4,0)</f>
        <v>0</v>
      </c>
      <c r="DM45">
        <f ca="1">OFFSET(Objects!$HW$6,DM$1+(Objects!$Y$4-$A45-1)*Objects!$X$4,0)</f>
        <v>0</v>
      </c>
      <c r="DN45">
        <f ca="1">OFFSET(Objects!$HW$6,DN$1+(Objects!$Y$4-$A45-1)*Objects!$X$4,0)</f>
        <v>0</v>
      </c>
      <c r="DO45">
        <f ca="1">OFFSET(Objects!$HW$6,DO$1+(Objects!$Y$4-$A45-1)*Objects!$X$4,0)</f>
        <v>0</v>
      </c>
      <c r="DP45">
        <f ca="1">OFFSET(Objects!$HW$6,DP$1+(Objects!$Y$4-$A45-1)*Objects!$X$4,0)</f>
        <v>0</v>
      </c>
      <c r="DQ45">
        <f ca="1">OFFSET(Objects!$HW$6,DQ$1+(Objects!$Y$4-$A45-1)*Objects!$X$4,0)</f>
        <v>0</v>
      </c>
      <c r="DR45">
        <f ca="1">OFFSET(Objects!$HW$6,DR$1+(Objects!$Y$4-$A45-1)*Objects!$X$4,0)</f>
        <v>0</v>
      </c>
      <c r="DS45">
        <f ca="1">OFFSET(Objects!$HW$6,DS$1+(Objects!$Y$4-$A45-1)*Objects!$X$4,0)</f>
        <v>0</v>
      </c>
      <c r="DT45">
        <f ca="1">OFFSET(Objects!$HW$6,DT$1+(Objects!$Y$4-$A45-1)*Objects!$X$4,0)</f>
        <v>0</v>
      </c>
      <c r="DU45">
        <f ca="1">OFFSET(Objects!$HW$6,DU$1+(Objects!$Y$4-$A45-1)*Objects!$X$4,0)</f>
        <v>0</v>
      </c>
      <c r="DV45">
        <f ca="1">OFFSET(Objects!$HW$6,DV$1+(Objects!$Y$4-$A45-1)*Objects!$X$4,0)</f>
        <v>0</v>
      </c>
      <c r="DW45">
        <f ca="1">OFFSET(Objects!$HW$6,DW$1+(Objects!$Y$4-$A45-1)*Objects!$X$4,0)</f>
        <v>0</v>
      </c>
      <c r="DX45">
        <f ca="1">OFFSET(Objects!$HW$6,DX$1+(Objects!$Y$4-$A45-1)*Objects!$X$4,0)</f>
        <v>0</v>
      </c>
      <c r="DY45">
        <f ca="1">OFFSET(Objects!$HW$6,DY$1+(Objects!$Y$4-$A45-1)*Objects!$X$4,0)</f>
        <v>0</v>
      </c>
      <c r="DZ45">
        <f ca="1">OFFSET(Objects!$HW$6,DZ$1+(Objects!$Y$4-$A45-1)*Objects!$X$4,0)</f>
        <v>0</v>
      </c>
      <c r="EA45">
        <f ca="1">OFFSET(Objects!$HW$6,EA$1+(Objects!$Y$4-$A45-1)*Objects!$X$4,0)</f>
        <v>0</v>
      </c>
      <c r="EB45">
        <f ca="1">OFFSET(Objects!$HW$6,EB$1+(Objects!$Y$4-$A45-1)*Objects!$X$4,0)</f>
        <v>0</v>
      </c>
      <c r="EC45">
        <f ca="1">OFFSET(Objects!$HW$6,EC$1+(Objects!$Y$4-$A45-1)*Objects!$X$4,0)</f>
        <v>0</v>
      </c>
      <c r="ED45">
        <f ca="1">OFFSET(Objects!$HW$6,ED$1+(Objects!$Y$4-$A45-1)*Objects!$X$4,0)</f>
        <v>0</v>
      </c>
      <c r="EE45">
        <f ca="1">OFFSET(Objects!$HW$6,EE$1+(Objects!$Y$4-$A45-1)*Objects!$X$4,0)</f>
        <v>0</v>
      </c>
      <c r="EF45">
        <f ca="1">OFFSET(Objects!$HW$6,EF$1+(Objects!$Y$4-$A45-1)*Objects!$X$4,0)</f>
        <v>0</v>
      </c>
      <c r="EG45">
        <f ca="1">OFFSET(Objects!$HW$6,EG$1+(Objects!$Y$4-$A45-1)*Objects!$X$4,0)</f>
        <v>0</v>
      </c>
      <c r="EH45">
        <f ca="1">OFFSET(Objects!$HW$6,EH$1+(Objects!$Y$4-$A45-1)*Objects!$X$4,0)</f>
        <v>0</v>
      </c>
      <c r="EI45">
        <f ca="1">OFFSET(Objects!$HW$6,EI$1+(Objects!$Y$4-$A45-1)*Objects!$X$4,0)</f>
        <v>0</v>
      </c>
      <c r="EJ45">
        <f ca="1">OFFSET(Objects!$HW$6,EJ$1+(Objects!$Y$4-$A45-1)*Objects!$X$4,0)</f>
        <v>0</v>
      </c>
      <c r="EK45">
        <f ca="1">OFFSET(Objects!$HW$6,EK$1+(Objects!$Y$4-$A45-1)*Objects!$X$4,0)</f>
        <v>0</v>
      </c>
      <c r="EL45">
        <f ca="1">OFFSET(Objects!$HW$6,EL$1+(Objects!$Y$4-$A45-1)*Objects!$X$4,0)</f>
        <v>0</v>
      </c>
      <c r="EM45">
        <f ca="1">OFFSET(Objects!$HW$6,EM$1+(Objects!$Y$4-$A45-1)*Objects!$X$4,0)</f>
        <v>0</v>
      </c>
      <c r="EN45">
        <f ca="1">OFFSET(Objects!$HW$6,EN$1+(Objects!$Y$4-$A45-1)*Objects!$X$4,0)</f>
        <v>0</v>
      </c>
      <c r="EO45">
        <f ca="1">OFFSET(Objects!$HW$6,EO$1+(Objects!$Y$4-$A45-1)*Objects!$X$4,0)</f>
        <v>0</v>
      </c>
      <c r="EP45">
        <f ca="1">OFFSET(Objects!$HW$6,EP$1+(Objects!$Y$4-$A45-1)*Objects!$X$4,0)</f>
        <v>0</v>
      </c>
      <c r="EQ45">
        <f ca="1">OFFSET(Objects!$HW$6,EQ$1+(Objects!$Y$4-$A45-1)*Objects!$X$4,0)</f>
        <v>0</v>
      </c>
      <c r="ER45">
        <f ca="1">OFFSET(Objects!$HW$6,ER$1+(Objects!$Y$4-$A45-1)*Objects!$X$4,0)</f>
        <v>0</v>
      </c>
      <c r="ES45">
        <f ca="1">OFFSET(Objects!$HW$6,ES$1+(Objects!$Y$4-$A45-1)*Objects!$X$4,0)</f>
        <v>0</v>
      </c>
      <c r="ET45">
        <f ca="1">OFFSET(Objects!$HW$6,ET$1+(Objects!$Y$4-$A45-1)*Objects!$X$4,0)</f>
        <v>0</v>
      </c>
      <c r="EU45">
        <f ca="1">OFFSET(Objects!$HW$6,EU$1+(Objects!$Y$4-$A45-1)*Objects!$X$4,0)</f>
        <v>0</v>
      </c>
      <c r="EV45">
        <f ca="1">OFFSET(Objects!$HW$6,EV$1+(Objects!$Y$4-$A45-1)*Objects!$X$4,0)</f>
        <v>0</v>
      </c>
      <c r="EW45">
        <f ca="1">OFFSET(Objects!$HW$6,EW$1+(Objects!$Y$4-$A45-1)*Objects!$X$4,0)</f>
        <v>0</v>
      </c>
      <c r="EX45">
        <f ca="1">OFFSET(Objects!$HW$6,EX$1+(Objects!$Y$4-$A45-1)*Objects!$X$4,0)</f>
        <v>0</v>
      </c>
      <c r="EY45">
        <f ca="1">OFFSET(Objects!$HW$6,EY$1+(Objects!$Y$4-$A45-1)*Objects!$X$4,0)</f>
        <v>0</v>
      </c>
      <c r="EZ45">
        <f ca="1">OFFSET(Objects!$HW$6,EZ$1+(Objects!$Y$4-$A45-1)*Objects!$X$4,0)</f>
        <v>0</v>
      </c>
      <c r="FA45">
        <f ca="1">OFFSET(Objects!$HW$6,FA$1+(Objects!$Y$4-$A45-1)*Objects!$X$4,0)</f>
        <v>0</v>
      </c>
      <c r="FB45">
        <f ca="1">OFFSET(Objects!$HW$6,FB$1+(Objects!$Y$4-$A45-1)*Objects!$X$4,0)</f>
        <v>0</v>
      </c>
      <c r="FC45">
        <f ca="1">OFFSET(Objects!$HW$6,FC$1+(Objects!$Y$4-$A45-1)*Objects!$X$4,0)</f>
        <v>0</v>
      </c>
      <c r="FD45">
        <f ca="1">OFFSET(Objects!$HW$6,FD$1+(Objects!$Y$4-$A45-1)*Objects!$X$4,0)</f>
        <v>0</v>
      </c>
      <c r="FE45" s="22">
        <f ca="1">OFFSET(Objects!$HW$6,FE$1+(Objects!$Y$4-$A45-1)*Objects!$X$4,0)</f>
        <v>0</v>
      </c>
    </row>
    <row r="46" spans="1:161" ht="4.5" customHeight="1" x14ac:dyDescent="0.25">
      <c r="A46">
        <v>44</v>
      </c>
      <c r="B46" s="21">
        <f ca="1">OFFSET(Objects!$HW$6,B$1+(Objects!$Y$4-$A46-1)*Objects!$X$4,0)</f>
        <v>0</v>
      </c>
      <c r="C46">
        <f ca="1">OFFSET(Objects!$HW$6,C$1+(Objects!$Y$4-$A46-1)*Objects!$X$4,0)</f>
        <v>0</v>
      </c>
      <c r="D46">
        <f ca="1">OFFSET(Objects!$HW$6,D$1+(Objects!$Y$4-$A46-1)*Objects!$X$4,0)</f>
        <v>0</v>
      </c>
      <c r="E46">
        <f ca="1">OFFSET(Objects!$HW$6,E$1+(Objects!$Y$4-$A46-1)*Objects!$X$4,0)</f>
        <v>0</v>
      </c>
      <c r="F46">
        <f ca="1">OFFSET(Objects!$HW$6,F$1+(Objects!$Y$4-$A46-1)*Objects!$X$4,0)</f>
        <v>0</v>
      </c>
      <c r="G46">
        <f ca="1">OFFSET(Objects!$HW$6,G$1+(Objects!$Y$4-$A46-1)*Objects!$X$4,0)</f>
        <v>0</v>
      </c>
      <c r="H46">
        <f ca="1">OFFSET(Objects!$HW$6,H$1+(Objects!$Y$4-$A46-1)*Objects!$X$4,0)</f>
        <v>0</v>
      </c>
      <c r="I46">
        <f ca="1">OFFSET(Objects!$HW$6,I$1+(Objects!$Y$4-$A46-1)*Objects!$X$4,0)</f>
        <v>0</v>
      </c>
      <c r="J46">
        <f ca="1">OFFSET(Objects!$HW$6,J$1+(Objects!$Y$4-$A46-1)*Objects!$X$4,0)</f>
        <v>0</v>
      </c>
      <c r="K46">
        <f ca="1">OFFSET(Objects!$HW$6,K$1+(Objects!$Y$4-$A46-1)*Objects!$X$4,0)</f>
        <v>0</v>
      </c>
      <c r="L46">
        <f ca="1">OFFSET(Objects!$HW$6,L$1+(Objects!$Y$4-$A46-1)*Objects!$X$4,0)</f>
        <v>0</v>
      </c>
      <c r="M46">
        <f ca="1">OFFSET(Objects!$HW$6,M$1+(Objects!$Y$4-$A46-1)*Objects!$X$4,0)</f>
        <v>0</v>
      </c>
      <c r="N46">
        <f ca="1">OFFSET(Objects!$HW$6,N$1+(Objects!$Y$4-$A46-1)*Objects!$X$4,0)</f>
        <v>0</v>
      </c>
      <c r="O46">
        <f ca="1">OFFSET(Objects!$HW$6,O$1+(Objects!$Y$4-$A46-1)*Objects!$X$4,0)</f>
        <v>0</v>
      </c>
      <c r="P46">
        <f ca="1">OFFSET(Objects!$HW$6,P$1+(Objects!$Y$4-$A46-1)*Objects!$X$4,0)</f>
        <v>0</v>
      </c>
      <c r="Q46">
        <f ca="1">OFFSET(Objects!$HW$6,Q$1+(Objects!$Y$4-$A46-1)*Objects!$X$4,0)</f>
        <v>0</v>
      </c>
      <c r="R46">
        <f ca="1">OFFSET(Objects!$HW$6,R$1+(Objects!$Y$4-$A46-1)*Objects!$X$4,0)</f>
        <v>0</v>
      </c>
      <c r="S46">
        <f ca="1">OFFSET(Objects!$HW$6,S$1+(Objects!$Y$4-$A46-1)*Objects!$X$4,0)</f>
        <v>0</v>
      </c>
      <c r="T46">
        <f ca="1">OFFSET(Objects!$HW$6,T$1+(Objects!$Y$4-$A46-1)*Objects!$X$4,0)</f>
        <v>0</v>
      </c>
      <c r="U46">
        <f ca="1">OFFSET(Objects!$HW$6,U$1+(Objects!$Y$4-$A46-1)*Objects!$X$4,0)</f>
        <v>0</v>
      </c>
      <c r="V46">
        <f ca="1">OFFSET(Objects!$HW$6,V$1+(Objects!$Y$4-$A46-1)*Objects!$X$4,0)</f>
        <v>0</v>
      </c>
      <c r="W46">
        <f ca="1">OFFSET(Objects!$HW$6,W$1+(Objects!$Y$4-$A46-1)*Objects!$X$4,0)</f>
        <v>0</v>
      </c>
      <c r="X46">
        <f ca="1">OFFSET(Objects!$HW$6,X$1+(Objects!$Y$4-$A46-1)*Objects!$X$4,0)</f>
        <v>0</v>
      </c>
      <c r="Y46">
        <f ca="1">OFFSET(Objects!$HW$6,Y$1+(Objects!$Y$4-$A46-1)*Objects!$X$4,0)</f>
        <v>0</v>
      </c>
      <c r="Z46">
        <f ca="1">OFFSET(Objects!$HW$6,Z$1+(Objects!$Y$4-$A46-1)*Objects!$X$4,0)</f>
        <v>0</v>
      </c>
      <c r="AA46">
        <f ca="1">OFFSET(Objects!$HW$6,AA$1+(Objects!$Y$4-$A46-1)*Objects!$X$4,0)</f>
        <v>0</v>
      </c>
      <c r="AB46">
        <f ca="1">OFFSET(Objects!$HW$6,AB$1+(Objects!$Y$4-$A46-1)*Objects!$X$4,0)</f>
        <v>0</v>
      </c>
      <c r="AC46">
        <f ca="1">OFFSET(Objects!$HW$6,AC$1+(Objects!$Y$4-$A46-1)*Objects!$X$4,0)</f>
        <v>0</v>
      </c>
      <c r="AD46">
        <f ca="1">OFFSET(Objects!$HW$6,AD$1+(Objects!$Y$4-$A46-1)*Objects!$X$4,0)</f>
        <v>0</v>
      </c>
      <c r="AE46">
        <f ca="1">OFFSET(Objects!$HW$6,AE$1+(Objects!$Y$4-$A46-1)*Objects!$X$4,0)</f>
        <v>0</v>
      </c>
      <c r="AF46">
        <f ca="1">OFFSET(Objects!$HW$6,AF$1+(Objects!$Y$4-$A46-1)*Objects!$X$4,0)</f>
        <v>0</v>
      </c>
      <c r="AG46">
        <f ca="1">OFFSET(Objects!$HW$6,AG$1+(Objects!$Y$4-$A46-1)*Objects!$X$4,0)</f>
        <v>0</v>
      </c>
      <c r="AH46">
        <f ca="1">OFFSET(Objects!$HW$6,AH$1+(Objects!$Y$4-$A46-1)*Objects!$X$4,0)</f>
        <v>0</v>
      </c>
      <c r="AI46">
        <f ca="1">OFFSET(Objects!$HW$6,AI$1+(Objects!$Y$4-$A46-1)*Objects!$X$4,0)</f>
        <v>0</v>
      </c>
      <c r="AJ46">
        <f ca="1">OFFSET(Objects!$HW$6,AJ$1+(Objects!$Y$4-$A46-1)*Objects!$X$4,0)</f>
        <v>0</v>
      </c>
      <c r="AK46">
        <f ca="1">OFFSET(Objects!$HW$6,AK$1+(Objects!$Y$4-$A46-1)*Objects!$X$4,0)</f>
        <v>0</v>
      </c>
      <c r="AL46">
        <f ca="1">OFFSET(Objects!$HW$6,AL$1+(Objects!$Y$4-$A46-1)*Objects!$X$4,0)</f>
        <v>0</v>
      </c>
      <c r="AM46">
        <f ca="1">OFFSET(Objects!$HW$6,AM$1+(Objects!$Y$4-$A46-1)*Objects!$X$4,0)</f>
        <v>0</v>
      </c>
      <c r="AN46">
        <f ca="1">OFFSET(Objects!$HW$6,AN$1+(Objects!$Y$4-$A46-1)*Objects!$X$4,0)</f>
        <v>0</v>
      </c>
      <c r="AO46">
        <f ca="1">OFFSET(Objects!$HW$6,AO$1+(Objects!$Y$4-$A46-1)*Objects!$X$4,0)</f>
        <v>0</v>
      </c>
      <c r="AP46">
        <f ca="1">OFFSET(Objects!$HW$6,AP$1+(Objects!$Y$4-$A46-1)*Objects!$X$4,0)</f>
        <v>0</v>
      </c>
      <c r="AQ46">
        <f ca="1">OFFSET(Objects!$HW$6,AQ$1+(Objects!$Y$4-$A46-1)*Objects!$X$4,0)</f>
        <v>0</v>
      </c>
      <c r="AR46">
        <f ca="1">OFFSET(Objects!$HW$6,AR$1+(Objects!$Y$4-$A46-1)*Objects!$X$4,0)</f>
        <v>0</v>
      </c>
      <c r="AS46">
        <f ca="1">OFFSET(Objects!$HW$6,AS$1+(Objects!$Y$4-$A46-1)*Objects!$X$4,0)</f>
        <v>0</v>
      </c>
      <c r="AT46">
        <f ca="1">OFFSET(Objects!$HW$6,AT$1+(Objects!$Y$4-$A46-1)*Objects!$X$4,0)</f>
        <v>0</v>
      </c>
      <c r="AU46">
        <f ca="1">OFFSET(Objects!$HW$6,AU$1+(Objects!$Y$4-$A46-1)*Objects!$X$4,0)</f>
        <v>0</v>
      </c>
      <c r="AV46">
        <f ca="1">OFFSET(Objects!$HW$6,AV$1+(Objects!$Y$4-$A46-1)*Objects!$X$4,0)</f>
        <v>0</v>
      </c>
      <c r="AW46">
        <f ca="1">OFFSET(Objects!$HW$6,AW$1+(Objects!$Y$4-$A46-1)*Objects!$X$4,0)</f>
        <v>0</v>
      </c>
      <c r="AX46">
        <f ca="1">OFFSET(Objects!$HW$6,AX$1+(Objects!$Y$4-$A46-1)*Objects!$X$4,0)</f>
        <v>0</v>
      </c>
      <c r="AY46">
        <f ca="1">OFFSET(Objects!$HW$6,AY$1+(Objects!$Y$4-$A46-1)*Objects!$X$4,0)</f>
        <v>0</v>
      </c>
      <c r="AZ46">
        <f ca="1">OFFSET(Objects!$HW$6,AZ$1+(Objects!$Y$4-$A46-1)*Objects!$X$4,0)</f>
        <v>0</v>
      </c>
      <c r="BA46">
        <f ca="1">OFFSET(Objects!$HW$6,BA$1+(Objects!$Y$4-$A46-1)*Objects!$X$4,0)</f>
        <v>0</v>
      </c>
      <c r="BB46">
        <f ca="1">OFFSET(Objects!$HW$6,BB$1+(Objects!$Y$4-$A46-1)*Objects!$X$4,0)</f>
        <v>0</v>
      </c>
      <c r="BC46">
        <f ca="1">OFFSET(Objects!$HW$6,BC$1+(Objects!$Y$4-$A46-1)*Objects!$X$4,0)</f>
        <v>0</v>
      </c>
      <c r="BD46">
        <f ca="1">OFFSET(Objects!$HW$6,BD$1+(Objects!$Y$4-$A46-1)*Objects!$X$4,0)</f>
        <v>0</v>
      </c>
      <c r="BE46">
        <f ca="1">OFFSET(Objects!$HW$6,BE$1+(Objects!$Y$4-$A46-1)*Objects!$X$4,0)</f>
        <v>0</v>
      </c>
      <c r="BF46">
        <f ca="1">OFFSET(Objects!$HW$6,BF$1+(Objects!$Y$4-$A46-1)*Objects!$X$4,0)</f>
        <v>0</v>
      </c>
      <c r="BG46">
        <f ca="1">OFFSET(Objects!$HW$6,BG$1+(Objects!$Y$4-$A46-1)*Objects!$X$4,0)</f>
        <v>0</v>
      </c>
      <c r="BH46">
        <f ca="1">OFFSET(Objects!$HW$6,BH$1+(Objects!$Y$4-$A46-1)*Objects!$X$4,0)</f>
        <v>0</v>
      </c>
      <c r="BI46">
        <f ca="1">OFFSET(Objects!$HW$6,BI$1+(Objects!$Y$4-$A46-1)*Objects!$X$4,0)</f>
        <v>0</v>
      </c>
      <c r="BJ46">
        <f ca="1">OFFSET(Objects!$HW$6,BJ$1+(Objects!$Y$4-$A46-1)*Objects!$X$4,0)</f>
        <v>0</v>
      </c>
      <c r="BK46">
        <f ca="1">OFFSET(Objects!$HW$6,BK$1+(Objects!$Y$4-$A46-1)*Objects!$X$4,0)</f>
        <v>0</v>
      </c>
      <c r="BL46">
        <f ca="1">OFFSET(Objects!$HW$6,BL$1+(Objects!$Y$4-$A46-1)*Objects!$X$4,0)</f>
        <v>0</v>
      </c>
      <c r="BM46">
        <f ca="1">OFFSET(Objects!$HW$6,BM$1+(Objects!$Y$4-$A46-1)*Objects!$X$4,0)</f>
        <v>0</v>
      </c>
      <c r="BN46">
        <f ca="1">OFFSET(Objects!$HW$6,BN$1+(Objects!$Y$4-$A46-1)*Objects!$X$4,0)</f>
        <v>0</v>
      </c>
      <c r="BO46">
        <f ca="1">OFFSET(Objects!$HW$6,BO$1+(Objects!$Y$4-$A46-1)*Objects!$X$4,0)</f>
        <v>0</v>
      </c>
      <c r="BP46">
        <f ca="1">OFFSET(Objects!$HW$6,BP$1+(Objects!$Y$4-$A46-1)*Objects!$X$4,0)</f>
        <v>0</v>
      </c>
      <c r="BQ46">
        <f ca="1">OFFSET(Objects!$HW$6,BQ$1+(Objects!$Y$4-$A46-1)*Objects!$X$4,0)</f>
        <v>0</v>
      </c>
      <c r="BR46">
        <f ca="1">OFFSET(Objects!$HW$6,BR$1+(Objects!$Y$4-$A46-1)*Objects!$X$4,0)</f>
        <v>0</v>
      </c>
      <c r="BS46">
        <f ca="1">OFFSET(Objects!$HW$6,BS$1+(Objects!$Y$4-$A46-1)*Objects!$X$4,0)</f>
        <v>0</v>
      </c>
      <c r="BT46">
        <f ca="1">OFFSET(Objects!$HW$6,BT$1+(Objects!$Y$4-$A46-1)*Objects!$X$4,0)</f>
        <v>0</v>
      </c>
      <c r="BU46">
        <f ca="1">OFFSET(Objects!$HW$6,BU$1+(Objects!$Y$4-$A46-1)*Objects!$X$4,0)</f>
        <v>0</v>
      </c>
      <c r="BV46">
        <f ca="1">OFFSET(Objects!$HW$6,BV$1+(Objects!$Y$4-$A46-1)*Objects!$X$4,0)</f>
        <v>0</v>
      </c>
      <c r="BW46">
        <f ca="1">OFFSET(Objects!$HW$6,BW$1+(Objects!$Y$4-$A46-1)*Objects!$X$4,0)</f>
        <v>0</v>
      </c>
      <c r="BX46">
        <f ca="1">OFFSET(Objects!$HW$6,BX$1+(Objects!$Y$4-$A46-1)*Objects!$X$4,0)</f>
        <v>0</v>
      </c>
      <c r="BY46">
        <f ca="1">OFFSET(Objects!$HW$6,BY$1+(Objects!$Y$4-$A46-1)*Objects!$X$4,0)</f>
        <v>0</v>
      </c>
      <c r="BZ46">
        <f ca="1">OFFSET(Objects!$HW$6,BZ$1+(Objects!$Y$4-$A46-1)*Objects!$X$4,0)</f>
        <v>0</v>
      </c>
      <c r="CA46">
        <f ca="1">OFFSET(Objects!$HW$6,CA$1+(Objects!$Y$4-$A46-1)*Objects!$X$4,0)</f>
        <v>0</v>
      </c>
      <c r="CB46">
        <f ca="1">OFFSET(Objects!$HW$6,CB$1+(Objects!$Y$4-$A46-1)*Objects!$X$4,0)</f>
        <v>0</v>
      </c>
      <c r="CC46">
        <f ca="1">OFFSET(Objects!$HW$6,CC$1+(Objects!$Y$4-$A46-1)*Objects!$X$4,0)</f>
        <v>0</v>
      </c>
      <c r="CD46">
        <f ca="1">OFFSET(Objects!$HW$6,CD$1+(Objects!$Y$4-$A46-1)*Objects!$X$4,0)</f>
        <v>0</v>
      </c>
      <c r="CE46">
        <f ca="1">OFFSET(Objects!$HW$6,CE$1+(Objects!$Y$4-$A46-1)*Objects!$X$4,0)</f>
        <v>0</v>
      </c>
      <c r="CF46">
        <f ca="1">OFFSET(Objects!$HW$6,CF$1+(Objects!$Y$4-$A46-1)*Objects!$X$4,0)</f>
        <v>0</v>
      </c>
      <c r="CG46">
        <f ca="1">OFFSET(Objects!$HW$6,CG$1+(Objects!$Y$4-$A46-1)*Objects!$X$4,0)</f>
        <v>0</v>
      </c>
      <c r="CH46">
        <f ca="1">OFFSET(Objects!$HW$6,CH$1+(Objects!$Y$4-$A46-1)*Objects!$X$4,0)</f>
        <v>0</v>
      </c>
      <c r="CI46">
        <f ca="1">OFFSET(Objects!$HW$6,CI$1+(Objects!$Y$4-$A46-1)*Objects!$X$4,0)</f>
        <v>0</v>
      </c>
      <c r="CJ46">
        <f ca="1">OFFSET(Objects!$HW$6,CJ$1+(Objects!$Y$4-$A46-1)*Objects!$X$4,0)</f>
        <v>0</v>
      </c>
      <c r="CK46">
        <f ca="1">OFFSET(Objects!$HW$6,CK$1+(Objects!$Y$4-$A46-1)*Objects!$X$4,0)</f>
        <v>0</v>
      </c>
      <c r="CL46">
        <f ca="1">OFFSET(Objects!$HW$6,CL$1+(Objects!$Y$4-$A46-1)*Objects!$X$4,0)</f>
        <v>0</v>
      </c>
      <c r="CM46">
        <f ca="1">OFFSET(Objects!$HW$6,CM$1+(Objects!$Y$4-$A46-1)*Objects!$X$4,0)</f>
        <v>0</v>
      </c>
      <c r="CN46">
        <f ca="1">OFFSET(Objects!$HW$6,CN$1+(Objects!$Y$4-$A46-1)*Objects!$X$4,0)</f>
        <v>0</v>
      </c>
      <c r="CO46">
        <f ca="1">OFFSET(Objects!$HW$6,CO$1+(Objects!$Y$4-$A46-1)*Objects!$X$4,0)</f>
        <v>0</v>
      </c>
      <c r="CP46">
        <f ca="1">OFFSET(Objects!$HW$6,CP$1+(Objects!$Y$4-$A46-1)*Objects!$X$4,0)</f>
        <v>0</v>
      </c>
      <c r="CQ46">
        <f ca="1">OFFSET(Objects!$HW$6,CQ$1+(Objects!$Y$4-$A46-1)*Objects!$X$4,0)</f>
        <v>0</v>
      </c>
      <c r="CR46">
        <f ca="1">OFFSET(Objects!$HW$6,CR$1+(Objects!$Y$4-$A46-1)*Objects!$X$4,0)</f>
        <v>0</v>
      </c>
      <c r="CS46">
        <f ca="1">OFFSET(Objects!$HW$6,CS$1+(Objects!$Y$4-$A46-1)*Objects!$X$4,0)</f>
        <v>0</v>
      </c>
      <c r="CT46">
        <f ca="1">OFFSET(Objects!$HW$6,CT$1+(Objects!$Y$4-$A46-1)*Objects!$X$4,0)</f>
        <v>0</v>
      </c>
      <c r="CU46">
        <f ca="1">OFFSET(Objects!$HW$6,CU$1+(Objects!$Y$4-$A46-1)*Objects!$X$4,0)</f>
        <v>0</v>
      </c>
      <c r="CV46">
        <f ca="1">OFFSET(Objects!$HW$6,CV$1+(Objects!$Y$4-$A46-1)*Objects!$X$4,0)</f>
        <v>0</v>
      </c>
      <c r="CW46">
        <f ca="1">OFFSET(Objects!$HW$6,CW$1+(Objects!$Y$4-$A46-1)*Objects!$X$4,0)</f>
        <v>0</v>
      </c>
      <c r="CX46">
        <f ca="1">OFFSET(Objects!$HW$6,CX$1+(Objects!$Y$4-$A46-1)*Objects!$X$4,0)</f>
        <v>0</v>
      </c>
      <c r="CY46">
        <f ca="1">OFFSET(Objects!$HW$6,CY$1+(Objects!$Y$4-$A46-1)*Objects!$X$4,0)</f>
        <v>0</v>
      </c>
      <c r="CZ46">
        <f ca="1">OFFSET(Objects!$HW$6,CZ$1+(Objects!$Y$4-$A46-1)*Objects!$X$4,0)</f>
        <v>0</v>
      </c>
      <c r="DA46">
        <f ca="1">OFFSET(Objects!$HW$6,DA$1+(Objects!$Y$4-$A46-1)*Objects!$X$4,0)</f>
        <v>0</v>
      </c>
      <c r="DB46">
        <f ca="1">OFFSET(Objects!$HW$6,DB$1+(Objects!$Y$4-$A46-1)*Objects!$X$4,0)</f>
        <v>0</v>
      </c>
      <c r="DC46">
        <f ca="1">OFFSET(Objects!$HW$6,DC$1+(Objects!$Y$4-$A46-1)*Objects!$X$4,0)</f>
        <v>0</v>
      </c>
      <c r="DD46">
        <f ca="1">OFFSET(Objects!$HW$6,DD$1+(Objects!$Y$4-$A46-1)*Objects!$X$4,0)</f>
        <v>0</v>
      </c>
      <c r="DE46">
        <f ca="1">OFFSET(Objects!$HW$6,DE$1+(Objects!$Y$4-$A46-1)*Objects!$X$4,0)</f>
        <v>0</v>
      </c>
      <c r="DF46">
        <f ca="1">OFFSET(Objects!$HW$6,DF$1+(Objects!$Y$4-$A46-1)*Objects!$X$4,0)</f>
        <v>0</v>
      </c>
      <c r="DG46">
        <f ca="1">OFFSET(Objects!$HW$6,DG$1+(Objects!$Y$4-$A46-1)*Objects!$X$4,0)</f>
        <v>0</v>
      </c>
      <c r="DH46">
        <f ca="1">OFFSET(Objects!$HW$6,DH$1+(Objects!$Y$4-$A46-1)*Objects!$X$4,0)</f>
        <v>0</v>
      </c>
      <c r="DI46">
        <f ca="1">OFFSET(Objects!$HW$6,DI$1+(Objects!$Y$4-$A46-1)*Objects!$X$4,0)</f>
        <v>0</v>
      </c>
      <c r="DJ46">
        <f ca="1">OFFSET(Objects!$HW$6,DJ$1+(Objects!$Y$4-$A46-1)*Objects!$X$4,0)</f>
        <v>0</v>
      </c>
      <c r="DK46">
        <f ca="1">OFFSET(Objects!$HW$6,DK$1+(Objects!$Y$4-$A46-1)*Objects!$X$4,0)</f>
        <v>0</v>
      </c>
      <c r="DL46">
        <f ca="1">OFFSET(Objects!$HW$6,DL$1+(Objects!$Y$4-$A46-1)*Objects!$X$4,0)</f>
        <v>0</v>
      </c>
      <c r="DM46">
        <f ca="1">OFFSET(Objects!$HW$6,DM$1+(Objects!$Y$4-$A46-1)*Objects!$X$4,0)</f>
        <v>0</v>
      </c>
      <c r="DN46">
        <f ca="1">OFFSET(Objects!$HW$6,DN$1+(Objects!$Y$4-$A46-1)*Objects!$X$4,0)</f>
        <v>0</v>
      </c>
      <c r="DO46">
        <f ca="1">OFFSET(Objects!$HW$6,DO$1+(Objects!$Y$4-$A46-1)*Objects!$X$4,0)</f>
        <v>0</v>
      </c>
      <c r="DP46">
        <f ca="1">OFFSET(Objects!$HW$6,DP$1+(Objects!$Y$4-$A46-1)*Objects!$X$4,0)</f>
        <v>0</v>
      </c>
      <c r="DQ46">
        <f ca="1">OFFSET(Objects!$HW$6,DQ$1+(Objects!$Y$4-$A46-1)*Objects!$X$4,0)</f>
        <v>0</v>
      </c>
      <c r="DR46">
        <f ca="1">OFFSET(Objects!$HW$6,DR$1+(Objects!$Y$4-$A46-1)*Objects!$X$4,0)</f>
        <v>0</v>
      </c>
      <c r="DS46">
        <f ca="1">OFFSET(Objects!$HW$6,DS$1+(Objects!$Y$4-$A46-1)*Objects!$X$4,0)</f>
        <v>0</v>
      </c>
      <c r="DT46">
        <f ca="1">OFFSET(Objects!$HW$6,DT$1+(Objects!$Y$4-$A46-1)*Objects!$X$4,0)</f>
        <v>0</v>
      </c>
      <c r="DU46">
        <f ca="1">OFFSET(Objects!$HW$6,DU$1+(Objects!$Y$4-$A46-1)*Objects!$X$4,0)</f>
        <v>0</v>
      </c>
      <c r="DV46">
        <f ca="1">OFFSET(Objects!$HW$6,DV$1+(Objects!$Y$4-$A46-1)*Objects!$X$4,0)</f>
        <v>0</v>
      </c>
      <c r="DW46">
        <f ca="1">OFFSET(Objects!$HW$6,DW$1+(Objects!$Y$4-$A46-1)*Objects!$X$4,0)</f>
        <v>0</v>
      </c>
      <c r="DX46">
        <f ca="1">OFFSET(Objects!$HW$6,DX$1+(Objects!$Y$4-$A46-1)*Objects!$X$4,0)</f>
        <v>0</v>
      </c>
      <c r="DY46">
        <f ca="1">OFFSET(Objects!$HW$6,DY$1+(Objects!$Y$4-$A46-1)*Objects!$X$4,0)</f>
        <v>0</v>
      </c>
      <c r="DZ46">
        <f ca="1">OFFSET(Objects!$HW$6,DZ$1+(Objects!$Y$4-$A46-1)*Objects!$X$4,0)</f>
        <v>0</v>
      </c>
      <c r="EA46">
        <f ca="1">OFFSET(Objects!$HW$6,EA$1+(Objects!$Y$4-$A46-1)*Objects!$X$4,0)</f>
        <v>0</v>
      </c>
      <c r="EB46">
        <f ca="1">OFFSET(Objects!$HW$6,EB$1+(Objects!$Y$4-$A46-1)*Objects!$X$4,0)</f>
        <v>0</v>
      </c>
      <c r="EC46">
        <f ca="1">OFFSET(Objects!$HW$6,EC$1+(Objects!$Y$4-$A46-1)*Objects!$X$4,0)</f>
        <v>0</v>
      </c>
      <c r="ED46">
        <f ca="1">OFFSET(Objects!$HW$6,ED$1+(Objects!$Y$4-$A46-1)*Objects!$X$4,0)</f>
        <v>0</v>
      </c>
      <c r="EE46">
        <f ca="1">OFFSET(Objects!$HW$6,EE$1+(Objects!$Y$4-$A46-1)*Objects!$X$4,0)</f>
        <v>0</v>
      </c>
      <c r="EF46">
        <f ca="1">OFFSET(Objects!$HW$6,EF$1+(Objects!$Y$4-$A46-1)*Objects!$X$4,0)</f>
        <v>0</v>
      </c>
      <c r="EG46">
        <f ca="1">OFFSET(Objects!$HW$6,EG$1+(Objects!$Y$4-$A46-1)*Objects!$X$4,0)</f>
        <v>0</v>
      </c>
      <c r="EH46">
        <f ca="1">OFFSET(Objects!$HW$6,EH$1+(Objects!$Y$4-$A46-1)*Objects!$X$4,0)</f>
        <v>0</v>
      </c>
      <c r="EI46">
        <f ca="1">OFFSET(Objects!$HW$6,EI$1+(Objects!$Y$4-$A46-1)*Objects!$X$4,0)</f>
        <v>0</v>
      </c>
      <c r="EJ46">
        <f ca="1">OFFSET(Objects!$HW$6,EJ$1+(Objects!$Y$4-$A46-1)*Objects!$X$4,0)</f>
        <v>0</v>
      </c>
      <c r="EK46">
        <f ca="1">OFFSET(Objects!$HW$6,EK$1+(Objects!$Y$4-$A46-1)*Objects!$X$4,0)</f>
        <v>0</v>
      </c>
      <c r="EL46">
        <f ca="1">OFFSET(Objects!$HW$6,EL$1+(Objects!$Y$4-$A46-1)*Objects!$X$4,0)</f>
        <v>0</v>
      </c>
      <c r="EM46">
        <f ca="1">OFFSET(Objects!$HW$6,EM$1+(Objects!$Y$4-$A46-1)*Objects!$X$4,0)</f>
        <v>0</v>
      </c>
      <c r="EN46">
        <f ca="1">OFFSET(Objects!$HW$6,EN$1+(Objects!$Y$4-$A46-1)*Objects!$X$4,0)</f>
        <v>0</v>
      </c>
      <c r="EO46">
        <f ca="1">OFFSET(Objects!$HW$6,EO$1+(Objects!$Y$4-$A46-1)*Objects!$X$4,0)</f>
        <v>0</v>
      </c>
      <c r="EP46">
        <f ca="1">OFFSET(Objects!$HW$6,EP$1+(Objects!$Y$4-$A46-1)*Objects!$X$4,0)</f>
        <v>0</v>
      </c>
      <c r="EQ46">
        <f ca="1">OFFSET(Objects!$HW$6,EQ$1+(Objects!$Y$4-$A46-1)*Objects!$X$4,0)</f>
        <v>0</v>
      </c>
      <c r="ER46">
        <f ca="1">OFFSET(Objects!$HW$6,ER$1+(Objects!$Y$4-$A46-1)*Objects!$X$4,0)</f>
        <v>0</v>
      </c>
      <c r="ES46">
        <f ca="1">OFFSET(Objects!$HW$6,ES$1+(Objects!$Y$4-$A46-1)*Objects!$X$4,0)</f>
        <v>0</v>
      </c>
      <c r="ET46">
        <f ca="1">OFFSET(Objects!$HW$6,ET$1+(Objects!$Y$4-$A46-1)*Objects!$X$4,0)</f>
        <v>0</v>
      </c>
      <c r="EU46">
        <f ca="1">OFFSET(Objects!$HW$6,EU$1+(Objects!$Y$4-$A46-1)*Objects!$X$4,0)</f>
        <v>0</v>
      </c>
      <c r="EV46">
        <f ca="1">OFFSET(Objects!$HW$6,EV$1+(Objects!$Y$4-$A46-1)*Objects!$X$4,0)</f>
        <v>0</v>
      </c>
      <c r="EW46">
        <f ca="1">OFFSET(Objects!$HW$6,EW$1+(Objects!$Y$4-$A46-1)*Objects!$X$4,0)</f>
        <v>0</v>
      </c>
      <c r="EX46">
        <f ca="1">OFFSET(Objects!$HW$6,EX$1+(Objects!$Y$4-$A46-1)*Objects!$X$4,0)</f>
        <v>0</v>
      </c>
      <c r="EY46">
        <f ca="1">OFFSET(Objects!$HW$6,EY$1+(Objects!$Y$4-$A46-1)*Objects!$X$4,0)</f>
        <v>0</v>
      </c>
      <c r="EZ46">
        <f ca="1">OFFSET(Objects!$HW$6,EZ$1+(Objects!$Y$4-$A46-1)*Objects!$X$4,0)</f>
        <v>0</v>
      </c>
      <c r="FA46">
        <f ca="1">OFFSET(Objects!$HW$6,FA$1+(Objects!$Y$4-$A46-1)*Objects!$X$4,0)</f>
        <v>0</v>
      </c>
      <c r="FB46">
        <f ca="1">OFFSET(Objects!$HW$6,FB$1+(Objects!$Y$4-$A46-1)*Objects!$X$4,0)</f>
        <v>0</v>
      </c>
      <c r="FC46">
        <f ca="1">OFFSET(Objects!$HW$6,FC$1+(Objects!$Y$4-$A46-1)*Objects!$X$4,0)</f>
        <v>0</v>
      </c>
      <c r="FD46">
        <f ca="1">OFFSET(Objects!$HW$6,FD$1+(Objects!$Y$4-$A46-1)*Objects!$X$4,0)</f>
        <v>0</v>
      </c>
      <c r="FE46" s="22">
        <f ca="1">OFFSET(Objects!$HW$6,FE$1+(Objects!$Y$4-$A46-1)*Objects!$X$4,0)</f>
        <v>0</v>
      </c>
    </row>
    <row r="47" spans="1:161" ht="4.5" customHeight="1" x14ac:dyDescent="0.25">
      <c r="A47">
        <v>45</v>
      </c>
      <c r="B47" s="21">
        <f ca="1">OFFSET(Objects!$HW$6,B$1+(Objects!$Y$4-$A47-1)*Objects!$X$4,0)</f>
        <v>0</v>
      </c>
      <c r="C47">
        <f ca="1">OFFSET(Objects!$HW$6,C$1+(Objects!$Y$4-$A47-1)*Objects!$X$4,0)</f>
        <v>0</v>
      </c>
      <c r="D47">
        <f ca="1">OFFSET(Objects!$HW$6,D$1+(Objects!$Y$4-$A47-1)*Objects!$X$4,0)</f>
        <v>0</v>
      </c>
      <c r="E47">
        <f ca="1">OFFSET(Objects!$HW$6,E$1+(Objects!$Y$4-$A47-1)*Objects!$X$4,0)</f>
        <v>0</v>
      </c>
      <c r="F47">
        <f ca="1">OFFSET(Objects!$HW$6,F$1+(Objects!$Y$4-$A47-1)*Objects!$X$4,0)</f>
        <v>0</v>
      </c>
      <c r="G47">
        <f ca="1">OFFSET(Objects!$HW$6,G$1+(Objects!$Y$4-$A47-1)*Objects!$X$4,0)</f>
        <v>0</v>
      </c>
      <c r="H47">
        <f ca="1">OFFSET(Objects!$HW$6,H$1+(Objects!$Y$4-$A47-1)*Objects!$X$4,0)</f>
        <v>0</v>
      </c>
      <c r="I47">
        <f ca="1">OFFSET(Objects!$HW$6,I$1+(Objects!$Y$4-$A47-1)*Objects!$X$4,0)</f>
        <v>0</v>
      </c>
      <c r="J47">
        <f ca="1">OFFSET(Objects!$HW$6,J$1+(Objects!$Y$4-$A47-1)*Objects!$X$4,0)</f>
        <v>0</v>
      </c>
      <c r="K47">
        <f ca="1">OFFSET(Objects!$HW$6,K$1+(Objects!$Y$4-$A47-1)*Objects!$X$4,0)</f>
        <v>0</v>
      </c>
      <c r="L47">
        <f ca="1">OFFSET(Objects!$HW$6,L$1+(Objects!$Y$4-$A47-1)*Objects!$X$4,0)</f>
        <v>0</v>
      </c>
      <c r="M47">
        <f ca="1">OFFSET(Objects!$HW$6,M$1+(Objects!$Y$4-$A47-1)*Objects!$X$4,0)</f>
        <v>0</v>
      </c>
      <c r="N47">
        <f ca="1">OFFSET(Objects!$HW$6,N$1+(Objects!$Y$4-$A47-1)*Objects!$X$4,0)</f>
        <v>0</v>
      </c>
      <c r="O47">
        <f ca="1">OFFSET(Objects!$HW$6,O$1+(Objects!$Y$4-$A47-1)*Objects!$X$4,0)</f>
        <v>0</v>
      </c>
      <c r="P47">
        <f ca="1">OFFSET(Objects!$HW$6,P$1+(Objects!$Y$4-$A47-1)*Objects!$X$4,0)</f>
        <v>0</v>
      </c>
      <c r="Q47">
        <f ca="1">OFFSET(Objects!$HW$6,Q$1+(Objects!$Y$4-$A47-1)*Objects!$X$4,0)</f>
        <v>0</v>
      </c>
      <c r="R47">
        <f ca="1">OFFSET(Objects!$HW$6,R$1+(Objects!$Y$4-$A47-1)*Objects!$X$4,0)</f>
        <v>0</v>
      </c>
      <c r="S47">
        <f ca="1">OFFSET(Objects!$HW$6,S$1+(Objects!$Y$4-$A47-1)*Objects!$X$4,0)</f>
        <v>0</v>
      </c>
      <c r="T47">
        <f ca="1">OFFSET(Objects!$HW$6,T$1+(Objects!$Y$4-$A47-1)*Objects!$X$4,0)</f>
        <v>0</v>
      </c>
      <c r="U47">
        <f ca="1">OFFSET(Objects!$HW$6,U$1+(Objects!$Y$4-$A47-1)*Objects!$X$4,0)</f>
        <v>0</v>
      </c>
      <c r="V47">
        <f ca="1">OFFSET(Objects!$HW$6,V$1+(Objects!$Y$4-$A47-1)*Objects!$X$4,0)</f>
        <v>0</v>
      </c>
      <c r="W47">
        <f ca="1">OFFSET(Objects!$HW$6,W$1+(Objects!$Y$4-$A47-1)*Objects!$X$4,0)</f>
        <v>0</v>
      </c>
      <c r="X47">
        <f ca="1">OFFSET(Objects!$HW$6,X$1+(Objects!$Y$4-$A47-1)*Objects!$X$4,0)</f>
        <v>0</v>
      </c>
      <c r="Y47">
        <f ca="1">OFFSET(Objects!$HW$6,Y$1+(Objects!$Y$4-$A47-1)*Objects!$X$4,0)</f>
        <v>0</v>
      </c>
      <c r="Z47">
        <f ca="1">OFFSET(Objects!$HW$6,Z$1+(Objects!$Y$4-$A47-1)*Objects!$X$4,0)</f>
        <v>0</v>
      </c>
      <c r="AA47">
        <f ca="1">OFFSET(Objects!$HW$6,AA$1+(Objects!$Y$4-$A47-1)*Objects!$X$4,0)</f>
        <v>0</v>
      </c>
      <c r="AB47">
        <f ca="1">OFFSET(Objects!$HW$6,AB$1+(Objects!$Y$4-$A47-1)*Objects!$X$4,0)</f>
        <v>0</v>
      </c>
      <c r="AC47">
        <f ca="1">OFFSET(Objects!$HW$6,AC$1+(Objects!$Y$4-$A47-1)*Objects!$X$4,0)</f>
        <v>0</v>
      </c>
      <c r="AD47">
        <f ca="1">OFFSET(Objects!$HW$6,AD$1+(Objects!$Y$4-$A47-1)*Objects!$X$4,0)</f>
        <v>0</v>
      </c>
      <c r="AE47">
        <f ca="1">OFFSET(Objects!$HW$6,AE$1+(Objects!$Y$4-$A47-1)*Objects!$X$4,0)</f>
        <v>0</v>
      </c>
      <c r="AF47">
        <f ca="1">OFFSET(Objects!$HW$6,AF$1+(Objects!$Y$4-$A47-1)*Objects!$X$4,0)</f>
        <v>0</v>
      </c>
      <c r="AG47">
        <f ca="1">OFFSET(Objects!$HW$6,AG$1+(Objects!$Y$4-$A47-1)*Objects!$X$4,0)</f>
        <v>0</v>
      </c>
      <c r="AH47">
        <f ca="1">OFFSET(Objects!$HW$6,AH$1+(Objects!$Y$4-$A47-1)*Objects!$X$4,0)</f>
        <v>0</v>
      </c>
      <c r="AI47">
        <f ca="1">OFFSET(Objects!$HW$6,AI$1+(Objects!$Y$4-$A47-1)*Objects!$X$4,0)</f>
        <v>0</v>
      </c>
      <c r="AJ47">
        <f ca="1">OFFSET(Objects!$HW$6,AJ$1+(Objects!$Y$4-$A47-1)*Objects!$X$4,0)</f>
        <v>0</v>
      </c>
      <c r="AK47">
        <f ca="1">OFFSET(Objects!$HW$6,AK$1+(Objects!$Y$4-$A47-1)*Objects!$X$4,0)</f>
        <v>0</v>
      </c>
      <c r="AL47">
        <f ca="1">OFFSET(Objects!$HW$6,AL$1+(Objects!$Y$4-$A47-1)*Objects!$X$4,0)</f>
        <v>0</v>
      </c>
      <c r="AM47">
        <f ca="1">OFFSET(Objects!$HW$6,AM$1+(Objects!$Y$4-$A47-1)*Objects!$X$4,0)</f>
        <v>0</v>
      </c>
      <c r="AN47">
        <f ca="1">OFFSET(Objects!$HW$6,AN$1+(Objects!$Y$4-$A47-1)*Objects!$X$4,0)</f>
        <v>0</v>
      </c>
      <c r="AO47">
        <f ca="1">OFFSET(Objects!$HW$6,AO$1+(Objects!$Y$4-$A47-1)*Objects!$X$4,0)</f>
        <v>0</v>
      </c>
      <c r="AP47">
        <f ca="1">OFFSET(Objects!$HW$6,AP$1+(Objects!$Y$4-$A47-1)*Objects!$X$4,0)</f>
        <v>0</v>
      </c>
      <c r="AQ47">
        <f ca="1">OFFSET(Objects!$HW$6,AQ$1+(Objects!$Y$4-$A47-1)*Objects!$X$4,0)</f>
        <v>0</v>
      </c>
      <c r="AR47">
        <f ca="1">OFFSET(Objects!$HW$6,AR$1+(Objects!$Y$4-$A47-1)*Objects!$X$4,0)</f>
        <v>0</v>
      </c>
      <c r="AS47">
        <f ca="1">OFFSET(Objects!$HW$6,AS$1+(Objects!$Y$4-$A47-1)*Objects!$X$4,0)</f>
        <v>0</v>
      </c>
      <c r="AT47">
        <f ca="1">OFFSET(Objects!$HW$6,AT$1+(Objects!$Y$4-$A47-1)*Objects!$X$4,0)</f>
        <v>0</v>
      </c>
      <c r="AU47">
        <f ca="1">OFFSET(Objects!$HW$6,AU$1+(Objects!$Y$4-$A47-1)*Objects!$X$4,0)</f>
        <v>0</v>
      </c>
      <c r="AV47">
        <f ca="1">OFFSET(Objects!$HW$6,AV$1+(Objects!$Y$4-$A47-1)*Objects!$X$4,0)</f>
        <v>0</v>
      </c>
      <c r="AW47">
        <f ca="1">OFFSET(Objects!$HW$6,AW$1+(Objects!$Y$4-$A47-1)*Objects!$X$4,0)</f>
        <v>0</v>
      </c>
      <c r="AX47">
        <f ca="1">OFFSET(Objects!$HW$6,AX$1+(Objects!$Y$4-$A47-1)*Objects!$X$4,0)</f>
        <v>0</v>
      </c>
      <c r="AY47">
        <f ca="1">OFFSET(Objects!$HW$6,AY$1+(Objects!$Y$4-$A47-1)*Objects!$X$4,0)</f>
        <v>0</v>
      </c>
      <c r="AZ47">
        <f ca="1">OFFSET(Objects!$HW$6,AZ$1+(Objects!$Y$4-$A47-1)*Objects!$X$4,0)</f>
        <v>0</v>
      </c>
      <c r="BA47">
        <f ca="1">OFFSET(Objects!$HW$6,BA$1+(Objects!$Y$4-$A47-1)*Objects!$X$4,0)</f>
        <v>0</v>
      </c>
      <c r="BB47">
        <f ca="1">OFFSET(Objects!$HW$6,BB$1+(Objects!$Y$4-$A47-1)*Objects!$X$4,0)</f>
        <v>0</v>
      </c>
      <c r="BC47">
        <f ca="1">OFFSET(Objects!$HW$6,BC$1+(Objects!$Y$4-$A47-1)*Objects!$X$4,0)</f>
        <v>0</v>
      </c>
      <c r="BD47">
        <f ca="1">OFFSET(Objects!$HW$6,BD$1+(Objects!$Y$4-$A47-1)*Objects!$X$4,0)</f>
        <v>0</v>
      </c>
      <c r="BE47">
        <f ca="1">OFFSET(Objects!$HW$6,BE$1+(Objects!$Y$4-$A47-1)*Objects!$X$4,0)</f>
        <v>0</v>
      </c>
      <c r="BF47">
        <f ca="1">OFFSET(Objects!$HW$6,BF$1+(Objects!$Y$4-$A47-1)*Objects!$X$4,0)</f>
        <v>0</v>
      </c>
      <c r="BG47">
        <f ca="1">OFFSET(Objects!$HW$6,BG$1+(Objects!$Y$4-$A47-1)*Objects!$X$4,0)</f>
        <v>0</v>
      </c>
      <c r="BH47">
        <f ca="1">OFFSET(Objects!$HW$6,BH$1+(Objects!$Y$4-$A47-1)*Objects!$X$4,0)</f>
        <v>0</v>
      </c>
      <c r="BI47">
        <f ca="1">OFFSET(Objects!$HW$6,BI$1+(Objects!$Y$4-$A47-1)*Objects!$X$4,0)</f>
        <v>0</v>
      </c>
      <c r="BJ47">
        <f ca="1">OFFSET(Objects!$HW$6,BJ$1+(Objects!$Y$4-$A47-1)*Objects!$X$4,0)</f>
        <v>0</v>
      </c>
      <c r="BK47">
        <f ca="1">OFFSET(Objects!$HW$6,BK$1+(Objects!$Y$4-$A47-1)*Objects!$X$4,0)</f>
        <v>0</v>
      </c>
      <c r="BL47">
        <f ca="1">OFFSET(Objects!$HW$6,BL$1+(Objects!$Y$4-$A47-1)*Objects!$X$4,0)</f>
        <v>0</v>
      </c>
      <c r="BM47">
        <f ca="1">OFFSET(Objects!$HW$6,BM$1+(Objects!$Y$4-$A47-1)*Objects!$X$4,0)</f>
        <v>0</v>
      </c>
      <c r="BN47">
        <f ca="1">OFFSET(Objects!$HW$6,BN$1+(Objects!$Y$4-$A47-1)*Objects!$X$4,0)</f>
        <v>0</v>
      </c>
      <c r="BO47">
        <f ca="1">OFFSET(Objects!$HW$6,BO$1+(Objects!$Y$4-$A47-1)*Objects!$X$4,0)</f>
        <v>0</v>
      </c>
      <c r="BP47">
        <f ca="1">OFFSET(Objects!$HW$6,BP$1+(Objects!$Y$4-$A47-1)*Objects!$X$4,0)</f>
        <v>0</v>
      </c>
      <c r="BQ47">
        <f ca="1">OFFSET(Objects!$HW$6,BQ$1+(Objects!$Y$4-$A47-1)*Objects!$X$4,0)</f>
        <v>0</v>
      </c>
      <c r="BR47">
        <f ca="1">OFFSET(Objects!$HW$6,BR$1+(Objects!$Y$4-$A47-1)*Objects!$X$4,0)</f>
        <v>0</v>
      </c>
      <c r="BS47">
        <f ca="1">OFFSET(Objects!$HW$6,BS$1+(Objects!$Y$4-$A47-1)*Objects!$X$4,0)</f>
        <v>0</v>
      </c>
      <c r="BT47">
        <f ca="1">OFFSET(Objects!$HW$6,BT$1+(Objects!$Y$4-$A47-1)*Objects!$X$4,0)</f>
        <v>0</v>
      </c>
      <c r="BU47">
        <f ca="1">OFFSET(Objects!$HW$6,BU$1+(Objects!$Y$4-$A47-1)*Objects!$X$4,0)</f>
        <v>0</v>
      </c>
      <c r="BV47">
        <f ca="1">OFFSET(Objects!$HW$6,BV$1+(Objects!$Y$4-$A47-1)*Objects!$X$4,0)</f>
        <v>0</v>
      </c>
      <c r="BW47">
        <f ca="1">OFFSET(Objects!$HW$6,BW$1+(Objects!$Y$4-$A47-1)*Objects!$X$4,0)</f>
        <v>0</v>
      </c>
      <c r="BX47">
        <f ca="1">OFFSET(Objects!$HW$6,BX$1+(Objects!$Y$4-$A47-1)*Objects!$X$4,0)</f>
        <v>0</v>
      </c>
      <c r="BY47">
        <f ca="1">OFFSET(Objects!$HW$6,BY$1+(Objects!$Y$4-$A47-1)*Objects!$X$4,0)</f>
        <v>0</v>
      </c>
      <c r="BZ47">
        <f ca="1">OFFSET(Objects!$HW$6,BZ$1+(Objects!$Y$4-$A47-1)*Objects!$X$4,0)</f>
        <v>0</v>
      </c>
      <c r="CA47">
        <f ca="1">OFFSET(Objects!$HW$6,CA$1+(Objects!$Y$4-$A47-1)*Objects!$X$4,0)</f>
        <v>0</v>
      </c>
      <c r="CB47">
        <f ca="1">OFFSET(Objects!$HW$6,CB$1+(Objects!$Y$4-$A47-1)*Objects!$X$4,0)</f>
        <v>0</v>
      </c>
      <c r="CC47">
        <f ca="1">OFFSET(Objects!$HW$6,CC$1+(Objects!$Y$4-$A47-1)*Objects!$X$4,0)</f>
        <v>0</v>
      </c>
      <c r="CD47">
        <f ca="1">OFFSET(Objects!$HW$6,CD$1+(Objects!$Y$4-$A47-1)*Objects!$X$4,0)</f>
        <v>0</v>
      </c>
      <c r="CE47">
        <f ca="1">OFFSET(Objects!$HW$6,CE$1+(Objects!$Y$4-$A47-1)*Objects!$X$4,0)</f>
        <v>0</v>
      </c>
      <c r="CF47">
        <f ca="1">OFFSET(Objects!$HW$6,CF$1+(Objects!$Y$4-$A47-1)*Objects!$X$4,0)</f>
        <v>0</v>
      </c>
      <c r="CG47">
        <f ca="1">OFFSET(Objects!$HW$6,CG$1+(Objects!$Y$4-$A47-1)*Objects!$X$4,0)</f>
        <v>0</v>
      </c>
      <c r="CH47">
        <f ca="1">OFFSET(Objects!$HW$6,CH$1+(Objects!$Y$4-$A47-1)*Objects!$X$4,0)</f>
        <v>0</v>
      </c>
      <c r="CI47">
        <f ca="1">OFFSET(Objects!$HW$6,CI$1+(Objects!$Y$4-$A47-1)*Objects!$X$4,0)</f>
        <v>0</v>
      </c>
      <c r="CJ47">
        <f ca="1">OFFSET(Objects!$HW$6,CJ$1+(Objects!$Y$4-$A47-1)*Objects!$X$4,0)</f>
        <v>0</v>
      </c>
      <c r="CK47">
        <f ca="1">OFFSET(Objects!$HW$6,CK$1+(Objects!$Y$4-$A47-1)*Objects!$X$4,0)</f>
        <v>0</v>
      </c>
      <c r="CL47">
        <f ca="1">OFFSET(Objects!$HW$6,CL$1+(Objects!$Y$4-$A47-1)*Objects!$X$4,0)</f>
        <v>0</v>
      </c>
      <c r="CM47">
        <f ca="1">OFFSET(Objects!$HW$6,CM$1+(Objects!$Y$4-$A47-1)*Objects!$X$4,0)</f>
        <v>0</v>
      </c>
      <c r="CN47">
        <f ca="1">OFFSET(Objects!$HW$6,CN$1+(Objects!$Y$4-$A47-1)*Objects!$X$4,0)</f>
        <v>0</v>
      </c>
      <c r="CO47">
        <f ca="1">OFFSET(Objects!$HW$6,CO$1+(Objects!$Y$4-$A47-1)*Objects!$X$4,0)</f>
        <v>0</v>
      </c>
      <c r="CP47">
        <f ca="1">OFFSET(Objects!$HW$6,CP$1+(Objects!$Y$4-$A47-1)*Objects!$X$4,0)</f>
        <v>0</v>
      </c>
      <c r="CQ47">
        <f ca="1">OFFSET(Objects!$HW$6,CQ$1+(Objects!$Y$4-$A47-1)*Objects!$X$4,0)</f>
        <v>0</v>
      </c>
      <c r="CR47">
        <f ca="1">OFFSET(Objects!$HW$6,CR$1+(Objects!$Y$4-$A47-1)*Objects!$X$4,0)</f>
        <v>0</v>
      </c>
      <c r="CS47">
        <f ca="1">OFFSET(Objects!$HW$6,CS$1+(Objects!$Y$4-$A47-1)*Objects!$X$4,0)</f>
        <v>0</v>
      </c>
      <c r="CT47">
        <f ca="1">OFFSET(Objects!$HW$6,CT$1+(Objects!$Y$4-$A47-1)*Objects!$X$4,0)</f>
        <v>0</v>
      </c>
      <c r="CU47">
        <f ca="1">OFFSET(Objects!$HW$6,CU$1+(Objects!$Y$4-$A47-1)*Objects!$X$4,0)</f>
        <v>0</v>
      </c>
      <c r="CV47">
        <f ca="1">OFFSET(Objects!$HW$6,CV$1+(Objects!$Y$4-$A47-1)*Objects!$X$4,0)</f>
        <v>0</v>
      </c>
      <c r="CW47">
        <f ca="1">OFFSET(Objects!$HW$6,CW$1+(Objects!$Y$4-$A47-1)*Objects!$X$4,0)</f>
        <v>0</v>
      </c>
      <c r="CX47">
        <f ca="1">OFFSET(Objects!$HW$6,CX$1+(Objects!$Y$4-$A47-1)*Objects!$X$4,0)</f>
        <v>0</v>
      </c>
      <c r="CY47">
        <f ca="1">OFFSET(Objects!$HW$6,CY$1+(Objects!$Y$4-$A47-1)*Objects!$X$4,0)</f>
        <v>0</v>
      </c>
      <c r="CZ47">
        <f ca="1">OFFSET(Objects!$HW$6,CZ$1+(Objects!$Y$4-$A47-1)*Objects!$X$4,0)</f>
        <v>0</v>
      </c>
      <c r="DA47">
        <f ca="1">OFFSET(Objects!$HW$6,DA$1+(Objects!$Y$4-$A47-1)*Objects!$X$4,0)</f>
        <v>0</v>
      </c>
      <c r="DB47">
        <f ca="1">OFFSET(Objects!$HW$6,DB$1+(Objects!$Y$4-$A47-1)*Objects!$X$4,0)</f>
        <v>0</v>
      </c>
      <c r="DC47">
        <f ca="1">OFFSET(Objects!$HW$6,DC$1+(Objects!$Y$4-$A47-1)*Objects!$X$4,0)</f>
        <v>0</v>
      </c>
      <c r="DD47">
        <f ca="1">OFFSET(Objects!$HW$6,DD$1+(Objects!$Y$4-$A47-1)*Objects!$X$4,0)</f>
        <v>0</v>
      </c>
      <c r="DE47">
        <f ca="1">OFFSET(Objects!$HW$6,DE$1+(Objects!$Y$4-$A47-1)*Objects!$X$4,0)</f>
        <v>0</v>
      </c>
      <c r="DF47">
        <f ca="1">OFFSET(Objects!$HW$6,DF$1+(Objects!$Y$4-$A47-1)*Objects!$X$4,0)</f>
        <v>0</v>
      </c>
      <c r="DG47">
        <f ca="1">OFFSET(Objects!$HW$6,DG$1+(Objects!$Y$4-$A47-1)*Objects!$X$4,0)</f>
        <v>0</v>
      </c>
      <c r="DH47">
        <f ca="1">OFFSET(Objects!$HW$6,DH$1+(Objects!$Y$4-$A47-1)*Objects!$X$4,0)</f>
        <v>0</v>
      </c>
      <c r="DI47">
        <f ca="1">OFFSET(Objects!$HW$6,DI$1+(Objects!$Y$4-$A47-1)*Objects!$X$4,0)</f>
        <v>0</v>
      </c>
      <c r="DJ47">
        <f ca="1">OFFSET(Objects!$HW$6,DJ$1+(Objects!$Y$4-$A47-1)*Objects!$X$4,0)</f>
        <v>0</v>
      </c>
      <c r="DK47">
        <f ca="1">OFFSET(Objects!$HW$6,DK$1+(Objects!$Y$4-$A47-1)*Objects!$X$4,0)</f>
        <v>0</v>
      </c>
      <c r="DL47">
        <f ca="1">OFFSET(Objects!$HW$6,DL$1+(Objects!$Y$4-$A47-1)*Objects!$X$4,0)</f>
        <v>0</v>
      </c>
      <c r="DM47">
        <f ca="1">OFFSET(Objects!$HW$6,DM$1+(Objects!$Y$4-$A47-1)*Objects!$X$4,0)</f>
        <v>0</v>
      </c>
      <c r="DN47">
        <f ca="1">OFFSET(Objects!$HW$6,DN$1+(Objects!$Y$4-$A47-1)*Objects!$X$4,0)</f>
        <v>0</v>
      </c>
      <c r="DO47">
        <f ca="1">OFFSET(Objects!$HW$6,DO$1+(Objects!$Y$4-$A47-1)*Objects!$X$4,0)</f>
        <v>0</v>
      </c>
      <c r="DP47">
        <f ca="1">OFFSET(Objects!$HW$6,DP$1+(Objects!$Y$4-$A47-1)*Objects!$X$4,0)</f>
        <v>0</v>
      </c>
      <c r="DQ47">
        <f ca="1">OFFSET(Objects!$HW$6,DQ$1+(Objects!$Y$4-$A47-1)*Objects!$X$4,0)</f>
        <v>0</v>
      </c>
      <c r="DR47">
        <f ca="1">OFFSET(Objects!$HW$6,DR$1+(Objects!$Y$4-$A47-1)*Objects!$X$4,0)</f>
        <v>0</v>
      </c>
      <c r="DS47">
        <f ca="1">OFFSET(Objects!$HW$6,DS$1+(Objects!$Y$4-$A47-1)*Objects!$X$4,0)</f>
        <v>0</v>
      </c>
      <c r="DT47">
        <f ca="1">OFFSET(Objects!$HW$6,DT$1+(Objects!$Y$4-$A47-1)*Objects!$X$4,0)</f>
        <v>0</v>
      </c>
      <c r="DU47">
        <f ca="1">OFFSET(Objects!$HW$6,DU$1+(Objects!$Y$4-$A47-1)*Objects!$X$4,0)</f>
        <v>0</v>
      </c>
      <c r="DV47">
        <f ca="1">OFFSET(Objects!$HW$6,DV$1+(Objects!$Y$4-$A47-1)*Objects!$X$4,0)</f>
        <v>0</v>
      </c>
      <c r="DW47">
        <f ca="1">OFFSET(Objects!$HW$6,DW$1+(Objects!$Y$4-$A47-1)*Objects!$X$4,0)</f>
        <v>0</v>
      </c>
      <c r="DX47">
        <f ca="1">OFFSET(Objects!$HW$6,DX$1+(Objects!$Y$4-$A47-1)*Objects!$X$4,0)</f>
        <v>0</v>
      </c>
      <c r="DY47">
        <f ca="1">OFFSET(Objects!$HW$6,DY$1+(Objects!$Y$4-$A47-1)*Objects!$X$4,0)</f>
        <v>0</v>
      </c>
      <c r="DZ47">
        <f ca="1">OFFSET(Objects!$HW$6,DZ$1+(Objects!$Y$4-$A47-1)*Objects!$X$4,0)</f>
        <v>0</v>
      </c>
      <c r="EA47">
        <f ca="1">OFFSET(Objects!$HW$6,EA$1+(Objects!$Y$4-$A47-1)*Objects!$X$4,0)</f>
        <v>0</v>
      </c>
      <c r="EB47">
        <f ca="1">OFFSET(Objects!$HW$6,EB$1+(Objects!$Y$4-$A47-1)*Objects!$X$4,0)</f>
        <v>0</v>
      </c>
      <c r="EC47">
        <f ca="1">OFFSET(Objects!$HW$6,EC$1+(Objects!$Y$4-$A47-1)*Objects!$X$4,0)</f>
        <v>0</v>
      </c>
      <c r="ED47">
        <f ca="1">OFFSET(Objects!$HW$6,ED$1+(Objects!$Y$4-$A47-1)*Objects!$X$4,0)</f>
        <v>0</v>
      </c>
      <c r="EE47">
        <f ca="1">OFFSET(Objects!$HW$6,EE$1+(Objects!$Y$4-$A47-1)*Objects!$X$4,0)</f>
        <v>0</v>
      </c>
      <c r="EF47">
        <f ca="1">OFFSET(Objects!$HW$6,EF$1+(Objects!$Y$4-$A47-1)*Objects!$X$4,0)</f>
        <v>0</v>
      </c>
      <c r="EG47">
        <f ca="1">OFFSET(Objects!$HW$6,EG$1+(Objects!$Y$4-$A47-1)*Objects!$X$4,0)</f>
        <v>0</v>
      </c>
      <c r="EH47">
        <f ca="1">OFFSET(Objects!$HW$6,EH$1+(Objects!$Y$4-$A47-1)*Objects!$X$4,0)</f>
        <v>0</v>
      </c>
      <c r="EI47">
        <f ca="1">OFFSET(Objects!$HW$6,EI$1+(Objects!$Y$4-$A47-1)*Objects!$X$4,0)</f>
        <v>0</v>
      </c>
      <c r="EJ47">
        <f ca="1">OFFSET(Objects!$HW$6,EJ$1+(Objects!$Y$4-$A47-1)*Objects!$X$4,0)</f>
        <v>0</v>
      </c>
      <c r="EK47">
        <f ca="1">OFFSET(Objects!$HW$6,EK$1+(Objects!$Y$4-$A47-1)*Objects!$X$4,0)</f>
        <v>0</v>
      </c>
      <c r="EL47">
        <f ca="1">OFFSET(Objects!$HW$6,EL$1+(Objects!$Y$4-$A47-1)*Objects!$X$4,0)</f>
        <v>0</v>
      </c>
      <c r="EM47">
        <f ca="1">OFFSET(Objects!$HW$6,EM$1+(Objects!$Y$4-$A47-1)*Objects!$X$4,0)</f>
        <v>0</v>
      </c>
      <c r="EN47">
        <f ca="1">OFFSET(Objects!$HW$6,EN$1+(Objects!$Y$4-$A47-1)*Objects!$X$4,0)</f>
        <v>0</v>
      </c>
      <c r="EO47">
        <f ca="1">OFFSET(Objects!$HW$6,EO$1+(Objects!$Y$4-$A47-1)*Objects!$X$4,0)</f>
        <v>0</v>
      </c>
      <c r="EP47">
        <f ca="1">OFFSET(Objects!$HW$6,EP$1+(Objects!$Y$4-$A47-1)*Objects!$X$4,0)</f>
        <v>0</v>
      </c>
      <c r="EQ47">
        <f ca="1">OFFSET(Objects!$HW$6,EQ$1+(Objects!$Y$4-$A47-1)*Objects!$X$4,0)</f>
        <v>0</v>
      </c>
      <c r="ER47">
        <f ca="1">OFFSET(Objects!$HW$6,ER$1+(Objects!$Y$4-$A47-1)*Objects!$X$4,0)</f>
        <v>0</v>
      </c>
      <c r="ES47">
        <f ca="1">OFFSET(Objects!$HW$6,ES$1+(Objects!$Y$4-$A47-1)*Objects!$X$4,0)</f>
        <v>0</v>
      </c>
      <c r="ET47">
        <f ca="1">OFFSET(Objects!$HW$6,ET$1+(Objects!$Y$4-$A47-1)*Objects!$X$4,0)</f>
        <v>0</v>
      </c>
      <c r="EU47">
        <f ca="1">OFFSET(Objects!$HW$6,EU$1+(Objects!$Y$4-$A47-1)*Objects!$X$4,0)</f>
        <v>0</v>
      </c>
      <c r="EV47">
        <f ca="1">OFFSET(Objects!$HW$6,EV$1+(Objects!$Y$4-$A47-1)*Objects!$X$4,0)</f>
        <v>0</v>
      </c>
      <c r="EW47">
        <f ca="1">OFFSET(Objects!$HW$6,EW$1+(Objects!$Y$4-$A47-1)*Objects!$X$4,0)</f>
        <v>0</v>
      </c>
      <c r="EX47">
        <f ca="1">OFFSET(Objects!$HW$6,EX$1+(Objects!$Y$4-$A47-1)*Objects!$X$4,0)</f>
        <v>0</v>
      </c>
      <c r="EY47">
        <f ca="1">OFFSET(Objects!$HW$6,EY$1+(Objects!$Y$4-$A47-1)*Objects!$X$4,0)</f>
        <v>0</v>
      </c>
      <c r="EZ47">
        <f ca="1">OFFSET(Objects!$HW$6,EZ$1+(Objects!$Y$4-$A47-1)*Objects!$X$4,0)</f>
        <v>0</v>
      </c>
      <c r="FA47">
        <f ca="1">OFFSET(Objects!$HW$6,FA$1+(Objects!$Y$4-$A47-1)*Objects!$X$4,0)</f>
        <v>0</v>
      </c>
      <c r="FB47">
        <f ca="1">OFFSET(Objects!$HW$6,FB$1+(Objects!$Y$4-$A47-1)*Objects!$X$4,0)</f>
        <v>0</v>
      </c>
      <c r="FC47">
        <f ca="1">OFFSET(Objects!$HW$6,FC$1+(Objects!$Y$4-$A47-1)*Objects!$X$4,0)</f>
        <v>0</v>
      </c>
      <c r="FD47">
        <f ca="1">OFFSET(Objects!$HW$6,FD$1+(Objects!$Y$4-$A47-1)*Objects!$X$4,0)</f>
        <v>0</v>
      </c>
      <c r="FE47" s="22">
        <f ca="1">OFFSET(Objects!$HW$6,FE$1+(Objects!$Y$4-$A47-1)*Objects!$X$4,0)</f>
        <v>0</v>
      </c>
    </row>
    <row r="48" spans="1:161" ht="4.5" customHeight="1" x14ac:dyDescent="0.25">
      <c r="A48">
        <v>46</v>
      </c>
      <c r="B48" s="21">
        <f ca="1">OFFSET(Objects!$HW$6,B$1+(Objects!$Y$4-$A48-1)*Objects!$X$4,0)</f>
        <v>0</v>
      </c>
      <c r="C48">
        <f ca="1">OFFSET(Objects!$HW$6,C$1+(Objects!$Y$4-$A48-1)*Objects!$X$4,0)</f>
        <v>0</v>
      </c>
      <c r="D48">
        <f ca="1">OFFSET(Objects!$HW$6,D$1+(Objects!$Y$4-$A48-1)*Objects!$X$4,0)</f>
        <v>0</v>
      </c>
      <c r="E48">
        <f ca="1">OFFSET(Objects!$HW$6,E$1+(Objects!$Y$4-$A48-1)*Objects!$X$4,0)</f>
        <v>0</v>
      </c>
      <c r="F48">
        <f ca="1">OFFSET(Objects!$HW$6,F$1+(Objects!$Y$4-$A48-1)*Objects!$X$4,0)</f>
        <v>0</v>
      </c>
      <c r="G48">
        <f ca="1">OFFSET(Objects!$HW$6,G$1+(Objects!$Y$4-$A48-1)*Objects!$X$4,0)</f>
        <v>0</v>
      </c>
      <c r="H48">
        <f ca="1">OFFSET(Objects!$HW$6,H$1+(Objects!$Y$4-$A48-1)*Objects!$X$4,0)</f>
        <v>0</v>
      </c>
      <c r="I48">
        <f ca="1">OFFSET(Objects!$HW$6,I$1+(Objects!$Y$4-$A48-1)*Objects!$X$4,0)</f>
        <v>0</v>
      </c>
      <c r="J48">
        <f ca="1">OFFSET(Objects!$HW$6,J$1+(Objects!$Y$4-$A48-1)*Objects!$X$4,0)</f>
        <v>0</v>
      </c>
      <c r="K48">
        <f ca="1">OFFSET(Objects!$HW$6,K$1+(Objects!$Y$4-$A48-1)*Objects!$X$4,0)</f>
        <v>0</v>
      </c>
      <c r="L48">
        <f ca="1">OFFSET(Objects!$HW$6,L$1+(Objects!$Y$4-$A48-1)*Objects!$X$4,0)</f>
        <v>0</v>
      </c>
      <c r="M48">
        <f ca="1">OFFSET(Objects!$HW$6,M$1+(Objects!$Y$4-$A48-1)*Objects!$X$4,0)</f>
        <v>0</v>
      </c>
      <c r="N48">
        <f ca="1">OFFSET(Objects!$HW$6,N$1+(Objects!$Y$4-$A48-1)*Objects!$X$4,0)</f>
        <v>0</v>
      </c>
      <c r="O48">
        <f ca="1">OFFSET(Objects!$HW$6,O$1+(Objects!$Y$4-$A48-1)*Objects!$X$4,0)</f>
        <v>0</v>
      </c>
      <c r="P48">
        <f ca="1">OFFSET(Objects!$HW$6,P$1+(Objects!$Y$4-$A48-1)*Objects!$X$4,0)</f>
        <v>0</v>
      </c>
      <c r="Q48">
        <f ca="1">OFFSET(Objects!$HW$6,Q$1+(Objects!$Y$4-$A48-1)*Objects!$X$4,0)</f>
        <v>0</v>
      </c>
      <c r="R48">
        <f ca="1">OFFSET(Objects!$HW$6,R$1+(Objects!$Y$4-$A48-1)*Objects!$X$4,0)</f>
        <v>0</v>
      </c>
      <c r="S48">
        <f ca="1">OFFSET(Objects!$HW$6,S$1+(Objects!$Y$4-$A48-1)*Objects!$X$4,0)</f>
        <v>0</v>
      </c>
      <c r="T48">
        <f ca="1">OFFSET(Objects!$HW$6,T$1+(Objects!$Y$4-$A48-1)*Objects!$X$4,0)</f>
        <v>0</v>
      </c>
      <c r="U48">
        <f ca="1">OFFSET(Objects!$HW$6,U$1+(Objects!$Y$4-$A48-1)*Objects!$X$4,0)</f>
        <v>0</v>
      </c>
      <c r="V48">
        <f ca="1">OFFSET(Objects!$HW$6,V$1+(Objects!$Y$4-$A48-1)*Objects!$X$4,0)</f>
        <v>0</v>
      </c>
      <c r="W48">
        <f ca="1">OFFSET(Objects!$HW$6,W$1+(Objects!$Y$4-$A48-1)*Objects!$X$4,0)</f>
        <v>0</v>
      </c>
      <c r="X48">
        <f ca="1">OFFSET(Objects!$HW$6,X$1+(Objects!$Y$4-$A48-1)*Objects!$X$4,0)</f>
        <v>0</v>
      </c>
      <c r="Y48">
        <f ca="1">OFFSET(Objects!$HW$6,Y$1+(Objects!$Y$4-$A48-1)*Objects!$X$4,0)</f>
        <v>0</v>
      </c>
      <c r="Z48">
        <f ca="1">OFFSET(Objects!$HW$6,Z$1+(Objects!$Y$4-$A48-1)*Objects!$X$4,0)</f>
        <v>0</v>
      </c>
      <c r="AA48">
        <f ca="1">OFFSET(Objects!$HW$6,AA$1+(Objects!$Y$4-$A48-1)*Objects!$X$4,0)</f>
        <v>0</v>
      </c>
      <c r="AB48">
        <f ca="1">OFFSET(Objects!$HW$6,AB$1+(Objects!$Y$4-$A48-1)*Objects!$X$4,0)</f>
        <v>0</v>
      </c>
      <c r="AC48">
        <f ca="1">OFFSET(Objects!$HW$6,AC$1+(Objects!$Y$4-$A48-1)*Objects!$X$4,0)</f>
        <v>0</v>
      </c>
      <c r="AD48">
        <f ca="1">OFFSET(Objects!$HW$6,AD$1+(Objects!$Y$4-$A48-1)*Objects!$X$4,0)</f>
        <v>0</v>
      </c>
      <c r="AE48">
        <f ca="1">OFFSET(Objects!$HW$6,AE$1+(Objects!$Y$4-$A48-1)*Objects!$X$4,0)</f>
        <v>0</v>
      </c>
      <c r="AF48">
        <f ca="1">OFFSET(Objects!$HW$6,AF$1+(Objects!$Y$4-$A48-1)*Objects!$X$4,0)</f>
        <v>0</v>
      </c>
      <c r="AG48">
        <f ca="1">OFFSET(Objects!$HW$6,AG$1+(Objects!$Y$4-$A48-1)*Objects!$X$4,0)</f>
        <v>0</v>
      </c>
      <c r="AH48">
        <f ca="1">OFFSET(Objects!$HW$6,AH$1+(Objects!$Y$4-$A48-1)*Objects!$X$4,0)</f>
        <v>0</v>
      </c>
      <c r="AI48">
        <f ca="1">OFFSET(Objects!$HW$6,AI$1+(Objects!$Y$4-$A48-1)*Objects!$X$4,0)</f>
        <v>0</v>
      </c>
      <c r="AJ48">
        <f ca="1">OFFSET(Objects!$HW$6,AJ$1+(Objects!$Y$4-$A48-1)*Objects!$X$4,0)</f>
        <v>0</v>
      </c>
      <c r="AK48">
        <f ca="1">OFFSET(Objects!$HW$6,AK$1+(Objects!$Y$4-$A48-1)*Objects!$X$4,0)</f>
        <v>0</v>
      </c>
      <c r="AL48">
        <f ca="1">OFFSET(Objects!$HW$6,AL$1+(Objects!$Y$4-$A48-1)*Objects!$X$4,0)</f>
        <v>0</v>
      </c>
      <c r="AM48">
        <f ca="1">OFFSET(Objects!$HW$6,AM$1+(Objects!$Y$4-$A48-1)*Objects!$X$4,0)</f>
        <v>0</v>
      </c>
      <c r="AN48">
        <f ca="1">OFFSET(Objects!$HW$6,AN$1+(Objects!$Y$4-$A48-1)*Objects!$X$4,0)</f>
        <v>0</v>
      </c>
      <c r="AO48">
        <f ca="1">OFFSET(Objects!$HW$6,AO$1+(Objects!$Y$4-$A48-1)*Objects!$X$4,0)</f>
        <v>0</v>
      </c>
      <c r="AP48">
        <f ca="1">OFFSET(Objects!$HW$6,AP$1+(Objects!$Y$4-$A48-1)*Objects!$X$4,0)</f>
        <v>0</v>
      </c>
      <c r="AQ48">
        <f ca="1">OFFSET(Objects!$HW$6,AQ$1+(Objects!$Y$4-$A48-1)*Objects!$X$4,0)</f>
        <v>0</v>
      </c>
      <c r="AR48">
        <f ca="1">OFFSET(Objects!$HW$6,AR$1+(Objects!$Y$4-$A48-1)*Objects!$X$4,0)</f>
        <v>0</v>
      </c>
      <c r="AS48">
        <f ca="1">OFFSET(Objects!$HW$6,AS$1+(Objects!$Y$4-$A48-1)*Objects!$X$4,0)</f>
        <v>0</v>
      </c>
      <c r="AT48">
        <f ca="1">OFFSET(Objects!$HW$6,AT$1+(Objects!$Y$4-$A48-1)*Objects!$X$4,0)</f>
        <v>0</v>
      </c>
      <c r="AU48">
        <f ca="1">OFFSET(Objects!$HW$6,AU$1+(Objects!$Y$4-$A48-1)*Objects!$X$4,0)</f>
        <v>0</v>
      </c>
      <c r="AV48">
        <f ca="1">OFFSET(Objects!$HW$6,AV$1+(Objects!$Y$4-$A48-1)*Objects!$X$4,0)</f>
        <v>0</v>
      </c>
      <c r="AW48">
        <f ca="1">OFFSET(Objects!$HW$6,AW$1+(Objects!$Y$4-$A48-1)*Objects!$X$4,0)</f>
        <v>0</v>
      </c>
      <c r="AX48">
        <f ca="1">OFFSET(Objects!$HW$6,AX$1+(Objects!$Y$4-$A48-1)*Objects!$X$4,0)</f>
        <v>0</v>
      </c>
      <c r="AY48">
        <f ca="1">OFFSET(Objects!$HW$6,AY$1+(Objects!$Y$4-$A48-1)*Objects!$X$4,0)</f>
        <v>0</v>
      </c>
      <c r="AZ48">
        <f ca="1">OFFSET(Objects!$HW$6,AZ$1+(Objects!$Y$4-$A48-1)*Objects!$X$4,0)</f>
        <v>0</v>
      </c>
      <c r="BA48">
        <f ca="1">OFFSET(Objects!$HW$6,BA$1+(Objects!$Y$4-$A48-1)*Objects!$X$4,0)</f>
        <v>0</v>
      </c>
      <c r="BB48">
        <f ca="1">OFFSET(Objects!$HW$6,BB$1+(Objects!$Y$4-$A48-1)*Objects!$X$4,0)</f>
        <v>0</v>
      </c>
      <c r="BC48">
        <f ca="1">OFFSET(Objects!$HW$6,BC$1+(Objects!$Y$4-$A48-1)*Objects!$X$4,0)</f>
        <v>0</v>
      </c>
      <c r="BD48">
        <f ca="1">OFFSET(Objects!$HW$6,BD$1+(Objects!$Y$4-$A48-1)*Objects!$X$4,0)</f>
        <v>0</v>
      </c>
      <c r="BE48">
        <f ca="1">OFFSET(Objects!$HW$6,BE$1+(Objects!$Y$4-$A48-1)*Objects!$X$4,0)</f>
        <v>0</v>
      </c>
      <c r="BF48">
        <f ca="1">OFFSET(Objects!$HW$6,BF$1+(Objects!$Y$4-$A48-1)*Objects!$X$4,0)</f>
        <v>0</v>
      </c>
      <c r="BG48">
        <f ca="1">OFFSET(Objects!$HW$6,BG$1+(Objects!$Y$4-$A48-1)*Objects!$X$4,0)</f>
        <v>0</v>
      </c>
      <c r="BH48">
        <f ca="1">OFFSET(Objects!$HW$6,BH$1+(Objects!$Y$4-$A48-1)*Objects!$X$4,0)</f>
        <v>0</v>
      </c>
      <c r="BI48">
        <f ca="1">OFFSET(Objects!$HW$6,BI$1+(Objects!$Y$4-$A48-1)*Objects!$X$4,0)</f>
        <v>0</v>
      </c>
      <c r="BJ48">
        <f ca="1">OFFSET(Objects!$HW$6,BJ$1+(Objects!$Y$4-$A48-1)*Objects!$X$4,0)</f>
        <v>0</v>
      </c>
      <c r="BK48">
        <f ca="1">OFFSET(Objects!$HW$6,BK$1+(Objects!$Y$4-$A48-1)*Objects!$X$4,0)</f>
        <v>0</v>
      </c>
      <c r="BL48">
        <f ca="1">OFFSET(Objects!$HW$6,BL$1+(Objects!$Y$4-$A48-1)*Objects!$X$4,0)</f>
        <v>0</v>
      </c>
      <c r="BM48">
        <f ca="1">OFFSET(Objects!$HW$6,BM$1+(Objects!$Y$4-$A48-1)*Objects!$X$4,0)</f>
        <v>0</v>
      </c>
      <c r="BN48">
        <f ca="1">OFFSET(Objects!$HW$6,BN$1+(Objects!$Y$4-$A48-1)*Objects!$X$4,0)</f>
        <v>0</v>
      </c>
      <c r="BO48">
        <f ca="1">OFFSET(Objects!$HW$6,BO$1+(Objects!$Y$4-$A48-1)*Objects!$X$4,0)</f>
        <v>0</v>
      </c>
      <c r="BP48">
        <f ca="1">OFFSET(Objects!$HW$6,BP$1+(Objects!$Y$4-$A48-1)*Objects!$X$4,0)</f>
        <v>0</v>
      </c>
      <c r="BQ48">
        <f ca="1">OFFSET(Objects!$HW$6,BQ$1+(Objects!$Y$4-$A48-1)*Objects!$X$4,0)</f>
        <v>0</v>
      </c>
      <c r="BR48">
        <f ca="1">OFFSET(Objects!$HW$6,BR$1+(Objects!$Y$4-$A48-1)*Objects!$X$4,0)</f>
        <v>0</v>
      </c>
      <c r="BS48">
        <f ca="1">OFFSET(Objects!$HW$6,BS$1+(Objects!$Y$4-$A48-1)*Objects!$X$4,0)</f>
        <v>0</v>
      </c>
      <c r="BT48">
        <f ca="1">OFFSET(Objects!$HW$6,BT$1+(Objects!$Y$4-$A48-1)*Objects!$X$4,0)</f>
        <v>0</v>
      </c>
      <c r="BU48">
        <f ca="1">OFFSET(Objects!$HW$6,BU$1+(Objects!$Y$4-$A48-1)*Objects!$X$4,0)</f>
        <v>0</v>
      </c>
      <c r="BV48">
        <f ca="1">OFFSET(Objects!$HW$6,BV$1+(Objects!$Y$4-$A48-1)*Objects!$X$4,0)</f>
        <v>0</v>
      </c>
      <c r="BW48">
        <f ca="1">OFFSET(Objects!$HW$6,BW$1+(Objects!$Y$4-$A48-1)*Objects!$X$4,0)</f>
        <v>0</v>
      </c>
      <c r="BX48">
        <f ca="1">OFFSET(Objects!$HW$6,BX$1+(Objects!$Y$4-$A48-1)*Objects!$X$4,0)</f>
        <v>0</v>
      </c>
      <c r="BY48">
        <f ca="1">OFFSET(Objects!$HW$6,BY$1+(Objects!$Y$4-$A48-1)*Objects!$X$4,0)</f>
        <v>0</v>
      </c>
      <c r="BZ48">
        <f ca="1">OFFSET(Objects!$HW$6,BZ$1+(Objects!$Y$4-$A48-1)*Objects!$X$4,0)</f>
        <v>0</v>
      </c>
      <c r="CA48">
        <f ca="1">OFFSET(Objects!$HW$6,CA$1+(Objects!$Y$4-$A48-1)*Objects!$X$4,0)</f>
        <v>0</v>
      </c>
      <c r="CB48">
        <f ca="1">OFFSET(Objects!$HW$6,CB$1+(Objects!$Y$4-$A48-1)*Objects!$X$4,0)</f>
        <v>0</v>
      </c>
      <c r="CC48">
        <f ca="1">OFFSET(Objects!$HW$6,CC$1+(Objects!$Y$4-$A48-1)*Objects!$X$4,0)</f>
        <v>0</v>
      </c>
      <c r="CD48">
        <f ca="1">OFFSET(Objects!$HW$6,CD$1+(Objects!$Y$4-$A48-1)*Objects!$X$4,0)</f>
        <v>0</v>
      </c>
      <c r="CE48">
        <f ca="1">OFFSET(Objects!$HW$6,CE$1+(Objects!$Y$4-$A48-1)*Objects!$X$4,0)</f>
        <v>0</v>
      </c>
      <c r="CF48">
        <f ca="1">OFFSET(Objects!$HW$6,CF$1+(Objects!$Y$4-$A48-1)*Objects!$X$4,0)</f>
        <v>0</v>
      </c>
      <c r="CG48">
        <f ca="1">OFFSET(Objects!$HW$6,CG$1+(Objects!$Y$4-$A48-1)*Objects!$X$4,0)</f>
        <v>0</v>
      </c>
      <c r="CH48">
        <f ca="1">OFFSET(Objects!$HW$6,CH$1+(Objects!$Y$4-$A48-1)*Objects!$X$4,0)</f>
        <v>0</v>
      </c>
      <c r="CI48">
        <f ca="1">OFFSET(Objects!$HW$6,CI$1+(Objects!$Y$4-$A48-1)*Objects!$X$4,0)</f>
        <v>0</v>
      </c>
      <c r="CJ48">
        <f ca="1">OFFSET(Objects!$HW$6,CJ$1+(Objects!$Y$4-$A48-1)*Objects!$X$4,0)</f>
        <v>0</v>
      </c>
      <c r="CK48">
        <f ca="1">OFFSET(Objects!$HW$6,CK$1+(Objects!$Y$4-$A48-1)*Objects!$X$4,0)</f>
        <v>0</v>
      </c>
      <c r="CL48">
        <f ca="1">OFFSET(Objects!$HW$6,CL$1+(Objects!$Y$4-$A48-1)*Objects!$X$4,0)</f>
        <v>0</v>
      </c>
      <c r="CM48">
        <f ca="1">OFFSET(Objects!$HW$6,CM$1+(Objects!$Y$4-$A48-1)*Objects!$X$4,0)</f>
        <v>0</v>
      </c>
      <c r="CN48">
        <f ca="1">OFFSET(Objects!$HW$6,CN$1+(Objects!$Y$4-$A48-1)*Objects!$X$4,0)</f>
        <v>0</v>
      </c>
      <c r="CO48">
        <f ca="1">OFFSET(Objects!$HW$6,CO$1+(Objects!$Y$4-$A48-1)*Objects!$X$4,0)</f>
        <v>0</v>
      </c>
      <c r="CP48">
        <f ca="1">OFFSET(Objects!$HW$6,CP$1+(Objects!$Y$4-$A48-1)*Objects!$X$4,0)</f>
        <v>0</v>
      </c>
      <c r="CQ48">
        <f ca="1">OFFSET(Objects!$HW$6,CQ$1+(Objects!$Y$4-$A48-1)*Objects!$X$4,0)</f>
        <v>0</v>
      </c>
      <c r="CR48">
        <f ca="1">OFFSET(Objects!$HW$6,CR$1+(Objects!$Y$4-$A48-1)*Objects!$X$4,0)</f>
        <v>0</v>
      </c>
      <c r="CS48">
        <f ca="1">OFFSET(Objects!$HW$6,CS$1+(Objects!$Y$4-$A48-1)*Objects!$X$4,0)</f>
        <v>0</v>
      </c>
      <c r="CT48">
        <f ca="1">OFFSET(Objects!$HW$6,CT$1+(Objects!$Y$4-$A48-1)*Objects!$X$4,0)</f>
        <v>0</v>
      </c>
      <c r="CU48">
        <f ca="1">OFFSET(Objects!$HW$6,CU$1+(Objects!$Y$4-$A48-1)*Objects!$X$4,0)</f>
        <v>0</v>
      </c>
      <c r="CV48">
        <f ca="1">OFFSET(Objects!$HW$6,CV$1+(Objects!$Y$4-$A48-1)*Objects!$X$4,0)</f>
        <v>0</v>
      </c>
      <c r="CW48">
        <f ca="1">OFFSET(Objects!$HW$6,CW$1+(Objects!$Y$4-$A48-1)*Objects!$X$4,0)</f>
        <v>0</v>
      </c>
      <c r="CX48">
        <f ca="1">OFFSET(Objects!$HW$6,CX$1+(Objects!$Y$4-$A48-1)*Objects!$X$4,0)</f>
        <v>0</v>
      </c>
      <c r="CY48">
        <f ca="1">OFFSET(Objects!$HW$6,CY$1+(Objects!$Y$4-$A48-1)*Objects!$X$4,0)</f>
        <v>0</v>
      </c>
      <c r="CZ48">
        <f ca="1">OFFSET(Objects!$HW$6,CZ$1+(Objects!$Y$4-$A48-1)*Objects!$X$4,0)</f>
        <v>0</v>
      </c>
      <c r="DA48">
        <f ca="1">OFFSET(Objects!$HW$6,DA$1+(Objects!$Y$4-$A48-1)*Objects!$X$4,0)</f>
        <v>0</v>
      </c>
      <c r="DB48">
        <f ca="1">OFFSET(Objects!$HW$6,DB$1+(Objects!$Y$4-$A48-1)*Objects!$X$4,0)</f>
        <v>0</v>
      </c>
      <c r="DC48">
        <f ca="1">OFFSET(Objects!$HW$6,DC$1+(Objects!$Y$4-$A48-1)*Objects!$X$4,0)</f>
        <v>0</v>
      </c>
      <c r="DD48">
        <f ca="1">OFFSET(Objects!$HW$6,DD$1+(Objects!$Y$4-$A48-1)*Objects!$X$4,0)</f>
        <v>0</v>
      </c>
      <c r="DE48">
        <f ca="1">OFFSET(Objects!$HW$6,DE$1+(Objects!$Y$4-$A48-1)*Objects!$X$4,0)</f>
        <v>0</v>
      </c>
      <c r="DF48">
        <f ca="1">OFFSET(Objects!$HW$6,DF$1+(Objects!$Y$4-$A48-1)*Objects!$X$4,0)</f>
        <v>0</v>
      </c>
      <c r="DG48">
        <f ca="1">OFFSET(Objects!$HW$6,DG$1+(Objects!$Y$4-$A48-1)*Objects!$X$4,0)</f>
        <v>0</v>
      </c>
      <c r="DH48">
        <f ca="1">OFFSET(Objects!$HW$6,DH$1+(Objects!$Y$4-$A48-1)*Objects!$X$4,0)</f>
        <v>0</v>
      </c>
      <c r="DI48">
        <f ca="1">OFFSET(Objects!$HW$6,DI$1+(Objects!$Y$4-$A48-1)*Objects!$X$4,0)</f>
        <v>0</v>
      </c>
      <c r="DJ48">
        <f ca="1">OFFSET(Objects!$HW$6,DJ$1+(Objects!$Y$4-$A48-1)*Objects!$X$4,0)</f>
        <v>0</v>
      </c>
      <c r="DK48">
        <f ca="1">OFFSET(Objects!$HW$6,DK$1+(Objects!$Y$4-$A48-1)*Objects!$X$4,0)</f>
        <v>0</v>
      </c>
      <c r="DL48">
        <f ca="1">OFFSET(Objects!$HW$6,DL$1+(Objects!$Y$4-$A48-1)*Objects!$X$4,0)</f>
        <v>0</v>
      </c>
      <c r="DM48">
        <f ca="1">OFFSET(Objects!$HW$6,DM$1+(Objects!$Y$4-$A48-1)*Objects!$X$4,0)</f>
        <v>0</v>
      </c>
      <c r="DN48">
        <f ca="1">OFFSET(Objects!$HW$6,DN$1+(Objects!$Y$4-$A48-1)*Objects!$X$4,0)</f>
        <v>0</v>
      </c>
      <c r="DO48">
        <f ca="1">OFFSET(Objects!$HW$6,DO$1+(Objects!$Y$4-$A48-1)*Objects!$X$4,0)</f>
        <v>0</v>
      </c>
      <c r="DP48">
        <f ca="1">OFFSET(Objects!$HW$6,DP$1+(Objects!$Y$4-$A48-1)*Objects!$X$4,0)</f>
        <v>0</v>
      </c>
      <c r="DQ48">
        <f ca="1">OFFSET(Objects!$HW$6,DQ$1+(Objects!$Y$4-$A48-1)*Objects!$X$4,0)</f>
        <v>0</v>
      </c>
      <c r="DR48">
        <f ca="1">OFFSET(Objects!$HW$6,DR$1+(Objects!$Y$4-$A48-1)*Objects!$X$4,0)</f>
        <v>0</v>
      </c>
      <c r="DS48">
        <f ca="1">OFFSET(Objects!$HW$6,DS$1+(Objects!$Y$4-$A48-1)*Objects!$X$4,0)</f>
        <v>0</v>
      </c>
      <c r="DT48">
        <f ca="1">OFFSET(Objects!$HW$6,DT$1+(Objects!$Y$4-$A48-1)*Objects!$X$4,0)</f>
        <v>0</v>
      </c>
      <c r="DU48">
        <f ca="1">OFFSET(Objects!$HW$6,DU$1+(Objects!$Y$4-$A48-1)*Objects!$X$4,0)</f>
        <v>0</v>
      </c>
      <c r="DV48">
        <f ca="1">OFFSET(Objects!$HW$6,DV$1+(Objects!$Y$4-$A48-1)*Objects!$X$4,0)</f>
        <v>0</v>
      </c>
      <c r="DW48">
        <f ca="1">OFFSET(Objects!$HW$6,DW$1+(Objects!$Y$4-$A48-1)*Objects!$X$4,0)</f>
        <v>0</v>
      </c>
      <c r="DX48">
        <f ca="1">OFFSET(Objects!$HW$6,DX$1+(Objects!$Y$4-$A48-1)*Objects!$X$4,0)</f>
        <v>0</v>
      </c>
      <c r="DY48">
        <f ca="1">OFFSET(Objects!$HW$6,DY$1+(Objects!$Y$4-$A48-1)*Objects!$X$4,0)</f>
        <v>0</v>
      </c>
      <c r="DZ48">
        <f ca="1">OFFSET(Objects!$HW$6,DZ$1+(Objects!$Y$4-$A48-1)*Objects!$X$4,0)</f>
        <v>0</v>
      </c>
      <c r="EA48">
        <f ca="1">OFFSET(Objects!$HW$6,EA$1+(Objects!$Y$4-$A48-1)*Objects!$X$4,0)</f>
        <v>0</v>
      </c>
      <c r="EB48">
        <f ca="1">OFFSET(Objects!$HW$6,EB$1+(Objects!$Y$4-$A48-1)*Objects!$X$4,0)</f>
        <v>0</v>
      </c>
      <c r="EC48">
        <f ca="1">OFFSET(Objects!$HW$6,EC$1+(Objects!$Y$4-$A48-1)*Objects!$X$4,0)</f>
        <v>0</v>
      </c>
      <c r="ED48">
        <f ca="1">OFFSET(Objects!$HW$6,ED$1+(Objects!$Y$4-$A48-1)*Objects!$X$4,0)</f>
        <v>0</v>
      </c>
      <c r="EE48">
        <f ca="1">OFFSET(Objects!$HW$6,EE$1+(Objects!$Y$4-$A48-1)*Objects!$X$4,0)</f>
        <v>0</v>
      </c>
      <c r="EF48">
        <f ca="1">OFFSET(Objects!$HW$6,EF$1+(Objects!$Y$4-$A48-1)*Objects!$X$4,0)</f>
        <v>0</v>
      </c>
      <c r="EG48">
        <f ca="1">OFFSET(Objects!$HW$6,EG$1+(Objects!$Y$4-$A48-1)*Objects!$X$4,0)</f>
        <v>0</v>
      </c>
      <c r="EH48">
        <f ca="1">OFFSET(Objects!$HW$6,EH$1+(Objects!$Y$4-$A48-1)*Objects!$X$4,0)</f>
        <v>0</v>
      </c>
      <c r="EI48">
        <f ca="1">OFFSET(Objects!$HW$6,EI$1+(Objects!$Y$4-$A48-1)*Objects!$X$4,0)</f>
        <v>0</v>
      </c>
      <c r="EJ48">
        <f ca="1">OFFSET(Objects!$HW$6,EJ$1+(Objects!$Y$4-$A48-1)*Objects!$X$4,0)</f>
        <v>0</v>
      </c>
      <c r="EK48">
        <f ca="1">OFFSET(Objects!$HW$6,EK$1+(Objects!$Y$4-$A48-1)*Objects!$X$4,0)</f>
        <v>0</v>
      </c>
      <c r="EL48">
        <f ca="1">OFFSET(Objects!$HW$6,EL$1+(Objects!$Y$4-$A48-1)*Objects!$X$4,0)</f>
        <v>0</v>
      </c>
      <c r="EM48">
        <f ca="1">OFFSET(Objects!$HW$6,EM$1+(Objects!$Y$4-$A48-1)*Objects!$X$4,0)</f>
        <v>0</v>
      </c>
      <c r="EN48">
        <f ca="1">OFFSET(Objects!$HW$6,EN$1+(Objects!$Y$4-$A48-1)*Objects!$X$4,0)</f>
        <v>0</v>
      </c>
      <c r="EO48">
        <f ca="1">OFFSET(Objects!$HW$6,EO$1+(Objects!$Y$4-$A48-1)*Objects!$X$4,0)</f>
        <v>0</v>
      </c>
      <c r="EP48">
        <f ca="1">OFFSET(Objects!$HW$6,EP$1+(Objects!$Y$4-$A48-1)*Objects!$X$4,0)</f>
        <v>0</v>
      </c>
      <c r="EQ48">
        <f ca="1">OFFSET(Objects!$HW$6,EQ$1+(Objects!$Y$4-$A48-1)*Objects!$X$4,0)</f>
        <v>0</v>
      </c>
      <c r="ER48">
        <f ca="1">OFFSET(Objects!$HW$6,ER$1+(Objects!$Y$4-$A48-1)*Objects!$X$4,0)</f>
        <v>0</v>
      </c>
      <c r="ES48">
        <f ca="1">OFFSET(Objects!$HW$6,ES$1+(Objects!$Y$4-$A48-1)*Objects!$X$4,0)</f>
        <v>0</v>
      </c>
      <c r="ET48">
        <f ca="1">OFFSET(Objects!$HW$6,ET$1+(Objects!$Y$4-$A48-1)*Objects!$X$4,0)</f>
        <v>0</v>
      </c>
      <c r="EU48">
        <f ca="1">OFFSET(Objects!$HW$6,EU$1+(Objects!$Y$4-$A48-1)*Objects!$X$4,0)</f>
        <v>0</v>
      </c>
      <c r="EV48">
        <f ca="1">OFFSET(Objects!$HW$6,EV$1+(Objects!$Y$4-$A48-1)*Objects!$X$4,0)</f>
        <v>0</v>
      </c>
      <c r="EW48">
        <f ca="1">OFFSET(Objects!$HW$6,EW$1+(Objects!$Y$4-$A48-1)*Objects!$X$4,0)</f>
        <v>0</v>
      </c>
      <c r="EX48">
        <f ca="1">OFFSET(Objects!$HW$6,EX$1+(Objects!$Y$4-$A48-1)*Objects!$X$4,0)</f>
        <v>0</v>
      </c>
      <c r="EY48">
        <f ca="1">OFFSET(Objects!$HW$6,EY$1+(Objects!$Y$4-$A48-1)*Objects!$X$4,0)</f>
        <v>0</v>
      </c>
      <c r="EZ48">
        <f ca="1">OFFSET(Objects!$HW$6,EZ$1+(Objects!$Y$4-$A48-1)*Objects!$X$4,0)</f>
        <v>0</v>
      </c>
      <c r="FA48">
        <f ca="1">OFFSET(Objects!$HW$6,FA$1+(Objects!$Y$4-$A48-1)*Objects!$X$4,0)</f>
        <v>0</v>
      </c>
      <c r="FB48">
        <f ca="1">OFFSET(Objects!$HW$6,FB$1+(Objects!$Y$4-$A48-1)*Objects!$X$4,0)</f>
        <v>0</v>
      </c>
      <c r="FC48">
        <f ca="1">OFFSET(Objects!$HW$6,FC$1+(Objects!$Y$4-$A48-1)*Objects!$X$4,0)</f>
        <v>0</v>
      </c>
      <c r="FD48">
        <f ca="1">OFFSET(Objects!$HW$6,FD$1+(Objects!$Y$4-$A48-1)*Objects!$X$4,0)</f>
        <v>0</v>
      </c>
      <c r="FE48" s="22">
        <f ca="1">OFFSET(Objects!$HW$6,FE$1+(Objects!$Y$4-$A48-1)*Objects!$X$4,0)</f>
        <v>0</v>
      </c>
    </row>
    <row r="49" spans="1:161" ht="4.5" customHeight="1" x14ac:dyDescent="0.25">
      <c r="A49">
        <v>47</v>
      </c>
      <c r="B49" s="21">
        <f ca="1">OFFSET(Objects!$HW$6,B$1+(Objects!$Y$4-$A49-1)*Objects!$X$4,0)</f>
        <v>0</v>
      </c>
      <c r="C49">
        <f ca="1">OFFSET(Objects!$HW$6,C$1+(Objects!$Y$4-$A49-1)*Objects!$X$4,0)</f>
        <v>0</v>
      </c>
      <c r="D49">
        <f ca="1">OFFSET(Objects!$HW$6,D$1+(Objects!$Y$4-$A49-1)*Objects!$X$4,0)</f>
        <v>0</v>
      </c>
      <c r="E49">
        <f ca="1">OFFSET(Objects!$HW$6,E$1+(Objects!$Y$4-$A49-1)*Objects!$X$4,0)</f>
        <v>0</v>
      </c>
      <c r="F49">
        <f ca="1">OFFSET(Objects!$HW$6,F$1+(Objects!$Y$4-$A49-1)*Objects!$X$4,0)</f>
        <v>0</v>
      </c>
      <c r="G49">
        <f ca="1">OFFSET(Objects!$HW$6,G$1+(Objects!$Y$4-$A49-1)*Objects!$X$4,0)</f>
        <v>0</v>
      </c>
      <c r="H49">
        <f ca="1">OFFSET(Objects!$HW$6,H$1+(Objects!$Y$4-$A49-1)*Objects!$X$4,0)</f>
        <v>0</v>
      </c>
      <c r="I49">
        <f ca="1">OFFSET(Objects!$HW$6,I$1+(Objects!$Y$4-$A49-1)*Objects!$X$4,0)</f>
        <v>0</v>
      </c>
      <c r="J49">
        <f ca="1">OFFSET(Objects!$HW$6,J$1+(Objects!$Y$4-$A49-1)*Objects!$X$4,0)</f>
        <v>0</v>
      </c>
      <c r="K49">
        <f ca="1">OFFSET(Objects!$HW$6,K$1+(Objects!$Y$4-$A49-1)*Objects!$X$4,0)</f>
        <v>0</v>
      </c>
      <c r="L49">
        <f ca="1">OFFSET(Objects!$HW$6,L$1+(Objects!$Y$4-$A49-1)*Objects!$X$4,0)</f>
        <v>0</v>
      </c>
      <c r="M49">
        <f ca="1">OFFSET(Objects!$HW$6,M$1+(Objects!$Y$4-$A49-1)*Objects!$X$4,0)</f>
        <v>0</v>
      </c>
      <c r="N49">
        <f ca="1">OFFSET(Objects!$HW$6,N$1+(Objects!$Y$4-$A49-1)*Objects!$X$4,0)</f>
        <v>0</v>
      </c>
      <c r="O49">
        <f ca="1">OFFSET(Objects!$HW$6,O$1+(Objects!$Y$4-$A49-1)*Objects!$X$4,0)</f>
        <v>0</v>
      </c>
      <c r="P49">
        <f ca="1">OFFSET(Objects!$HW$6,P$1+(Objects!$Y$4-$A49-1)*Objects!$X$4,0)</f>
        <v>0</v>
      </c>
      <c r="Q49">
        <f ca="1">OFFSET(Objects!$HW$6,Q$1+(Objects!$Y$4-$A49-1)*Objects!$X$4,0)</f>
        <v>0</v>
      </c>
      <c r="R49">
        <f ca="1">OFFSET(Objects!$HW$6,R$1+(Objects!$Y$4-$A49-1)*Objects!$X$4,0)</f>
        <v>0</v>
      </c>
      <c r="S49">
        <f ca="1">OFFSET(Objects!$HW$6,S$1+(Objects!$Y$4-$A49-1)*Objects!$X$4,0)</f>
        <v>0</v>
      </c>
      <c r="T49">
        <f ca="1">OFFSET(Objects!$HW$6,T$1+(Objects!$Y$4-$A49-1)*Objects!$X$4,0)</f>
        <v>0</v>
      </c>
      <c r="U49">
        <f ca="1">OFFSET(Objects!$HW$6,U$1+(Objects!$Y$4-$A49-1)*Objects!$X$4,0)</f>
        <v>0</v>
      </c>
      <c r="V49">
        <f ca="1">OFFSET(Objects!$HW$6,V$1+(Objects!$Y$4-$A49-1)*Objects!$X$4,0)</f>
        <v>0</v>
      </c>
      <c r="W49">
        <f ca="1">OFFSET(Objects!$HW$6,W$1+(Objects!$Y$4-$A49-1)*Objects!$X$4,0)</f>
        <v>0</v>
      </c>
      <c r="X49">
        <f ca="1">OFFSET(Objects!$HW$6,X$1+(Objects!$Y$4-$A49-1)*Objects!$X$4,0)</f>
        <v>0</v>
      </c>
      <c r="Y49">
        <f ca="1">OFFSET(Objects!$HW$6,Y$1+(Objects!$Y$4-$A49-1)*Objects!$X$4,0)</f>
        <v>0</v>
      </c>
      <c r="Z49">
        <f ca="1">OFFSET(Objects!$HW$6,Z$1+(Objects!$Y$4-$A49-1)*Objects!$X$4,0)</f>
        <v>0</v>
      </c>
      <c r="AA49">
        <f ca="1">OFFSET(Objects!$HW$6,AA$1+(Objects!$Y$4-$A49-1)*Objects!$X$4,0)</f>
        <v>0</v>
      </c>
      <c r="AB49">
        <f ca="1">OFFSET(Objects!$HW$6,AB$1+(Objects!$Y$4-$A49-1)*Objects!$X$4,0)</f>
        <v>0</v>
      </c>
      <c r="AC49">
        <f ca="1">OFFSET(Objects!$HW$6,AC$1+(Objects!$Y$4-$A49-1)*Objects!$X$4,0)</f>
        <v>0</v>
      </c>
      <c r="AD49">
        <f ca="1">OFFSET(Objects!$HW$6,AD$1+(Objects!$Y$4-$A49-1)*Objects!$X$4,0)</f>
        <v>0</v>
      </c>
      <c r="AE49">
        <f ca="1">OFFSET(Objects!$HW$6,AE$1+(Objects!$Y$4-$A49-1)*Objects!$X$4,0)</f>
        <v>0</v>
      </c>
      <c r="AF49">
        <f ca="1">OFFSET(Objects!$HW$6,AF$1+(Objects!$Y$4-$A49-1)*Objects!$X$4,0)</f>
        <v>0</v>
      </c>
      <c r="AG49">
        <f ca="1">OFFSET(Objects!$HW$6,AG$1+(Objects!$Y$4-$A49-1)*Objects!$X$4,0)</f>
        <v>0</v>
      </c>
      <c r="AH49">
        <f ca="1">OFFSET(Objects!$HW$6,AH$1+(Objects!$Y$4-$A49-1)*Objects!$X$4,0)</f>
        <v>0</v>
      </c>
      <c r="AI49">
        <f ca="1">OFFSET(Objects!$HW$6,AI$1+(Objects!$Y$4-$A49-1)*Objects!$X$4,0)</f>
        <v>0</v>
      </c>
      <c r="AJ49">
        <f ca="1">OFFSET(Objects!$HW$6,AJ$1+(Objects!$Y$4-$A49-1)*Objects!$X$4,0)</f>
        <v>0</v>
      </c>
      <c r="AK49">
        <f ca="1">OFFSET(Objects!$HW$6,AK$1+(Objects!$Y$4-$A49-1)*Objects!$X$4,0)</f>
        <v>0</v>
      </c>
      <c r="AL49">
        <f ca="1">OFFSET(Objects!$HW$6,AL$1+(Objects!$Y$4-$A49-1)*Objects!$X$4,0)</f>
        <v>0</v>
      </c>
      <c r="AM49">
        <f ca="1">OFFSET(Objects!$HW$6,AM$1+(Objects!$Y$4-$A49-1)*Objects!$X$4,0)</f>
        <v>0</v>
      </c>
      <c r="AN49">
        <f ca="1">OFFSET(Objects!$HW$6,AN$1+(Objects!$Y$4-$A49-1)*Objects!$X$4,0)</f>
        <v>0</v>
      </c>
      <c r="AO49">
        <f ca="1">OFFSET(Objects!$HW$6,AO$1+(Objects!$Y$4-$A49-1)*Objects!$X$4,0)</f>
        <v>0</v>
      </c>
      <c r="AP49">
        <f ca="1">OFFSET(Objects!$HW$6,AP$1+(Objects!$Y$4-$A49-1)*Objects!$X$4,0)</f>
        <v>0</v>
      </c>
      <c r="AQ49">
        <f ca="1">OFFSET(Objects!$HW$6,AQ$1+(Objects!$Y$4-$A49-1)*Objects!$X$4,0)</f>
        <v>0</v>
      </c>
      <c r="AR49">
        <f ca="1">OFFSET(Objects!$HW$6,AR$1+(Objects!$Y$4-$A49-1)*Objects!$X$4,0)</f>
        <v>0</v>
      </c>
      <c r="AS49">
        <f ca="1">OFFSET(Objects!$HW$6,AS$1+(Objects!$Y$4-$A49-1)*Objects!$X$4,0)</f>
        <v>0</v>
      </c>
      <c r="AT49">
        <f ca="1">OFFSET(Objects!$HW$6,AT$1+(Objects!$Y$4-$A49-1)*Objects!$X$4,0)</f>
        <v>0</v>
      </c>
      <c r="AU49">
        <f ca="1">OFFSET(Objects!$HW$6,AU$1+(Objects!$Y$4-$A49-1)*Objects!$X$4,0)</f>
        <v>0</v>
      </c>
      <c r="AV49">
        <f ca="1">OFFSET(Objects!$HW$6,AV$1+(Objects!$Y$4-$A49-1)*Objects!$X$4,0)</f>
        <v>0</v>
      </c>
      <c r="AW49">
        <f ca="1">OFFSET(Objects!$HW$6,AW$1+(Objects!$Y$4-$A49-1)*Objects!$X$4,0)</f>
        <v>0</v>
      </c>
      <c r="AX49">
        <f ca="1">OFFSET(Objects!$HW$6,AX$1+(Objects!$Y$4-$A49-1)*Objects!$X$4,0)</f>
        <v>0</v>
      </c>
      <c r="AY49">
        <f ca="1">OFFSET(Objects!$HW$6,AY$1+(Objects!$Y$4-$A49-1)*Objects!$X$4,0)</f>
        <v>0</v>
      </c>
      <c r="AZ49">
        <f ca="1">OFFSET(Objects!$HW$6,AZ$1+(Objects!$Y$4-$A49-1)*Objects!$X$4,0)</f>
        <v>0</v>
      </c>
      <c r="BA49">
        <f ca="1">OFFSET(Objects!$HW$6,BA$1+(Objects!$Y$4-$A49-1)*Objects!$X$4,0)</f>
        <v>0</v>
      </c>
      <c r="BB49">
        <f ca="1">OFFSET(Objects!$HW$6,BB$1+(Objects!$Y$4-$A49-1)*Objects!$X$4,0)</f>
        <v>0</v>
      </c>
      <c r="BC49">
        <f ca="1">OFFSET(Objects!$HW$6,BC$1+(Objects!$Y$4-$A49-1)*Objects!$X$4,0)</f>
        <v>0</v>
      </c>
      <c r="BD49">
        <f ca="1">OFFSET(Objects!$HW$6,BD$1+(Objects!$Y$4-$A49-1)*Objects!$X$4,0)</f>
        <v>0</v>
      </c>
      <c r="BE49">
        <f ca="1">OFFSET(Objects!$HW$6,BE$1+(Objects!$Y$4-$A49-1)*Objects!$X$4,0)</f>
        <v>0</v>
      </c>
      <c r="BF49">
        <f ca="1">OFFSET(Objects!$HW$6,BF$1+(Objects!$Y$4-$A49-1)*Objects!$X$4,0)</f>
        <v>0</v>
      </c>
      <c r="BG49">
        <f ca="1">OFFSET(Objects!$HW$6,BG$1+(Objects!$Y$4-$A49-1)*Objects!$X$4,0)</f>
        <v>0</v>
      </c>
      <c r="BH49">
        <f ca="1">OFFSET(Objects!$HW$6,BH$1+(Objects!$Y$4-$A49-1)*Objects!$X$4,0)</f>
        <v>0</v>
      </c>
      <c r="BI49">
        <f ca="1">OFFSET(Objects!$HW$6,BI$1+(Objects!$Y$4-$A49-1)*Objects!$X$4,0)</f>
        <v>0</v>
      </c>
      <c r="BJ49">
        <f ca="1">OFFSET(Objects!$HW$6,BJ$1+(Objects!$Y$4-$A49-1)*Objects!$X$4,0)</f>
        <v>0</v>
      </c>
      <c r="BK49">
        <f ca="1">OFFSET(Objects!$HW$6,BK$1+(Objects!$Y$4-$A49-1)*Objects!$X$4,0)</f>
        <v>0</v>
      </c>
      <c r="BL49">
        <f ca="1">OFFSET(Objects!$HW$6,BL$1+(Objects!$Y$4-$A49-1)*Objects!$X$4,0)</f>
        <v>0</v>
      </c>
      <c r="BM49">
        <f ca="1">OFFSET(Objects!$HW$6,BM$1+(Objects!$Y$4-$A49-1)*Objects!$X$4,0)</f>
        <v>0</v>
      </c>
      <c r="BN49">
        <f ca="1">OFFSET(Objects!$HW$6,BN$1+(Objects!$Y$4-$A49-1)*Objects!$X$4,0)</f>
        <v>0</v>
      </c>
      <c r="BO49">
        <f ca="1">OFFSET(Objects!$HW$6,BO$1+(Objects!$Y$4-$A49-1)*Objects!$X$4,0)</f>
        <v>0</v>
      </c>
      <c r="BP49">
        <f ca="1">OFFSET(Objects!$HW$6,BP$1+(Objects!$Y$4-$A49-1)*Objects!$X$4,0)</f>
        <v>0</v>
      </c>
      <c r="BQ49">
        <f ca="1">OFFSET(Objects!$HW$6,BQ$1+(Objects!$Y$4-$A49-1)*Objects!$X$4,0)</f>
        <v>0</v>
      </c>
      <c r="BR49">
        <f ca="1">OFFSET(Objects!$HW$6,BR$1+(Objects!$Y$4-$A49-1)*Objects!$X$4,0)</f>
        <v>0</v>
      </c>
      <c r="BS49">
        <f ca="1">OFFSET(Objects!$HW$6,BS$1+(Objects!$Y$4-$A49-1)*Objects!$X$4,0)</f>
        <v>0</v>
      </c>
      <c r="BT49">
        <f ca="1">OFFSET(Objects!$HW$6,BT$1+(Objects!$Y$4-$A49-1)*Objects!$X$4,0)</f>
        <v>0</v>
      </c>
      <c r="BU49">
        <f ca="1">OFFSET(Objects!$HW$6,BU$1+(Objects!$Y$4-$A49-1)*Objects!$X$4,0)</f>
        <v>0</v>
      </c>
      <c r="BV49">
        <f ca="1">OFFSET(Objects!$HW$6,BV$1+(Objects!$Y$4-$A49-1)*Objects!$X$4,0)</f>
        <v>0</v>
      </c>
      <c r="BW49">
        <f ca="1">OFFSET(Objects!$HW$6,BW$1+(Objects!$Y$4-$A49-1)*Objects!$X$4,0)</f>
        <v>0</v>
      </c>
      <c r="BX49">
        <f ca="1">OFFSET(Objects!$HW$6,BX$1+(Objects!$Y$4-$A49-1)*Objects!$X$4,0)</f>
        <v>0</v>
      </c>
      <c r="BY49">
        <f ca="1">OFFSET(Objects!$HW$6,BY$1+(Objects!$Y$4-$A49-1)*Objects!$X$4,0)</f>
        <v>0</v>
      </c>
      <c r="BZ49">
        <f ca="1">OFFSET(Objects!$HW$6,BZ$1+(Objects!$Y$4-$A49-1)*Objects!$X$4,0)</f>
        <v>0</v>
      </c>
      <c r="CA49">
        <f ca="1">OFFSET(Objects!$HW$6,CA$1+(Objects!$Y$4-$A49-1)*Objects!$X$4,0)</f>
        <v>0</v>
      </c>
      <c r="CB49">
        <f ca="1">OFFSET(Objects!$HW$6,CB$1+(Objects!$Y$4-$A49-1)*Objects!$X$4,0)</f>
        <v>0</v>
      </c>
      <c r="CC49">
        <f ca="1">OFFSET(Objects!$HW$6,CC$1+(Objects!$Y$4-$A49-1)*Objects!$X$4,0)</f>
        <v>0</v>
      </c>
      <c r="CD49">
        <f ca="1">OFFSET(Objects!$HW$6,CD$1+(Objects!$Y$4-$A49-1)*Objects!$X$4,0)</f>
        <v>0</v>
      </c>
      <c r="CE49">
        <f ca="1">OFFSET(Objects!$HW$6,CE$1+(Objects!$Y$4-$A49-1)*Objects!$X$4,0)</f>
        <v>0</v>
      </c>
      <c r="CF49">
        <f ca="1">OFFSET(Objects!$HW$6,CF$1+(Objects!$Y$4-$A49-1)*Objects!$X$4,0)</f>
        <v>0</v>
      </c>
      <c r="CG49">
        <f ca="1">OFFSET(Objects!$HW$6,CG$1+(Objects!$Y$4-$A49-1)*Objects!$X$4,0)</f>
        <v>0</v>
      </c>
      <c r="CH49">
        <f ca="1">OFFSET(Objects!$HW$6,CH$1+(Objects!$Y$4-$A49-1)*Objects!$X$4,0)</f>
        <v>0</v>
      </c>
      <c r="CI49">
        <f ca="1">OFFSET(Objects!$HW$6,CI$1+(Objects!$Y$4-$A49-1)*Objects!$X$4,0)</f>
        <v>0</v>
      </c>
      <c r="CJ49">
        <f ca="1">OFFSET(Objects!$HW$6,CJ$1+(Objects!$Y$4-$A49-1)*Objects!$X$4,0)</f>
        <v>0</v>
      </c>
      <c r="CK49">
        <f ca="1">OFFSET(Objects!$HW$6,CK$1+(Objects!$Y$4-$A49-1)*Objects!$X$4,0)</f>
        <v>0</v>
      </c>
      <c r="CL49">
        <f ca="1">OFFSET(Objects!$HW$6,CL$1+(Objects!$Y$4-$A49-1)*Objects!$X$4,0)</f>
        <v>0</v>
      </c>
      <c r="CM49">
        <f ca="1">OFFSET(Objects!$HW$6,CM$1+(Objects!$Y$4-$A49-1)*Objects!$X$4,0)</f>
        <v>0</v>
      </c>
      <c r="CN49">
        <f ca="1">OFFSET(Objects!$HW$6,CN$1+(Objects!$Y$4-$A49-1)*Objects!$X$4,0)</f>
        <v>0</v>
      </c>
      <c r="CO49">
        <f ca="1">OFFSET(Objects!$HW$6,CO$1+(Objects!$Y$4-$A49-1)*Objects!$X$4,0)</f>
        <v>0</v>
      </c>
      <c r="CP49">
        <f ca="1">OFFSET(Objects!$HW$6,CP$1+(Objects!$Y$4-$A49-1)*Objects!$X$4,0)</f>
        <v>0</v>
      </c>
      <c r="CQ49">
        <f ca="1">OFFSET(Objects!$HW$6,CQ$1+(Objects!$Y$4-$A49-1)*Objects!$X$4,0)</f>
        <v>0</v>
      </c>
      <c r="CR49">
        <f ca="1">OFFSET(Objects!$HW$6,CR$1+(Objects!$Y$4-$A49-1)*Objects!$X$4,0)</f>
        <v>0</v>
      </c>
      <c r="CS49">
        <f ca="1">OFFSET(Objects!$HW$6,CS$1+(Objects!$Y$4-$A49-1)*Objects!$X$4,0)</f>
        <v>0</v>
      </c>
      <c r="CT49">
        <f ca="1">OFFSET(Objects!$HW$6,CT$1+(Objects!$Y$4-$A49-1)*Objects!$X$4,0)</f>
        <v>0</v>
      </c>
      <c r="CU49">
        <f ca="1">OFFSET(Objects!$HW$6,CU$1+(Objects!$Y$4-$A49-1)*Objects!$X$4,0)</f>
        <v>0</v>
      </c>
      <c r="CV49">
        <f ca="1">OFFSET(Objects!$HW$6,CV$1+(Objects!$Y$4-$A49-1)*Objects!$X$4,0)</f>
        <v>0</v>
      </c>
      <c r="CW49">
        <f ca="1">OFFSET(Objects!$HW$6,CW$1+(Objects!$Y$4-$A49-1)*Objects!$X$4,0)</f>
        <v>0</v>
      </c>
      <c r="CX49">
        <f ca="1">OFFSET(Objects!$HW$6,CX$1+(Objects!$Y$4-$A49-1)*Objects!$X$4,0)</f>
        <v>0</v>
      </c>
      <c r="CY49">
        <f ca="1">OFFSET(Objects!$HW$6,CY$1+(Objects!$Y$4-$A49-1)*Objects!$X$4,0)</f>
        <v>0</v>
      </c>
      <c r="CZ49">
        <f ca="1">OFFSET(Objects!$HW$6,CZ$1+(Objects!$Y$4-$A49-1)*Objects!$X$4,0)</f>
        <v>0</v>
      </c>
      <c r="DA49">
        <f ca="1">OFFSET(Objects!$HW$6,DA$1+(Objects!$Y$4-$A49-1)*Objects!$X$4,0)</f>
        <v>0</v>
      </c>
      <c r="DB49">
        <f ca="1">OFFSET(Objects!$HW$6,DB$1+(Objects!$Y$4-$A49-1)*Objects!$X$4,0)</f>
        <v>0</v>
      </c>
      <c r="DC49">
        <f ca="1">OFFSET(Objects!$HW$6,DC$1+(Objects!$Y$4-$A49-1)*Objects!$X$4,0)</f>
        <v>0</v>
      </c>
      <c r="DD49">
        <f ca="1">OFFSET(Objects!$HW$6,DD$1+(Objects!$Y$4-$A49-1)*Objects!$X$4,0)</f>
        <v>0</v>
      </c>
      <c r="DE49">
        <f ca="1">OFFSET(Objects!$HW$6,DE$1+(Objects!$Y$4-$A49-1)*Objects!$X$4,0)</f>
        <v>0</v>
      </c>
      <c r="DF49">
        <f ca="1">OFFSET(Objects!$HW$6,DF$1+(Objects!$Y$4-$A49-1)*Objects!$X$4,0)</f>
        <v>0</v>
      </c>
      <c r="DG49">
        <f ca="1">OFFSET(Objects!$HW$6,DG$1+(Objects!$Y$4-$A49-1)*Objects!$X$4,0)</f>
        <v>0</v>
      </c>
      <c r="DH49">
        <f ca="1">OFFSET(Objects!$HW$6,DH$1+(Objects!$Y$4-$A49-1)*Objects!$X$4,0)</f>
        <v>0</v>
      </c>
      <c r="DI49">
        <f ca="1">OFFSET(Objects!$HW$6,DI$1+(Objects!$Y$4-$A49-1)*Objects!$X$4,0)</f>
        <v>0</v>
      </c>
      <c r="DJ49">
        <f ca="1">OFFSET(Objects!$HW$6,DJ$1+(Objects!$Y$4-$A49-1)*Objects!$X$4,0)</f>
        <v>0</v>
      </c>
      <c r="DK49">
        <f ca="1">OFFSET(Objects!$HW$6,DK$1+(Objects!$Y$4-$A49-1)*Objects!$X$4,0)</f>
        <v>0</v>
      </c>
      <c r="DL49">
        <f ca="1">OFFSET(Objects!$HW$6,DL$1+(Objects!$Y$4-$A49-1)*Objects!$X$4,0)</f>
        <v>0</v>
      </c>
      <c r="DM49">
        <f ca="1">OFFSET(Objects!$HW$6,DM$1+(Objects!$Y$4-$A49-1)*Objects!$X$4,0)</f>
        <v>0</v>
      </c>
      <c r="DN49">
        <f ca="1">OFFSET(Objects!$HW$6,DN$1+(Objects!$Y$4-$A49-1)*Objects!$X$4,0)</f>
        <v>0</v>
      </c>
      <c r="DO49">
        <f ca="1">OFFSET(Objects!$HW$6,DO$1+(Objects!$Y$4-$A49-1)*Objects!$X$4,0)</f>
        <v>0</v>
      </c>
      <c r="DP49">
        <f ca="1">OFFSET(Objects!$HW$6,DP$1+(Objects!$Y$4-$A49-1)*Objects!$X$4,0)</f>
        <v>0</v>
      </c>
      <c r="DQ49">
        <f ca="1">OFFSET(Objects!$HW$6,DQ$1+(Objects!$Y$4-$A49-1)*Objects!$X$4,0)</f>
        <v>0</v>
      </c>
      <c r="DR49">
        <f ca="1">OFFSET(Objects!$HW$6,DR$1+(Objects!$Y$4-$A49-1)*Objects!$X$4,0)</f>
        <v>0</v>
      </c>
      <c r="DS49">
        <f ca="1">OFFSET(Objects!$HW$6,DS$1+(Objects!$Y$4-$A49-1)*Objects!$X$4,0)</f>
        <v>0</v>
      </c>
      <c r="DT49">
        <f ca="1">OFFSET(Objects!$HW$6,DT$1+(Objects!$Y$4-$A49-1)*Objects!$X$4,0)</f>
        <v>0</v>
      </c>
      <c r="DU49">
        <f ca="1">OFFSET(Objects!$HW$6,DU$1+(Objects!$Y$4-$A49-1)*Objects!$X$4,0)</f>
        <v>0</v>
      </c>
      <c r="DV49">
        <f ca="1">OFFSET(Objects!$HW$6,DV$1+(Objects!$Y$4-$A49-1)*Objects!$X$4,0)</f>
        <v>0</v>
      </c>
      <c r="DW49">
        <f ca="1">OFFSET(Objects!$HW$6,DW$1+(Objects!$Y$4-$A49-1)*Objects!$X$4,0)</f>
        <v>0</v>
      </c>
      <c r="DX49">
        <f ca="1">OFFSET(Objects!$HW$6,DX$1+(Objects!$Y$4-$A49-1)*Objects!$X$4,0)</f>
        <v>0</v>
      </c>
      <c r="DY49">
        <f ca="1">OFFSET(Objects!$HW$6,DY$1+(Objects!$Y$4-$A49-1)*Objects!$X$4,0)</f>
        <v>0</v>
      </c>
      <c r="DZ49">
        <f ca="1">OFFSET(Objects!$HW$6,DZ$1+(Objects!$Y$4-$A49-1)*Objects!$X$4,0)</f>
        <v>0</v>
      </c>
      <c r="EA49">
        <f ca="1">OFFSET(Objects!$HW$6,EA$1+(Objects!$Y$4-$A49-1)*Objects!$X$4,0)</f>
        <v>0</v>
      </c>
      <c r="EB49">
        <f ca="1">OFFSET(Objects!$HW$6,EB$1+(Objects!$Y$4-$A49-1)*Objects!$X$4,0)</f>
        <v>0</v>
      </c>
      <c r="EC49">
        <f ca="1">OFFSET(Objects!$HW$6,EC$1+(Objects!$Y$4-$A49-1)*Objects!$X$4,0)</f>
        <v>0</v>
      </c>
      <c r="ED49">
        <f ca="1">OFFSET(Objects!$HW$6,ED$1+(Objects!$Y$4-$A49-1)*Objects!$X$4,0)</f>
        <v>0</v>
      </c>
      <c r="EE49">
        <f ca="1">OFFSET(Objects!$HW$6,EE$1+(Objects!$Y$4-$A49-1)*Objects!$X$4,0)</f>
        <v>0</v>
      </c>
      <c r="EF49">
        <f ca="1">OFFSET(Objects!$HW$6,EF$1+(Objects!$Y$4-$A49-1)*Objects!$X$4,0)</f>
        <v>0</v>
      </c>
      <c r="EG49">
        <f ca="1">OFFSET(Objects!$HW$6,EG$1+(Objects!$Y$4-$A49-1)*Objects!$X$4,0)</f>
        <v>0</v>
      </c>
      <c r="EH49">
        <f ca="1">OFFSET(Objects!$HW$6,EH$1+(Objects!$Y$4-$A49-1)*Objects!$X$4,0)</f>
        <v>0</v>
      </c>
      <c r="EI49">
        <f ca="1">OFFSET(Objects!$HW$6,EI$1+(Objects!$Y$4-$A49-1)*Objects!$X$4,0)</f>
        <v>0</v>
      </c>
      <c r="EJ49">
        <f ca="1">OFFSET(Objects!$HW$6,EJ$1+(Objects!$Y$4-$A49-1)*Objects!$X$4,0)</f>
        <v>0</v>
      </c>
      <c r="EK49">
        <f ca="1">OFFSET(Objects!$HW$6,EK$1+(Objects!$Y$4-$A49-1)*Objects!$X$4,0)</f>
        <v>0</v>
      </c>
      <c r="EL49">
        <f ca="1">OFFSET(Objects!$HW$6,EL$1+(Objects!$Y$4-$A49-1)*Objects!$X$4,0)</f>
        <v>0</v>
      </c>
      <c r="EM49">
        <f ca="1">OFFSET(Objects!$HW$6,EM$1+(Objects!$Y$4-$A49-1)*Objects!$X$4,0)</f>
        <v>0</v>
      </c>
      <c r="EN49">
        <f ca="1">OFFSET(Objects!$HW$6,EN$1+(Objects!$Y$4-$A49-1)*Objects!$X$4,0)</f>
        <v>0</v>
      </c>
      <c r="EO49">
        <f ca="1">OFFSET(Objects!$HW$6,EO$1+(Objects!$Y$4-$A49-1)*Objects!$X$4,0)</f>
        <v>0</v>
      </c>
      <c r="EP49">
        <f ca="1">OFFSET(Objects!$HW$6,EP$1+(Objects!$Y$4-$A49-1)*Objects!$X$4,0)</f>
        <v>0</v>
      </c>
      <c r="EQ49">
        <f ca="1">OFFSET(Objects!$HW$6,EQ$1+(Objects!$Y$4-$A49-1)*Objects!$X$4,0)</f>
        <v>0</v>
      </c>
      <c r="ER49">
        <f ca="1">OFFSET(Objects!$HW$6,ER$1+(Objects!$Y$4-$A49-1)*Objects!$X$4,0)</f>
        <v>0</v>
      </c>
      <c r="ES49">
        <f ca="1">OFFSET(Objects!$HW$6,ES$1+(Objects!$Y$4-$A49-1)*Objects!$X$4,0)</f>
        <v>0</v>
      </c>
      <c r="ET49">
        <f ca="1">OFFSET(Objects!$HW$6,ET$1+(Objects!$Y$4-$A49-1)*Objects!$X$4,0)</f>
        <v>0</v>
      </c>
      <c r="EU49">
        <f ca="1">OFFSET(Objects!$HW$6,EU$1+(Objects!$Y$4-$A49-1)*Objects!$X$4,0)</f>
        <v>0</v>
      </c>
      <c r="EV49">
        <f ca="1">OFFSET(Objects!$HW$6,EV$1+(Objects!$Y$4-$A49-1)*Objects!$X$4,0)</f>
        <v>0</v>
      </c>
      <c r="EW49">
        <f ca="1">OFFSET(Objects!$HW$6,EW$1+(Objects!$Y$4-$A49-1)*Objects!$X$4,0)</f>
        <v>0</v>
      </c>
      <c r="EX49">
        <f ca="1">OFFSET(Objects!$HW$6,EX$1+(Objects!$Y$4-$A49-1)*Objects!$X$4,0)</f>
        <v>0</v>
      </c>
      <c r="EY49">
        <f ca="1">OFFSET(Objects!$HW$6,EY$1+(Objects!$Y$4-$A49-1)*Objects!$X$4,0)</f>
        <v>0</v>
      </c>
      <c r="EZ49">
        <f ca="1">OFFSET(Objects!$HW$6,EZ$1+(Objects!$Y$4-$A49-1)*Objects!$X$4,0)</f>
        <v>0</v>
      </c>
      <c r="FA49">
        <f ca="1">OFFSET(Objects!$HW$6,FA$1+(Objects!$Y$4-$A49-1)*Objects!$X$4,0)</f>
        <v>0</v>
      </c>
      <c r="FB49">
        <f ca="1">OFFSET(Objects!$HW$6,FB$1+(Objects!$Y$4-$A49-1)*Objects!$X$4,0)</f>
        <v>0</v>
      </c>
      <c r="FC49">
        <f ca="1">OFFSET(Objects!$HW$6,FC$1+(Objects!$Y$4-$A49-1)*Objects!$X$4,0)</f>
        <v>0</v>
      </c>
      <c r="FD49">
        <f ca="1">OFFSET(Objects!$HW$6,FD$1+(Objects!$Y$4-$A49-1)*Objects!$X$4,0)</f>
        <v>0</v>
      </c>
      <c r="FE49" s="22">
        <f ca="1">OFFSET(Objects!$HW$6,FE$1+(Objects!$Y$4-$A49-1)*Objects!$X$4,0)</f>
        <v>0</v>
      </c>
    </row>
    <row r="50" spans="1:161" ht="4.5" customHeight="1" x14ac:dyDescent="0.25">
      <c r="A50">
        <v>48</v>
      </c>
      <c r="B50" s="21">
        <f ca="1">OFFSET(Objects!$HW$6,B$1+(Objects!$Y$4-$A50-1)*Objects!$X$4,0)</f>
        <v>0</v>
      </c>
      <c r="C50">
        <f ca="1">OFFSET(Objects!$HW$6,C$1+(Objects!$Y$4-$A50-1)*Objects!$X$4,0)</f>
        <v>0</v>
      </c>
      <c r="D50">
        <f ca="1">OFFSET(Objects!$HW$6,D$1+(Objects!$Y$4-$A50-1)*Objects!$X$4,0)</f>
        <v>0</v>
      </c>
      <c r="E50">
        <f ca="1">OFFSET(Objects!$HW$6,E$1+(Objects!$Y$4-$A50-1)*Objects!$X$4,0)</f>
        <v>0</v>
      </c>
      <c r="F50">
        <f ca="1">OFFSET(Objects!$HW$6,F$1+(Objects!$Y$4-$A50-1)*Objects!$X$4,0)</f>
        <v>0</v>
      </c>
      <c r="G50">
        <f ca="1">OFFSET(Objects!$HW$6,G$1+(Objects!$Y$4-$A50-1)*Objects!$X$4,0)</f>
        <v>0</v>
      </c>
      <c r="H50">
        <f ca="1">OFFSET(Objects!$HW$6,H$1+(Objects!$Y$4-$A50-1)*Objects!$X$4,0)</f>
        <v>0</v>
      </c>
      <c r="I50">
        <f ca="1">OFFSET(Objects!$HW$6,I$1+(Objects!$Y$4-$A50-1)*Objects!$X$4,0)</f>
        <v>0</v>
      </c>
      <c r="J50">
        <f ca="1">OFFSET(Objects!$HW$6,J$1+(Objects!$Y$4-$A50-1)*Objects!$X$4,0)</f>
        <v>0</v>
      </c>
      <c r="K50">
        <f ca="1">OFFSET(Objects!$HW$6,K$1+(Objects!$Y$4-$A50-1)*Objects!$X$4,0)</f>
        <v>0</v>
      </c>
      <c r="L50">
        <f ca="1">OFFSET(Objects!$HW$6,L$1+(Objects!$Y$4-$A50-1)*Objects!$X$4,0)</f>
        <v>0</v>
      </c>
      <c r="M50">
        <f ca="1">OFFSET(Objects!$HW$6,M$1+(Objects!$Y$4-$A50-1)*Objects!$X$4,0)</f>
        <v>0</v>
      </c>
      <c r="N50">
        <f ca="1">OFFSET(Objects!$HW$6,N$1+(Objects!$Y$4-$A50-1)*Objects!$X$4,0)</f>
        <v>0</v>
      </c>
      <c r="O50">
        <f ca="1">OFFSET(Objects!$HW$6,O$1+(Objects!$Y$4-$A50-1)*Objects!$X$4,0)</f>
        <v>0</v>
      </c>
      <c r="P50">
        <f ca="1">OFFSET(Objects!$HW$6,P$1+(Objects!$Y$4-$A50-1)*Objects!$X$4,0)</f>
        <v>0</v>
      </c>
      <c r="Q50">
        <f ca="1">OFFSET(Objects!$HW$6,Q$1+(Objects!$Y$4-$A50-1)*Objects!$X$4,0)</f>
        <v>0</v>
      </c>
      <c r="R50">
        <f ca="1">OFFSET(Objects!$HW$6,R$1+(Objects!$Y$4-$A50-1)*Objects!$X$4,0)</f>
        <v>0</v>
      </c>
      <c r="S50">
        <f ca="1">OFFSET(Objects!$HW$6,S$1+(Objects!$Y$4-$A50-1)*Objects!$X$4,0)</f>
        <v>0</v>
      </c>
      <c r="T50">
        <f ca="1">OFFSET(Objects!$HW$6,T$1+(Objects!$Y$4-$A50-1)*Objects!$X$4,0)</f>
        <v>0</v>
      </c>
      <c r="U50">
        <f ca="1">OFFSET(Objects!$HW$6,U$1+(Objects!$Y$4-$A50-1)*Objects!$X$4,0)</f>
        <v>0</v>
      </c>
      <c r="V50">
        <f ca="1">OFFSET(Objects!$HW$6,V$1+(Objects!$Y$4-$A50-1)*Objects!$X$4,0)</f>
        <v>0</v>
      </c>
      <c r="W50">
        <f ca="1">OFFSET(Objects!$HW$6,W$1+(Objects!$Y$4-$A50-1)*Objects!$X$4,0)</f>
        <v>0</v>
      </c>
      <c r="X50">
        <f ca="1">OFFSET(Objects!$HW$6,X$1+(Objects!$Y$4-$A50-1)*Objects!$X$4,0)</f>
        <v>0</v>
      </c>
      <c r="Y50">
        <f ca="1">OFFSET(Objects!$HW$6,Y$1+(Objects!$Y$4-$A50-1)*Objects!$X$4,0)</f>
        <v>0</v>
      </c>
      <c r="Z50">
        <f ca="1">OFFSET(Objects!$HW$6,Z$1+(Objects!$Y$4-$A50-1)*Objects!$X$4,0)</f>
        <v>0</v>
      </c>
      <c r="AA50">
        <f ca="1">OFFSET(Objects!$HW$6,AA$1+(Objects!$Y$4-$A50-1)*Objects!$X$4,0)</f>
        <v>0</v>
      </c>
      <c r="AB50">
        <f ca="1">OFFSET(Objects!$HW$6,AB$1+(Objects!$Y$4-$A50-1)*Objects!$X$4,0)</f>
        <v>0</v>
      </c>
      <c r="AC50">
        <f ca="1">OFFSET(Objects!$HW$6,AC$1+(Objects!$Y$4-$A50-1)*Objects!$X$4,0)</f>
        <v>0</v>
      </c>
      <c r="AD50">
        <f ca="1">OFFSET(Objects!$HW$6,AD$1+(Objects!$Y$4-$A50-1)*Objects!$X$4,0)</f>
        <v>0</v>
      </c>
      <c r="AE50">
        <f ca="1">OFFSET(Objects!$HW$6,AE$1+(Objects!$Y$4-$A50-1)*Objects!$X$4,0)</f>
        <v>0</v>
      </c>
      <c r="AF50">
        <f ca="1">OFFSET(Objects!$HW$6,AF$1+(Objects!$Y$4-$A50-1)*Objects!$X$4,0)</f>
        <v>0</v>
      </c>
      <c r="AG50">
        <f ca="1">OFFSET(Objects!$HW$6,AG$1+(Objects!$Y$4-$A50-1)*Objects!$X$4,0)</f>
        <v>0</v>
      </c>
      <c r="AH50">
        <f ca="1">OFFSET(Objects!$HW$6,AH$1+(Objects!$Y$4-$A50-1)*Objects!$X$4,0)</f>
        <v>0</v>
      </c>
      <c r="AI50">
        <f ca="1">OFFSET(Objects!$HW$6,AI$1+(Objects!$Y$4-$A50-1)*Objects!$X$4,0)</f>
        <v>0</v>
      </c>
      <c r="AJ50">
        <f ca="1">OFFSET(Objects!$HW$6,AJ$1+(Objects!$Y$4-$A50-1)*Objects!$X$4,0)</f>
        <v>0</v>
      </c>
      <c r="AK50">
        <f ca="1">OFFSET(Objects!$HW$6,AK$1+(Objects!$Y$4-$A50-1)*Objects!$X$4,0)</f>
        <v>0</v>
      </c>
      <c r="AL50">
        <f ca="1">OFFSET(Objects!$HW$6,AL$1+(Objects!$Y$4-$A50-1)*Objects!$X$4,0)</f>
        <v>0</v>
      </c>
      <c r="AM50">
        <f ca="1">OFFSET(Objects!$HW$6,AM$1+(Objects!$Y$4-$A50-1)*Objects!$X$4,0)</f>
        <v>0</v>
      </c>
      <c r="AN50">
        <f ca="1">OFFSET(Objects!$HW$6,AN$1+(Objects!$Y$4-$A50-1)*Objects!$X$4,0)</f>
        <v>0</v>
      </c>
      <c r="AO50">
        <f ca="1">OFFSET(Objects!$HW$6,AO$1+(Objects!$Y$4-$A50-1)*Objects!$X$4,0)</f>
        <v>0</v>
      </c>
      <c r="AP50">
        <f ca="1">OFFSET(Objects!$HW$6,AP$1+(Objects!$Y$4-$A50-1)*Objects!$X$4,0)</f>
        <v>0</v>
      </c>
      <c r="AQ50">
        <f ca="1">OFFSET(Objects!$HW$6,AQ$1+(Objects!$Y$4-$A50-1)*Objects!$X$4,0)</f>
        <v>0</v>
      </c>
      <c r="AR50">
        <f ca="1">OFFSET(Objects!$HW$6,AR$1+(Objects!$Y$4-$A50-1)*Objects!$X$4,0)</f>
        <v>0</v>
      </c>
      <c r="AS50">
        <f ca="1">OFFSET(Objects!$HW$6,AS$1+(Objects!$Y$4-$A50-1)*Objects!$X$4,0)</f>
        <v>0</v>
      </c>
      <c r="AT50">
        <f ca="1">OFFSET(Objects!$HW$6,AT$1+(Objects!$Y$4-$A50-1)*Objects!$X$4,0)</f>
        <v>0</v>
      </c>
      <c r="AU50">
        <f ca="1">OFFSET(Objects!$HW$6,AU$1+(Objects!$Y$4-$A50-1)*Objects!$X$4,0)</f>
        <v>0</v>
      </c>
      <c r="AV50">
        <f ca="1">OFFSET(Objects!$HW$6,AV$1+(Objects!$Y$4-$A50-1)*Objects!$X$4,0)</f>
        <v>0</v>
      </c>
      <c r="AW50">
        <f ca="1">OFFSET(Objects!$HW$6,AW$1+(Objects!$Y$4-$A50-1)*Objects!$X$4,0)</f>
        <v>0</v>
      </c>
      <c r="AX50">
        <f ca="1">OFFSET(Objects!$HW$6,AX$1+(Objects!$Y$4-$A50-1)*Objects!$X$4,0)</f>
        <v>0</v>
      </c>
      <c r="AY50">
        <f ca="1">OFFSET(Objects!$HW$6,AY$1+(Objects!$Y$4-$A50-1)*Objects!$X$4,0)</f>
        <v>0</v>
      </c>
      <c r="AZ50">
        <f ca="1">OFFSET(Objects!$HW$6,AZ$1+(Objects!$Y$4-$A50-1)*Objects!$X$4,0)</f>
        <v>0</v>
      </c>
      <c r="BA50">
        <f ca="1">OFFSET(Objects!$HW$6,BA$1+(Objects!$Y$4-$A50-1)*Objects!$X$4,0)</f>
        <v>0</v>
      </c>
      <c r="BB50">
        <f ca="1">OFFSET(Objects!$HW$6,BB$1+(Objects!$Y$4-$A50-1)*Objects!$X$4,0)</f>
        <v>0</v>
      </c>
      <c r="BC50">
        <f ca="1">OFFSET(Objects!$HW$6,BC$1+(Objects!$Y$4-$A50-1)*Objects!$X$4,0)</f>
        <v>0</v>
      </c>
      <c r="BD50">
        <f ca="1">OFFSET(Objects!$HW$6,BD$1+(Objects!$Y$4-$A50-1)*Objects!$X$4,0)</f>
        <v>0</v>
      </c>
      <c r="BE50">
        <f ca="1">OFFSET(Objects!$HW$6,BE$1+(Objects!$Y$4-$A50-1)*Objects!$X$4,0)</f>
        <v>0</v>
      </c>
      <c r="BF50">
        <f ca="1">OFFSET(Objects!$HW$6,BF$1+(Objects!$Y$4-$A50-1)*Objects!$X$4,0)</f>
        <v>0</v>
      </c>
      <c r="BG50">
        <f ca="1">OFFSET(Objects!$HW$6,BG$1+(Objects!$Y$4-$A50-1)*Objects!$X$4,0)</f>
        <v>0</v>
      </c>
      <c r="BH50">
        <f ca="1">OFFSET(Objects!$HW$6,BH$1+(Objects!$Y$4-$A50-1)*Objects!$X$4,0)</f>
        <v>0</v>
      </c>
      <c r="BI50">
        <f ca="1">OFFSET(Objects!$HW$6,BI$1+(Objects!$Y$4-$A50-1)*Objects!$X$4,0)</f>
        <v>0</v>
      </c>
      <c r="BJ50">
        <f ca="1">OFFSET(Objects!$HW$6,BJ$1+(Objects!$Y$4-$A50-1)*Objects!$X$4,0)</f>
        <v>0</v>
      </c>
      <c r="BK50">
        <f ca="1">OFFSET(Objects!$HW$6,BK$1+(Objects!$Y$4-$A50-1)*Objects!$X$4,0)</f>
        <v>0</v>
      </c>
      <c r="BL50">
        <f ca="1">OFFSET(Objects!$HW$6,BL$1+(Objects!$Y$4-$A50-1)*Objects!$X$4,0)</f>
        <v>0</v>
      </c>
      <c r="BM50">
        <f ca="1">OFFSET(Objects!$HW$6,BM$1+(Objects!$Y$4-$A50-1)*Objects!$X$4,0)</f>
        <v>0</v>
      </c>
      <c r="BN50">
        <f ca="1">OFFSET(Objects!$HW$6,BN$1+(Objects!$Y$4-$A50-1)*Objects!$X$4,0)</f>
        <v>0</v>
      </c>
      <c r="BO50">
        <f ca="1">OFFSET(Objects!$HW$6,BO$1+(Objects!$Y$4-$A50-1)*Objects!$X$4,0)</f>
        <v>0</v>
      </c>
      <c r="BP50">
        <f ca="1">OFFSET(Objects!$HW$6,BP$1+(Objects!$Y$4-$A50-1)*Objects!$X$4,0)</f>
        <v>0</v>
      </c>
      <c r="BQ50">
        <f ca="1">OFFSET(Objects!$HW$6,BQ$1+(Objects!$Y$4-$A50-1)*Objects!$X$4,0)</f>
        <v>0</v>
      </c>
      <c r="BR50">
        <f ca="1">OFFSET(Objects!$HW$6,BR$1+(Objects!$Y$4-$A50-1)*Objects!$X$4,0)</f>
        <v>0</v>
      </c>
      <c r="BS50">
        <f ca="1">OFFSET(Objects!$HW$6,BS$1+(Objects!$Y$4-$A50-1)*Objects!$X$4,0)</f>
        <v>0</v>
      </c>
      <c r="BT50">
        <f ca="1">OFFSET(Objects!$HW$6,BT$1+(Objects!$Y$4-$A50-1)*Objects!$X$4,0)</f>
        <v>0</v>
      </c>
      <c r="BU50">
        <f ca="1">OFFSET(Objects!$HW$6,BU$1+(Objects!$Y$4-$A50-1)*Objects!$X$4,0)</f>
        <v>0</v>
      </c>
      <c r="BV50">
        <f ca="1">OFFSET(Objects!$HW$6,BV$1+(Objects!$Y$4-$A50-1)*Objects!$X$4,0)</f>
        <v>0</v>
      </c>
      <c r="BW50">
        <f ca="1">OFFSET(Objects!$HW$6,BW$1+(Objects!$Y$4-$A50-1)*Objects!$X$4,0)</f>
        <v>0</v>
      </c>
      <c r="BX50">
        <f ca="1">OFFSET(Objects!$HW$6,BX$1+(Objects!$Y$4-$A50-1)*Objects!$X$4,0)</f>
        <v>0</v>
      </c>
      <c r="BY50">
        <f ca="1">OFFSET(Objects!$HW$6,BY$1+(Objects!$Y$4-$A50-1)*Objects!$X$4,0)</f>
        <v>0</v>
      </c>
      <c r="BZ50">
        <f ca="1">OFFSET(Objects!$HW$6,BZ$1+(Objects!$Y$4-$A50-1)*Objects!$X$4,0)</f>
        <v>0</v>
      </c>
      <c r="CA50">
        <f ca="1">OFFSET(Objects!$HW$6,CA$1+(Objects!$Y$4-$A50-1)*Objects!$X$4,0)</f>
        <v>0</v>
      </c>
      <c r="CB50">
        <f ca="1">OFFSET(Objects!$HW$6,CB$1+(Objects!$Y$4-$A50-1)*Objects!$X$4,0)</f>
        <v>0</v>
      </c>
      <c r="CC50">
        <f ca="1">OFFSET(Objects!$HW$6,CC$1+(Objects!$Y$4-$A50-1)*Objects!$X$4,0)</f>
        <v>0</v>
      </c>
      <c r="CD50">
        <f ca="1">OFFSET(Objects!$HW$6,CD$1+(Objects!$Y$4-$A50-1)*Objects!$X$4,0)</f>
        <v>0</v>
      </c>
      <c r="CE50">
        <f ca="1">OFFSET(Objects!$HW$6,CE$1+(Objects!$Y$4-$A50-1)*Objects!$X$4,0)</f>
        <v>0</v>
      </c>
      <c r="CF50">
        <f ca="1">OFFSET(Objects!$HW$6,CF$1+(Objects!$Y$4-$A50-1)*Objects!$X$4,0)</f>
        <v>0</v>
      </c>
      <c r="CG50">
        <f ca="1">OFFSET(Objects!$HW$6,CG$1+(Objects!$Y$4-$A50-1)*Objects!$X$4,0)</f>
        <v>0</v>
      </c>
      <c r="CH50">
        <f ca="1">OFFSET(Objects!$HW$6,CH$1+(Objects!$Y$4-$A50-1)*Objects!$X$4,0)</f>
        <v>0</v>
      </c>
      <c r="CI50">
        <f ca="1">OFFSET(Objects!$HW$6,CI$1+(Objects!$Y$4-$A50-1)*Objects!$X$4,0)</f>
        <v>0</v>
      </c>
      <c r="CJ50">
        <f ca="1">OFFSET(Objects!$HW$6,CJ$1+(Objects!$Y$4-$A50-1)*Objects!$X$4,0)</f>
        <v>0</v>
      </c>
      <c r="CK50">
        <f ca="1">OFFSET(Objects!$HW$6,CK$1+(Objects!$Y$4-$A50-1)*Objects!$X$4,0)</f>
        <v>0</v>
      </c>
      <c r="CL50">
        <f ca="1">OFFSET(Objects!$HW$6,CL$1+(Objects!$Y$4-$A50-1)*Objects!$X$4,0)</f>
        <v>0</v>
      </c>
      <c r="CM50">
        <f ca="1">OFFSET(Objects!$HW$6,CM$1+(Objects!$Y$4-$A50-1)*Objects!$X$4,0)</f>
        <v>0</v>
      </c>
      <c r="CN50">
        <f ca="1">OFFSET(Objects!$HW$6,CN$1+(Objects!$Y$4-$A50-1)*Objects!$X$4,0)</f>
        <v>0</v>
      </c>
      <c r="CO50">
        <f ca="1">OFFSET(Objects!$HW$6,CO$1+(Objects!$Y$4-$A50-1)*Objects!$X$4,0)</f>
        <v>0</v>
      </c>
      <c r="CP50">
        <f ca="1">OFFSET(Objects!$HW$6,CP$1+(Objects!$Y$4-$A50-1)*Objects!$X$4,0)</f>
        <v>0</v>
      </c>
      <c r="CQ50">
        <f ca="1">OFFSET(Objects!$HW$6,CQ$1+(Objects!$Y$4-$A50-1)*Objects!$X$4,0)</f>
        <v>0</v>
      </c>
      <c r="CR50">
        <f ca="1">OFFSET(Objects!$HW$6,CR$1+(Objects!$Y$4-$A50-1)*Objects!$X$4,0)</f>
        <v>0</v>
      </c>
      <c r="CS50">
        <f ca="1">OFFSET(Objects!$HW$6,CS$1+(Objects!$Y$4-$A50-1)*Objects!$X$4,0)</f>
        <v>0</v>
      </c>
      <c r="CT50">
        <f ca="1">OFFSET(Objects!$HW$6,CT$1+(Objects!$Y$4-$A50-1)*Objects!$X$4,0)</f>
        <v>0</v>
      </c>
      <c r="CU50">
        <f ca="1">OFFSET(Objects!$HW$6,CU$1+(Objects!$Y$4-$A50-1)*Objects!$X$4,0)</f>
        <v>0</v>
      </c>
      <c r="CV50">
        <f ca="1">OFFSET(Objects!$HW$6,CV$1+(Objects!$Y$4-$A50-1)*Objects!$X$4,0)</f>
        <v>0</v>
      </c>
      <c r="CW50">
        <f ca="1">OFFSET(Objects!$HW$6,CW$1+(Objects!$Y$4-$A50-1)*Objects!$X$4,0)</f>
        <v>0</v>
      </c>
      <c r="CX50">
        <f ca="1">OFFSET(Objects!$HW$6,CX$1+(Objects!$Y$4-$A50-1)*Objects!$X$4,0)</f>
        <v>0</v>
      </c>
      <c r="CY50">
        <f ca="1">OFFSET(Objects!$HW$6,CY$1+(Objects!$Y$4-$A50-1)*Objects!$X$4,0)</f>
        <v>0</v>
      </c>
      <c r="CZ50">
        <f ca="1">OFFSET(Objects!$HW$6,CZ$1+(Objects!$Y$4-$A50-1)*Objects!$X$4,0)</f>
        <v>0</v>
      </c>
      <c r="DA50">
        <f ca="1">OFFSET(Objects!$HW$6,DA$1+(Objects!$Y$4-$A50-1)*Objects!$X$4,0)</f>
        <v>0</v>
      </c>
      <c r="DB50">
        <f ca="1">OFFSET(Objects!$HW$6,DB$1+(Objects!$Y$4-$A50-1)*Objects!$X$4,0)</f>
        <v>0</v>
      </c>
      <c r="DC50">
        <f ca="1">OFFSET(Objects!$HW$6,DC$1+(Objects!$Y$4-$A50-1)*Objects!$X$4,0)</f>
        <v>0</v>
      </c>
      <c r="DD50">
        <f ca="1">OFFSET(Objects!$HW$6,DD$1+(Objects!$Y$4-$A50-1)*Objects!$X$4,0)</f>
        <v>0</v>
      </c>
      <c r="DE50">
        <f ca="1">OFFSET(Objects!$HW$6,DE$1+(Objects!$Y$4-$A50-1)*Objects!$X$4,0)</f>
        <v>0</v>
      </c>
      <c r="DF50">
        <f ca="1">OFFSET(Objects!$HW$6,DF$1+(Objects!$Y$4-$A50-1)*Objects!$X$4,0)</f>
        <v>0</v>
      </c>
      <c r="DG50">
        <f ca="1">OFFSET(Objects!$HW$6,DG$1+(Objects!$Y$4-$A50-1)*Objects!$X$4,0)</f>
        <v>0</v>
      </c>
      <c r="DH50">
        <f ca="1">OFFSET(Objects!$HW$6,DH$1+(Objects!$Y$4-$A50-1)*Objects!$X$4,0)</f>
        <v>0</v>
      </c>
      <c r="DI50">
        <f ca="1">OFFSET(Objects!$HW$6,DI$1+(Objects!$Y$4-$A50-1)*Objects!$X$4,0)</f>
        <v>0</v>
      </c>
      <c r="DJ50">
        <f ca="1">OFFSET(Objects!$HW$6,DJ$1+(Objects!$Y$4-$A50-1)*Objects!$X$4,0)</f>
        <v>0</v>
      </c>
      <c r="DK50">
        <f ca="1">OFFSET(Objects!$HW$6,DK$1+(Objects!$Y$4-$A50-1)*Objects!$X$4,0)</f>
        <v>0</v>
      </c>
      <c r="DL50">
        <f ca="1">OFFSET(Objects!$HW$6,DL$1+(Objects!$Y$4-$A50-1)*Objects!$X$4,0)</f>
        <v>0</v>
      </c>
      <c r="DM50">
        <f ca="1">OFFSET(Objects!$HW$6,DM$1+(Objects!$Y$4-$A50-1)*Objects!$X$4,0)</f>
        <v>0</v>
      </c>
      <c r="DN50">
        <f ca="1">OFFSET(Objects!$HW$6,DN$1+(Objects!$Y$4-$A50-1)*Objects!$X$4,0)</f>
        <v>0</v>
      </c>
      <c r="DO50">
        <f ca="1">OFFSET(Objects!$HW$6,DO$1+(Objects!$Y$4-$A50-1)*Objects!$X$4,0)</f>
        <v>0</v>
      </c>
      <c r="DP50">
        <f ca="1">OFFSET(Objects!$HW$6,DP$1+(Objects!$Y$4-$A50-1)*Objects!$X$4,0)</f>
        <v>0</v>
      </c>
      <c r="DQ50">
        <f ca="1">OFFSET(Objects!$HW$6,DQ$1+(Objects!$Y$4-$A50-1)*Objects!$X$4,0)</f>
        <v>0</v>
      </c>
      <c r="DR50">
        <f ca="1">OFFSET(Objects!$HW$6,DR$1+(Objects!$Y$4-$A50-1)*Objects!$X$4,0)</f>
        <v>0</v>
      </c>
      <c r="DS50">
        <f ca="1">OFFSET(Objects!$HW$6,DS$1+(Objects!$Y$4-$A50-1)*Objects!$X$4,0)</f>
        <v>0</v>
      </c>
      <c r="DT50">
        <f ca="1">OFFSET(Objects!$HW$6,DT$1+(Objects!$Y$4-$A50-1)*Objects!$X$4,0)</f>
        <v>0</v>
      </c>
      <c r="DU50">
        <f ca="1">OFFSET(Objects!$HW$6,DU$1+(Objects!$Y$4-$A50-1)*Objects!$X$4,0)</f>
        <v>0</v>
      </c>
      <c r="DV50">
        <f ca="1">OFFSET(Objects!$HW$6,DV$1+(Objects!$Y$4-$A50-1)*Objects!$X$4,0)</f>
        <v>0</v>
      </c>
      <c r="DW50">
        <f ca="1">OFFSET(Objects!$HW$6,DW$1+(Objects!$Y$4-$A50-1)*Objects!$X$4,0)</f>
        <v>0</v>
      </c>
      <c r="DX50">
        <f ca="1">OFFSET(Objects!$HW$6,DX$1+(Objects!$Y$4-$A50-1)*Objects!$X$4,0)</f>
        <v>0</v>
      </c>
      <c r="DY50">
        <f ca="1">OFFSET(Objects!$HW$6,DY$1+(Objects!$Y$4-$A50-1)*Objects!$X$4,0)</f>
        <v>0</v>
      </c>
      <c r="DZ50">
        <f ca="1">OFFSET(Objects!$HW$6,DZ$1+(Objects!$Y$4-$A50-1)*Objects!$X$4,0)</f>
        <v>0</v>
      </c>
      <c r="EA50">
        <f ca="1">OFFSET(Objects!$HW$6,EA$1+(Objects!$Y$4-$A50-1)*Objects!$X$4,0)</f>
        <v>0</v>
      </c>
      <c r="EB50">
        <f ca="1">OFFSET(Objects!$HW$6,EB$1+(Objects!$Y$4-$A50-1)*Objects!$X$4,0)</f>
        <v>0</v>
      </c>
      <c r="EC50">
        <f ca="1">OFFSET(Objects!$HW$6,EC$1+(Objects!$Y$4-$A50-1)*Objects!$X$4,0)</f>
        <v>0</v>
      </c>
      <c r="ED50">
        <f ca="1">OFFSET(Objects!$HW$6,ED$1+(Objects!$Y$4-$A50-1)*Objects!$X$4,0)</f>
        <v>0</v>
      </c>
      <c r="EE50">
        <f ca="1">OFFSET(Objects!$HW$6,EE$1+(Objects!$Y$4-$A50-1)*Objects!$X$4,0)</f>
        <v>0</v>
      </c>
      <c r="EF50">
        <f ca="1">OFFSET(Objects!$HW$6,EF$1+(Objects!$Y$4-$A50-1)*Objects!$X$4,0)</f>
        <v>0</v>
      </c>
      <c r="EG50">
        <f ca="1">OFFSET(Objects!$HW$6,EG$1+(Objects!$Y$4-$A50-1)*Objects!$X$4,0)</f>
        <v>0</v>
      </c>
      <c r="EH50">
        <f ca="1">OFFSET(Objects!$HW$6,EH$1+(Objects!$Y$4-$A50-1)*Objects!$X$4,0)</f>
        <v>0</v>
      </c>
      <c r="EI50">
        <f ca="1">OFFSET(Objects!$HW$6,EI$1+(Objects!$Y$4-$A50-1)*Objects!$X$4,0)</f>
        <v>0</v>
      </c>
      <c r="EJ50">
        <f ca="1">OFFSET(Objects!$HW$6,EJ$1+(Objects!$Y$4-$A50-1)*Objects!$X$4,0)</f>
        <v>0</v>
      </c>
      <c r="EK50">
        <f ca="1">OFFSET(Objects!$HW$6,EK$1+(Objects!$Y$4-$A50-1)*Objects!$X$4,0)</f>
        <v>0</v>
      </c>
      <c r="EL50">
        <f ca="1">OFFSET(Objects!$HW$6,EL$1+(Objects!$Y$4-$A50-1)*Objects!$X$4,0)</f>
        <v>0</v>
      </c>
      <c r="EM50">
        <f ca="1">OFFSET(Objects!$HW$6,EM$1+(Objects!$Y$4-$A50-1)*Objects!$X$4,0)</f>
        <v>0</v>
      </c>
      <c r="EN50">
        <f ca="1">OFFSET(Objects!$HW$6,EN$1+(Objects!$Y$4-$A50-1)*Objects!$X$4,0)</f>
        <v>0</v>
      </c>
      <c r="EO50">
        <f ca="1">OFFSET(Objects!$HW$6,EO$1+(Objects!$Y$4-$A50-1)*Objects!$X$4,0)</f>
        <v>0</v>
      </c>
      <c r="EP50">
        <f ca="1">OFFSET(Objects!$HW$6,EP$1+(Objects!$Y$4-$A50-1)*Objects!$X$4,0)</f>
        <v>0</v>
      </c>
      <c r="EQ50">
        <f ca="1">OFFSET(Objects!$HW$6,EQ$1+(Objects!$Y$4-$A50-1)*Objects!$X$4,0)</f>
        <v>0</v>
      </c>
      <c r="ER50">
        <f ca="1">OFFSET(Objects!$HW$6,ER$1+(Objects!$Y$4-$A50-1)*Objects!$X$4,0)</f>
        <v>0</v>
      </c>
      <c r="ES50">
        <f ca="1">OFFSET(Objects!$HW$6,ES$1+(Objects!$Y$4-$A50-1)*Objects!$X$4,0)</f>
        <v>0</v>
      </c>
      <c r="ET50">
        <f ca="1">OFFSET(Objects!$HW$6,ET$1+(Objects!$Y$4-$A50-1)*Objects!$X$4,0)</f>
        <v>0</v>
      </c>
      <c r="EU50">
        <f ca="1">OFFSET(Objects!$HW$6,EU$1+(Objects!$Y$4-$A50-1)*Objects!$X$4,0)</f>
        <v>0</v>
      </c>
      <c r="EV50">
        <f ca="1">OFFSET(Objects!$HW$6,EV$1+(Objects!$Y$4-$A50-1)*Objects!$X$4,0)</f>
        <v>0</v>
      </c>
      <c r="EW50">
        <f ca="1">OFFSET(Objects!$HW$6,EW$1+(Objects!$Y$4-$A50-1)*Objects!$X$4,0)</f>
        <v>0</v>
      </c>
      <c r="EX50">
        <f ca="1">OFFSET(Objects!$HW$6,EX$1+(Objects!$Y$4-$A50-1)*Objects!$X$4,0)</f>
        <v>0</v>
      </c>
      <c r="EY50">
        <f ca="1">OFFSET(Objects!$HW$6,EY$1+(Objects!$Y$4-$A50-1)*Objects!$X$4,0)</f>
        <v>0</v>
      </c>
      <c r="EZ50">
        <f ca="1">OFFSET(Objects!$HW$6,EZ$1+(Objects!$Y$4-$A50-1)*Objects!$X$4,0)</f>
        <v>0</v>
      </c>
      <c r="FA50">
        <f ca="1">OFFSET(Objects!$HW$6,FA$1+(Objects!$Y$4-$A50-1)*Objects!$X$4,0)</f>
        <v>0</v>
      </c>
      <c r="FB50">
        <f ca="1">OFFSET(Objects!$HW$6,FB$1+(Objects!$Y$4-$A50-1)*Objects!$X$4,0)</f>
        <v>0</v>
      </c>
      <c r="FC50">
        <f ca="1">OFFSET(Objects!$HW$6,FC$1+(Objects!$Y$4-$A50-1)*Objects!$X$4,0)</f>
        <v>0</v>
      </c>
      <c r="FD50">
        <f ca="1">OFFSET(Objects!$HW$6,FD$1+(Objects!$Y$4-$A50-1)*Objects!$X$4,0)</f>
        <v>0</v>
      </c>
      <c r="FE50" s="22">
        <f ca="1">OFFSET(Objects!$HW$6,FE$1+(Objects!$Y$4-$A50-1)*Objects!$X$4,0)</f>
        <v>0</v>
      </c>
    </row>
    <row r="51" spans="1:161" ht="4.5" customHeight="1" x14ac:dyDescent="0.25">
      <c r="A51">
        <v>49</v>
      </c>
      <c r="B51" s="21">
        <f ca="1">OFFSET(Objects!$HW$6,B$1+(Objects!$Y$4-$A51-1)*Objects!$X$4,0)</f>
        <v>0</v>
      </c>
      <c r="C51">
        <f ca="1">OFFSET(Objects!$HW$6,C$1+(Objects!$Y$4-$A51-1)*Objects!$X$4,0)</f>
        <v>0</v>
      </c>
      <c r="D51">
        <f ca="1">OFFSET(Objects!$HW$6,D$1+(Objects!$Y$4-$A51-1)*Objects!$X$4,0)</f>
        <v>0</v>
      </c>
      <c r="E51">
        <f ca="1">OFFSET(Objects!$HW$6,E$1+(Objects!$Y$4-$A51-1)*Objects!$X$4,0)</f>
        <v>0</v>
      </c>
      <c r="F51">
        <f ca="1">OFFSET(Objects!$HW$6,F$1+(Objects!$Y$4-$A51-1)*Objects!$X$4,0)</f>
        <v>0</v>
      </c>
      <c r="G51">
        <f ca="1">OFFSET(Objects!$HW$6,G$1+(Objects!$Y$4-$A51-1)*Objects!$X$4,0)</f>
        <v>0</v>
      </c>
      <c r="H51">
        <f ca="1">OFFSET(Objects!$HW$6,H$1+(Objects!$Y$4-$A51-1)*Objects!$X$4,0)</f>
        <v>0</v>
      </c>
      <c r="I51">
        <f ca="1">OFFSET(Objects!$HW$6,I$1+(Objects!$Y$4-$A51-1)*Objects!$X$4,0)</f>
        <v>0</v>
      </c>
      <c r="J51">
        <f ca="1">OFFSET(Objects!$HW$6,J$1+(Objects!$Y$4-$A51-1)*Objects!$X$4,0)</f>
        <v>0</v>
      </c>
      <c r="K51">
        <f ca="1">OFFSET(Objects!$HW$6,K$1+(Objects!$Y$4-$A51-1)*Objects!$X$4,0)</f>
        <v>0</v>
      </c>
      <c r="L51">
        <f ca="1">OFFSET(Objects!$HW$6,L$1+(Objects!$Y$4-$A51-1)*Objects!$X$4,0)</f>
        <v>0</v>
      </c>
      <c r="M51">
        <f ca="1">OFFSET(Objects!$HW$6,M$1+(Objects!$Y$4-$A51-1)*Objects!$X$4,0)</f>
        <v>0</v>
      </c>
      <c r="N51">
        <f ca="1">OFFSET(Objects!$HW$6,N$1+(Objects!$Y$4-$A51-1)*Objects!$X$4,0)</f>
        <v>0</v>
      </c>
      <c r="O51">
        <f ca="1">OFFSET(Objects!$HW$6,O$1+(Objects!$Y$4-$A51-1)*Objects!$X$4,0)</f>
        <v>0</v>
      </c>
      <c r="P51">
        <f ca="1">OFFSET(Objects!$HW$6,P$1+(Objects!$Y$4-$A51-1)*Objects!$X$4,0)</f>
        <v>0</v>
      </c>
      <c r="Q51">
        <f ca="1">OFFSET(Objects!$HW$6,Q$1+(Objects!$Y$4-$A51-1)*Objects!$X$4,0)</f>
        <v>0</v>
      </c>
      <c r="R51">
        <f ca="1">OFFSET(Objects!$HW$6,R$1+(Objects!$Y$4-$A51-1)*Objects!$X$4,0)</f>
        <v>0</v>
      </c>
      <c r="S51">
        <f ca="1">OFFSET(Objects!$HW$6,S$1+(Objects!$Y$4-$A51-1)*Objects!$X$4,0)</f>
        <v>0</v>
      </c>
      <c r="T51">
        <f ca="1">OFFSET(Objects!$HW$6,T$1+(Objects!$Y$4-$A51-1)*Objects!$X$4,0)</f>
        <v>0</v>
      </c>
      <c r="U51">
        <f ca="1">OFFSET(Objects!$HW$6,U$1+(Objects!$Y$4-$A51-1)*Objects!$X$4,0)</f>
        <v>0</v>
      </c>
      <c r="V51">
        <f ca="1">OFFSET(Objects!$HW$6,V$1+(Objects!$Y$4-$A51-1)*Objects!$X$4,0)</f>
        <v>0</v>
      </c>
      <c r="W51">
        <f ca="1">OFFSET(Objects!$HW$6,W$1+(Objects!$Y$4-$A51-1)*Objects!$X$4,0)</f>
        <v>0</v>
      </c>
      <c r="X51">
        <f ca="1">OFFSET(Objects!$HW$6,X$1+(Objects!$Y$4-$A51-1)*Objects!$X$4,0)</f>
        <v>0</v>
      </c>
      <c r="Y51">
        <f ca="1">OFFSET(Objects!$HW$6,Y$1+(Objects!$Y$4-$A51-1)*Objects!$X$4,0)</f>
        <v>0</v>
      </c>
      <c r="Z51">
        <f ca="1">OFFSET(Objects!$HW$6,Z$1+(Objects!$Y$4-$A51-1)*Objects!$X$4,0)</f>
        <v>0</v>
      </c>
      <c r="AA51">
        <f ca="1">OFFSET(Objects!$HW$6,AA$1+(Objects!$Y$4-$A51-1)*Objects!$X$4,0)</f>
        <v>0</v>
      </c>
      <c r="AB51">
        <f ca="1">OFFSET(Objects!$HW$6,AB$1+(Objects!$Y$4-$A51-1)*Objects!$X$4,0)</f>
        <v>0</v>
      </c>
      <c r="AC51">
        <f ca="1">OFFSET(Objects!$HW$6,AC$1+(Objects!$Y$4-$A51-1)*Objects!$X$4,0)</f>
        <v>0</v>
      </c>
      <c r="AD51">
        <f ca="1">OFFSET(Objects!$HW$6,AD$1+(Objects!$Y$4-$A51-1)*Objects!$X$4,0)</f>
        <v>0</v>
      </c>
      <c r="AE51">
        <f ca="1">OFFSET(Objects!$HW$6,AE$1+(Objects!$Y$4-$A51-1)*Objects!$X$4,0)</f>
        <v>0</v>
      </c>
      <c r="AF51">
        <f ca="1">OFFSET(Objects!$HW$6,AF$1+(Objects!$Y$4-$A51-1)*Objects!$X$4,0)</f>
        <v>0</v>
      </c>
      <c r="AG51">
        <f ca="1">OFFSET(Objects!$HW$6,AG$1+(Objects!$Y$4-$A51-1)*Objects!$X$4,0)</f>
        <v>0</v>
      </c>
      <c r="AH51">
        <f ca="1">OFFSET(Objects!$HW$6,AH$1+(Objects!$Y$4-$A51-1)*Objects!$X$4,0)</f>
        <v>0</v>
      </c>
      <c r="AI51">
        <f ca="1">OFFSET(Objects!$HW$6,AI$1+(Objects!$Y$4-$A51-1)*Objects!$X$4,0)</f>
        <v>0</v>
      </c>
      <c r="AJ51">
        <f ca="1">OFFSET(Objects!$HW$6,AJ$1+(Objects!$Y$4-$A51-1)*Objects!$X$4,0)</f>
        <v>0</v>
      </c>
      <c r="AK51">
        <f ca="1">OFFSET(Objects!$HW$6,AK$1+(Objects!$Y$4-$A51-1)*Objects!$X$4,0)</f>
        <v>0</v>
      </c>
      <c r="AL51">
        <f ca="1">OFFSET(Objects!$HW$6,AL$1+(Objects!$Y$4-$A51-1)*Objects!$X$4,0)</f>
        <v>0</v>
      </c>
      <c r="AM51">
        <f ca="1">OFFSET(Objects!$HW$6,AM$1+(Objects!$Y$4-$A51-1)*Objects!$X$4,0)</f>
        <v>0</v>
      </c>
      <c r="AN51">
        <f ca="1">OFFSET(Objects!$HW$6,AN$1+(Objects!$Y$4-$A51-1)*Objects!$X$4,0)</f>
        <v>0</v>
      </c>
      <c r="AO51">
        <f ca="1">OFFSET(Objects!$HW$6,AO$1+(Objects!$Y$4-$A51-1)*Objects!$X$4,0)</f>
        <v>0</v>
      </c>
      <c r="AP51">
        <f ca="1">OFFSET(Objects!$HW$6,AP$1+(Objects!$Y$4-$A51-1)*Objects!$X$4,0)</f>
        <v>0</v>
      </c>
      <c r="AQ51">
        <f ca="1">OFFSET(Objects!$HW$6,AQ$1+(Objects!$Y$4-$A51-1)*Objects!$X$4,0)</f>
        <v>0</v>
      </c>
      <c r="AR51">
        <f ca="1">OFFSET(Objects!$HW$6,AR$1+(Objects!$Y$4-$A51-1)*Objects!$X$4,0)</f>
        <v>0</v>
      </c>
      <c r="AS51">
        <f ca="1">OFFSET(Objects!$HW$6,AS$1+(Objects!$Y$4-$A51-1)*Objects!$X$4,0)</f>
        <v>0</v>
      </c>
      <c r="AT51">
        <f ca="1">OFFSET(Objects!$HW$6,AT$1+(Objects!$Y$4-$A51-1)*Objects!$X$4,0)</f>
        <v>0</v>
      </c>
      <c r="AU51">
        <f ca="1">OFFSET(Objects!$HW$6,AU$1+(Objects!$Y$4-$A51-1)*Objects!$X$4,0)</f>
        <v>0</v>
      </c>
      <c r="AV51">
        <f ca="1">OFFSET(Objects!$HW$6,AV$1+(Objects!$Y$4-$A51-1)*Objects!$X$4,0)</f>
        <v>0</v>
      </c>
      <c r="AW51">
        <f ca="1">OFFSET(Objects!$HW$6,AW$1+(Objects!$Y$4-$A51-1)*Objects!$X$4,0)</f>
        <v>0</v>
      </c>
      <c r="AX51">
        <f ca="1">OFFSET(Objects!$HW$6,AX$1+(Objects!$Y$4-$A51-1)*Objects!$X$4,0)</f>
        <v>0</v>
      </c>
      <c r="AY51">
        <f ca="1">OFFSET(Objects!$HW$6,AY$1+(Objects!$Y$4-$A51-1)*Objects!$X$4,0)</f>
        <v>0</v>
      </c>
      <c r="AZ51">
        <f ca="1">OFFSET(Objects!$HW$6,AZ$1+(Objects!$Y$4-$A51-1)*Objects!$X$4,0)</f>
        <v>0</v>
      </c>
      <c r="BA51">
        <f ca="1">OFFSET(Objects!$HW$6,BA$1+(Objects!$Y$4-$A51-1)*Objects!$X$4,0)</f>
        <v>0</v>
      </c>
      <c r="BB51">
        <f ca="1">OFFSET(Objects!$HW$6,BB$1+(Objects!$Y$4-$A51-1)*Objects!$X$4,0)</f>
        <v>0</v>
      </c>
      <c r="BC51">
        <f ca="1">OFFSET(Objects!$HW$6,BC$1+(Objects!$Y$4-$A51-1)*Objects!$X$4,0)</f>
        <v>0</v>
      </c>
      <c r="BD51">
        <f ca="1">OFFSET(Objects!$HW$6,BD$1+(Objects!$Y$4-$A51-1)*Objects!$X$4,0)</f>
        <v>0</v>
      </c>
      <c r="BE51">
        <f ca="1">OFFSET(Objects!$HW$6,BE$1+(Objects!$Y$4-$A51-1)*Objects!$X$4,0)</f>
        <v>0</v>
      </c>
      <c r="BF51">
        <f ca="1">OFFSET(Objects!$HW$6,BF$1+(Objects!$Y$4-$A51-1)*Objects!$X$4,0)</f>
        <v>0</v>
      </c>
      <c r="BG51">
        <f ca="1">OFFSET(Objects!$HW$6,BG$1+(Objects!$Y$4-$A51-1)*Objects!$X$4,0)</f>
        <v>0</v>
      </c>
      <c r="BH51">
        <f ca="1">OFFSET(Objects!$HW$6,BH$1+(Objects!$Y$4-$A51-1)*Objects!$X$4,0)</f>
        <v>0</v>
      </c>
      <c r="BI51">
        <f ca="1">OFFSET(Objects!$HW$6,BI$1+(Objects!$Y$4-$A51-1)*Objects!$X$4,0)</f>
        <v>0</v>
      </c>
      <c r="BJ51">
        <f ca="1">OFFSET(Objects!$HW$6,BJ$1+(Objects!$Y$4-$A51-1)*Objects!$X$4,0)</f>
        <v>0</v>
      </c>
      <c r="BK51">
        <f ca="1">OFFSET(Objects!$HW$6,BK$1+(Objects!$Y$4-$A51-1)*Objects!$X$4,0)</f>
        <v>0</v>
      </c>
      <c r="BL51">
        <f ca="1">OFFSET(Objects!$HW$6,BL$1+(Objects!$Y$4-$A51-1)*Objects!$X$4,0)</f>
        <v>0</v>
      </c>
      <c r="BM51">
        <f ca="1">OFFSET(Objects!$HW$6,BM$1+(Objects!$Y$4-$A51-1)*Objects!$X$4,0)</f>
        <v>0</v>
      </c>
      <c r="BN51">
        <f ca="1">OFFSET(Objects!$HW$6,BN$1+(Objects!$Y$4-$A51-1)*Objects!$X$4,0)</f>
        <v>0</v>
      </c>
      <c r="BO51">
        <f ca="1">OFFSET(Objects!$HW$6,BO$1+(Objects!$Y$4-$A51-1)*Objects!$X$4,0)</f>
        <v>0</v>
      </c>
      <c r="BP51">
        <f ca="1">OFFSET(Objects!$HW$6,BP$1+(Objects!$Y$4-$A51-1)*Objects!$X$4,0)</f>
        <v>0</v>
      </c>
      <c r="BQ51">
        <f ca="1">OFFSET(Objects!$HW$6,BQ$1+(Objects!$Y$4-$A51-1)*Objects!$X$4,0)</f>
        <v>0</v>
      </c>
      <c r="BR51">
        <f ca="1">OFFSET(Objects!$HW$6,BR$1+(Objects!$Y$4-$A51-1)*Objects!$X$4,0)</f>
        <v>0</v>
      </c>
      <c r="BS51">
        <f ca="1">OFFSET(Objects!$HW$6,BS$1+(Objects!$Y$4-$A51-1)*Objects!$X$4,0)</f>
        <v>0</v>
      </c>
      <c r="BT51">
        <f ca="1">OFFSET(Objects!$HW$6,BT$1+(Objects!$Y$4-$A51-1)*Objects!$X$4,0)</f>
        <v>0</v>
      </c>
      <c r="BU51">
        <f ca="1">OFFSET(Objects!$HW$6,BU$1+(Objects!$Y$4-$A51-1)*Objects!$X$4,0)</f>
        <v>0</v>
      </c>
      <c r="BV51">
        <f ca="1">OFFSET(Objects!$HW$6,BV$1+(Objects!$Y$4-$A51-1)*Objects!$X$4,0)</f>
        <v>0</v>
      </c>
      <c r="BW51">
        <f ca="1">OFFSET(Objects!$HW$6,BW$1+(Objects!$Y$4-$A51-1)*Objects!$X$4,0)</f>
        <v>0</v>
      </c>
      <c r="BX51">
        <f ca="1">OFFSET(Objects!$HW$6,BX$1+(Objects!$Y$4-$A51-1)*Objects!$X$4,0)</f>
        <v>0</v>
      </c>
      <c r="BY51">
        <f ca="1">OFFSET(Objects!$HW$6,BY$1+(Objects!$Y$4-$A51-1)*Objects!$X$4,0)</f>
        <v>0</v>
      </c>
      <c r="BZ51">
        <f ca="1">OFFSET(Objects!$HW$6,BZ$1+(Objects!$Y$4-$A51-1)*Objects!$X$4,0)</f>
        <v>0</v>
      </c>
      <c r="CA51">
        <f ca="1">OFFSET(Objects!$HW$6,CA$1+(Objects!$Y$4-$A51-1)*Objects!$X$4,0)</f>
        <v>0</v>
      </c>
      <c r="CB51">
        <f ca="1">OFFSET(Objects!$HW$6,CB$1+(Objects!$Y$4-$A51-1)*Objects!$X$4,0)</f>
        <v>0</v>
      </c>
      <c r="CC51">
        <f ca="1">OFFSET(Objects!$HW$6,CC$1+(Objects!$Y$4-$A51-1)*Objects!$X$4,0)</f>
        <v>0</v>
      </c>
      <c r="CD51">
        <f ca="1">OFFSET(Objects!$HW$6,CD$1+(Objects!$Y$4-$A51-1)*Objects!$X$4,0)</f>
        <v>0</v>
      </c>
      <c r="CE51">
        <f ca="1">OFFSET(Objects!$HW$6,CE$1+(Objects!$Y$4-$A51-1)*Objects!$X$4,0)</f>
        <v>0</v>
      </c>
      <c r="CF51">
        <f ca="1">OFFSET(Objects!$HW$6,CF$1+(Objects!$Y$4-$A51-1)*Objects!$X$4,0)</f>
        <v>0</v>
      </c>
      <c r="CG51">
        <f ca="1">OFFSET(Objects!$HW$6,CG$1+(Objects!$Y$4-$A51-1)*Objects!$X$4,0)</f>
        <v>0</v>
      </c>
      <c r="CH51">
        <f ca="1">OFFSET(Objects!$HW$6,CH$1+(Objects!$Y$4-$A51-1)*Objects!$X$4,0)</f>
        <v>0</v>
      </c>
      <c r="CI51">
        <f ca="1">OFFSET(Objects!$HW$6,CI$1+(Objects!$Y$4-$A51-1)*Objects!$X$4,0)</f>
        <v>0</v>
      </c>
      <c r="CJ51">
        <f ca="1">OFFSET(Objects!$HW$6,CJ$1+(Objects!$Y$4-$A51-1)*Objects!$X$4,0)</f>
        <v>0</v>
      </c>
      <c r="CK51">
        <f ca="1">OFFSET(Objects!$HW$6,CK$1+(Objects!$Y$4-$A51-1)*Objects!$X$4,0)</f>
        <v>0</v>
      </c>
      <c r="CL51">
        <f ca="1">OFFSET(Objects!$HW$6,CL$1+(Objects!$Y$4-$A51-1)*Objects!$X$4,0)</f>
        <v>0</v>
      </c>
      <c r="CM51">
        <f ca="1">OFFSET(Objects!$HW$6,CM$1+(Objects!$Y$4-$A51-1)*Objects!$X$4,0)</f>
        <v>0</v>
      </c>
      <c r="CN51">
        <f ca="1">OFFSET(Objects!$HW$6,CN$1+(Objects!$Y$4-$A51-1)*Objects!$X$4,0)</f>
        <v>0</v>
      </c>
      <c r="CO51">
        <f ca="1">OFFSET(Objects!$HW$6,CO$1+(Objects!$Y$4-$A51-1)*Objects!$X$4,0)</f>
        <v>0</v>
      </c>
      <c r="CP51">
        <f ca="1">OFFSET(Objects!$HW$6,CP$1+(Objects!$Y$4-$A51-1)*Objects!$X$4,0)</f>
        <v>0</v>
      </c>
      <c r="CQ51">
        <f ca="1">OFFSET(Objects!$HW$6,CQ$1+(Objects!$Y$4-$A51-1)*Objects!$X$4,0)</f>
        <v>0</v>
      </c>
      <c r="CR51">
        <f ca="1">OFFSET(Objects!$HW$6,CR$1+(Objects!$Y$4-$A51-1)*Objects!$X$4,0)</f>
        <v>0</v>
      </c>
      <c r="CS51">
        <f ca="1">OFFSET(Objects!$HW$6,CS$1+(Objects!$Y$4-$A51-1)*Objects!$X$4,0)</f>
        <v>0</v>
      </c>
      <c r="CT51">
        <f ca="1">OFFSET(Objects!$HW$6,CT$1+(Objects!$Y$4-$A51-1)*Objects!$X$4,0)</f>
        <v>0</v>
      </c>
      <c r="CU51">
        <f ca="1">OFFSET(Objects!$HW$6,CU$1+(Objects!$Y$4-$A51-1)*Objects!$X$4,0)</f>
        <v>0</v>
      </c>
      <c r="CV51">
        <f ca="1">OFFSET(Objects!$HW$6,CV$1+(Objects!$Y$4-$A51-1)*Objects!$X$4,0)</f>
        <v>0</v>
      </c>
      <c r="CW51">
        <f ca="1">OFFSET(Objects!$HW$6,CW$1+(Objects!$Y$4-$A51-1)*Objects!$X$4,0)</f>
        <v>0</v>
      </c>
      <c r="CX51">
        <f ca="1">OFFSET(Objects!$HW$6,CX$1+(Objects!$Y$4-$A51-1)*Objects!$X$4,0)</f>
        <v>0</v>
      </c>
      <c r="CY51">
        <f ca="1">OFFSET(Objects!$HW$6,CY$1+(Objects!$Y$4-$A51-1)*Objects!$X$4,0)</f>
        <v>0</v>
      </c>
      <c r="CZ51">
        <f ca="1">OFFSET(Objects!$HW$6,CZ$1+(Objects!$Y$4-$A51-1)*Objects!$X$4,0)</f>
        <v>0</v>
      </c>
      <c r="DA51">
        <f ca="1">OFFSET(Objects!$HW$6,DA$1+(Objects!$Y$4-$A51-1)*Objects!$X$4,0)</f>
        <v>0</v>
      </c>
      <c r="DB51">
        <f ca="1">OFFSET(Objects!$HW$6,DB$1+(Objects!$Y$4-$A51-1)*Objects!$X$4,0)</f>
        <v>0</v>
      </c>
      <c r="DC51">
        <f ca="1">OFFSET(Objects!$HW$6,DC$1+(Objects!$Y$4-$A51-1)*Objects!$X$4,0)</f>
        <v>0</v>
      </c>
      <c r="DD51">
        <f ca="1">OFFSET(Objects!$HW$6,DD$1+(Objects!$Y$4-$A51-1)*Objects!$X$4,0)</f>
        <v>0</v>
      </c>
      <c r="DE51">
        <f ca="1">OFFSET(Objects!$HW$6,DE$1+(Objects!$Y$4-$A51-1)*Objects!$X$4,0)</f>
        <v>0</v>
      </c>
      <c r="DF51">
        <f ca="1">OFFSET(Objects!$HW$6,DF$1+(Objects!$Y$4-$A51-1)*Objects!$X$4,0)</f>
        <v>0</v>
      </c>
      <c r="DG51">
        <f ca="1">OFFSET(Objects!$HW$6,DG$1+(Objects!$Y$4-$A51-1)*Objects!$X$4,0)</f>
        <v>0</v>
      </c>
      <c r="DH51">
        <f ca="1">OFFSET(Objects!$HW$6,DH$1+(Objects!$Y$4-$A51-1)*Objects!$X$4,0)</f>
        <v>0</v>
      </c>
      <c r="DI51">
        <f ca="1">OFFSET(Objects!$HW$6,DI$1+(Objects!$Y$4-$A51-1)*Objects!$X$4,0)</f>
        <v>0</v>
      </c>
      <c r="DJ51">
        <f ca="1">OFFSET(Objects!$HW$6,DJ$1+(Objects!$Y$4-$A51-1)*Objects!$X$4,0)</f>
        <v>0</v>
      </c>
      <c r="DK51">
        <f ca="1">OFFSET(Objects!$HW$6,DK$1+(Objects!$Y$4-$A51-1)*Objects!$X$4,0)</f>
        <v>0</v>
      </c>
      <c r="DL51">
        <f ca="1">OFFSET(Objects!$HW$6,DL$1+(Objects!$Y$4-$A51-1)*Objects!$X$4,0)</f>
        <v>0</v>
      </c>
      <c r="DM51">
        <f ca="1">OFFSET(Objects!$HW$6,DM$1+(Objects!$Y$4-$A51-1)*Objects!$X$4,0)</f>
        <v>0</v>
      </c>
      <c r="DN51">
        <f ca="1">OFFSET(Objects!$HW$6,DN$1+(Objects!$Y$4-$A51-1)*Objects!$X$4,0)</f>
        <v>0</v>
      </c>
      <c r="DO51">
        <f ca="1">OFFSET(Objects!$HW$6,DO$1+(Objects!$Y$4-$A51-1)*Objects!$X$4,0)</f>
        <v>0</v>
      </c>
      <c r="DP51">
        <f ca="1">OFFSET(Objects!$HW$6,DP$1+(Objects!$Y$4-$A51-1)*Objects!$X$4,0)</f>
        <v>0</v>
      </c>
      <c r="DQ51">
        <f ca="1">OFFSET(Objects!$HW$6,DQ$1+(Objects!$Y$4-$A51-1)*Objects!$X$4,0)</f>
        <v>0</v>
      </c>
      <c r="DR51">
        <f ca="1">OFFSET(Objects!$HW$6,DR$1+(Objects!$Y$4-$A51-1)*Objects!$X$4,0)</f>
        <v>0</v>
      </c>
      <c r="DS51">
        <f ca="1">OFFSET(Objects!$HW$6,DS$1+(Objects!$Y$4-$A51-1)*Objects!$X$4,0)</f>
        <v>0</v>
      </c>
      <c r="DT51">
        <f ca="1">OFFSET(Objects!$HW$6,DT$1+(Objects!$Y$4-$A51-1)*Objects!$X$4,0)</f>
        <v>0</v>
      </c>
      <c r="DU51">
        <f ca="1">OFFSET(Objects!$HW$6,DU$1+(Objects!$Y$4-$A51-1)*Objects!$X$4,0)</f>
        <v>0</v>
      </c>
      <c r="DV51">
        <f ca="1">OFFSET(Objects!$HW$6,DV$1+(Objects!$Y$4-$A51-1)*Objects!$X$4,0)</f>
        <v>0</v>
      </c>
      <c r="DW51">
        <f ca="1">OFFSET(Objects!$HW$6,DW$1+(Objects!$Y$4-$A51-1)*Objects!$X$4,0)</f>
        <v>0</v>
      </c>
      <c r="DX51">
        <f ca="1">OFFSET(Objects!$HW$6,DX$1+(Objects!$Y$4-$A51-1)*Objects!$X$4,0)</f>
        <v>0</v>
      </c>
      <c r="DY51">
        <f ca="1">OFFSET(Objects!$HW$6,DY$1+(Objects!$Y$4-$A51-1)*Objects!$X$4,0)</f>
        <v>0</v>
      </c>
      <c r="DZ51">
        <f ca="1">OFFSET(Objects!$HW$6,DZ$1+(Objects!$Y$4-$A51-1)*Objects!$X$4,0)</f>
        <v>0</v>
      </c>
      <c r="EA51">
        <f ca="1">OFFSET(Objects!$HW$6,EA$1+(Objects!$Y$4-$A51-1)*Objects!$X$4,0)</f>
        <v>0</v>
      </c>
      <c r="EB51">
        <f ca="1">OFFSET(Objects!$HW$6,EB$1+(Objects!$Y$4-$A51-1)*Objects!$X$4,0)</f>
        <v>0</v>
      </c>
      <c r="EC51">
        <f ca="1">OFFSET(Objects!$HW$6,EC$1+(Objects!$Y$4-$A51-1)*Objects!$X$4,0)</f>
        <v>0</v>
      </c>
      <c r="ED51">
        <f ca="1">OFFSET(Objects!$HW$6,ED$1+(Objects!$Y$4-$A51-1)*Objects!$X$4,0)</f>
        <v>0</v>
      </c>
      <c r="EE51">
        <f ca="1">OFFSET(Objects!$HW$6,EE$1+(Objects!$Y$4-$A51-1)*Objects!$X$4,0)</f>
        <v>0</v>
      </c>
      <c r="EF51">
        <f ca="1">OFFSET(Objects!$HW$6,EF$1+(Objects!$Y$4-$A51-1)*Objects!$X$4,0)</f>
        <v>0</v>
      </c>
      <c r="EG51">
        <f ca="1">OFFSET(Objects!$HW$6,EG$1+(Objects!$Y$4-$A51-1)*Objects!$X$4,0)</f>
        <v>0</v>
      </c>
      <c r="EH51">
        <f ca="1">OFFSET(Objects!$HW$6,EH$1+(Objects!$Y$4-$A51-1)*Objects!$X$4,0)</f>
        <v>0</v>
      </c>
      <c r="EI51">
        <f ca="1">OFFSET(Objects!$HW$6,EI$1+(Objects!$Y$4-$A51-1)*Objects!$X$4,0)</f>
        <v>0</v>
      </c>
      <c r="EJ51">
        <f ca="1">OFFSET(Objects!$HW$6,EJ$1+(Objects!$Y$4-$A51-1)*Objects!$X$4,0)</f>
        <v>0</v>
      </c>
      <c r="EK51">
        <f ca="1">OFFSET(Objects!$HW$6,EK$1+(Objects!$Y$4-$A51-1)*Objects!$X$4,0)</f>
        <v>0</v>
      </c>
      <c r="EL51">
        <f ca="1">OFFSET(Objects!$HW$6,EL$1+(Objects!$Y$4-$A51-1)*Objects!$X$4,0)</f>
        <v>0</v>
      </c>
      <c r="EM51">
        <f ca="1">OFFSET(Objects!$HW$6,EM$1+(Objects!$Y$4-$A51-1)*Objects!$X$4,0)</f>
        <v>0</v>
      </c>
      <c r="EN51">
        <f ca="1">OFFSET(Objects!$HW$6,EN$1+(Objects!$Y$4-$A51-1)*Objects!$X$4,0)</f>
        <v>0</v>
      </c>
      <c r="EO51">
        <f ca="1">OFFSET(Objects!$HW$6,EO$1+(Objects!$Y$4-$A51-1)*Objects!$X$4,0)</f>
        <v>0</v>
      </c>
      <c r="EP51">
        <f ca="1">OFFSET(Objects!$HW$6,EP$1+(Objects!$Y$4-$A51-1)*Objects!$X$4,0)</f>
        <v>0</v>
      </c>
      <c r="EQ51">
        <f ca="1">OFFSET(Objects!$HW$6,EQ$1+(Objects!$Y$4-$A51-1)*Objects!$X$4,0)</f>
        <v>0</v>
      </c>
      <c r="ER51">
        <f ca="1">OFFSET(Objects!$HW$6,ER$1+(Objects!$Y$4-$A51-1)*Objects!$X$4,0)</f>
        <v>0</v>
      </c>
      <c r="ES51">
        <f ca="1">OFFSET(Objects!$HW$6,ES$1+(Objects!$Y$4-$A51-1)*Objects!$X$4,0)</f>
        <v>0</v>
      </c>
      <c r="ET51">
        <f ca="1">OFFSET(Objects!$HW$6,ET$1+(Objects!$Y$4-$A51-1)*Objects!$X$4,0)</f>
        <v>0</v>
      </c>
      <c r="EU51">
        <f ca="1">OFFSET(Objects!$HW$6,EU$1+(Objects!$Y$4-$A51-1)*Objects!$X$4,0)</f>
        <v>0</v>
      </c>
      <c r="EV51">
        <f ca="1">OFFSET(Objects!$HW$6,EV$1+(Objects!$Y$4-$A51-1)*Objects!$X$4,0)</f>
        <v>0</v>
      </c>
      <c r="EW51">
        <f ca="1">OFFSET(Objects!$HW$6,EW$1+(Objects!$Y$4-$A51-1)*Objects!$X$4,0)</f>
        <v>0</v>
      </c>
      <c r="EX51">
        <f ca="1">OFFSET(Objects!$HW$6,EX$1+(Objects!$Y$4-$A51-1)*Objects!$X$4,0)</f>
        <v>0</v>
      </c>
      <c r="EY51">
        <f ca="1">OFFSET(Objects!$HW$6,EY$1+(Objects!$Y$4-$A51-1)*Objects!$X$4,0)</f>
        <v>0</v>
      </c>
      <c r="EZ51">
        <f ca="1">OFFSET(Objects!$HW$6,EZ$1+(Objects!$Y$4-$A51-1)*Objects!$X$4,0)</f>
        <v>0</v>
      </c>
      <c r="FA51">
        <f ca="1">OFFSET(Objects!$HW$6,FA$1+(Objects!$Y$4-$A51-1)*Objects!$X$4,0)</f>
        <v>0</v>
      </c>
      <c r="FB51">
        <f ca="1">OFFSET(Objects!$HW$6,FB$1+(Objects!$Y$4-$A51-1)*Objects!$X$4,0)</f>
        <v>0</v>
      </c>
      <c r="FC51">
        <f ca="1">OFFSET(Objects!$HW$6,FC$1+(Objects!$Y$4-$A51-1)*Objects!$X$4,0)</f>
        <v>0</v>
      </c>
      <c r="FD51">
        <f ca="1">OFFSET(Objects!$HW$6,FD$1+(Objects!$Y$4-$A51-1)*Objects!$X$4,0)</f>
        <v>0</v>
      </c>
      <c r="FE51" s="22">
        <f ca="1">OFFSET(Objects!$HW$6,FE$1+(Objects!$Y$4-$A51-1)*Objects!$X$4,0)</f>
        <v>0</v>
      </c>
    </row>
    <row r="52" spans="1:161" ht="4.5" customHeight="1" x14ac:dyDescent="0.25">
      <c r="A52">
        <v>50</v>
      </c>
      <c r="B52" s="21">
        <f ca="1">OFFSET(Objects!$HW$6,B$1+(Objects!$Y$4-$A52-1)*Objects!$X$4,0)</f>
        <v>0</v>
      </c>
      <c r="C52">
        <f ca="1">OFFSET(Objects!$HW$6,C$1+(Objects!$Y$4-$A52-1)*Objects!$X$4,0)</f>
        <v>0</v>
      </c>
      <c r="D52">
        <f ca="1">OFFSET(Objects!$HW$6,D$1+(Objects!$Y$4-$A52-1)*Objects!$X$4,0)</f>
        <v>0</v>
      </c>
      <c r="E52">
        <f ca="1">OFFSET(Objects!$HW$6,E$1+(Objects!$Y$4-$A52-1)*Objects!$X$4,0)</f>
        <v>0</v>
      </c>
      <c r="F52">
        <f ca="1">OFFSET(Objects!$HW$6,F$1+(Objects!$Y$4-$A52-1)*Objects!$X$4,0)</f>
        <v>0</v>
      </c>
      <c r="G52">
        <f ca="1">OFFSET(Objects!$HW$6,G$1+(Objects!$Y$4-$A52-1)*Objects!$X$4,0)</f>
        <v>0</v>
      </c>
      <c r="H52">
        <f ca="1">OFFSET(Objects!$HW$6,H$1+(Objects!$Y$4-$A52-1)*Objects!$X$4,0)</f>
        <v>0</v>
      </c>
      <c r="I52">
        <f ca="1">OFFSET(Objects!$HW$6,I$1+(Objects!$Y$4-$A52-1)*Objects!$X$4,0)</f>
        <v>0</v>
      </c>
      <c r="J52">
        <f ca="1">OFFSET(Objects!$HW$6,J$1+(Objects!$Y$4-$A52-1)*Objects!$X$4,0)</f>
        <v>0</v>
      </c>
      <c r="K52">
        <f ca="1">OFFSET(Objects!$HW$6,K$1+(Objects!$Y$4-$A52-1)*Objects!$X$4,0)</f>
        <v>0</v>
      </c>
      <c r="L52">
        <f ca="1">OFFSET(Objects!$HW$6,L$1+(Objects!$Y$4-$A52-1)*Objects!$X$4,0)</f>
        <v>0</v>
      </c>
      <c r="M52">
        <f ca="1">OFFSET(Objects!$HW$6,M$1+(Objects!$Y$4-$A52-1)*Objects!$X$4,0)</f>
        <v>0</v>
      </c>
      <c r="N52">
        <f ca="1">OFFSET(Objects!$HW$6,N$1+(Objects!$Y$4-$A52-1)*Objects!$X$4,0)</f>
        <v>0</v>
      </c>
      <c r="O52">
        <f ca="1">OFFSET(Objects!$HW$6,O$1+(Objects!$Y$4-$A52-1)*Objects!$X$4,0)</f>
        <v>0</v>
      </c>
      <c r="P52">
        <f ca="1">OFFSET(Objects!$HW$6,P$1+(Objects!$Y$4-$A52-1)*Objects!$X$4,0)</f>
        <v>0</v>
      </c>
      <c r="Q52">
        <f ca="1">OFFSET(Objects!$HW$6,Q$1+(Objects!$Y$4-$A52-1)*Objects!$X$4,0)</f>
        <v>0</v>
      </c>
      <c r="R52">
        <f ca="1">OFFSET(Objects!$HW$6,R$1+(Objects!$Y$4-$A52-1)*Objects!$X$4,0)</f>
        <v>0</v>
      </c>
      <c r="S52">
        <f ca="1">OFFSET(Objects!$HW$6,S$1+(Objects!$Y$4-$A52-1)*Objects!$X$4,0)</f>
        <v>0</v>
      </c>
      <c r="T52">
        <f ca="1">OFFSET(Objects!$HW$6,T$1+(Objects!$Y$4-$A52-1)*Objects!$X$4,0)</f>
        <v>0</v>
      </c>
      <c r="U52">
        <f ca="1">OFFSET(Objects!$HW$6,U$1+(Objects!$Y$4-$A52-1)*Objects!$X$4,0)</f>
        <v>0</v>
      </c>
      <c r="V52">
        <f ca="1">OFFSET(Objects!$HW$6,V$1+(Objects!$Y$4-$A52-1)*Objects!$X$4,0)</f>
        <v>0</v>
      </c>
      <c r="W52">
        <f ca="1">OFFSET(Objects!$HW$6,W$1+(Objects!$Y$4-$A52-1)*Objects!$X$4,0)</f>
        <v>0</v>
      </c>
      <c r="X52">
        <f ca="1">OFFSET(Objects!$HW$6,X$1+(Objects!$Y$4-$A52-1)*Objects!$X$4,0)</f>
        <v>0</v>
      </c>
      <c r="Y52">
        <f ca="1">OFFSET(Objects!$HW$6,Y$1+(Objects!$Y$4-$A52-1)*Objects!$X$4,0)</f>
        <v>0</v>
      </c>
      <c r="Z52">
        <f ca="1">OFFSET(Objects!$HW$6,Z$1+(Objects!$Y$4-$A52-1)*Objects!$X$4,0)</f>
        <v>0</v>
      </c>
      <c r="AA52">
        <f ca="1">OFFSET(Objects!$HW$6,AA$1+(Objects!$Y$4-$A52-1)*Objects!$X$4,0)</f>
        <v>0</v>
      </c>
      <c r="AB52">
        <f ca="1">OFFSET(Objects!$HW$6,AB$1+(Objects!$Y$4-$A52-1)*Objects!$X$4,0)</f>
        <v>0</v>
      </c>
      <c r="AC52">
        <f ca="1">OFFSET(Objects!$HW$6,AC$1+(Objects!$Y$4-$A52-1)*Objects!$X$4,0)</f>
        <v>0</v>
      </c>
      <c r="AD52">
        <f ca="1">OFFSET(Objects!$HW$6,AD$1+(Objects!$Y$4-$A52-1)*Objects!$X$4,0)</f>
        <v>0</v>
      </c>
      <c r="AE52">
        <f ca="1">OFFSET(Objects!$HW$6,AE$1+(Objects!$Y$4-$A52-1)*Objects!$X$4,0)</f>
        <v>0</v>
      </c>
      <c r="AF52">
        <f ca="1">OFFSET(Objects!$HW$6,AF$1+(Objects!$Y$4-$A52-1)*Objects!$X$4,0)</f>
        <v>0</v>
      </c>
      <c r="AG52">
        <f ca="1">OFFSET(Objects!$HW$6,AG$1+(Objects!$Y$4-$A52-1)*Objects!$X$4,0)</f>
        <v>0</v>
      </c>
      <c r="AH52">
        <f ca="1">OFFSET(Objects!$HW$6,AH$1+(Objects!$Y$4-$A52-1)*Objects!$X$4,0)</f>
        <v>0</v>
      </c>
      <c r="AI52">
        <f ca="1">OFFSET(Objects!$HW$6,AI$1+(Objects!$Y$4-$A52-1)*Objects!$X$4,0)</f>
        <v>0</v>
      </c>
      <c r="AJ52">
        <f ca="1">OFFSET(Objects!$HW$6,AJ$1+(Objects!$Y$4-$A52-1)*Objects!$X$4,0)</f>
        <v>0</v>
      </c>
      <c r="AK52">
        <f ca="1">OFFSET(Objects!$HW$6,AK$1+(Objects!$Y$4-$A52-1)*Objects!$X$4,0)</f>
        <v>0</v>
      </c>
      <c r="AL52">
        <f ca="1">OFFSET(Objects!$HW$6,AL$1+(Objects!$Y$4-$A52-1)*Objects!$X$4,0)</f>
        <v>0</v>
      </c>
      <c r="AM52">
        <f ca="1">OFFSET(Objects!$HW$6,AM$1+(Objects!$Y$4-$A52-1)*Objects!$X$4,0)</f>
        <v>0</v>
      </c>
      <c r="AN52">
        <f ca="1">OFFSET(Objects!$HW$6,AN$1+(Objects!$Y$4-$A52-1)*Objects!$X$4,0)</f>
        <v>0</v>
      </c>
      <c r="AO52">
        <f ca="1">OFFSET(Objects!$HW$6,AO$1+(Objects!$Y$4-$A52-1)*Objects!$X$4,0)</f>
        <v>0</v>
      </c>
      <c r="AP52">
        <f ca="1">OFFSET(Objects!$HW$6,AP$1+(Objects!$Y$4-$A52-1)*Objects!$X$4,0)</f>
        <v>0</v>
      </c>
      <c r="AQ52">
        <f ca="1">OFFSET(Objects!$HW$6,AQ$1+(Objects!$Y$4-$A52-1)*Objects!$X$4,0)</f>
        <v>0</v>
      </c>
      <c r="AR52">
        <f ca="1">OFFSET(Objects!$HW$6,AR$1+(Objects!$Y$4-$A52-1)*Objects!$X$4,0)</f>
        <v>0</v>
      </c>
      <c r="AS52">
        <f ca="1">OFFSET(Objects!$HW$6,AS$1+(Objects!$Y$4-$A52-1)*Objects!$X$4,0)</f>
        <v>0</v>
      </c>
      <c r="AT52">
        <f ca="1">OFFSET(Objects!$HW$6,AT$1+(Objects!$Y$4-$A52-1)*Objects!$X$4,0)</f>
        <v>0</v>
      </c>
      <c r="AU52">
        <f ca="1">OFFSET(Objects!$HW$6,AU$1+(Objects!$Y$4-$A52-1)*Objects!$X$4,0)</f>
        <v>0</v>
      </c>
      <c r="AV52">
        <f ca="1">OFFSET(Objects!$HW$6,AV$1+(Objects!$Y$4-$A52-1)*Objects!$X$4,0)</f>
        <v>0</v>
      </c>
      <c r="AW52">
        <f ca="1">OFFSET(Objects!$HW$6,AW$1+(Objects!$Y$4-$A52-1)*Objects!$X$4,0)</f>
        <v>0</v>
      </c>
      <c r="AX52">
        <f ca="1">OFFSET(Objects!$HW$6,AX$1+(Objects!$Y$4-$A52-1)*Objects!$X$4,0)</f>
        <v>0</v>
      </c>
      <c r="AY52">
        <f ca="1">OFFSET(Objects!$HW$6,AY$1+(Objects!$Y$4-$A52-1)*Objects!$X$4,0)</f>
        <v>0</v>
      </c>
      <c r="AZ52">
        <f ca="1">OFFSET(Objects!$HW$6,AZ$1+(Objects!$Y$4-$A52-1)*Objects!$X$4,0)</f>
        <v>0</v>
      </c>
      <c r="BA52">
        <f ca="1">OFFSET(Objects!$HW$6,BA$1+(Objects!$Y$4-$A52-1)*Objects!$X$4,0)</f>
        <v>0</v>
      </c>
      <c r="BB52">
        <f ca="1">OFFSET(Objects!$HW$6,BB$1+(Objects!$Y$4-$A52-1)*Objects!$X$4,0)</f>
        <v>0</v>
      </c>
      <c r="BC52">
        <f ca="1">OFFSET(Objects!$HW$6,BC$1+(Objects!$Y$4-$A52-1)*Objects!$X$4,0)</f>
        <v>0</v>
      </c>
      <c r="BD52">
        <f ca="1">OFFSET(Objects!$HW$6,BD$1+(Objects!$Y$4-$A52-1)*Objects!$X$4,0)</f>
        <v>0</v>
      </c>
      <c r="BE52">
        <f ca="1">OFFSET(Objects!$HW$6,BE$1+(Objects!$Y$4-$A52-1)*Objects!$X$4,0)</f>
        <v>0</v>
      </c>
      <c r="BF52">
        <f ca="1">OFFSET(Objects!$HW$6,BF$1+(Objects!$Y$4-$A52-1)*Objects!$X$4,0)</f>
        <v>0</v>
      </c>
      <c r="BG52">
        <f ca="1">OFFSET(Objects!$HW$6,BG$1+(Objects!$Y$4-$A52-1)*Objects!$X$4,0)</f>
        <v>0</v>
      </c>
      <c r="BH52">
        <f ca="1">OFFSET(Objects!$HW$6,BH$1+(Objects!$Y$4-$A52-1)*Objects!$X$4,0)</f>
        <v>0</v>
      </c>
      <c r="BI52">
        <f ca="1">OFFSET(Objects!$HW$6,BI$1+(Objects!$Y$4-$A52-1)*Objects!$X$4,0)</f>
        <v>0</v>
      </c>
      <c r="BJ52">
        <f ca="1">OFFSET(Objects!$HW$6,BJ$1+(Objects!$Y$4-$A52-1)*Objects!$X$4,0)</f>
        <v>0</v>
      </c>
      <c r="BK52">
        <f ca="1">OFFSET(Objects!$HW$6,BK$1+(Objects!$Y$4-$A52-1)*Objects!$X$4,0)</f>
        <v>0</v>
      </c>
      <c r="BL52">
        <f ca="1">OFFSET(Objects!$HW$6,BL$1+(Objects!$Y$4-$A52-1)*Objects!$X$4,0)</f>
        <v>0</v>
      </c>
      <c r="BM52">
        <f ca="1">OFFSET(Objects!$HW$6,BM$1+(Objects!$Y$4-$A52-1)*Objects!$X$4,0)</f>
        <v>0</v>
      </c>
      <c r="BN52">
        <f ca="1">OFFSET(Objects!$HW$6,BN$1+(Objects!$Y$4-$A52-1)*Objects!$X$4,0)</f>
        <v>0</v>
      </c>
      <c r="BO52">
        <f ca="1">OFFSET(Objects!$HW$6,BO$1+(Objects!$Y$4-$A52-1)*Objects!$X$4,0)</f>
        <v>0</v>
      </c>
      <c r="BP52">
        <f ca="1">OFFSET(Objects!$HW$6,BP$1+(Objects!$Y$4-$A52-1)*Objects!$X$4,0)</f>
        <v>0</v>
      </c>
      <c r="BQ52">
        <f ca="1">OFFSET(Objects!$HW$6,BQ$1+(Objects!$Y$4-$A52-1)*Objects!$X$4,0)</f>
        <v>0</v>
      </c>
      <c r="BR52">
        <f ca="1">OFFSET(Objects!$HW$6,BR$1+(Objects!$Y$4-$A52-1)*Objects!$X$4,0)</f>
        <v>0</v>
      </c>
      <c r="BS52">
        <f ca="1">OFFSET(Objects!$HW$6,BS$1+(Objects!$Y$4-$A52-1)*Objects!$X$4,0)</f>
        <v>0</v>
      </c>
      <c r="BT52">
        <f ca="1">OFFSET(Objects!$HW$6,BT$1+(Objects!$Y$4-$A52-1)*Objects!$X$4,0)</f>
        <v>0</v>
      </c>
      <c r="BU52">
        <f ca="1">OFFSET(Objects!$HW$6,BU$1+(Objects!$Y$4-$A52-1)*Objects!$X$4,0)</f>
        <v>0</v>
      </c>
      <c r="BV52">
        <f ca="1">OFFSET(Objects!$HW$6,BV$1+(Objects!$Y$4-$A52-1)*Objects!$X$4,0)</f>
        <v>0</v>
      </c>
      <c r="BW52">
        <f ca="1">OFFSET(Objects!$HW$6,BW$1+(Objects!$Y$4-$A52-1)*Objects!$X$4,0)</f>
        <v>0</v>
      </c>
      <c r="BX52">
        <f ca="1">OFFSET(Objects!$HW$6,BX$1+(Objects!$Y$4-$A52-1)*Objects!$X$4,0)</f>
        <v>0</v>
      </c>
      <c r="BY52">
        <f ca="1">OFFSET(Objects!$HW$6,BY$1+(Objects!$Y$4-$A52-1)*Objects!$X$4,0)</f>
        <v>0</v>
      </c>
      <c r="BZ52">
        <f ca="1">OFFSET(Objects!$HW$6,BZ$1+(Objects!$Y$4-$A52-1)*Objects!$X$4,0)</f>
        <v>0</v>
      </c>
      <c r="CA52">
        <f ca="1">OFFSET(Objects!$HW$6,CA$1+(Objects!$Y$4-$A52-1)*Objects!$X$4,0)</f>
        <v>0</v>
      </c>
      <c r="CB52">
        <f ca="1">OFFSET(Objects!$HW$6,CB$1+(Objects!$Y$4-$A52-1)*Objects!$X$4,0)</f>
        <v>0</v>
      </c>
      <c r="CC52">
        <f ca="1">OFFSET(Objects!$HW$6,CC$1+(Objects!$Y$4-$A52-1)*Objects!$X$4,0)</f>
        <v>0</v>
      </c>
      <c r="CD52">
        <f ca="1">OFFSET(Objects!$HW$6,CD$1+(Objects!$Y$4-$A52-1)*Objects!$X$4,0)</f>
        <v>0</v>
      </c>
      <c r="CE52">
        <f ca="1">OFFSET(Objects!$HW$6,CE$1+(Objects!$Y$4-$A52-1)*Objects!$X$4,0)</f>
        <v>0</v>
      </c>
      <c r="CF52">
        <f ca="1">OFFSET(Objects!$HW$6,CF$1+(Objects!$Y$4-$A52-1)*Objects!$X$4,0)</f>
        <v>0</v>
      </c>
      <c r="CG52">
        <f ca="1">OFFSET(Objects!$HW$6,CG$1+(Objects!$Y$4-$A52-1)*Objects!$X$4,0)</f>
        <v>0</v>
      </c>
      <c r="CH52">
        <f ca="1">OFFSET(Objects!$HW$6,CH$1+(Objects!$Y$4-$A52-1)*Objects!$X$4,0)</f>
        <v>0</v>
      </c>
      <c r="CI52">
        <f ca="1">OFFSET(Objects!$HW$6,CI$1+(Objects!$Y$4-$A52-1)*Objects!$X$4,0)</f>
        <v>0</v>
      </c>
      <c r="CJ52">
        <f ca="1">OFFSET(Objects!$HW$6,CJ$1+(Objects!$Y$4-$A52-1)*Objects!$X$4,0)</f>
        <v>0</v>
      </c>
      <c r="CK52">
        <f ca="1">OFFSET(Objects!$HW$6,CK$1+(Objects!$Y$4-$A52-1)*Objects!$X$4,0)</f>
        <v>0</v>
      </c>
      <c r="CL52">
        <f ca="1">OFFSET(Objects!$HW$6,CL$1+(Objects!$Y$4-$A52-1)*Objects!$X$4,0)</f>
        <v>0</v>
      </c>
      <c r="CM52">
        <f ca="1">OFFSET(Objects!$HW$6,CM$1+(Objects!$Y$4-$A52-1)*Objects!$X$4,0)</f>
        <v>0</v>
      </c>
      <c r="CN52">
        <f ca="1">OFFSET(Objects!$HW$6,CN$1+(Objects!$Y$4-$A52-1)*Objects!$X$4,0)</f>
        <v>0</v>
      </c>
      <c r="CO52">
        <f ca="1">OFFSET(Objects!$HW$6,CO$1+(Objects!$Y$4-$A52-1)*Objects!$X$4,0)</f>
        <v>0</v>
      </c>
      <c r="CP52">
        <f ca="1">OFFSET(Objects!$HW$6,CP$1+(Objects!$Y$4-$A52-1)*Objects!$X$4,0)</f>
        <v>0</v>
      </c>
      <c r="CQ52">
        <f ca="1">OFFSET(Objects!$HW$6,CQ$1+(Objects!$Y$4-$A52-1)*Objects!$X$4,0)</f>
        <v>0</v>
      </c>
      <c r="CR52">
        <f ca="1">OFFSET(Objects!$HW$6,CR$1+(Objects!$Y$4-$A52-1)*Objects!$X$4,0)</f>
        <v>0</v>
      </c>
      <c r="CS52">
        <f ca="1">OFFSET(Objects!$HW$6,CS$1+(Objects!$Y$4-$A52-1)*Objects!$X$4,0)</f>
        <v>0</v>
      </c>
      <c r="CT52">
        <f ca="1">OFFSET(Objects!$HW$6,CT$1+(Objects!$Y$4-$A52-1)*Objects!$X$4,0)</f>
        <v>0</v>
      </c>
      <c r="CU52">
        <f ca="1">OFFSET(Objects!$HW$6,CU$1+(Objects!$Y$4-$A52-1)*Objects!$X$4,0)</f>
        <v>0</v>
      </c>
      <c r="CV52">
        <f ca="1">OFFSET(Objects!$HW$6,CV$1+(Objects!$Y$4-$A52-1)*Objects!$X$4,0)</f>
        <v>0</v>
      </c>
      <c r="CW52">
        <f ca="1">OFFSET(Objects!$HW$6,CW$1+(Objects!$Y$4-$A52-1)*Objects!$X$4,0)</f>
        <v>0</v>
      </c>
      <c r="CX52">
        <f ca="1">OFFSET(Objects!$HW$6,CX$1+(Objects!$Y$4-$A52-1)*Objects!$X$4,0)</f>
        <v>0</v>
      </c>
      <c r="CY52">
        <f ca="1">OFFSET(Objects!$HW$6,CY$1+(Objects!$Y$4-$A52-1)*Objects!$X$4,0)</f>
        <v>0</v>
      </c>
      <c r="CZ52">
        <f ca="1">OFFSET(Objects!$HW$6,CZ$1+(Objects!$Y$4-$A52-1)*Objects!$X$4,0)</f>
        <v>0</v>
      </c>
      <c r="DA52">
        <f ca="1">OFFSET(Objects!$HW$6,DA$1+(Objects!$Y$4-$A52-1)*Objects!$X$4,0)</f>
        <v>0</v>
      </c>
      <c r="DB52">
        <f ca="1">OFFSET(Objects!$HW$6,DB$1+(Objects!$Y$4-$A52-1)*Objects!$X$4,0)</f>
        <v>0</v>
      </c>
      <c r="DC52">
        <f ca="1">OFFSET(Objects!$HW$6,DC$1+(Objects!$Y$4-$A52-1)*Objects!$X$4,0)</f>
        <v>0</v>
      </c>
      <c r="DD52">
        <f ca="1">OFFSET(Objects!$HW$6,DD$1+(Objects!$Y$4-$A52-1)*Objects!$X$4,0)</f>
        <v>0</v>
      </c>
      <c r="DE52">
        <f ca="1">OFFSET(Objects!$HW$6,DE$1+(Objects!$Y$4-$A52-1)*Objects!$X$4,0)</f>
        <v>0</v>
      </c>
      <c r="DF52">
        <f ca="1">OFFSET(Objects!$HW$6,DF$1+(Objects!$Y$4-$A52-1)*Objects!$X$4,0)</f>
        <v>0</v>
      </c>
      <c r="DG52">
        <f ca="1">OFFSET(Objects!$HW$6,DG$1+(Objects!$Y$4-$A52-1)*Objects!$X$4,0)</f>
        <v>0</v>
      </c>
      <c r="DH52">
        <f ca="1">OFFSET(Objects!$HW$6,DH$1+(Objects!$Y$4-$A52-1)*Objects!$X$4,0)</f>
        <v>0</v>
      </c>
      <c r="DI52">
        <f ca="1">OFFSET(Objects!$HW$6,DI$1+(Objects!$Y$4-$A52-1)*Objects!$X$4,0)</f>
        <v>0</v>
      </c>
      <c r="DJ52">
        <f ca="1">OFFSET(Objects!$HW$6,DJ$1+(Objects!$Y$4-$A52-1)*Objects!$X$4,0)</f>
        <v>0</v>
      </c>
      <c r="DK52">
        <f ca="1">OFFSET(Objects!$HW$6,DK$1+(Objects!$Y$4-$A52-1)*Objects!$X$4,0)</f>
        <v>0</v>
      </c>
      <c r="DL52">
        <f ca="1">OFFSET(Objects!$HW$6,DL$1+(Objects!$Y$4-$A52-1)*Objects!$X$4,0)</f>
        <v>0</v>
      </c>
      <c r="DM52">
        <f ca="1">OFFSET(Objects!$HW$6,DM$1+(Objects!$Y$4-$A52-1)*Objects!$X$4,0)</f>
        <v>0</v>
      </c>
      <c r="DN52">
        <f ca="1">OFFSET(Objects!$HW$6,DN$1+(Objects!$Y$4-$A52-1)*Objects!$X$4,0)</f>
        <v>0</v>
      </c>
      <c r="DO52">
        <f ca="1">OFFSET(Objects!$HW$6,DO$1+(Objects!$Y$4-$A52-1)*Objects!$X$4,0)</f>
        <v>0</v>
      </c>
      <c r="DP52">
        <f ca="1">OFFSET(Objects!$HW$6,DP$1+(Objects!$Y$4-$A52-1)*Objects!$X$4,0)</f>
        <v>0</v>
      </c>
      <c r="DQ52">
        <f ca="1">OFFSET(Objects!$HW$6,DQ$1+(Objects!$Y$4-$A52-1)*Objects!$X$4,0)</f>
        <v>0</v>
      </c>
      <c r="DR52">
        <f ca="1">OFFSET(Objects!$HW$6,DR$1+(Objects!$Y$4-$A52-1)*Objects!$X$4,0)</f>
        <v>0</v>
      </c>
      <c r="DS52">
        <f ca="1">OFFSET(Objects!$HW$6,DS$1+(Objects!$Y$4-$A52-1)*Objects!$X$4,0)</f>
        <v>0</v>
      </c>
      <c r="DT52">
        <f ca="1">OFFSET(Objects!$HW$6,DT$1+(Objects!$Y$4-$A52-1)*Objects!$X$4,0)</f>
        <v>0</v>
      </c>
      <c r="DU52">
        <f ca="1">OFFSET(Objects!$HW$6,DU$1+(Objects!$Y$4-$A52-1)*Objects!$X$4,0)</f>
        <v>0</v>
      </c>
      <c r="DV52">
        <f ca="1">OFFSET(Objects!$HW$6,DV$1+(Objects!$Y$4-$A52-1)*Objects!$X$4,0)</f>
        <v>0</v>
      </c>
      <c r="DW52">
        <f ca="1">OFFSET(Objects!$HW$6,DW$1+(Objects!$Y$4-$A52-1)*Objects!$X$4,0)</f>
        <v>0</v>
      </c>
      <c r="DX52">
        <f ca="1">OFFSET(Objects!$HW$6,DX$1+(Objects!$Y$4-$A52-1)*Objects!$X$4,0)</f>
        <v>0</v>
      </c>
      <c r="DY52">
        <f ca="1">OFFSET(Objects!$HW$6,DY$1+(Objects!$Y$4-$A52-1)*Objects!$X$4,0)</f>
        <v>0</v>
      </c>
      <c r="DZ52">
        <f ca="1">OFFSET(Objects!$HW$6,DZ$1+(Objects!$Y$4-$A52-1)*Objects!$X$4,0)</f>
        <v>0</v>
      </c>
      <c r="EA52">
        <f ca="1">OFFSET(Objects!$HW$6,EA$1+(Objects!$Y$4-$A52-1)*Objects!$X$4,0)</f>
        <v>0</v>
      </c>
      <c r="EB52">
        <f ca="1">OFFSET(Objects!$HW$6,EB$1+(Objects!$Y$4-$A52-1)*Objects!$X$4,0)</f>
        <v>0</v>
      </c>
      <c r="EC52">
        <f ca="1">OFFSET(Objects!$HW$6,EC$1+(Objects!$Y$4-$A52-1)*Objects!$X$4,0)</f>
        <v>0</v>
      </c>
      <c r="ED52">
        <f ca="1">OFFSET(Objects!$HW$6,ED$1+(Objects!$Y$4-$A52-1)*Objects!$X$4,0)</f>
        <v>0</v>
      </c>
      <c r="EE52">
        <f ca="1">OFFSET(Objects!$HW$6,EE$1+(Objects!$Y$4-$A52-1)*Objects!$X$4,0)</f>
        <v>0</v>
      </c>
      <c r="EF52">
        <f ca="1">OFFSET(Objects!$HW$6,EF$1+(Objects!$Y$4-$A52-1)*Objects!$X$4,0)</f>
        <v>0</v>
      </c>
      <c r="EG52">
        <f ca="1">OFFSET(Objects!$HW$6,EG$1+(Objects!$Y$4-$A52-1)*Objects!$X$4,0)</f>
        <v>0</v>
      </c>
      <c r="EH52">
        <f ca="1">OFFSET(Objects!$HW$6,EH$1+(Objects!$Y$4-$A52-1)*Objects!$X$4,0)</f>
        <v>0</v>
      </c>
      <c r="EI52">
        <f ca="1">OFFSET(Objects!$HW$6,EI$1+(Objects!$Y$4-$A52-1)*Objects!$X$4,0)</f>
        <v>0</v>
      </c>
      <c r="EJ52">
        <f ca="1">OFFSET(Objects!$HW$6,EJ$1+(Objects!$Y$4-$A52-1)*Objects!$X$4,0)</f>
        <v>0</v>
      </c>
      <c r="EK52">
        <f ca="1">OFFSET(Objects!$HW$6,EK$1+(Objects!$Y$4-$A52-1)*Objects!$X$4,0)</f>
        <v>0</v>
      </c>
      <c r="EL52">
        <f ca="1">OFFSET(Objects!$HW$6,EL$1+(Objects!$Y$4-$A52-1)*Objects!$X$4,0)</f>
        <v>0</v>
      </c>
      <c r="EM52">
        <f ca="1">OFFSET(Objects!$HW$6,EM$1+(Objects!$Y$4-$A52-1)*Objects!$X$4,0)</f>
        <v>0</v>
      </c>
      <c r="EN52">
        <f ca="1">OFFSET(Objects!$HW$6,EN$1+(Objects!$Y$4-$A52-1)*Objects!$X$4,0)</f>
        <v>0</v>
      </c>
      <c r="EO52">
        <f ca="1">OFFSET(Objects!$HW$6,EO$1+(Objects!$Y$4-$A52-1)*Objects!$X$4,0)</f>
        <v>0</v>
      </c>
      <c r="EP52">
        <f ca="1">OFFSET(Objects!$HW$6,EP$1+(Objects!$Y$4-$A52-1)*Objects!$X$4,0)</f>
        <v>0</v>
      </c>
      <c r="EQ52">
        <f ca="1">OFFSET(Objects!$HW$6,EQ$1+(Objects!$Y$4-$A52-1)*Objects!$X$4,0)</f>
        <v>0</v>
      </c>
      <c r="ER52">
        <f ca="1">OFFSET(Objects!$HW$6,ER$1+(Objects!$Y$4-$A52-1)*Objects!$X$4,0)</f>
        <v>0</v>
      </c>
      <c r="ES52">
        <f ca="1">OFFSET(Objects!$HW$6,ES$1+(Objects!$Y$4-$A52-1)*Objects!$X$4,0)</f>
        <v>0</v>
      </c>
      <c r="ET52">
        <f ca="1">OFFSET(Objects!$HW$6,ET$1+(Objects!$Y$4-$A52-1)*Objects!$X$4,0)</f>
        <v>0</v>
      </c>
      <c r="EU52">
        <f ca="1">OFFSET(Objects!$HW$6,EU$1+(Objects!$Y$4-$A52-1)*Objects!$X$4,0)</f>
        <v>0</v>
      </c>
      <c r="EV52">
        <f ca="1">OFFSET(Objects!$HW$6,EV$1+(Objects!$Y$4-$A52-1)*Objects!$X$4,0)</f>
        <v>0</v>
      </c>
      <c r="EW52">
        <f ca="1">OFFSET(Objects!$HW$6,EW$1+(Objects!$Y$4-$A52-1)*Objects!$X$4,0)</f>
        <v>0</v>
      </c>
      <c r="EX52">
        <f ca="1">OFFSET(Objects!$HW$6,EX$1+(Objects!$Y$4-$A52-1)*Objects!$X$4,0)</f>
        <v>0</v>
      </c>
      <c r="EY52">
        <f ca="1">OFFSET(Objects!$HW$6,EY$1+(Objects!$Y$4-$A52-1)*Objects!$X$4,0)</f>
        <v>0</v>
      </c>
      <c r="EZ52">
        <f ca="1">OFFSET(Objects!$HW$6,EZ$1+(Objects!$Y$4-$A52-1)*Objects!$X$4,0)</f>
        <v>0</v>
      </c>
      <c r="FA52">
        <f ca="1">OFFSET(Objects!$HW$6,FA$1+(Objects!$Y$4-$A52-1)*Objects!$X$4,0)</f>
        <v>0</v>
      </c>
      <c r="FB52">
        <f ca="1">OFFSET(Objects!$HW$6,FB$1+(Objects!$Y$4-$A52-1)*Objects!$X$4,0)</f>
        <v>0</v>
      </c>
      <c r="FC52">
        <f ca="1">OFFSET(Objects!$HW$6,FC$1+(Objects!$Y$4-$A52-1)*Objects!$X$4,0)</f>
        <v>0</v>
      </c>
      <c r="FD52">
        <f ca="1">OFFSET(Objects!$HW$6,FD$1+(Objects!$Y$4-$A52-1)*Objects!$X$4,0)</f>
        <v>0</v>
      </c>
      <c r="FE52" s="22">
        <f ca="1">OFFSET(Objects!$HW$6,FE$1+(Objects!$Y$4-$A52-1)*Objects!$X$4,0)</f>
        <v>0</v>
      </c>
    </row>
    <row r="53" spans="1:161" ht="4.5" customHeight="1" x14ac:dyDescent="0.25">
      <c r="A53">
        <v>51</v>
      </c>
      <c r="B53" s="21">
        <f ca="1">OFFSET(Objects!$HW$6,B$1+(Objects!$Y$4-$A53-1)*Objects!$X$4,0)</f>
        <v>0</v>
      </c>
      <c r="C53">
        <f ca="1">OFFSET(Objects!$HW$6,C$1+(Objects!$Y$4-$A53-1)*Objects!$X$4,0)</f>
        <v>0</v>
      </c>
      <c r="D53">
        <f ca="1">OFFSET(Objects!$HW$6,D$1+(Objects!$Y$4-$A53-1)*Objects!$X$4,0)</f>
        <v>0</v>
      </c>
      <c r="E53">
        <f ca="1">OFFSET(Objects!$HW$6,E$1+(Objects!$Y$4-$A53-1)*Objects!$X$4,0)</f>
        <v>0</v>
      </c>
      <c r="F53">
        <f ca="1">OFFSET(Objects!$HW$6,F$1+(Objects!$Y$4-$A53-1)*Objects!$X$4,0)</f>
        <v>0</v>
      </c>
      <c r="G53">
        <f ca="1">OFFSET(Objects!$HW$6,G$1+(Objects!$Y$4-$A53-1)*Objects!$X$4,0)</f>
        <v>0</v>
      </c>
      <c r="H53">
        <f ca="1">OFFSET(Objects!$HW$6,H$1+(Objects!$Y$4-$A53-1)*Objects!$X$4,0)</f>
        <v>0</v>
      </c>
      <c r="I53">
        <f ca="1">OFFSET(Objects!$HW$6,I$1+(Objects!$Y$4-$A53-1)*Objects!$X$4,0)</f>
        <v>0</v>
      </c>
      <c r="J53">
        <f ca="1">OFFSET(Objects!$HW$6,J$1+(Objects!$Y$4-$A53-1)*Objects!$X$4,0)</f>
        <v>0</v>
      </c>
      <c r="K53">
        <f ca="1">OFFSET(Objects!$HW$6,K$1+(Objects!$Y$4-$A53-1)*Objects!$X$4,0)</f>
        <v>0</v>
      </c>
      <c r="L53">
        <f ca="1">OFFSET(Objects!$HW$6,L$1+(Objects!$Y$4-$A53-1)*Objects!$X$4,0)</f>
        <v>0</v>
      </c>
      <c r="M53">
        <f ca="1">OFFSET(Objects!$HW$6,M$1+(Objects!$Y$4-$A53-1)*Objects!$X$4,0)</f>
        <v>0</v>
      </c>
      <c r="N53">
        <f ca="1">OFFSET(Objects!$HW$6,N$1+(Objects!$Y$4-$A53-1)*Objects!$X$4,0)</f>
        <v>0</v>
      </c>
      <c r="O53">
        <f ca="1">OFFSET(Objects!$HW$6,O$1+(Objects!$Y$4-$A53-1)*Objects!$X$4,0)</f>
        <v>0</v>
      </c>
      <c r="P53">
        <f ca="1">OFFSET(Objects!$HW$6,P$1+(Objects!$Y$4-$A53-1)*Objects!$X$4,0)</f>
        <v>0</v>
      </c>
      <c r="Q53">
        <f ca="1">OFFSET(Objects!$HW$6,Q$1+(Objects!$Y$4-$A53-1)*Objects!$X$4,0)</f>
        <v>0</v>
      </c>
      <c r="R53">
        <f ca="1">OFFSET(Objects!$HW$6,R$1+(Objects!$Y$4-$A53-1)*Objects!$X$4,0)</f>
        <v>0</v>
      </c>
      <c r="S53">
        <f ca="1">OFFSET(Objects!$HW$6,S$1+(Objects!$Y$4-$A53-1)*Objects!$X$4,0)</f>
        <v>0</v>
      </c>
      <c r="T53">
        <f ca="1">OFFSET(Objects!$HW$6,T$1+(Objects!$Y$4-$A53-1)*Objects!$X$4,0)</f>
        <v>0</v>
      </c>
      <c r="U53">
        <f ca="1">OFFSET(Objects!$HW$6,U$1+(Objects!$Y$4-$A53-1)*Objects!$X$4,0)</f>
        <v>0</v>
      </c>
      <c r="V53">
        <f ca="1">OFFSET(Objects!$HW$6,V$1+(Objects!$Y$4-$A53-1)*Objects!$X$4,0)</f>
        <v>0</v>
      </c>
      <c r="W53">
        <f ca="1">OFFSET(Objects!$HW$6,W$1+(Objects!$Y$4-$A53-1)*Objects!$X$4,0)</f>
        <v>0</v>
      </c>
      <c r="X53">
        <f ca="1">OFFSET(Objects!$HW$6,X$1+(Objects!$Y$4-$A53-1)*Objects!$X$4,0)</f>
        <v>0</v>
      </c>
      <c r="Y53">
        <f ca="1">OFFSET(Objects!$HW$6,Y$1+(Objects!$Y$4-$A53-1)*Objects!$X$4,0)</f>
        <v>0</v>
      </c>
      <c r="Z53">
        <f ca="1">OFFSET(Objects!$HW$6,Z$1+(Objects!$Y$4-$A53-1)*Objects!$X$4,0)</f>
        <v>0</v>
      </c>
      <c r="AA53">
        <f ca="1">OFFSET(Objects!$HW$6,AA$1+(Objects!$Y$4-$A53-1)*Objects!$X$4,0)</f>
        <v>0</v>
      </c>
      <c r="AB53">
        <f ca="1">OFFSET(Objects!$HW$6,AB$1+(Objects!$Y$4-$A53-1)*Objects!$X$4,0)</f>
        <v>0</v>
      </c>
      <c r="AC53">
        <f ca="1">OFFSET(Objects!$HW$6,AC$1+(Objects!$Y$4-$A53-1)*Objects!$X$4,0)</f>
        <v>0</v>
      </c>
      <c r="AD53">
        <f ca="1">OFFSET(Objects!$HW$6,AD$1+(Objects!$Y$4-$A53-1)*Objects!$X$4,0)</f>
        <v>0</v>
      </c>
      <c r="AE53">
        <f ca="1">OFFSET(Objects!$HW$6,AE$1+(Objects!$Y$4-$A53-1)*Objects!$X$4,0)</f>
        <v>0</v>
      </c>
      <c r="AF53">
        <f ca="1">OFFSET(Objects!$HW$6,AF$1+(Objects!$Y$4-$A53-1)*Objects!$X$4,0)</f>
        <v>0</v>
      </c>
      <c r="AG53">
        <f ca="1">OFFSET(Objects!$HW$6,AG$1+(Objects!$Y$4-$A53-1)*Objects!$X$4,0)</f>
        <v>0</v>
      </c>
      <c r="AH53">
        <f ca="1">OFFSET(Objects!$HW$6,AH$1+(Objects!$Y$4-$A53-1)*Objects!$X$4,0)</f>
        <v>0</v>
      </c>
      <c r="AI53">
        <f ca="1">OFFSET(Objects!$HW$6,AI$1+(Objects!$Y$4-$A53-1)*Objects!$X$4,0)</f>
        <v>0</v>
      </c>
      <c r="AJ53">
        <f ca="1">OFFSET(Objects!$HW$6,AJ$1+(Objects!$Y$4-$A53-1)*Objects!$X$4,0)</f>
        <v>0</v>
      </c>
      <c r="AK53">
        <f ca="1">OFFSET(Objects!$HW$6,AK$1+(Objects!$Y$4-$A53-1)*Objects!$X$4,0)</f>
        <v>0</v>
      </c>
      <c r="AL53">
        <f ca="1">OFFSET(Objects!$HW$6,AL$1+(Objects!$Y$4-$A53-1)*Objects!$X$4,0)</f>
        <v>0</v>
      </c>
      <c r="AM53">
        <f ca="1">OFFSET(Objects!$HW$6,AM$1+(Objects!$Y$4-$A53-1)*Objects!$X$4,0)</f>
        <v>0</v>
      </c>
      <c r="AN53">
        <f ca="1">OFFSET(Objects!$HW$6,AN$1+(Objects!$Y$4-$A53-1)*Objects!$X$4,0)</f>
        <v>0</v>
      </c>
      <c r="AO53">
        <f ca="1">OFFSET(Objects!$HW$6,AO$1+(Objects!$Y$4-$A53-1)*Objects!$X$4,0)</f>
        <v>0</v>
      </c>
      <c r="AP53">
        <f ca="1">OFFSET(Objects!$HW$6,AP$1+(Objects!$Y$4-$A53-1)*Objects!$X$4,0)</f>
        <v>0</v>
      </c>
      <c r="AQ53">
        <f ca="1">OFFSET(Objects!$HW$6,AQ$1+(Objects!$Y$4-$A53-1)*Objects!$X$4,0)</f>
        <v>0</v>
      </c>
      <c r="AR53">
        <f ca="1">OFFSET(Objects!$HW$6,AR$1+(Objects!$Y$4-$A53-1)*Objects!$X$4,0)</f>
        <v>0</v>
      </c>
      <c r="AS53">
        <f ca="1">OFFSET(Objects!$HW$6,AS$1+(Objects!$Y$4-$A53-1)*Objects!$X$4,0)</f>
        <v>0</v>
      </c>
      <c r="AT53">
        <f ca="1">OFFSET(Objects!$HW$6,AT$1+(Objects!$Y$4-$A53-1)*Objects!$X$4,0)</f>
        <v>0</v>
      </c>
      <c r="AU53">
        <f ca="1">OFFSET(Objects!$HW$6,AU$1+(Objects!$Y$4-$A53-1)*Objects!$X$4,0)</f>
        <v>0</v>
      </c>
      <c r="AV53">
        <f ca="1">OFFSET(Objects!$HW$6,AV$1+(Objects!$Y$4-$A53-1)*Objects!$X$4,0)</f>
        <v>0</v>
      </c>
      <c r="AW53">
        <f ca="1">OFFSET(Objects!$HW$6,AW$1+(Objects!$Y$4-$A53-1)*Objects!$X$4,0)</f>
        <v>0</v>
      </c>
      <c r="AX53">
        <f ca="1">OFFSET(Objects!$HW$6,AX$1+(Objects!$Y$4-$A53-1)*Objects!$X$4,0)</f>
        <v>0</v>
      </c>
      <c r="AY53">
        <f ca="1">OFFSET(Objects!$HW$6,AY$1+(Objects!$Y$4-$A53-1)*Objects!$X$4,0)</f>
        <v>0</v>
      </c>
      <c r="AZ53">
        <f ca="1">OFFSET(Objects!$HW$6,AZ$1+(Objects!$Y$4-$A53-1)*Objects!$X$4,0)</f>
        <v>0</v>
      </c>
      <c r="BA53">
        <f ca="1">OFFSET(Objects!$HW$6,BA$1+(Objects!$Y$4-$A53-1)*Objects!$X$4,0)</f>
        <v>0</v>
      </c>
      <c r="BB53">
        <f ca="1">OFFSET(Objects!$HW$6,BB$1+(Objects!$Y$4-$A53-1)*Objects!$X$4,0)</f>
        <v>0</v>
      </c>
      <c r="BC53">
        <f ca="1">OFFSET(Objects!$HW$6,BC$1+(Objects!$Y$4-$A53-1)*Objects!$X$4,0)</f>
        <v>0</v>
      </c>
      <c r="BD53">
        <f ca="1">OFFSET(Objects!$HW$6,BD$1+(Objects!$Y$4-$A53-1)*Objects!$X$4,0)</f>
        <v>0</v>
      </c>
      <c r="BE53">
        <f ca="1">OFFSET(Objects!$HW$6,BE$1+(Objects!$Y$4-$A53-1)*Objects!$X$4,0)</f>
        <v>0</v>
      </c>
      <c r="BF53">
        <f ca="1">OFFSET(Objects!$HW$6,BF$1+(Objects!$Y$4-$A53-1)*Objects!$X$4,0)</f>
        <v>0</v>
      </c>
      <c r="BG53">
        <f ca="1">OFFSET(Objects!$HW$6,BG$1+(Objects!$Y$4-$A53-1)*Objects!$X$4,0)</f>
        <v>0</v>
      </c>
      <c r="BH53">
        <f ca="1">OFFSET(Objects!$HW$6,BH$1+(Objects!$Y$4-$A53-1)*Objects!$X$4,0)</f>
        <v>0</v>
      </c>
      <c r="BI53">
        <f ca="1">OFFSET(Objects!$HW$6,BI$1+(Objects!$Y$4-$A53-1)*Objects!$X$4,0)</f>
        <v>0</v>
      </c>
      <c r="BJ53">
        <f ca="1">OFFSET(Objects!$HW$6,BJ$1+(Objects!$Y$4-$A53-1)*Objects!$X$4,0)</f>
        <v>0</v>
      </c>
      <c r="BK53">
        <f ca="1">OFFSET(Objects!$HW$6,BK$1+(Objects!$Y$4-$A53-1)*Objects!$X$4,0)</f>
        <v>0</v>
      </c>
      <c r="BL53">
        <f ca="1">OFFSET(Objects!$HW$6,BL$1+(Objects!$Y$4-$A53-1)*Objects!$X$4,0)</f>
        <v>0</v>
      </c>
      <c r="BM53">
        <f ca="1">OFFSET(Objects!$HW$6,BM$1+(Objects!$Y$4-$A53-1)*Objects!$X$4,0)</f>
        <v>0</v>
      </c>
      <c r="BN53">
        <f ca="1">OFFSET(Objects!$HW$6,BN$1+(Objects!$Y$4-$A53-1)*Objects!$X$4,0)</f>
        <v>0</v>
      </c>
      <c r="BO53">
        <f ca="1">OFFSET(Objects!$HW$6,BO$1+(Objects!$Y$4-$A53-1)*Objects!$X$4,0)</f>
        <v>0</v>
      </c>
      <c r="BP53">
        <f ca="1">OFFSET(Objects!$HW$6,BP$1+(Objects!$Y$4-$A53-1)*Objects!$X$4,0)</f>
        <v>0</v>
      </c>
      <c r="BQ53">
        <f ca="1">OFFSET(Objects!$HW$6,BQ$1+(Objects!$Y$4-$A53-1)*Objects!$X$4,0)</f>
        <v>0</v>
      </c>
      <c r="BR53">
        <f ca="1">OFFSET(Objects!$HW$6,BR$1+(Objects!$Y$4-$A53-1)*Objects!$X$4,0)</f>
        <v>0</v>
      </c>
      <c r="BS53">
        <f ca="1">OFFSET(Objects!$HW$6,BS$1+(Objects!$Y$4-$A53-1)*Objects!$X$4,0)</f>
        <v>0</v>
      </c>
      <c r="BT53">
        <f ca="1">OFFSET(Objects!$HW$6,BT$1+(Objects!$Y$4-$A53-1)*Objects!$X$4,0)</f>
        <v>0</v>
      </c>
      <c r="BU53">
        <f ca="1">OFFSET(Objects!$HW$6,BU$1+(Objects!$Y$4-$A53-1)*Objects!$X$4,0)</f>
        <v>0</v>
      </c>
      <c r="BV53">
        <f ca="1">OFFSET(Objects!$HW$6,BV$1+(Objects!$Y$4-$A53-1)*Objects!$X$4,0)</f>
        <v>0</v>
      </c>
      <c r="BW53">
        <f ca="1">OFFSET(Objects!$HW$6,BW$1+(Objects!$Y$4-$A53-1)*Objects!$X$4,0)</f>
        <v>0</v>
      </c>
      <c r="BX53">
        <f ca="1">OFFSET(Objects!$HW$6,BX$1+(Objects!$Y$4-$A53-1)*Objects!$X$4,0)</f>
        <v>0</v>
      </c>
      <c r="BY53">
        <f ca="1">OFFSET(Objects!$HW$6,BY$1+(Objects!$Y$4-$A53-1)*Objects!$X$4,0)</f>
        <v>0</v>
      </c>
      <c r="BZ53">
        <f ca="1">OFFSET(Objects!$HW$6,BZ$1+(Objects!$Y$4-$A53-1)*Objects!$X$4,0)</f>
        <v>0</v>
      </c>
      <c r="CA53">
        <f ca="1">OFFSET(Objects!$HW$6,CA$1+(Objects!$Y$4-$A53-1)*Objects!$X$4,0)</f>
        <v>0</v>
      </c>
      <c r="CB53">
        <f ca="1">OFFSET(Objects!$HW$6,CB$1+(Objects!$Y$4-$A53-1)*Objects!$X$4,0)</f>
        <v>0</v>
      </c>
      <c r="CC53">
        <f ca="1">OFFSET(Objects!$HW$6,CC$1+(Objects!$Y$4-$A53-1)*Objects!$X$4,0)</f>
        <v>0</v>
      </c>
      <c r="CD53">
        <f ca="1">OFFSET(Objects!$HW$6,CD$1+(Objects!$Y$4-$A53-1)*Objects!$X$4,0)</f>
        <v>0</v>
      </c>
      <c r="CE53">
        <f ca="1">OFFSET(Objects!$HW$6,CE$1+(Objects!$Y$4-$A53-1)*Objects!$X$4,0)</f>
        <v>0</v>
      </c>
      <c r="CF53">
        <f ca="1">OFFSET(Objects!$HW$6,CF$1+(Objects!$Y$4-$A53-1)*Objects!$X$4,0)</f>
        <v>0</v>
      </c>
      <c r="CG53">
        <f ca="1">OFFSET(Objects!$HW$6,CG$1+(Objects!$Y$4-$A53-1)*Objects!$X$4,0)</f>
        <v>0</v>
      </c>
      <c r="CH53">
        <f ca="1">OFFSET(Objects!$HW$6,CH$1+(Objects!$Y$4-$A53-1)*Objects!$X$4,0)</f>
        <v>0</v>
      </c>
      <c r="CI53">
        <f ca="1">OFFSET(Objects!$HW$6,CI$1+(Objects!$Y$4-$A53-1)*Objects!$X$4,0)</f>
        <v>0</v>
      </c>
      <c r="CJ53">
        <f ca="1">OFFSET(Objects!$HW$6,CJ$1+(Objects!$Y$4-$A53-1)*Objects!$X$4,0)</f>
        <v>0</v>
      </c>
      <c r="CK53">
        <f ca="1">OFFSET(Objects!$HW$6,CK$1+(Objects!$Y$4-$A53-1)*Objects!$X$4,0)</f>
        <v>0</v>
      </c>
      <c r="CL53">
        <f ca="1">OFFSET(Objects!$HW$6,CL$1+(Objects!$Y$4-$A53-1)*Objects!$X$4,0)</f>
        <v>0</v>
      </c>
      <c r="CM53">
        <f ca="1">OFFSET(Objects!$HW$6,CM$1+(Objects!$Y$4-$A53-1)*Objects!$X$4,0)</f>
        <v>0</v>
      </c>
      <c r="CN53">
        <f ca="1">OFFSET(Objects!$HW$6,CN$1+(Objects!$Y$4-$A53-1)*Objects!$X$4,0)</f>
        <v>0</v>
      </c>
      <c r="CO53">
        <f ca="1">OFFSET(Objects!$HW$6,CO$1+(Objects!$Y$4-$A53-1)*Objects!$X$4,0)</f>
        <v>0</v>
      </c>
      <c r="CP53">
        <f ca="1">OFFSET(Objects!$HW$6,CP$1+(Objects!$Y$4-$A53-1)*Objects!$X$4,0)</f>
        <v>0</v>
      </c>
      <c r="CQ53">
        <f ca="1">OFFSET(Objects!$HW$6,CQ$1+(Objects!$Y$4-$A53-1)*Objects!$X$4,0)</f>
        <v>0</v>
      </c>
      <c r="CR53">
        <f ca="1">OFFSET(Objects!$HW$6,CR$1+(Objects!$Y$4-$A53-1)*Objects!$X$4,0)</f>
        <v>0</v>
      </c>
      <c r="CS53">
        <f ca="1">OFFSET(Objects!$HW$6,CS$1+(Objects!$Y$4-$A53-1)*Objects!$X$4,0)</f>
        <v>0</v>
      </c>
      <c r="CT53">
        <f ca="1">OFFSET(Objects!$HW$6,CT$1+(Objects!$Y$4-$A53-1)*Objects!$X$4,0)</f>
        <v>0</v>
      </c>
      <c r="CU53">
        <f ca="1">OFFSET(Objects!$HW$6,CU$1+(Objects!$Y$4-$A53-1)*Objects!$X$4,0)</f>
        <v>0</v>
      </c>
      <c r="CV53">
        <f ca="1">OFFSET(Objects!$HW$6,CV$1+(Objects!$Y$4-$A53-1)*Objects!$X$4,0)</f>
        <v>0</v>
      </c>
      <c r="CW53">
        <f ca="1">OFFSET(Objects!$HW$6,CW$1+(Objects!$Y$4-$A53-1)*Objects!$X$4,0)</f>
        <v>0</v>
      </c>
      <c r="CX53">
        <f ca="1">OFFSET(Objects!$HW$6,CX$1+(Objects!$Y$4-$A53-1)*Objects!$X$4,0)</f>
        <v>0</v>
      </c>
      <c r="CY53">
        <f ca="1">OFFSET(Objects!$HW$6,CY$1+(Objects!$Y$4-$A53-1)*Objects!$X$4,0)</f>
        <v>0</v>
      </c>
      <c r="CZ53">
        <f ca="1">OFFSET(Objects!$HW$6,CZ$1+(Objects!$Y$4-$A53-1)*Objects!$X$4,0)</f>
        <v>0</v>
      </c>
      <c r="DA53">
        <f ca="1">OFFSET(Objects!$HW$6,DA$1+(Objects!$Y$4-$A53-1)*Objects!$X$4,0)</f>
        <v>0</v>
      </c>
      <c r="DB53">
        <f ca="1">OFFSET(Objects!$HW$6,DB$1+(Objects!$Y$4-$A53-1)*Objects!$X$4,0)</f>
        <v>0</v>
      </c>
      <c r="DC53">
        <f ca="1">OFFSET(Objects!$HW$6,DC$1+(Objects!$Y$4-$A53-1)*Objects!$X$4,0)</f>
        <v>0</v>
      </c>
      <c r="DD53">
        <f ca="1">OFFSET(Objects!$HW$6,DD$1+(Objects!$Y$4-$A53-1)*Objects!$X$4,0)</f>
        <v>0</v>
      </c>
      <c r="DE53">
        <f ca="1">OFFSET(Objects!$HW$6,DE$1+(Objects!$Y$4-$A53-1)*Objects!$X$4,0)</f>
        <v>0</v>
      </c>
      <c r="DF53">
        <f ca="1">OFFSET(Objects!$HW$6,DF$1+(Objects!$Y$4-$A53-1)*Objects!$X$4,0)</f>
        <v>0</v>
      </c>
      <c r="DG53">
        <f ca="1">OFFSET(Objects!$HW$6,DG$1+(Objects!$Y$4-$A53-1)*Objects!$X$4,0)</f>
        <v>0</v>
      </c>
      <c r="DH53">
        <f ca="1">OFFSET(Objects!$HW$6,DH$1+(Objects!$Y$4-$A53-1)*Objects!$X$4,0)</f>
        <v>0</v>
      </c>
      <c r="DI53">
        <f ca="1">OFFSET(Objects!$HW$6,DI$1+(Objects!$Y$4-$A53-1)*Objects!$X$4,0)</f>
        <v>0</v>
      </c>
      <c r="DJ53">
        <f ca="1">OFFSET(Objects!$HW$6,DJ$1+(Objects!$Y$4-$A53-1)*Objects!$X$4,0)</f>
        <v>0</v>
      </c>
      <c r="DK53">
        <f ca="1">OFFSET(Objects!$HW$6,DK$1+(Objects!$Y$4-$A53-1)*Objects!$X$4,0)</f>
        <v>0</v>
      </c>
      <c r="DL53">
        <f ca="1">OFFSET(Objects!$HW$6,DL$1+(Objects!$Y$4-$A53-1)*Objects!$X$4,0)</f>
        <v>0</v>
      </c>
      <c r="DM53">
        <f ca="1">OFFSET(Objects!$HW$6,DM$1+(Objects!$Y$4-$A53-1)*Objects!$X$4,0)</f>
        <v>0</v>
      </c>
      <c r="DN53">
        <f ca="1">OFFSET(Objects!$HW$6,DN$1+(Objects!$Y$4-$A53-1)*Objects!$X$4,0)</f>
        <v>0</v>
      </c>
      <c r="DO53">
        <f ca="1">OFFSET(Objects!$HW$6,DO$1+(Objects!$Y$4-$A53-1)*Objects!$X$4,0)</f>
        <v>0</v>
      </c>
      <c r="DP53">
        <f ca="1">OFFSET(Objects!$HW$6,DP$1+(Objects!$Y$4-$A53-1)*Objects!$X$4,0)</f>
        <v>0</v>
      </c>
      <c r="DQ53">
        <f ca="1">OFFSET(Objects!$HW$6,DQ$1+(Objects!$Y$4-$A53-1)*Objects!$X$4,0)</f>
        <v>0</v>
      </c>
      <c r="DR53">
        <f ca="1">OFFSET(Objects!$HW$6,DR$1+(Objects!$Y$4-$A53-1)*Objects!$X$4,0)</f>
        <v>0</v>
      </c>
      <c r="DS53">
        <f ca="1">OFFSET(Objects!$HW$6,DS$1+(Objects!$Y$4-$A53-1)*Objects!$X$4,0)</f>
        <v>0</v>
      </c>
      <c r="DT53">
        <f ca="1">OFFSET(Objects!$HW$6,DT$1+(Objects!$Y$4-$A53-1)*Objects!$X$4,0)</f>
        <v>0</v>
      </c>
      <c r="DU53">
        <f ca="1">OFFSET(Objects!$HW$6,DU$1+(Objects!$Y$4-$A53-1)*Objects!$X$4,0)</f>
        <v>0</v>
      </c>
      <c r="DV53">
        <f ca="1">OFFSET(Objects!$HW$6,DV$1+(Objects!$Y$4-$A53-1)*Objects!$X$4,0)</f>
        <v>0</v>
      </c>
      <c r="DW53">
        <f ca="1">OFFSET(Objects!$HW$6,DW$1+(Objects!$Y$4-$A53-1)*Objects!$X$4,0)</f>
        <v>0</v>
      </c>
      <c r="DX53">
        <f ca="1">OFFSET(Objects!$HW$6,DX$1+(Objects!$Y$4-$A53-1)*Objects!$X$4,0)</f>
        <v>0</v>
      </c>
      <c r="DY53">
        <f ca="1">OFFSET(Objects!$HW$6,DY$1+(Objects!$Y$4-$A53-1)*Objects!$X$4,0)</f>
        <v>0</v>
      </c>
      <c r="DZ53">
        <f ca="1">OFFSET(Objects!$HW$6,DZ$1+(Objects!$Y$4-$A53-1)*Objects!$X$4,0)</f>
        <v>0</v>
      </c>
      <c r="EA53">
        <f ca="1">OFFSET(Objects!$HW$6,EA$1+(Objects!$Y$4-$A53-1)*Objects!$X$4,0)</f>
        <v>0</v>
      </c>
      <c r="EB53">
        <f ca="1">OFFSET(Objects!$HW$6,EB$1+(Objects!$Y$4-$A53-1)*Objects!$X$4,0)</f>
        <v>0</v>
      </c>
      <c r="EC53">
        <f ca="1">OFFSET(Objects!$HW$6,EC$1+(Objects!$Y$4-$A53-1)*Objects!$X$4,0)</f>
        <v>0</v>
      </c>
      <c r="ED53">
        <f ca="1">OFFSET(Objects!$HW$6,ED$1+(Objects!$Y$4-$A53-1)*Objects!$X$4,0)</f>
        <v>0</v>
      </c>
      <c r="EE53">
        <f ca="1">OFFSET(Objects!$HW$6,EE$1+(Objects!$Y$4-$A53-1)*Objects!$X$4,0)</f>
        <v>0</v>
      </c>
      <c r="EF53">
        <f ca="1">OFFSET(Objects!$HW$6,EF$1+(Objects!$Y$4-$A53-1)*Objects!$X$4,0)</f>
        <v>0</v>
      </c>
      <c r="EG53">
        <f ca="1">OFFSET(Objects!$HW$6,EG$1+(Objects!$Y$4-$A53-1)*Objects!$X$4,0)</f>
        <v>0</v>
      </c>
      <c r="EH53">
        <f ca="1">OFFSET(Objects!$HW$6,EH$1+(Objects!$Y$4-$A53-1)*Objects!$X$4,0)</f>
        <v>0</v>
      </c>
      <c r="EI53">
        <f ca="1">OFFSET(Objects!$HW$6,EI$1+(Objects!$Y$4-$A53-1)*Objects!$X$4,0)</f>
        <v>0</v>
      </c>
      <c r="EJ53">
        <f ca="1">OFFSET(Objects!$HW$6,EJ$1+(Objects!$Y$4-$A53-1)*Objects!$X$4,0)</f>
        <v>0</v>
      </c>
      <c r="EK53">
        <f ca="1">OFFSET(Objects!$HW$6,EK$1+(Objects!$Y$4-$A53-1)*Objects!$X$4,0)</f>
        <v>0</v>
      </c>
      <c r="EL53">
        <f ca="1">OFFSET(Objects!$HW$6,EL$1+(Objects!$Y$4-$A53-1)*Objects!$X$4,0)</f>
        <v>0</v>
      </c>
      <c r="EM53">
        <f ca="1">OFFSET(Objects!$HW$6,EM$1+(Objects!$Y$4-$A53-1)*Objects!$X$4,0)</f>
        <v>0</v>
      </c>
      <c r="EN53">
        <f ca="1">OFFSET(Objects!$HW$6,EN$1+(Objects!$Y$4-$A53-1)*Objects!$X$4,0)</f>
        <v>0</v>
      </c>
      <c r="EO53">
        <f ca="1">OFFSET(Objects!$HW$6,EO$1+(Objects!$Y$4-$A53-1)*Objects!$X$4,0)</f>
        <v>0</v>
      </c>
      <c r="EP53">
        <f ca="1">OFFSET(Objects!$HW$6,EP$1+(Objects!$Y$4-$A53-1)*Objects!$X$4,0)</f>
        <v>0</v>
      </c>
      <c r="EQ53">
        <f ca="1">OFFSET(Objects!$HW$6,EQ$1+(Objects!$Y$4-$A53-1)*Objects!$X$4,0)</f>
        <v>0</v>
      </c>
      <c r="ER53">
        <f ca="1">OFFSET(Objects!$HW$6,ER$1+(Objects!$Y$4-$A53-1)*Objects!$X$4,0)</f>
        <v>0</v>
      </c>
      <c r="ES53">
        <f ca="1">OFFSET(Objects!$HW$6,ES$1+(Objects!$Y$4-$A53-1)*Objects!$X$4,0)</f>
        <v>0</v>
      </c>
      <c r="ET53">
        <f ca="1">OFFSET(Objects!$HW$6,ET$1+(Objects!$Y$4-$A53-1)*Objects!$X$4,0)</f>
        <v>0</v>
      </c>
      <c r="EU53">
        <f ca="1">OFFSET(Objects!$HW$6,EU$1+(Objects!$Y$4-$A53-1)*Objects!$X$4,0)</f>
        <v>0</v>
      </c>
      <c r="EV53">
        <f ca="1">OFFSET(Objects!$HW$6,EV$1+(Objects!$Y$4-$A53-1)*Objects!$X$4,0)</f>
        <v>0</v>
      </c>
      <c r="EW53">
        <f ca="1">OFFSET(Objects!$HW$6,EW$1+(Objects!$Y$4-$A53-1)*Objects!$X$4,0)</f>
        <v>0</v>
      </c>
      <c r="EX53">
        <f ca="1">OFFSET(Objects!$HW$6,EX$1+(Objects!$Y$4-$A53-1)*Objects!$X$4,0)</f>
        <v>0</v>
      </c>
      <c r="EY53">
        <f ca="1">OFFSET(Objects!$HW$6,EY$1+(Objects!$Y$4-$A53-1)*Objects!$X$4,0)</f>
        <v>0</v>
      </c>
      <c r="EZ53">
        <f ca="1">OFFSET(Objects!$HW$6,EZ$1+(Objects!$Y$4-$A53-1)*Objects!$X$4,0)</f>
        <v>0</v>
      </c>
      <c r="FA53">
        <f ca="1">OFFSET(Objects!$HW$6,FA$1+(Objects!$Y$4-$A53-1)*Objects!$X$4,0)</f>
        <v>0</v>
      </c>
      <c r="FB53">
        <f ca="1">OFFSET(Objects!$HW$6,FB$1+(Objects!$Y$4-$A53-1)*Objects!$X$4,0)</f>
        <v>0</v>
      </c>
      <c r="FC53">
        <f ca="1">OFFSET(Objects!$HW$6,FC$1+(Objects!$Y$4-$A53-1)*Objects!$X$4,0)</f>
        <v>0</v>
      </c>
      <c r="FD53">
        <f ca="1">OFFSET(Objects!$HW$6,FD$1+(Objects!$Y$4-$A53-1)*Objects!$X$4,0)</f>
        <v>0</v>
      </c>
      <c r="FE53" s="22">
        <f ca="1">OFFSET(Objects!$HW$6,FE$1+(Objects!$Y$4-$A53-1)*Objects!$X$4,0)</f>
        <v>0</v>
      </c>
    </row>
    <row r="54" spans="1:161" ht="4.5" customHeight="1" x14ac:dyDescent="0.25">
      <c r="A54">
        <v>52</v>
      </c>
      <c r="B54" s="21">
        <f ca="1">OFFSET(Objects!$HW$6,B$1+(Objects!$Y$4-$A54-1)*Objects!$X$4,0)</f>
        <v>0</v>
      </c>
      <c r="C54">
        <f ca="1">OFFSET(Objects!$HW$6,C$1+(Objects!$Y$4-$A54-1)*Objects!$X$4,0)</f>
        <v>0</v>
      </c>
      <c r="D54">
        <f ca="1">OFFSET(Objects!$HW$6,D$1+(Objects!$Y$4-$A54-1)*Objects!$X$4,0)</f>
        <v>0</v>
      </c>
      <c r="E54">
        <f ca="1">OFFSET(Objects!$HW$6,E$1+(Objects!$Y$4-$A54-1)*Objects!$X$4,0)</f>
        <v>0</v>
      </c>
      <c r="F54">
        <f ca="1">OFFSET(Objects!$HW$6,F$1+(Objects!$Y$4-$A54-1)*Objects!$X$4,0)</f>
        <v>0</v>
      </c>
      <c r="G54">
        <f ca="1">OFFSET(Objects!$HW$6,G$1+(Objects!$Y$4-$A54-1)*Objects!$X$4,0)</f>
        <v>0</v>
      </c>
      <c r="H54">
        <f ca="1">OFFSET(Objects!$HW$6,H$1+(Objects!$Y$4-$A54-1)*Objects!$X$4,0)</f>
        <v>0</v>
      </c>
      <c r="I54">
        <f ca="1">OFFSET(Objects!$HW$6,I$1+(Objects!$Y$4-$A54-1)*Objects!$X$4,0)</f>
        <v>0</v>
      </c>
      <c r="J54">
        <f ca="1">OFFSET(Objects!$HW$6,J$1+(Objects!$Y$4-$A54-1)*Objects!$X$4,0)</f>
        <v>0</v>
      </c>
      <c r="K54">
        <f ca="1">OFFSET(Objects!$HW$6,K$1+(Objects!$Y$4-$A54-1)*Objects!$X$4,0)</f>
        <v>0</v>
      </c>
      <c r="L54">
        <f ca="1">OFFSET(Objects!$HW$6,L$1+(Objects!$Y$4-$A54-1)*Objects!$X$4,0)</f>
        <v>0</v>
      </c>
      <c r="M54">
        <f ca="1">OFFSET(Objects!$HW$6,M$1+(Objects!$Y$4-$A54-1)*Objects!$X$4,0)</f>
        <v>0</v>
      </c>
      <c r="N54">
        <f ca="1">OFFSET(Objects!$HW$6,N$1+(Objects!$Y$4-$A54-1)*Objects!$X$4,0)</f>
        <v>0</v>
      </c>
      <c r="O54">
        <f ca="1">OFFSET(Objects!$HW$6,O$1+(Objects!$Y$4-$A54-1)*Objects!$X$4,0)</f>
        <v>0</v>
      </c>
      <c r="P54">
        <f ca="1">OFFSET(Objects!$HW$6,P$1+(Objects!$Y$4-$A54-1)*Objects!$X$4,0)</f>
        <v>0</v>
      </c>
      <c r="Q54">
        <f ca="1">OFFSET(Objects!$HW$6,Q$1+(Objects!$Y$4-$A54-1)*Objects!$X$4,0)</f>
        <v>0</v>
      </c>
      <c r="R54">
        <f ca="1">OFFSET(Objects!$HW$6,R$1+(Objects!$Y$4-$A54-1)*Objects!$X$4,0)</f>
        <v>0</v>
      </c>
      <c r="S54">
        <f ca="1">OFFSET(Objects!$HW$6,S$1+(Objects!$Y$4-$A54-1)*Objects!$X$4,0)</f>
        <v>0</v>
      </c>
      <c r="T54">
        <f ca="1">OFFSET(Objects!$HW$6,T$1+(Objects!$Y$4-$A54-1)*Objects!$X$4,0)</f>
        <v>0</v>
      </c>
      <c r="U54">
        <f ca="1">OFFSET(Objects!$HW$6,U$1+(Objects!$Y$4-$A54-1)*Objects!$X$4,0)</f>
        <v>0</v>
      </c>
      <c r="V54">
        <f ca="1">OFFSET(Objects!$HW$6,V$1+(Objects!$Y$4-$A54-1)*Objects!$X$4,0)</f>
        <v>0</v>
      </c>
      <c r="W54">
        <f ca="1">OFFSET(Objects!$HW$6,W$1+(Objects!$Y$4-$A54-1)*Objects!$X$4,0)</f>
        <v>0</v>
      </c>
      <c r="X54">
        <f ca="1">OFFSET(Objects!$HW$6,X$1+(Objects!$Y$4-$A54-1)*Objects!$X$4,0)</f>
        <v>0</v>
      </c>
      <c r="Y54">
        <f ca="1">OFFSET(Objects!$HW$6,Y$1+(Objects!$Y$4-$A54-1)*Objects!$X$4,0)</f>
        <v>0</v>
      </c>
      <c r="Z54">
        <f ca="1">OFFSET(Objects!$HW$6,Z$1+(Objects!$Y$4-$A54-1)*Objects!$X$4,0)</f>
        <v>0</v>
      </c>
      <c r="AA54">
        <f ca="1">OFFSET(Objects!$HW$6,AA$1+(Objects!$Y$4-$A54-1)*Objects!$X$4,0)</f>
        <v>0</v>
      </c>
      <c r="AB54">
        <f ca="1">OFFSET(Objects!$HW$6,AB$1+(Objects!$Y$4-$A54-1)*Objects!$X$4,0)</f>
        <v>0</v>
      </c>
      <c r="AC54">
        <f ca="1">OFFSET(Objects!$HW$6,AC$1+(Objects!$Y$4-$A54-1)*Objects!$X$4,0)</f>
        <v>0</v>
      </c>
      <c r="AD54">
        <f ca="1">OFFSET(Objects!$HW$6,AD$1+(Objects!$Y$4-$A54-1)*Objects!$X$4,0)</f>
        <v>0</v>
      </c>
      <c r="AE54">
        <f ca="1">OFFSET(Objects!$HW$6,AE$1+(Objects!$Y$4-$A54-1)*Objects!$X$4,0)</f>
        <v>0</v>
      </c>
      <c r="AF54">
        <f ca="1">OFFSET(Objects!$HW$6,AF$1+(Objects!$Y$4-$A54-1)*Objects!$X$4,0)</f>
        <v>0</v>
      </c>
      <c r="AG54">
        <f ca="1">OFFSET(Objects!$HW$6,AG$1+(Objects!$Y$4-$A54-1)*Objects!$X$4,0)</f>
        <v>0</v>
      </c>
      <c r="AH54">
        <f ca="1">OFFSET(Objects!$HW$6,AH$1+(Objects!$Y$4-$A54-1)*Objects!$X$4,0)</f>
        <v>0</v>
      </c>
      <c r="AI54">
        <f ca="1">OFFSET(Objects!$HW$6,AI$1+(Objects!$Y$4-$A54-1)*Objects!$X$4,0)</f>
        <v>0</v>
      </c>
      <c r="AJ54">
        <f ca="1">OFFSET(Objects!$HW$6,AJ$1+(Objects!$Y$4-$A54-1)*Objects!$X$4,0)</f>
        <v>0</v>
      </c>
      <c r="AK54">
        <f ca="1">OFFSET(Objects!$HW$6,AK$1+(Objects!$Y$4-$A54-1)*Objects!$X$4,0)</f>
        <v>0</v>
      </c>
      <c r="AL54">
        <f ca="1">OFFSET(Objects!$HW$6,AL$1+(Objects!$Y$4-$A54-1)*Objects!$X$4,0)</f>
        <v>0</v>
      </c>
      <c r="AM54">
        <f ca="1">OFFSET(Objects!$HW$6,AM$1+(Objects!$Y$4-$A54-1)*Objects!$X$4,0)</f>
        <v>0</v>
      </c>
      <c r="AN54">
        <f ca="1">OFFSET(Objects!$HW$6,AN$1+(Objects!$Y$4-$A54-1)*Objects!$X$4,0)</f>
        <v>0</v>
      </c>
      <c r="AO54">
        <f ca="1">OFFSET(Objects!$HW$6,AO$1+(Objects!$Y$4-$A54-1)*Objects!$X$4,0)</f>
        <v>0</v>
      </c>
      <c r="AP54">
        <f ca="1">OFFSET(Objects!$HW$6,AP$1+(Objects!$Y$4-$A54-1)*Objects!$X$4,0)</f>
        <v>0</v>
      </c>
      <c r="AQ54">
        <f ca="1">OFFSET(Objects!$HW$6,AQ$1+(Objects!$Y$4-$A54-1)*Objects!$X$4,0)</f>
        <v>0</v>
      </c>
      <c r="AR54">
        <f ca="1">OFFSET(Objects!$HW$6,AR$1+(Objects!$Y$4-$A54-1)*Objects!$X$4,0)</f>
        <v>0</v>
      </c>
      <c r="AS54">
        <f ca="1">OFFSET(Objects!$HW$6,AS$1+(Objects!$Y$4-$A54-1)*Objects!$X$4,0)</f>
        <v>0</v>
      </c>
      <c r="AT54">
        <f ca="1">OFFSET(Objects!$HW$6,AT$1+(Objects!$Y$4-$A54-1)*Objects!$X$4,0)</f>
        <v>0</v>
      </c>
      <c r="AU54">
        <f ca="1">OFFSET(Objects!$HW$6,AU$1+(Objects!$Y$4-$A54-1)*Objects!$X$4,0)</f>
        <v>0</v>
      </c>
      <c r="AV54">
        <f ca="1">OFFSET(Objects!$HW$6,AV$1+(Objects!$Y$4-$A54-1)*Objects!$X$4,0)</f>
        <v>0</v>
      </c>
      <c r="AW54">
        <f ca="1">OFFSET(Objects!$HW$6,AW$1+(Objects!$Y$4-$A54-1)*Objects!$X$4,0)</f>
        <v>0</v>
      </c>
      <c r="AX54">
        <f ca="1">OFFSET(Objects!$HW$6,AX$1+(Objects!$Y$4-$A54-1)*Objects!$X$4,0)</f>
        <v>0</v>
      </c>
      <c r="AY54">
        <f ca="1">OFFSET(Objects!$HW$6,AY$1+(Objects!$Y$4-$A54-1)*Objects!$X$4,0)</f>
        <v>0</v>
      </c>
      <c r="AZ54">
        <f ca="1">OFFSET(Objects!$HW$6,AZ$1+(Objects!$Y$4-$A54-1)*Objects!$X$4,0)</f>
        <v>0</v>
      </c>
      <c r="BA54">
        <f ca="1">OFFSET(Objects!$HW$6,BA$1+(Objects!$Y$4-$A54-1)*Objects!$X$4,0)</f>
        <v>0</v>
      </c>
      <c r="BB54">
        <f ca="1">OFFSET(Objects!$HW$6,BB$1+(Objects!$Y$4-$A54-1)*Objects!$X$4,0)</f>
        <v>0</v>
      </c>
      <c r="BC54">
        <f ca="1">OFFSET(Objects!$HW$6,BC$1+(Objects!$Y$4-$A54-1)*Objects!$X$4,0)</f>
        <v>0</v>
      </c>
      <c r="BD54">
        <f ca="1">OFFSET(Objects!$HW$6,BD$1+(Objects!$Y$4-$A54-1)*Objects!$X$4,0)</f>
        <v>0</v>
      </c>
      <c r="BE54">
        <f ca="1">OFFSET(Objects!$HW$6,BE$1+(Objects!$Y$4-$A54-1)*Objects!$X$4,0)</f>
        <v>0</v>
      </c>
      <c r="BF54">
        <f ca="1">OFFSET(Objects!$HW$6,BF$1+(Objects!$Y$4-$A54-1)*Objects!$X$4,0)</f>
        <v>0</v>
      </c>
      <c r="BG54">
        <f ca="1">OFFSET(Objects!$HW$6,BG$1+(Objects!$Y$4-$A54-1)*Objects!$X$4,0)</f>
        <v>0</v>
      </c>
      <c r="BH54">
        <f ca="1">OFFSET(Objects!$HW$6,BH$1+(Objects!$Y$4-$A54-1)*Objects!$X$4,0)</f>
        <v>0</v>
      </c>
      <c r="BI54">
        <f ca="1">OFFSET(Objects!$HW$6,BI$1+(Objects!$Y$4-$A54-1)*Objects!$X$4,0)</f>
        <v>0</v>
      </c>
      <c r="BJ54">
        <f ca="1">OFFSET(Objects!$HW$6,BJ$1+(Objects!$Y$4-$A54-1)*Objects!$X$4,0)</f>
        <v>0</v>
      </c>
      <c r="BK54">
        <f ca="1">OFFSET(Objects!$HW$6,BK$1+(Objects!$Y$4-$A54-1)*Objects!$X$4,0)</f>
        <v>0</v>
      </c>
      <c r="BL54">
        <f ca="1">OFFSET(Objects!$HW$6,BL$1+(Objects!$Y$4-$A54-1)*Objects!$X$4,0)</f>
        <v>0</v>
      </c>
      <c r="BM54">
        <f ca="1">OFFSET(Objects!$HW$6,BM$1+(Objects!$Y$4-$A54-1)*Objects!$X$4,0)</f>
        <v>0</v>
      </c>
      <c r="BN54">
        <f ca="1">OFFSET(Objects!$HW$6,BN$1+(Objects!$Y$4-$A54-1)*Objects!$X$4,0)</f>
        <v>0</v>
      </c>
      <c r="BO54">
        <f ca="1">OFFSET(Objects!$HW$6,BO$1+(Objects!$Y$4-$A54-1)*Objects!$X$4,0)</f>
        <v>0</v>
      </c>
      <c r="BP54">
        <f ca="1">OFFSET(Objects!$HW$6,BP$1+(Objects!$Y$4-$A54-1)*Objects!$X$4,0)</f>
        <v>0</v>
      </c>
      <c r="BQ54">
        <f ca="1">OFFSET(Objects!$HW$6,BQ$1+(Objects!$Y$4-$A54-1)*Objects!$X$4,0)</f>
        <v>0</v>
      </c>
      <c r="BR54">
        <f ca="1">OFFSET(Objects!$HW$6,BR$1+(Objects!$Y$4-$A54-1)*Objects!$X$4,0)</f>
        <v>0</v>
      </c>
      <c r="BS54">
        <f ca="1">OFFSET(Objects!$HW$6,BS$1+(Objects!$Y$4-$A54-1)*Objects!$X$4,0)</f>
        <v>0</v>
      </c>
      <c r="BT54">
        <f ca="1">OFFSET(Objects!$HW$6,BT$1+(Objects!$Y$4-$A54-1)*Objects!$X$4,0)</f>
        <v>0</v>
      </c>
      <c r="BU54">
        <f ca="1">OFFSET(Objects!$HW$6,BU$1+(Objects!$Y$4-$A54-1)*Objects!$X$4,0)</f>
        <v>0</v>
      </c>
      <c r="BV54">
        <f ca="1">OFFSET(Objects!$HW$6,BV$1+(Objects!$Y$4-$A54-1)*Objects!$X$4,0)</f>
        <v>0</v>
      </c>
      <c r="BW54">
        <f ca="1">OFFSET(Objects!$HW$6,BW$1+(Objects!$Y$4-$A54-1)*Objects!$X$4,0)</f>
        <v>0</v>
      </c>
      <c r="BX54">
        <f ca="1">OFFSET(Objects!$HW$6,BX$1+(Objects!$Y$4-$A54-1)*Objects!$X$4,0)</f>
        <v>0</v>
      </c>
      <c r="BY54">
        <f ca="1">OFFSET(Objects!$HW$6,BY$1+(Objects!$Y$4-$A54-1)*Objects!$X$4,0)</f>
        <v>0</v>
      </c>
      <c r="BZ54">
        <f ca="1">OFFSET(Objects!$HW$6,BZ$1+(Objects!$Y$4-$A54-1)*Objects!$X$4,0)</f>
        <v>0</v>
      </c>
      <c r="CA54">
        <f ca="1">OFFSET(Objects!$HW$6,CA$1+(Objects!$Y$4-$A54-1)*Objects!$X$4,0)</f>
        <v>0</v>
      </c>
      <c r="CB54">
        <f ca="1">OFFSET(Objects!$HW$6,CB$1+(Objects!$Y$4-$A54-1)*Objects!$X$4,0)</f>
        <v>0</v>
      </c>
      <c r="CC54">
        <f ca="1">OFFSET(Objects!$HW$6,CC$1+(Objects!$Y$4-$A54-1)*Objects!$X$4,0)</f>
        <v>0</v>
      </c>
      <c r="CD54">
        <f ca="1">OFFSET(Objects!$HW$6,CD$1+(Objects!$Y$4-$A54-1)*Objects!$X$4,0)</f>
        <v>0</v>
      </c>
      <c r="CE54">
        <f ca="1">OFFSET(Objects!$HW$6,CE$1+(Objects!$Y$4-$A54-1)*Objects!$X$4,0)</f>
        <v>0</v>
      </c>
      <c r="CF54">
        <f ca="1">OFFSET(Objects!$HW$6,CF$1+(Objects!$Y$4-$A54-1)*Objects!$X$4,0)</f>
        <v>0</v>
      </c>
      <c r="CG54">
        <f ca="1">OFFSET(Objects!$HW$6,CG$1+(Objects!$Y$4-$A54-1)*Objects!$X$4,0)</f>
        <v>0</v>
      </c>
      <c r="CH54">
        <f ca="1">OFFSET(Objects!$HW$6,CH$1+(Objects!$Y$4-$A54-1)*Objects!$X$4,0)</f>
        <v>0</v>
      </c>
      <c r="CI54">
        <f ca="1">OFFSET(Objects!$HW$6,CI$1+(Objects!$Y$4-$A54-1)*Objects!$X$4,0)</f>
        <v>0</v>
      </c>
      <c r="CJ54">
        <f ca="1">OFFSET(Objects!$HW$6,CJ$1+(Objects!$Y$4-$A54-1)*Objects!$X$4,0)</f>
        <v>0</v>
      </c>
      <c r="CK54">
        <f ca="1">OFFSET(Objects!$HW$6,CK$1+(Objects!$Y$4-$A54-1)*Objects!$X$4,0)</f>
        <v>0</v>
      </c>
      <c r="CL54">
        <f ca="1">OFFSET(Objects!$HW$6,CL$1+(Objects!$Y$4-$A54-1)*Objects!$X$4,0)</f>
        <v>0</v>
      </c>
      <c r="CM54">
        <f ca="1">OFFSET(Objects!$HW$6,CM$1+(Objects!$Y$4-$A54-1)*Objects!$X$4,0)</f>
        <v>0</v>
      </c>
      <c r="CN54">
        <f ca="1">OFFSET(Objects!$HW$6,CN$1+(Objects!$Y$4-$A54-1)*Objects!$X$4,0)</f>
        <v>0</v>
      </c>
      <c r="CO54">
        <f ca="1">OFFSET(Objects!$HW$6,CO$1+(Objects!$Y$4-$A54-1)*Objects!$X$4,0)</f>
        <v>0</v>
      </c>
      <c r="CP54">
        <f ca="1">OFFSET(Objects!$HW$6,CP$1+(Objects!$Y$4-$A54-1)*Objects!$X$4,0)</f>
        <v>0</v>
      </c>
      <c r="CQ54">
        <f ca="1">OFFSET(Objects!$HW$6,CQ$1+(Objects!$Y$4-$A54-1)*Objects!$X$4,0)</f>
        <v>0</v>
      </c>
      <c r="CR54">
        <f ca="1">OFFSET(Objects!$HW$6,CR$1+(Objects!$Y$4-$A54-1)*Objects!$X$4,0)</f>
        <v>0</v>
      </c>
      <c r="CS54">
        <f ca="1">OFFSET(Objects!$HW$6,CS$1+(Objects!$Y$4-$A54-1)*Objects!$X$4,0)</f>
        <v>0</v>
      </c>
      <c r="CT54">
        <f ca="1">OFFSET(Objects!$HW$6,CT$1+(Objects!$Y$4-$A54-1)*Objects!$X$4,0)</f>
        <v>0</v>
      </c>
      <c r="CU54">
        <f ca="1">OFFSET(Objects!$HW$6,CU$1+(Objects!$Y$4-$A54-1)*Objects!$X$4,0)</f>
        <v>0</v>
      </c>
      <c r="CV54">
        <f ca="1">OFFSET(Objects!$HW$6,CV$1+(Objects!$Y$4-$A54-1)*Objects!$X$4,0)</f>
        <v>0</v>
      </c>
      <c r="CW54">
        <f ca="1">OFFSET(Objects!$HW$6,CW$1+(Objects!$Y$4-$A54-1)*Objects!$X$4,0)</f>
        <v>0</v>
      </c>
      <c r="CX54">
        <f ca="1">OFFSET(Objects!$HW$6,CX$1+(Objects!$Y$4-$A54-1)*Objects!$X$4,0)</f>
        <v>0</v>
      </c>
      <c r="CY54">
        <f ca="1">OFFSET(Objects!$HW$6,CY$1+(Objects!$Y$4-$A54-1)*Objects!$X$4,0)</f>
        <v>0</v>
      </c>
      <c r="CZ54">
        <f ca="1">OFFSET(Objects!$HW$6,CZ$1+(Objects!$Y$4-$A54-1)*Objects!$X$4,0)</f>
        <v>0</v>
      </c>
      <c r="DA54">
        <f ca="1">OFFSET(Objects!$HW$6,DA$1+(Objects!$Y$4-$A54-1)*Objects!$X$4,0)</f>
        <v>0</v>
      </c>
      <c r="DB54">
        <f ca="1">OFFSET(Objects!$HW$6,DB$1+(Objects!$Y$4-$A54-1)*Objects!$X$4,0)</f>
        <v>0</v>
      </c>
      <c r="DC54">
        <f ca="1">OFFSET(Objects!$HW$6,DC$1+(Objects!$Y$4-$A54-1)*Objects!$X$4,0)</f>
        <v>0</v>
      </c>
      <c r="DD54">
        <f ca="1">OFFSET(Objects!$HW$6,DD$1+(Objects!$Y$4-$A54-1)*Objects!$X$4,0)</f>
        <v>0</v>
      </c>
      <c r="DE54">
        <f ca="1">OFFSET(Objects!$HW$6,DE$1+(Objects!$Y$4-$A54-1)*Objects!$X$4,0)</f>
        <v>0</v>
      </c>
      <c r="DF54">
        <f ca="1">OFFSET(Objects!$HW$6,DF$1+(Objects!$Y$4-$A54-1)*Objects!$X$4,0)</f>
        <v>0</v>
      </c>
      <c r="DG54">
        <f ca="1">OFFSET(Objects!$HW$6,DG$1+(Objects!$Y$4-$A54-1)*Objects!$X$4,0)</f>
        <v>0</v>
      </c>
      <c r="DH54">
        <f ca="1">OFFSET(Objects!$HW$6,DH$1+(Objects!$Y$4-$A54-1)*Objects!$X$4,0)</f>
        <v>0</v>
      </c>
      <c r="DI54">
        <f ca="1">OFFSET(Objects!$HW$6,DI$1+(Objects!$Y$4-$A54-1)*Objects!$X$4,0)</f>
        <v>0</v>
      </c>
      <c r="DJ54">
        <f ca="1">OFFSET(Objects!$HW$6,DJ$1+(Objects!$Y$4-$A54-1)*Objects!$X$4,0)</f>
        <v>0</v>
      </c>
      <c r="DK54">
        <f ca="1">OFFSET(Objects!$HW$6,DK$1+(Objects!$Y$4-$A54-1)*Objects!$X$4,0)</f>
        <v>0</v>
      </c>
      <c r="DL54">
        <f ca="1">OFFSET(Objects!$HW$6,DL$1+(Objects!$Y$4-$A54-1)*Objects!$X$4,0)</f>
        <v>0</v>
      </c>
      <c r="DM54">
        <f ca="1">OFFSET(Objects!$HW$6,DM$1+(Objects!$Y$4-$A54-1)*Objects!$X$4,0)</f>
        <v>0</v>
      </c>
      <c r="DN54">
        <f ca="1">OFFSET(Objects!$HW$6,DN$1+(Objects!$Y$4-$A54-1)*Objects!$X$4,0)</f>
        <v>0</v>
      </c>
      <c r="DO54">
        <f ca="1">OFFSET(Objects!$HW$6,DO$1+(Objects!$Y$4-$A54-1)*Objects!$X$4,0)</f>
        <v>0</v>
      </c>
      <c r="DP54">
        <f ca="1">OFFSET(Objects!$HW$6,DP$1+(Objects!$Y$4-$A54-1)*Objects!$X$4,0)</f>
        <v>0</v>
      </c>
      <c r="DQ54">
        <f ca="1">OFFSET(Objects!$HW$6,DQ$1+(Objects!$Y$4-$A54-1)*Objects!$X$4,0)</f>
        <v>0</v>
      </c>
      <c r="DR54">
        <f ca="1">OFFSET(Objects!$HW$6,DR$1+(Objects!$Y$4-$A54-1)*Objects!$X$4,0)</f>
        <v>0</v>
      </c>
      <c r="DS54">
        <f ca="1">OFFSET(Objects!$HW$6,DS$1+(Objects!$Y$4-$A54-1)*Objects!$X$4,0)</f>
        <v>0</v>
      </c>
      <c r="DT54">
        <f ca="1">OFFSET(Objects!$HW$6,DT$1+(Objects!$Y$4-$A54-1)*Objects!$X$4,0)</f>
        <v>0</v>
      </c>
      <c r="DU54">
        <f ca="1">OFFSET(Objects!$HW$6,DU$1+(Objects!$Y$4-$A54-1)*Objects!$X$4,0)</f>
        <v>0</v>
      </c>
      <c r="DV54">
        <f ca="1">OFFSET(Objects!$HW$6,DV$1+(Objects!$Y$4-$A54-1)*Objects!$X$4,0)</f>
        <v>0</v>
      </c>
      <c r="DW54">
        <f ca="1">OFFSET(Objects!$HW$6,DW$1+(Objects!$Y$4-$A54-1)*Objects!$X$4,0)</f>
        <v>0</v>
      </c>
      <c r="DX54">
        <f ca="1">OFFSET(Objects!$HW$6,DX$1+(Objects!$Y$4-$A54-1)*Objects!$X$4,0)</f>
        <v>0</v>
      </c>
      <c r="DY54">
        <f ca="1">OFFSET(Objects!$HW$6,DY$1+(Objects!$Y$4-$A54-1)*Objects!$X$4,0)</f>
        <v>0</v>
      </c>
      <c r="DZ54">
        <f ca="1">OFFSET(Objects!$HW$6,DZ$1+(Objects!$Y$4-$A54-1)*Objects!$X$4,0)</f>
        <v>0</v>
      </c>
      <c r="EA54">
        <f ca="1">OFFSET(Objects!$HW$6,EA$1+(Objects!$Y$4-$A54-1)*Objects!$X$4,0)</f>
        <v>0</v>
      </c>
      <c r="EB54">
        <f ca="1">OFFSET(Objects!$HW$6,EB$1+(Objects!$Y$4-$A54-1)*Objects!$X$4,0)</f>
        <v>0</v>
      </c>
      <c r="EC54">
        <f ca="1">OFFSET(Objects!$HW$6,EC$1+(Objects!$Y$4-$A54-1)*Objects!$X$4,0)</f>
        <v>0</v>
      </c>
      <c r="ED54">
        <f ca="1">OFFSET(Objects!$HW$6,ED$1+(Objects!$Y$4-$A54-1)*Objects!$X$4,0)</f>
        <v>0</v>
      </c>
      <c r="EE54">
        <f ca="1">OFFSET(Objects!$HW$6,EE$1+(Objects!$Y$4-$A54-1)*Objects!$X$4,0)</f>
        <v>0</v>
      </c>
      <c r="EF54">
        <f ca="1">OFFSET(Objects!$HW$6,EF$1+(Objects!$Y$4-$A54-1)*Objects!$X$4,0)</f>
        <v>0</v>
      </c>
      <c r="EG54">
        <f ca="1">OFFSET(Objects!$HW$6,EG$1+(Objects!$Y$4-$A54-1)*Objects!$X$4,0)</f>
        <v>0</v>
      </c>
      <c r="EH54">
        <f ca="1">OFFSET(Objects!$HW$6,EH$1+(Objects!$Y$4-$A54-1)*Objects!$X$4,0)</f>
        <v>0</v>
      </c>
      <c r="EI54">
        <f ca="1">OFFSET(Objects!$HW$6,EI$1+(Objects!$Y$4-$A54-1)*Objects!$X$4,0)</f>
        <v>0</v>
      </c>
      <c r="EJ54">
        <f ca="1">OFFSET(Objects!$HW$6,EJ$1+(Objects!$Y$4-$A54-1)*Objects!$X$4,0)</f>
        <v>0</v>
      </c>
      <c r="EK54">
        <f ca="1">OFFSET(Objects!$HW$6,EK$1+(Objects!$Y$4-$A54-1)*Objects!$X$4,0)</f>
        <v>0</v>
      </c>
      <c r="EL54">
        <f ca="1">OFFSET(Objects!$HW$6,EL$1+(Objects!$Y$4-$A54-1)*Objects!$X$4,0)</f>
        <v>0</v>
      </c>
      <c r="EM54">
        <f ca="1">OFFSET(Objects!$HW$6,EM$1+(Objects!$Y$4-$A54-1)*Objects!$X$4,0)</f>
        <v>0</v>
      </c>
      <c r="EN54">
        <f ca="1">OFFSET(Objects!$HW$6,EN$1+(Objects!$Y$4-$A54-1)*Objects!$X$4,0)</f>
        <v>0</v>
      </c>
      <c r="EO54">
        <f ca="1">OFFSET(Objects!$HW$6,EO$1+(Objects!$Y$4-$A54-1)*Objects!$X$4,0)</f>
        <v>0</v>
      </c>
      <c r="EP54">
        <f ca="1">OFFSET(Objects!$HW$6,EP$1+(Objects!$Y$4-$A54-1)*Objects!$X$4,0)</f>
        <v>0</v>
      </c>
      <c r="EQ54">
        <f ca="1">OFFSET(Objects!$HW$6,EQ$1+(Objects!$Y$4-$A54-1)*Objects!$X$4,0)</f>
        <v>0</v>
      </c>
      <c r="ER54">
        <f ca="1">OFFSET(Objects!$HW$6,ER$1+(Objects!$Y$4-$A54-1)*Objects!$X$4,0)</f>
        <v>0</v>
      </c>
      <c r="ES54">
        <f ca="1">OFFSET(Objects!$HW$6,ES$1+(Objects!$Y$4-$A54-1)*Objects!$X$4,0)</f>
        <v>0</v>
      </c>
      <c r="ET54">
        <f ca="1">OFFSET(Objects!$HW$6,ET$1+(Objects!$Y$4-$A54-1)*Objects!$X$4,0)</f>
        <v>0</v>
      </c>
      <c r="EU54">
        <f ca="1">OFFSET(Objects!$HW$6,EU$1+(Objects!$Y$4-$A54-1)*Objects!$X$4,0)</f>
        <v>0</v>
      </c>
      <c r="EV54">
        <f ca="1">OFFSET(Objects!$HW$6,EV$1+(Objects!$Y$4-$A54-1)*Objects!$X$4,0)</f>
        <v>0</v>
      </c>
      <c r="EW54">
        <f ca="1">OFFSET(Objects!$HW$6,EW$1+(Objects!$Y$4-$A54-1)*Objects!$X$4,0)</f>
        <v>0</v>
      </c>
      <c r="EX54">
        <f ca="1">OFFSET(Objects!$HW$6,EX$1+(Objects!$Y$4-$A54-1)*Objects!$X$4,0)</f>
        <v>0</v>
      </c>
      <c r="EY54">
        <f ca="1">OFFSET(Objects!$HW$6,EY$1+(Objects!$Y$4-$A54-1)*Objects!$X$4,0)</f>
        <v>0</v>
      </c>
      <c r="EZ54">
        <f ca="1">OFFSET(Objects!$HW$6,EZ$1+(Objects!$Y$4-$A54-1)*Objects!$X$4,0)</f>
        <v>0</v>
      </c>
      <c r="FA54">
        <f ca="1">OFFSET(Objects!$HW$6,FA$1+(Objects!$Y$4-$A54-1)*Objects!$X$4,0)</f>
        <v>0</v>
      </c>
      <c r="FB54">
        <f ca="1">OFFSET(Objects!$HW$6,FB$1+(Objects!$Y$4-$A54-1)*Objects!$X$4,0)</f>
        <v>0</v>
      </c>
      <c r="FC54">
        <f ca="1">OFFSET(Objects!$HW$6,FC$1+(Objects!$Y$4-$A54-1)*Objects!$X$4,0)</f>
        <v>0</v>
      </c>
      <c r="FD54">
        <f ca="1">OFFSET(Objects!$HW$6,FD$1+(Objects!$Y$4-$A54-1)*Objects!$X$4,0)</f>
        <v>0</v>
      </c>
      <c r="FE54" s="22">
        <f ca="1">OFFSET(Objects!$HW$6,FE$1+(Objects!$Y$4-$A54-1)*Objects!$X$4,0)</f>
        <v>0</v>
      </c>
    </row>
    <row r="55" spans="1:161" ht="4.5" customHeight="1" x14ac:dyDescent="0.25">
      <c r="A55">
        <v>53</v>
      </c>
      <c r="B55" s="21">
        <f ca="1">OFFSET(Objects!$HW$6,B$1+(Objects!$Y$4-$A55-1)*Objects!$X$4,0)</f>
        <v>0</v>
      </c>
      <c r="C55">
        <f ca="1">OFFSET(Objects!$HW$6,C$1+(Objects!$Y$4-$A55-1)*Objects!$X$4,0)</f>
        <v>0</v>
      </c>
      <c r="D55">
        <f ca="1">OFFSET(Objects!$HW$6,D$1+(Objects!$Y$4-$A55-1)*Objects!$X$4,0)</f>
        <v>0</v>
      </c>
      <c r="E55">
        <f ca="1">OFFSET(Objects!$HW$6,E$1+(Objects!$Y$4-$A55-1)*Objects!$X$4,0)</f>
        <v>0</v>
      </c>
      <c r="F55">
        <f ca="1">OFFSET(Objects!$HW$6,F$1+(Objects!$Y$4-$A55-1)*Objects!$X$4,0)</f>
        <v>0</v>
      </c>
      <c r="G55">
        <f ca="1">OFFSET(Objects!$HW$6,G$1+(Objects!$Y$4-$A55-1)*Objects!$X$4,0)</f>
        <v>0</v>
      </c>
      <c r="H55">
        <f ca="1">OFFSET(Objects!$HW$6,H$1+(Objects!$Y$4-$A55-1)*Objects!$X$4,0)</f>
        <v>0</v>
      </c>
      <c r="I55">
        <f ca="1">OFFSET(Objects!$HW$6,I$1+(Objects!$Y$4-$A55-1)*Objects!$X$4,0)</f>
        <v>0</v>
      </c>
      <c r="J55">
        <f ca="1">OFFSET(Objects!$HW$6,J$1+(Objects!$Y$4-$A55-1)*Objects!$X$4,0)</f>
        <v>0</v>
      </c>
      <c r="K55">
        <f ca="1">OFFSET(Objects!$HW$6,K$1+(Objects!$Y$4-$A55-1)*Objects!$X$4,0)</f>
        <v>0</v>
      </c>
      <c r="L55">
        <f ca="1">OFFSET(Objects!$HW$6,L$1+(Objects!$Y$4-$A55-1)*Objects!$X$4,0)</f>
        <v>0</v>
      </c>
      <c r="M55">
        <f ca="1">OFFSET(Objects!$HW$6,M$1+(Objects!$Y$4-$A55-1)*Objects!$X$4,0)</f>
        <v>0</v>
      </c>
      <c r="N55">
        <f ca="1">OFFSET(Objects!$HW$6,N$1+(Objects!$Y$4-$A55-1)*Objects!$X$4,0)</f>
        <v>0</v>
      </c>
      <c r="O55">
        <f ca="1">OFFSET(Objects!$HW$6,O$1+(Objects!$Y$4-$A55-1)*Objects!$X$4,0)</f>
        <v>0</v>
      </c>
      <c r="P55">
        <f ca="1">OFFSET(Objects!$HW$6,P$1+(Objects!$Y$4-$A55-1)*Objects!$X$4,0)</f>
        <v>0</v>
      </c>
      <c r="Q55">
        <f ca="1">OFFSET(Objects!$HW$6,Q$1+(Objects!$Y$4-$A55-1)*Objects!$X$4,0)</f>
        <v>0</v>
      </c>
      <c r="R55">
        <f ca="1">OFFSET(Objects!$HW$6,R$1+(Objects!$Y$4-$A55-1)*Objects!$X$4,0)</f>
        <v>0</v>
      </c>
      <c r="S55">
        <f ca="1">OFFSET(Objects!$HW$6,S$1+(Objects!$Y$4-$A55-1)*Objects!$X$4,0)</f>
        <v>0</v>
      </c>
      <c r="T55">
        <f ca="1">OFFSET(Objects!$HW$6,T$1+(Objects!$Y$4-$A55-1)*Objects!$X$4,0)</f>
        <v>0</v>
      </c>
      <c r="U55">
        <f ca="1">OFFSET(Objects!$HW$6,U$1+(Objects!$Y$4-$A55-1)*Objects!$X$4,0)</f>
        <v>0</v>
      </c>
      <c r="V55">
        <f ca="1">OFFSET(Objects!$HW$6,V$1+(Objects!$Y$4-$A55-1)*Objects!$X$4,0)</f>
        <v>0</v>
      </c>
      <c r="W55">
        <f ca="1">OFFSET(Objects!$HW$6,W$1+(Objects!$Y$4-$A55-1)*Objects!$X$4,0)</f>
        <v>0</v>
      </c>
      <c r="X55">
        <f ca="1">OFFSET(Objects!$HW$6,X$1+(Objects!$Y$4-$A55-1)*Objects!$X$4,0)</f>
        <v>0</v>
      </c>
      <c r="Y55">
        <f ca="1">OFFSET(Objects!$HW$6,Y$1+(Objects!$Y$4-$A55-1)*Objects!$X$4,0)</f>
        <v>0</v>
      </c>
      <c r="Z55">
        <f ca="1">OFFSET(Objects!$HW$6,Z$1+(Objects!$Y$4-$A55-1)*Objects!$X$4,0)</f>
        <v>0</v>
      </c>
      <c r="AA55">
        <f ca="1">OFFSET(Objects!$HW$6,AA$1+(Objects!$Y$4-$A55-1)*Objects!$X$4,0)</f>
        <v>0</v>
      </c>
      <c r="AB55">
        <f ca="1">OFFSET(Objects!$HW$6,AB$1+(Objects!$Y$4-$A55-1)*Objects!$X$4,0)</f>
        <v>0</v>
      </c>
      <c r="AC55">
        <f ca="1">OFFSET(Objects!$HW$6,AC$1+(Objects!$Y$4-$A55-1)*Objects!$X$4,0)</f>
        <v>0</v>
      </c>
      <c r="AD55">
        <f ca="1">OFFSET(Objects!$HW$6,AD$1+(Objects!$Y$4-$A55-1)*Objects!$X$4,0)</f>
        <v>0</v>
      </c>
      <c r="AE55">
        <f ca="1">OFFSET(Objects!$HW$6,AE$1+(Objects!$Y$4-$A55-1)*Objects!$X$4,0)</f>
        <v>0</v>
      </c>
      <c r="AF55">
        <f ca="1">OFFSET(Objects!$HW$6,AF$1+(Objects!$Y$4-$A55-1)*Objects!$X$4,0)</f>
        <v>0</v>
      </c>
      <c r="AG55">
        <f ca="1">OFFSET(Objects!$HW$6,AG$1+(Objects!$Y$4-$A55-1)*Objects!$X$4,0)</f>
        <v>0</v>
      </c>
      <c r="AH55">
        <f ca="1">OFFSET(Objects!$HW$6,AH$1+(Objects!$Y$4-$A55-1)*Objects!$X$4,0)</f>
        <v>0</v>
      </c>
      <c r="AI55">
        <f ca="1">OFFSET(Objects!$HW$6,AI$1+(Objects!$Y$4-$A55-1)*Objects!$X$4,0)</f>
        <v>0</v>
      </c>
      <c r="AJ55">
        <f ca="1">OFFSET(Objects!$HW$6,AJ$1+(Objects!$Y$4-$A55-1)*Objects!$X$4,0)</f>
        <v>0</v>
      </c>
      <c r="AK55">
        <f ca="1">OFFSET(Objects!$HW$6,AK$1+(Objects!$Y$4-$A55-1)*Objects!$X$4,0)</f>
        <v>0</v>
      </c>
      <c r="AL55">
        <f ca="1">OFFSET(Objects!$HW$6,AL$1+(Objects!$Y$4-$A55-1)*Objects!$X$4,0)</f>
        <v>0</v>
      </c>
      <c r="AM55">
        <f ca="1">OFFSET(Objects!$HW$6,AM$1+(Objects!$Y$4-$A55-1)*Objects!$X$4,0)</f>
        <v>0</v>
      </c>
      <c r="AN55">
        <f ca="1">OFFSET(Objects!$HW$6,AN$1+(Objects!$Y$4-$A55-1)*Objects!$X$4,0)</f>
        <v>0</v>
      </c>
      <c r="AO55">
        <f ca="1">OFFSET(Objects!$HW$6,AO$1+(Objects!$Y$4-$A55-1)*Objects!$X$4,0)</f>
        <v>0</v>
      </c>
      <c r="AP55">
        <f ca="1">OFFSET(Objects!$HW$6,AP$1+(Objects!$Y$4-$A55-1)*Objects!$X$4,0)</f>
        <v>0</v>
      </c>
      <c r="AQ55">
        <f ca="1">OFFSET(Objects!$HW$6,AQ$1+(Objects!$Y$4-$A55-1)*Objects!$X$4,0)</f>
        <v>0</v>
      </c>
      <c r="AR55">
        <f ca="1">OFFSET(Objects!$HW$6,AR$1+(Objects!$Y$4-$A55-1)*Objects!$X$4,0)</f>
        <v>0</v>
      </c>
      <c r="AS55">
        <f ca="1">OFFSET(Objects!$HW$6,AS$1+(Objects!$Y$4-$A55-1)*Objects!$X$4,0)</f>
        <v>0</v>
      </c>
      <c r="AT55">
        <f ca="1">OFFSET(Objects!$HW$6,AT$1+(Objects!$Y$4-$A55-1)*Objects!$X$4,0)</f>
        <v>0</v>
      </c>
      <c r="AU55">
        <f ca="1">OFFSET(Objects!$HW$6,AU$1+(Objects!$Y$4-$A55-1)*Objects!$X$4,0)</f>
        <v>0</v>
      </c>
      <c r="AV55">
        <f ca="1">OFFSET(Objects!$HW$6,AV$1+(Objects!$Y$4-$A55-1)*Objects!$X$4,0)</f>
        <v>0</v>
      </c>
      <c r="AW55">
        <f ca="1">OFFSET(Objects!$HW$6,AW$1+(Objects!$Y$4-$A55-1)*Objects!$X$4,0)</f>
        <v>0</v>
      </c>
      <c r="AX55">
        <f ca="1">OFFSET(Objects!$HW$6,AX$1+(Objects!$Y$4-$A55-1)*Objects!$X$4,0)</f>
        <v>0</v>
      </c>
      <c r="AY55">
        <f ca="1">OFFSET(Objects!$HW$6,AY$1+(Objects!$Y$4-$A55-1)*Objects!$X$4,0)</f>
        <v>0</v>
      </c>
      <c r="AZ55">
        <f ca="1">OFFSET(Objects!$HW$6,AZ$1+(Objects!$Y$4-$A55-1)*Objects!$X$4,0)</f>
        <v>0</v>
      </c>
      <c r="BA55">
        <f ca="1">OFFSET(Objects!$HW$6,BA$1+(Objects!$Y$4-$A55-1)*Objects!$X$4,0)</f>
        <v>0</v>
      </c>
      <c r="BB55">
        <f ca="1">OFFSET(Objects!$HW$6,BB$1+(Objects!$Y$4-$A55-1)*Objects!$X$4,0)</f>
        <v>0</v>
      </c>
      <c r="BC55">
        <f ca="1">OFFSET(Objects!$HW$6,BC$1+(Objects!$Y$4-$A55-1)*Objects!$X$4,0)</f>
        <v>0</v>
      </c>
      <c r="BD55">
        <f ca="1">OFFSET(Objects!$HW$6,BD$1+(Objects!$Y$4-$A55-1)*Objects!$X$4,0)</f>
        <v>0</v>
      </c>
      <c r="BE55">
        <f ca="1">OFFSET(Objects!$HW$6,BE$1+(Objects!$Y$4-$A55-1)*Objects!$X$4,0)</f>
        <v>0</v>
      </c>
      <c r="BF55">
        <f ca="1">OFFSET(Objects!$HW$6,BF$1+(Objects!$Y$4-$A55-1)*Objects!$X$4,0)</f>
        <v>0</v>
      </c>
      <c r="BG55">
        <f ca="1">OFFSET(Objects!$HW$6,BG$1+(Objects!$Y$4-$A55-1)*Objects!$X$4,0)</f>
        <v>0</v>
      </c>
      <c r="BH55">
        <f ca="1">OFFSET(Objects!$HW$6,BH$1+(Objects!$Y$4-$A55-1)*Objects!$X$4,0)</f>
        <v>0</v>
      </c>
      <c r="BI55">
        <f ca="1">OFFSET(Objects!$HW$6,BI$1+(Objects!$Y$4-$A55-1)*Objects!$X$4,0)</f>
        <v>0</v>
      </c>
      <c r="BJ55">
        <f ca="1">OFFSET(Objects!$HW$6,BJ$1+(Objects!$Y$4-$A55-1)*Objects!$X$4,0)</f>
        <v>0</v>
      </c>
      <c r="BK55">
        <f ca="1">OFFSET(Objects!$HW$6,BK$1+(Objects!$Y$4-$A55-1)*Objects!$X$4,0)</f>
        <v>0</v>
      </c>
      <c r="BL55">
        <f ca="1">OFFSET(Objects!$HW$6,BL$1+(Objects!$Y$4-$A55-1)*Objects!$X$4,0)</f>
        <v>0</v>
      </c>
      <c r="BM55">
        <f ca="1">OFFSET(Objects!$HW$6,BM$1+(Objects!$Y$4-$A55-1)*Objects!$X$4,0)</f>
        <v>0</v>
      </c>
      <c r="BN55">
        <f ca="1">OFFSET(Objects!$HW$6,BN$1+(Objects!$Y$4-$A55-1)*Objects!$X$4,0)</f>
        <v>0</v>
      </c>
      <c r="BO55">
        <f ca="1">OFFSET(Objects!$HW$6,BO$1+(Objects!$Y$4-$A55-1)*Objects!$X$4,0)</f>
        <v>0</v>
      </c>
      <c r="BP55">
        <f ca="1">OFFSET(Objects!$HW$6,BP$1+(Objects!$Y$4-$A55-1)*Objects!$X$4,0)</f>
        <v>0</v>
      </c>
      <c r="BQ55">
        <f ca="1">OFFSET(Objects!$HW$6,BQ$1+(Objects!$Y$4-$A55-1)*Objects!$X$4,0)</f>
        <v>0</v>
      </c>
      <c r="BR55">
        <f ca="1">OFFSET(Objects!$HW$6,BR$1+(Objects!$Y$4-$A55-1)*Objects!$X$4,0)</f>
        <v>0</v>
      </c>
      <c r="BS55">
        <f ca="1">OFFSET(Objects!$HW$6,BS$1+(Objects!$Y$4-$A55-1)*Objects!$X$4,0)</f>
        <v>0</v>
      </c>
      <c r="BT55">
        <f ca="1">OFFSET(Objects!$HW$6,BT$1+(Objects!$Y$4-$A55-1)*Objects!$X$4,0)</f>
        <v>0</v>
      </c>
      <c r="BU55">
        <f ca="1">OFFSET(Objects!$HW$6,BU$1+(Objects!$Y$4-$A55-1)*Objects!$X$4,0)</f>
        <v>0</v>
      </c>
      <c r="BV55">
        <f ca="1">OFFSET(Objects!$HW$6,BV$1+(Objects!$Y$4-$A55-1)*Objects!$X$4,0)</f>
        <v>0</v>
      </c>
      <c r="BW55">
        <f ca="1">OFFSET(Objects!$HW$6,BW$1+(Objects!$Y$4-$A55-1)*Objects!$X$4,0)</f>
        <v>0</v>
      </c>
      <c r="BX55">
        <f ca="1">OFFSET(Objects!$HW$6,BX$1+(Objects!$Y$4-$A55-1)*Objects!$X$4,0)</f>
        <v>0</v>
      </c>
      <c r="BY55">
        <f ca="1">OFFSET(Objects!$HW$6,BY$1+(Objects!$Y$4-$A55-1)*Objects!$X$4,0)</f>
        <v>0</v>
      </c>
      <c r="BZ55">
        <f ca="1">OFFSET(Objects!$HW$6,BZ$1+(Objects!$Y$4-$A55-1)*Objects!$X$4,0)</f>
        <v>0</v>
      </c>
      <c r="CA55">
        <f ca="1">OFFSET(Objects!$HW$6,CA$1+(Objects!$Y$4-$A55-1)*Objects!$X$4,0)</f>
        <v>0</v>
      </c>
      <c r="CB55">
        <f ca="1">OFFSET(Objects!$HW$6,CB$1+(Objects!$Y$4-$A55-1)*Objects!$X$4,0)</f>
        <v>0</v>
      </c>
      <c r="CC55">
        <f ca="1">OFFSET(Objects!$HW$6,CC$1+(Objects!$Y$4-$A55-1)*Objects!$X$4,0)</f>
        <v>0</v>
      </c>
      <c r="CD55">
        <f ca="1">OFFSET(Objects!$HW$6,CD$1+(Objects!$Y$4-$A55-1)*Objects!$X$4,0)</f>
        <v>0</v>
      </c>
      <c r="CE55">
        <f ca="1">OFFSET(Objects!$HW$6,CE$1+(Objects!$Y$4-$A55-1)*Objects!$X$4,0)</f>
        <v>0</v>
      </c>
      <c r="CF55">
        <f ca="1">OFFSET(Objects!$HW$6,CF$1+(Objects!$Y$4-$A55-1)*Objects!$X$4,0)</f>
        <v>0</v>
      </c>
      <c r="CG55">
        <f ca="1">OFFSET(Objects!$HW$6,CG$1+(Objects!$Y$4-$A55-1)*Objects!$X$4,0)</f>
        <v>0</v>
      </c>
      <c r="CH55">
        <f ca="1">OFFSET(Objects!$HW$6,CH$1+(Objects!$Y$4-$A55-1)*Objects!$X$4,0)</f>
        <v>0</v>
      </c>
      <c r="CI55">
        <f ca="1">OFFSET(Objects!$HW$6,CI$1+(Objects!$Y$4-$A55-1)*Objects!$X$4,0)</f>
        <v>0</v>
      </c>
      <c r="CJ55">
        <f ca="1">OFFSET(Objects!$HW$6,CJ$1+(Objects!$Y$4-$A55-1)*Objects!$X$4,0)</f>
        <v>0</v>
      </c>
      <c r="CK55">
        <f ca="1">OFFSET(Objects!$HW$6,CK$1+(Objects!$Y$4-$A55-1)*Objects!$X$4,0)</f>
        <v>0</v>
      </c>
      <c r="CL55">
        <f ca="1">OFFSET(Objects!$HW$6,CL$1+(Objects!$Y$4-$A55-1)*Objects!$X$4,0)</f>
        <v>0</v>
      </c>
      <c r="CM55">
        <f ca="1">OFFSET(Objects!$HW$6,CM$1+(Objects!$Y$4-$A55-1)*Objects!$X$4,0)</f>
        <v>0</v>
      </c>
      <c r="CN55">
        <f ca="1">OFFSET(Objects!$HW$6,CN$1+(Objects!$Y$4-$A55-1)*Objects!$X$4,0)</f>
        <v>0</v>
      </c>
      <c r="CO55">
        <f ca="1">OFFSET(Objects!$HW$6,CO$1+(Objects!$Y$4-$A55-1)*Objects!$X$4,0)</f>
        <v>0</v>
      </c>
      <c r="CP55">
        <f ca="1">OFFSET(Objects!$HW$6,CP$1+(Objects!$Y$4-$A55-1)*Objects!$X$4,0)</f>
        <v>0</v>
      </c>
      <c r="CQ55">
        <f ca="1">OFFSET(Objects!$HW$6,CQ$1+(Objects!$Y$4-$A55-1)*Objects!$X$4,0)</f>
        <v>0</v>
      </c>
      <c r="CR55">
        <f ca="1">OFFSET(Objects!$HW$6,CR$1+(Objects!$Y$4-$A55-1)*Objects!$X$4,0)</f>
        <v>0</v>
      </c>
      <c r="CS55">
        <f ca="1">OFFSET(Objects!$HW$6,CS$1+(Objects!$Y$4-$A55-1)*Objects!$X$4,0)</f>
        <v>0</v>
      </c>
      <c r="CT55">
        <f ca="1">OFFSET(Objects!$HW$6,CT$1+(Objects!$Y$4-$A55-1)*Objects!$X$4,0)</f>
        <v>0</v>
      </c>
      <c r="CU55">
        <f ca="1">OFFSET(Objects!$HW$6,CU$1+(Objects!$Y$4-$A55-1)*Objects!$X$4,0)</f>
        <v>0</v>
      </c>
      <c r="CV55">
        <f ca="1">OFFSET(Objects!$HW$6,CV$1+(Objects!$Y$4-$A55-1)*Objects!$X$4,0)</f>
        <v>0</v>
      </c>
      <c r="CW55">
        <f ca="1">OFFSET(Objects!$HW$6,CW$1+(Objects!$Y$4-$A55-1)*Objects!$X$4,0)</f>
        <v>0</v>
      </c>
      <c r="CX55">
        <f ca="1">OFFSET(Objects!$HW$6,CX$1+(Objects!$Y$4-$A55-1)*Objects!$X$4,0)</f>
        <v>0</v>
      </c>
      <c r="CY55">
        <f ca="1">OFFSET(Objects!$HW$6,CY$1+(Objects!$Y$4-$A55-1)*Objects!$X$4,0)</f>
        <v>0</v>
      </c>
      <c r="CZ55">
        <f ca="1">OFFSET(Objects!$HW$6,CZ$1+(Objects!$Y$4-$A55-1)*Objects!$X$4,0)</f>
        <v>0</v>
      </c>
      <c r="DA55">
        <f ca="1">OFFSET(Objects!$HW$6,DA$1+(Objects!$Y$4-$A55-1)*Objects!$X$4,0)</f>
        <v>0</v>
      </c>
      <c r="DB55">
        <f ca="1">OFFSET(Objects!$HW$6,DB$1+(Objects!$Y$4-$A55-1)*Objects!$X$4,0)</f>
        <v>0</v>
      </c>
      <c r="DC55">
        <f ca="1">OFFSET(Objects!$HW$6,DC$1+(Objects!$Y$4-$A55-1)*Objects!$X$4,0)</f>
        <v>0</v>
      </c>
      <c r="DD55">
        <f ca="1">OFFSET(Objects!$HW$6,DD$1+(Objects!$Y$4-$A55-1)*Objects!$X$4,0)</f>
        <v>0</v>
      </c>
      <c r="DE55">
        <f ca="1">OFFSET(Objects!$HW$6,DE$1+(Objects!$Y$4-$A55-1)*Objects!$X$4,0)</f>
        <v>0</v>
      </c>
      <c r="DF55">
        <f ca="1">OFFSET(Objects!$HW$6,DF$1+(Objects!$Y$4-$A55-1)*Objects!$X$4,0)</f>
        <v>0</v>
      </c>
      <c r="DG55">
        <f ca="1">OFFSET(Objects!$HW$6,DG$1+(Objects!$Y$4-$A55-1)*Objects!$X$4,0)</f>
        <v>0</v>
      </c>
      <c r="DH55">
        <f ca="1">OFFSET(Objects!$HW$6,DH$1+(Objects!$Y$4-$A55-1)*Objects!$X$4,0)</f>
        <v>0</v>
      </c>
      <c r="DI55">
        <f ca="1">OFFSET(Objects!$HW$6,DI$1+(Objects!$Y$4-$A55-1)*Objects!$X$4,0)</f>
        <v>0</v>
      </c>
      <c r="DJ55">
        <f ca="1">OFFSET(Objects!$HW$6,DJ$1+(Objects!$Y$4-$A55-1)*Objects!$X$4,0)</f>
        <v>0</v>
      </c>
      <c r="DK55">
        <f ca="1">OFFSET(Objects!$HW$6,DK$1+(Objects!$Y$4-$A55-1)*Objects!$X$4,0)</f>
        <v>0</v>
      </c>
      <c r="DL55">
        <f ca="1">OFFSET(Objects!$HW$6,DL$1+(Objects!$Y$4-$A55-1)*Objects!$X$4,0)</f>
        <v>0</v>
      </c>
      <c r="DM55">
        <f ca="1">OFFSET(Objects!$HW$6,DM$1+(Objects!$Y$4-$A55-1)*Objects!$X$4,0)</f>
        <v>0</v>
      </c>
      <c r="DN55">
        <f ca="1">OFFSET(Objects!$HW$6,DN$1+(Objects!$Y$4-$A55-1)*Objects!$X$4,0)</f>
        <v>0</v>
      </c>
      <c r="DO55">
        <f ca="1">OFFSET(Objects!$HW$6,DO$1+(Objects!$Y$4-$A55-1)*Objects!$X$4,0)</f>
        <v>0</v>
      </c>
      <c r="DP55">
        <f ca="1">OFFSET(Objects!$HW$6,DP$1+(Objects!$Y$4-$A55-1)*Objects!$X$4,0)</f>
        <v>0</v>
      </c>
      <c r="DQ55">
        <f ca="1">OFFSET(Objects!$HW$6,DQ$1+(Objects!$Y$4-$A55-1)*Objects!$X$4,0)</f>
        <v>0</v>
      </c>
      <c r="DR55">
        <f ca="1">OFFSET(Objects!$HW$6,DR$1+(Objects!$Y$4-$A55-1)*Objects!$X$4,0)</f>
        <v>0</v>
      </c>
      <c r="DS55">
        <f ca="1">OFFSET(Objects!$HW$6,DS$1+(Objects!$Y$4-$A55-1)*Objects!$X$4,0)</f>
        <v>0</v>
      </c>
      <c r="DT55">
        <f ca="1">OFFSET(Objects!$HW$6,DT$1+(Objects!$Y$4-$A55-1)*Objects!$X$4,0)</f>
        <v>0</v>
      </c>
      <c r="DU55">
        <f ca="1">OFFSET(Objects!$HW$6,DU$1+(Objects!$Y$4-$A55-1)*Objects!$X$4,0)</f>
        <v>0</v>
      </c>
      <c r="DV55">
        <f ca="1">OFFSET(Objects!$HW$6,DV$1+(Objects!$Y$4-$A55-1)*Objects!$X$4,0)</f>
        <v>0</v>
      </c>
      <c r="DW55">
        <f ca="1">OFFSET(Objects!$HW$6,DW$1+(Objects!$Y$4-$A55-1)*Objects!$X$4,0)</f>
        <v>0</v>
      </c>
      <c r="DX55">
        <f ca="1">OFFSET(Objects!$HW$6,DX$1+(Objects!$Y$4-$A55-1)*Objects!$X$4,0)</f>
        <v>0</v>
      </c>
      <c r="DY55">
        <f ca="1">OFFSET(Objects!$HW$6,DY$1+(Objects!$Y$4-$A55-1)*Objects!$X$4,0)</f>
        <v>0</v>
      </c>
      <c r="DZ55">
        <f ca="1">OFFSET(Objects!$HW$6,DZ$1+(Objects!$Y$4-$A55-1)*Objects!$X$4,0)</f>
        <v>0</v>
      </c>
      <c r="EA55">
        <f ca="1">OFFSET(Objects!$HW$6,EA$1+(Objects!$Y$4-$A55-1)*Objects!$X$4,0)</f>
        <v>0</v>
      </c>
      <c r="EB55">
        <f ca="1">OFFSET(Objects!$HW$6,EB$1+(Objects!$Y$4-$A55-1)*Objects!$X$4,0)</f>
        <v>0</v>
      </c>
      <c r="EC55">
        <f ca="1">OFFSET(Objects!$HW$6,EC$1+(Objects!$Y$4-$A55-1)*Objects!$X$4,0)</f>
        <v>0</v>
      </c>
      <c r="ED55">
        <f ca="1">OFFSET(Objects!$HW$6,ED$1+(Objects!$Y$4-$A55-1)*Objects!$X$4,0)</f>
        <v>0</v>
      </c>
      <c r="EE55">
        <f ca="1">OFFSET(Objects!$HW$6,EE$1+(Objects!$Y$4-$A55-1)*Objects!$X$4,0)</f>
        <v>0</v>
      </c>
      <c r="EF55">
        <f ca="1">OFFSET(Objects!$HW$6,EF$1+(Objects!$Y$4-$A55-1)*Objects!$X$4,0)</f>
        <v>0</v>
      </c>
      <c r="EG55">
        <f ca="1">OFFSET(Objects!$HW$6,EG$1+(Objects!$Y$4-$A55-1)*Objects!$X$4,0)</f>
        <v>0</v>
      </c>
      <c r="EH55">
        <f ca="1">OFFSET(Objects!$HW$6,EH$1+(Objects!$Y$4-$A55-1)*Objects!$X$4,0)</f>
        <v>0</v>
      </c>
      <c r="EI55">
        <f ca="1">OFFSET(Objects!$HW$6,EI$1+(Objects!$Y$4-$A55-1)*Objects!$X$4,0)</f>
        <v>0</v>
      </c>
      <c r="EJ55">
        <f ca="1">OFFSET(Objects!$HW$6,EJ$1+(Objects!$Y$4-$A55-1)*Objects!$X$4,0)</f>
        <v>0</v>
      </c>
      <c r="EK55">
        <f ca="1">OFFSET(Objects!$HW$6,EK$1+(Objects!$Y$4-$A55-1)*Objects!$X$4,0)</f>
        <v>0</v>
      </c>
      <c r="EL55">
        <f ca="1">OFFSET(Objects!$HW$6,EL$1+(Objects!$Y$4-$A55-1)*Objects!$X$4,0)</f>
        <v>0</v>
      </c>
      <c r="EM55">
        <f ca="1">OFFSET(Objects!$HW$6,EM$1+(Objects!$Y$4-$A55-1)*Objects!$X$4,0)</f>
        <v>0</v>
      </c>
      <c r="EN55">
        <f ca="1">OFFSET(Objects!$HW$6,EN$1+(Objects!$Y$4-$A55-1)*Objects!$X$4,0)</f>
        <v>0</v>
      </c>
      <c r="EO55">
        <f ca="1">OFFSET(Objects!$HW$6,EO$1+(Objects!$Y$4-$A55-1)*Objects!$X$4,0)</f>
        <v>0</v>
      </c>
      <c r="EP55">
        <f ca="1">OFFSET(Objects!$HW$6,EP$1+(Objects!$Y$4-$A55-1)*Objects!$X$4,0)</f>
        <v>0</v>
      </c>
      <c r="EQ55">
        <f ca="1">OFFSET(Objects!$HW$6,EQ$1+(Objects!$Y$4-$A55-1)*Objects!$X$4,0)</f>
        <v>0</v>
      </c>
      <c r="ER55">
        <f ca="1">OFFSET(Objects!$HW$6,ER$1+(Objects!$Y$4-$A55-1)*Objects!$X$4,0)</f>
        <v>0</v>
      </c>
      <c r="ES55">
        <f ca="1">OFFSET(Objects!$HW$6,ES$1+(Objects!$Y$4-$A55-1)*Objects!$X$4,0)</f>
        <v>0</v>
      </c>
      <c r="ET55">
        <f ca="1">OFFSET(Objects!$HW$6,ET$1+(Objects!$Y$4-$A55-1)*Objects!$X$4,0)</f>
        <v>0</v>
      </c>
      <c r="EU55">
        <f ca="1">OFFSET(Objects!$HW$6,EU$1+(Objects!$Y$4-$A55-1)*Objects!$X$4,0)</f>
        <v>0</v>
      </c>
      <c r="EV55">
        <f ca="1">OFFSET(Objects!$HW$6,EV$1+(Objects!$Y$4-$A55-1)*Objects!$X$4,0)</f>
        <v>0</v>
      </c>
      <c r="EW55">
        <f ca="1">OFFSET(Objects!$HW$6,EW$1+(Objects!$Y$4-$A55-1)*Objects!$X$4,0)</f>
        <v>0</v>
      </c>
      <c r="EX55">
        <f ca="1">OFFSET(Objects!$HW$6,EX$1+(Objects!$Y$4-$A55-1)*Objects!$X$4,0)</f>
        <v>0</v>
      </c>
      <c r="EY55">
        <f ca="1">OFFSET(Objects!$HW$6,EY$1+(Objects!$Y$4-$A55-1)*Objects!$X$4,0)</f>
        <v>0</v>
      </c>
      <c r="EZ55">
        <f ca="1">OFFSET(Objects!$HW$6,EZ$1+(Objects!$Y$4-$A55-1)*Objects!$X$4,0)</f>
        <v>0</v>
      </c>
      <c r="FA55">
        <f ca="1">OFFSET(Objects!$HW$6,FA$1+(Objects!$Y$4-$A55-1)*Objects!$X$4,0)</f>
        <v>0</v>
      </c>
      <c r="FB55">
        <f ca="1">OFFSET(Objects!$HW$6,FB$1+(Objects!$Y$4-$A55-1)*Objects!$X$4,0)</f>
        <v>0</v>
      </c>
      <c r="FC55">
        <f ca="1">OFFSET(Objects!$HW$6,FC$1+(Objects!$Y$4-$A55-1)*Objects!$X$4,0)</f>
        <v>0</v>
      </c>
      <c r="FD55">
        <f ca="1">OFFSET(Objects!$HW$6,FD$1+(Objects!$Y$4-$A55-1)*Objects!$X$4,0)</f>
        <v>0</v>
      </c>
      <c r="FE55" s="22">
        <f ca="1">OFFSET(Objects!$HW$6,FE$1+(Objects!$Y$4-$A55-1)*Objects!$X$4,0)</f>
        <v>0</v>
      </c>
    </row>
    <row r="56" spans="1:161" ht="4.5" customHeight="1" x14ac:dyDescent="0.25">
      <c r="A56">
        <v>54</v>
      </c>
      <c r="B56" s="21">
        <f ca="1">OFFSET(Objects!$HW$6,B$1+(Objects!$Y$4-$A56-1)*Objects!$X$4,0)</f>
        <v>0</v>
      </c>
      <c r="C56">
        <f ca="1">OFFSET(Objects!$HW$6,C$1+(Objects!$Y$4-$A56-1)*Objects!$X$4,0)</f>
        <v>0</v>
      </c>
      <c r="D56">
        <f ca="1">OFFSET(Objects!$HW$6,D$1+(Objects!$Y$4-$A56-1)*Objects!$X$4,0)</f>
        <v>0</v>
      </c>
      <c r="E56">
        <f ca="1">OFFSET(Objects!$HW$6,E$1+(Objects!$Y$4-$A56-1)*Objects!$X$4,0)</f>
        <v>0</v>
      </c>
      <c r="F56">
        <f ca="1">OFFSET(Objects!$HW$6,F$1+(Objects!$Y$4-$A56-1)*Objects!$X$4,0)</f>
        <v>0</v>
      </c>
      <c r="G56">
        <f ca="1">OFFSET(Objects!$HW$6,G$1+(Objects!$Y$4-$A56-1)*Objects!$X$4,0)</f>
        <v>0</v>
      </c>
      <c r="H56">
        <f ca="1">OFFSET(Objects!$HW$6,H$1+(Objects!$Y$4-$A56-1)*Objects!$X$4,0)</f>
        <v>0</v>
      </c>
      <c r="I56">
        <f ca="1">OFFSET(Objects!$HW$6,I$1+(Objects!$Y$4-$A56-1)*Objects!$X$4,0)</f>
        <v>0</v>
      </c>
      <c r="J56">
        <f ca="1">OFFSET(Objects!$HW$6,J$1+(Objects!$Y$4-$A56-1)*Objects!$X$4,0)</f>
        <v>0</v>
      </c>
      <c r="K56">
        <f ca="1">OFFSET(Objects!$HW$6,K$1+(Objects!$Y$4-$A56-1)*Objects!$X$4,0)</f>
        <v>0</v>
      </c>
      <c r="L56">
        <f ca="1">OFFSET(Objects!$HW$6,L$1+(Objects!$Y$4-$A56-1)*Objects!$X$4,0)</f>
        <v>0</v>
      </c>
      <c r="M56">
        <f ca="1">OFFSET(Objects!$HW$6,M$1+(Objects!$Y$4-$A56-1)*Objects!$X$4,0)</f>
        <v>0</v>
      </c>
      <c r="N56">
        <f ca="1">OFFSET(Objects!$HW$6,N$1+(Objects!$Y$4-$A56-1)*Objects!$X$4,0)</f>
        <v>0</v>
      </c>
      <c r="O56">
        <f ca="1">OFFSET(Objects!$HW$6,O$1+(Objects!$Y$4-$A56-1)*Objects!$X$4,0)</f>
        <v>0</v>
      </c>
      <c r="P56">
        <f ca="1">OFFSET(Objects!$HW$6,P$1+(Objects!$Y$4-$A56-1)*Objects!$X$4,0)</f>
        <v>0</v>
      </c>
      <c r="Q56">
        <f ca="1">OFFSET(Objects!$HW$6,Q$1+(Objects!$Y$4-$A56-1)*Objects!$X$4,0)</f>
        <v>0</v>
      </c>
      <c r="R56">
        <f ca="1">OFFSET(Objects!$HW$6,R$1+(Objects!$Y$4-$A56-1)*Objects!$X$4,0)</f>
        <v>0</v>
      </c>
      <c r="S56">
        <f ca="1">OFFSET(Objects!$HW$6,S$1+(Objects!$Y$4-$A56-1)*Objects!$X$4,0)</f>
        <v>0</v>
      </c>
      <c r="T56">
        <f ca="1">OFFSET(Objects!$HW$6,T$1+(Objects!$Y$4-$A56-1)*Objects!$X$4,0)</f>
        <v>0</v>
      </c>
      <c r="U56">
        <f ca="1">OFFSET(Objects!$HW$6,U$1+(Objects!$Y$4-$A56-1)*Objects!$X$4,0)</f>
        <v>0</v>
      </c>
      <c r="V56">
        <f ca="1">OFFSET(Objects!$HW$6,V$1+(Objects!$Y$4-$A56-1)*Objects!$X$4,0)</f>
        <v>0</v>
      </c>
      <c r="W56">
        <f ca="1">OFFSET(Objects!$HW$6,W$1+(Objects!$Y$4-$A56-1)*Objects!$X$4,0)</f>
        <v>0</v>
      </c>
      <c r="X56">
        <f ca="1">OFFSET(Objects!$HW$6,X$1+(Objects!$Y$4-$A56-1)*Objects!$X$4,0)</f>
        <v>0</v>
      </c>
      <c r="Y56">
        <f ca="1">OFFSET(Objects!$HW$6,Y$1+(Objects!$Y$4-$A56-1)*Objects!$X$4,0)</f>
        <v>0</v>
      </c>
      <c r="Z56">
        <f ca="1">OFFSET(Objects!$HW$6,Z$1+(Objects!$Y$4-$A56-1)*Objects!$X$4,0)</f>
        <v>0</v>
      </c>
      <c r="AA56">
        <f ca="1">OFFSET(Objects!$HW$6,AA$1+(Objects!$Y$4-$A56-1)*Objects!$X$4,0)</f>
        <v>0</v>
      </c>
      <c r="AB56">
        <f ca="1">OFFSET(Objects!$HW$6,AB$1+(Objects!$Y$4-$A56-1)*Objects!$X$4,0)</f>
        <v>0</v>
      </c>
      <c r="AC56">
        <f ca="1">OFFSET(Objects!$HW$6,AC$1+(Objects!$Y$4-$A56-1)*Objects!$X$4,0)</f>
        <v>0</v>
      </c>
      <c r="AD56">
        <f ca="1">OFFSET(Objects!$HW$6,AD$1+(Objects!$Y$4-$A56-1)*Objects!$X$4,0)</f>
        <v>0</v>
      </c>
      <c r="AE56">
        <f ca="1">OFFSET(Objects!$HW$6,AE$1+(Objects!$Y$4-$A56-1)*Objects!$X$4,0)</f>
        <v>0</v>
      </c>
      <c r="AF56">
        <f ca="1">OFFSET(Objects!$HW$6,AF$1+(Objects!$Y$4-$A56-1)*Objects!$X$4,0)</f>
        <v>0</v>
      </c>
      <c r="AG56">
        <f ca="1">OFFSET(Objects!$HW$6,AG$1+(Objects!$Y$4-$A56-1)*Objects!$X$4,0)</f>
        <v>0</v>
      </c>
      <c r="AH56">
        <f ca="1">OFFSET(Objects!$HW$6,AH$1+(Objects!$Y$4-$A56-1)*Objects!$X$4,0)</f>
        <v>0</v>
      </c>
      <c r="AI56">
        <f ca="1">OFFSET(Objects!$HW$6,AI$1+(Objects!$Y$4-$A56-1)*Objects!$X$4,0)</f>
        <v>0</v>
      </c>
      <c r="AJ56">
        <f ca="1">OFFSET(Objects!$HW$6,AJ$1+(Objects!$Y$4-$A56-1)*Objects!$X$4,0)</f>
        <v>0</v>
      </c>
      <c r="AK56">
        <f ca="1">OFFSET(Objects!$HW$6,AK$1+(Objects!$Y$4-$A56-1)*Objects!$X$4,0)</f>
        <v>0</v>
      </c>
      <c r="AL56">
        <f ca="1">OFFSET(Objects!$HW$6,AL$1+(Objects!$Y$4-$A56-1)*Objects!$X$4,0)</f>
        <v>0</v>
      </c>
      <c r="AM56">
        <f ca="1">OFFSET(Objects!$HW$6,AM$1+(Objects!$Y$4-$A56-1)*Objects!$X$4,0)</f>
        <v>0</v>
      </c>
      <c r="AN56">
        <f ca="1">OFFSET(Objects!$HW$6,AN$1+(Objects!$Y$4-$A56-1)*Objects!$X$4,0)</f>
        <v>0</v>
      </c>
      <c r="AO56">
        <f ca="1">OFFSET(Objects!$HW$6,AO$1+(Objects!$Y$4-$A56-1)*Objects!$X$4,0)</f>
        <v>0</v>
      </c>
      <c r="AP56">
        <f ca="1">OFFSET(Objects!$HW$6,AP$1+(Objects!$Y$4-$A56-1)*Objects!$X$4,0)</f>
        <v>0</v>
      </c>
      <c r="AQ56">
        <f ca="1">OFFSET(Objects!$HW$6,AQ$1+(Objects!$Y$4-$A56-1)*Objects!$X$4,0)</f>
        <v>0</v>
      </c>
      <c r="AR56">
        <f ca="1">OFFSET(Objects!$HW$6,AR$1+(Objects!$Y$4-$A56-1)*Objects!$X$4,0)</f>
        <v>0</v>
      </c>
      <c r="AS56">
        <f ca="1">OFFSET(Objects!$HW$6,AS$1+(Objects!$Y$4-$A56-1)*Objects!$X$4,0)</f>
        <v>0</v>
      </c>
      <c r="AT56">
        <f ca="1">OFFSET(Objects!$HW$6,AT$1+(Objects!$Y$4-$A56-1)*Objects!$X$4,0)</f>
        <v>0</v>
      </c>
      <c r="AU56">
        <f ca="1">OFFSET(Objects!$HW$6,AU$1+(Objects!$Y$4-$A56-1)*Objects!$X$4,0)</f>
        <v>0</v>
      </c>
      <c r="AV56">
        <f ca="1">OFFSET(Objects!$HW$6,AV$1+(Objects!$Y$4-$A56-1)*Objects!$X$4,0)</f>
        <v>0</v>
      </c>
      <c r="AW56">
        <f ca="1">OFFSET(Objects!$HW$6,AW$1+(Objects!$Y$4-$A56-1)*Objects!$X$4,0)</f>
        <v>0</v>
      </c>
      <c r="AX56">
        <f ca="1">OFFSET(Objects!$HW$6,AX$1+(Objects!$Y$4-$A56-1)*Objects!$X$4,0)</f>
        <v>0</v>
      </c>
      <c r="AY56">
        <f ca="1">OFFSET(Objects!$HW$6,AY$1+(Objects!$Y$4-$A56-1)*Objects!$X$4,0)</f>
        <v>0</v>
      </c>
      <c r="AZ56">
        <f ca="1">OFFSET(Objects!$HW$6,AZ$1+(Objects!$Y$4-$A56-1)*Objects!$X$4,0)</f>
        <v>0</v>
      </c>
      <c r="BA56">
        <f ca="1">OFFSET(Objects!$HW$6,BA$1+(Objects!$Y$4-$A56-1)*Objects!$X$4,0)</f>
        <v>0</v>
      </c>
      <c r="BB56">
        <f ca="1">OFFSET(Objects!$HW$6,BB$1+(Objects!$Y$4-$A56-1)*Objects!$X$4,0)</f>
        <v>0</v>
      </c>
      <c r="BC56">
        <f ca="1">OFFSET(Objects!$HW$6,BC$1+(Objects!$Y$4-$A56-1)*Objects!$X$4,0)</f>
        <v>0</v>
      </c>
      <c r="BD56">
        <f ca="1">OFFSET(Objects!$HW$6,BD$1+(Objects!$Y$4-$A56-1)*Objects!$X$4,0)</f>
        <v>0</v>
      </c>
      <c r="BE56">
        <f ca="1">OFFSET(Objects!$HW$6,BE$1+(Objects!$Y$4-$A56-1)*Objects!$X$4,0)</f>
        <v>0</v>
      </c>
      <c r="BF56">
        <f ca="1">OFFSET(Objects!$HW$6,BF$1+(Objects!$Y$4-$A56-1)*Objects!$X$4,0)</f>
        <v>0</v>
      </c>
      <c r="BG56">
        <f ca="1">OFFSET(Objects!$HW$6,BG$1+(Objects!$Y$4-$A56-1)*Objects!$X$4,0)</f>
        <v>0</v>
      </c>
      <c r="BH56">
        <f ca="1">OFFSET(Objects!$HW$6,BH$1+(Objects!$Y$4-$A56-1)*Objects!$X$4,0)</f>
        <v>0</v>
      </c>
      <c r="BI56">
        <f ca="1">OFFSET(Objects!$HW$6,BI$1+(Objects!$Y$4-$A56-1)*Objects!$X$4,0)</f>
        <v>0</v>
      </c>
      <c r="BJ56">
        <f ca="1">OFFSET(Objects!$HW$6,BJ$1+(Objects!$Y$4-$A56-1)*Objects!$X$4,0)</f>
        <v>0</v>
      </c>
      <c r="BK56">
        <f ca="1">OFFSET(Objects!$HW$6,BK$1+(Objects!$Y$4-$A56-1)*Objects!$X$4,0)</f>
        <v>0</v>
      </c>
      <c r="BL56">
        <f ca="1">OFFSET(Objects!$HW$6,BL$1+(Objects!$Y$4-$A56-1)*Objects!$X$4,0)</f>
        <v>0</v>
      </c>
      <c r="BM56">
        <f ca="1">OFFSET(Objects!$HW$6,BM$1+(Objects!$Y$4-$A56-1)*Objects!$X$4,0)</f>
        <v>0</v>
      </c>
      <c r="BN56">
        <f ca="1">OFFSET(Objects!$HW$6,BN$1+(Objects!$Y$4-$A56-1)*Objects!$X$4,0)</f>
        <v>0</v>
      </c>
      <c r="BO56">
        <f ca="1">OFFSET(Objects!$HW$6,BO$1+(Objects!$Y$4-$A56-1)*Objects!$X$4,0)</f>
        <v>0</v>
      </c>
      <c r="BP56">
        <f ca="1">OFFSET(Objects!$HW$6,BP$1+(Objects!$Y$4-$A56-1)*Objects!$X$4,0)</f>
        <v>0</v>
      </c>
      <c r="BQ56">
        <f ca="1">OFFSET(Objects!$HW$6,BQ$1+(Objects!$Y$4-$A56-1)*Objects!$X$4,0)</f>
        <v>0</v>
      </c>
      <c r="BR56">
        <f ca="1">OFFSET(Objects!$HW$6,BR$1+(Objects!$Y$4-$A56-1)*Objects!$X$4,0)</f>
        <v>0</v>
      </c>
      <c r="BS56">
        <f ca="1">OFFSET(Objects!$HW$6,BS$1+(Objects!$Y$4-$A56-1)*Objects!$X$4,0)</f>
        <v>0</v>
      </c>
      <c r="BT56">
        <f ca="1">OFFSET(Objects!$HW$6,BT$1+(Objects!$Y$4-$A56-1)*Objects!$X$4,0)</f>
        <v>0</v>
      </c>
      <c r="BU56">
        <f ca="1">OFFSET(Objects!$HW$6,BU$1+(Objects!$Y$4-$A56-1)*Objects!$X$4,0)</f>
        <v>0</v>
      </c>
      <c r="BV56">
        <f ca="1">OFFSET(Objects!$HW$6,BV$1+(Objects!$Y$4-$A56-1)*Objects!$X$4,0)</f>
        <v>0</v>
      </c>
      <c r="BW56">
        <f ca="1">OFFSET(Objects!$HW$6,BW$1+(Objects!$Y$4-$A56-1)*Objects!$X$4,0)</f>
        <v>0</v>
      </c>
      <c r="BX56">
        <f ca="1">OFFSET(Objects!$HW$6,BX$1+(Objects!$Y$4-$A56-1)*Objects!$X$4,0)</f>
        <v>0</v>
      </c>
      <c r="BY56">
        <f ca="1">OFFSET(Objects!$HW$6,BY$1+(Objects!$Y$4-$A56-1)*Objects!$X$4,0)</f>
        <v>0</v>
      </c>
      <c r="BZ56">
        <f ca="1">OFFSET(Objects!$HW$6,BZ$1+(Objects!$Y$4-$A56-1)*Objects!$X$4,0)</f>
        <v>0</v>
      </c>
      <c r="CA56">
        <f ca="1">OFFSET(Objects!$HW$6,CA$1+(Objects!$Y$4-$A56-1)*Objects!$X$4,0)</f>
        <v>0</v>
      </c>
      <c r="CB56">
        <f ca="1">OFFSET(Objects!$HW$6,CB$1+(Objects!$Y$4-$A56-1)*Objects!$X$4,0)</f>
        <v>0</v>
      </c>
      <c r="CC56">
        <f ca="1">OFFSET(Objects!$HW$6,CC$1+(Objects!$Y$4-$A56-1)*Objects!$X$4,0)</f>
        <v>0</v>
      </c>
      <c r="CD56">
        <f ca="1">OFFSET(Objects!$HW$6,CD$1+(Objects!$Y$4-$A56-1)*Objects!$X$4,0)</f>
        <v>0</v>
      </c>
      <c r="CE56">
        <f ca="1">OFFSET(Objects!$HW$6,CE$1+(Objects!$Y$4-$A56-1)*Objects!$X$4,0)</f>
        <v>0</v>
      </c>
      <c r="CF56">
        <f ca="1">OFFSET(Objects!$HW$6,CF$1+(Objects!$Y$4-$A56-1)*Objects!$X$4,0)</f>
        <v>0</v>
      </c>
      <c r="CG56">
        <f ca="1">OFFSET(Objects!$HW$6,CG$1+(Objects!$Y$4-$A56-1)*Objects!$X$4,0)</f>
        <v>0</v>
      </c>
      <c r="CH56">
        <f ca="1">OFFSET(Objects!$HW$6,CH$1+(Objects!$Y$4-$A56-1)*Objects!$X$4,0)</f>
        <v>0</v>
      </c>
      <c r="CI56">
        <f ca="1">OFFSET(Objects!$HW$6,CI$1+(Objects!$Y$4-$A56-1)*Objects!$X$4,0)</f>
        <v>0</v>
      </c>
      <c r="CJ56">
        <f ca="1">OFFSET(Objects!$HW$6,CJ$1+(Objects!$Y$4-$A56-1)*Objects!$X$4,0)</f>
        <v>0</v>
      </c>
      <c r="CK56">
        <f ca="1">OFFSET(Objects!$HW$6,CK$1+(Objects!$Y$4-$A56-1)*Objects!$X$4,0)</f>
        <v>0</v>
      </c>
      <c r="CL56">
        <f ca="1">OFFSET(Objects!$HW$6,CL$1+(Objects!$Y$4-$A56-1)*Objects!$X$4,0)</f>
        <v>0</v>
      </c>
      <c r="CM56">
        <f ca="1">OFFSET(Objects!$HW$6,CM$1+(Objects!$Y$4-$A56-1)*Objects!$X$4,0)</f>
        <v>0</v>
      </c>
      <c r="CN56">
        <f ca="1">OFFSET(Objects!$HW$6,CN$1+(Objects!$Y$4-$A56-1)*Objects!$X$4,0)</f>
        <v>0</v>
      </c>
      <c r="CO56">
        <f ca="1">OFFSET(Objects!$HW$6,CO$1+(Objects!$Y$4-$A56-1)*Objects!$X$4,0)</f>
        <v>0</v>
      </c>
      <c r="CP56">
        <f ca="1">OFFSET(Objects!$HW$6,CP$1+(Objects!$Y$4-$A56-1)*Objects!$X$4,0)</f>
        <v>0</v>
      </c>
      <c r="CQ56">
        <f ca="1">OFFSET(Objects!$HW$6,CQ$1+(Objects!$Y$4-$A56-1)*Objects!$X$4,0)</f>
        <v>0</v>
      </c>
      <c r="CR56">
        <f ca="1">OFFSET(Objects!$HW$6,CR$1+(Objects!$Y$4-$A56-1)*Objects!$X$4,0)</f>
        <v>0</v>
      </c>
      <c r="CS56">
        <f ca="1">OFFSET(Objects!$HW$6,CS$1+(Objects!$Y$4-$A56-1)*Objects!$X$4,0)</f>
        <v>0</v>
      </c>
      <c r="CT56">
        <f ca="1">OFFSET(Objects!$HW$6,CT$1+(Objects!$Y$4-$A56-1)*Objects!$X$4,0)</f>
        <v>0</v>
      </c>
      <c r="CU56">
        <f ca="1">OFFSET(Objects!$HW$6,CU$1+(Objects!$Y$4-$A56-1)*Objects!$X$4,0)</f>
        <v>0</v>
      </c>
      <c r="CV56">
        <f ca="1">OFFSET(Objects!$HW$6,CV$1+(Objects!$Y$4-$A56-1)*Objects!$X$4,0)</f>
        <v>0</v>
      </c>
      <c r="CW56">
        <f ca="1">OFFSET(Objects!$HW$6,CW$1+(Objects!$Y$4-$A56-1)*Objects!$X$4,0)</f>
        <v>0</v>
      </c>
      <c r="CX56">
        <f ca="1">OFFSET(Objects!$HW$6,CX$1+(Objects!$Y$4-$A56-1)*Objects!$X$4,0)</f>
        <v>0</v>
      </c>
      <c r="CY56">
        <f ca="1">OFFSET(Objects!$HW$6,CY$1+(Objects!$Y$4-$A56-1)*Objects!$X$4,0)</f>
        <v>0</v>
      </c>
      <c r="CZ56">
        <f ca="1">OFFSET(Objects!$HW$6,CZ$1+(Objects!$Y$4-$A56-1)*Objects!$X$4,0)</f>
        <v>0</v>
      </c>
      <c r="DA56">
        <f ca="1">OFFSET(Objects!$HW$6,DA$1+(Objects!$Y$4-$A56-1)*Objects!$X$4,0)</f>
        <v>0</v>
      </c>
      <c r="DB56">
        <f ca="1">OFFSET(Objects!$HW$6,DB$1+(Objects!$Y$4-$A56-1)*Objects!$X$4,0)</f>
        <v>0</v>
      </c>
      <c r="DC56">
        <f ca="1">OFFSET(Objects!$HW$6,DC$1+(Objects!$Y$4-$A56-1)*Objects!$X$4,0)</f>
        <v>0</v>
      </c>
      <c r="DD56">
        <f ca="1">OFFSET(Objects!$HW$6,DD$1+(Objects!$Y$4-$A56-1)*Objects!$X$4,0)</f>
        <v>0</v>
      </c>
      <c r="DE56">
        <f ca="1">OFFSET(Objects!$HW$6,DE$1+(Objects!$Y$4-$A56-1)*Objects!$X$4,0)</f>
        <v>0</v>
      </c>
      <c r="DF56">
        <f ca="1">OFFSET(Objects!$HW$6,DF$1+(Objects!$Y$4-$A56-1)*Objects!$X$4,0)</f>
        <v>0</v>
      </c>
      <c r="DG56">
        <f ca="1">OFFSET(Objects!$HW$6,DG$1+(Objects!$Y$4-$A56-1)*Objects!$X$4,0)</f>
        <v>0</v>
      </c>
      <c r="DH56">
        <f ca="1">OFFSET(Objects!$HW$6,DH$1+(Objects!$Y$4-$A56-1)*Objects!$X$4,0)</f>
        <v>0</v>
      </c>
      <c r="DI56">
        <f ca="1">OFFSET(Objects!$HW$6,DI$1+(Objects!$Y$4-$A56-1)*Objects!$X$4,0)</f>
        <v>0</v>
      </c>
      <c r="DJ56">
        <f ca="1">OFFSET(Objects!$HW$6,DJ$1+(Objects!$Y$4-$A56-1)*Objects!$X$4,0)</f>
        <v>0</v>
      </c>
      <c r="DK56">
        <f ca="1">OFFSET(Objects!$HW$6,DK$1+(Objects!$Y$4-$A56-1)*Objects!$X$4,0)</f>
        <v>0</v>
      </c>
      <c r="DL56">
        <f ca="1">OFFSET(Objects!$HW$6,DL$1+(Objects!$Y$4-$A56-1)*Objects!$X$4,0)</f>
        <v>0</v>
      </c>
      <c r="DM56">
        <f ca="1">OFFSET(Objects!$HW$6,DM$1+(Objects!$Y$4-$A56-1)*Objects!$X$4,0)</f>
        <v>0</v>
      </c>
      <c r="DN56">
        <f ca="1">OFFSET(Objects!$HW$6,DN$1+(Objects!$Y$4-$A56-1)*Objects!$X$4,0)</f>
        <v>0</v>
      </c>
      <c r="DO56">
        <f ca="1">OFFSET(Objects!$HW$6,DO$1+(Objects!$Y$4-$A56-1)*Objects!$X$4,0)</f>
        <v>0</v>
      </c>
      <c r="DP56">
        <f ca="1">OFFSET(Objects!$HW$6,DP$1+(Objects!$Y$4-$A56-1)*Objects!$X$4,0)</f>
        <v>0</v>
      </c>
      <c r="DQ56">
        <f ca="1">OFFSET(Objects!$HW$6,DQ$1+(Objects!$Y$4-$A56-1)*Objects!$X$4,0)</f>
        <v>0</v>
      </c>
      <c r="DR56">
        <f ca="1">OFFSET(Objects!$HW$6,DR$1+(Objects!$Y$4-$A56-1)*Objects!$X$4,0)</f>
        <v>0</v>
      </c>
      <c r="DS56">
        <f ca="1">OFFSET(Objects!$HW$6,DS$1+(Objects!$Y$4-$A56-1)*Objects!$X$4,0)</f>
        <v>0</v>
      </c>
      <c r="DT56">
        <f ca="1">OFFSET(Objects!$HW$6,DT$1+(Objects!$Y$4-$A56-1)*Objects!$X$4,0)</f>
        <v>0</v>
      </c>
      <c r="DU56">
        <f ca="1">OFFSET(Objects!$HW$6,DU$1+(Objects!$Y$4-$A56-1)*Objects!$X$4,0)</f>
        <v>0</v>
      </c>
      <c r="DV56">
        <f ca="1">OFFSET(Objects!$HW$6,DV$1+(Objects!$Y$4-$A56-1)*Objects!$X$4,0)</f>
        <v>0</v>
      </c>
      <c r="DW56">
        <f ca="1">OFFSET(Objects!$HW$6,DW$1+(Objects!$Y$4-$A56-1)*Objects!$X$4,0)</f>
        <v>0</v>
      </c>
      <c r="DX56">
        <f ca="1">OFFSET(Objects!$HW$6,DX$1+(Objects!$Y$4-$A56-1)*Objects!$X$4,0)</f>
        <v>0</v>
      </c>
      <c r="DY56">
        <f ca="1">OFFSET(Objects!$HW$6,DY$1+(Objects!$Y$4-$A56-1)*Objects!$X$4,0)</f>
        <v>0</v>
      </c>
      <c r="DZ56">
        <f ca="1">OFFSET(Objects!$HW$6,DZ$1+(Objects!$Y$4-$A56-1)*Objects!$X$4,0)</f>
        <v>0</v>
      </c>
      <c r="EA56">
        <f ca="1">OFFSET(Objects!$HW$6,EA$1+(Objects!$Y$4-$A56-1)*Objects!$X$4,0)</f>
        <v>0</v>
      </c>
      <c r="EB56">
        <f ca="1">OFFSET(Objects!$HW$6,EB$1+(Objects!$Y$4-$A56-1)*Objects!$X$4,0)</f>
        <v>0</v>
      </c>
      <c r="EC56">
        <f ca="1">OFFSET(Objects!$HW$6,EC$1+(Objects!$Y$4-$A56-1)*Objects!$X$4,0)</f>
        <v>0</v>
      </c>
      <c r="ED56">
        <f ca="1">OFFSET(Objects!$HW$6,ED$1+(Objects!$Y$4-$A56-1)*Objects!$X$4,0)</f>
        <v>0</v>
      </c>
      <c r="EE56">
        <f ca="1">OFFSET(Objects!$HW$6,EE$1+(Objects!$Y$4-$A56-1)*Objects!$X$4,0)</f>
        <v>0</v>
      </c>
      <c r="EF56">
        <f ca="1">OFFSET(Objects!$HW$6,EF$1+(Objects!$Y$4-$A56-1)*Objects!$X$4,0)</f>
        <v>0</v>
      </c>
      <c r="EG56">
        <f ca="1">OFFSET(Objects!$HW$6,EG$1+(Objects!$Y$4-$A56-1)*Objects!$X$4,0)</f>
        <v>0</v>
      </c>
      <c r="EH56">
        <f ca="1">OFFSET(Objects!$HW$6,EH$1+(Objects!$Y$4-$A56-1)*Objects!$X$4,0)</f>
        <v>0</v>
      </c>
      <c r="EI56">
        <f ca="1">OFFSET(Objects!$HW$6,EI$1+(Objects!$Y$4-$A56-1)*Objects!$X$4,0)</f>
        <v>0</v>
      </c>
      <c r="EJ56">
        <f ca="1">OFFSET(Objects!$HW$6,EJ$1+(Objects!$Y$4-$A56-1)*Objects!$X$4,0)</f>
        <v>0</v>
      </c>
      <c r="EK56">
        <f ca="1">OFFSET(Objects!$HW$6,EK$1+(Objects!$Y$4-$A56-1)*Objects!$X$4,0)</f>
        <v>0</v>
      </c>
      <c r="EL56">
        <f ca="1">OFFSET(Objects!$HW$6,EL$1+(Objects!$Y$4-$A56-1)*Objects!$X$4,0)</f>
        <v>0</v>
      </c>
      <c r="EM56">
        <f ca="1">OFFSET(Objects!$HW$6,EM$1+(Objects!$Y$4-$A56-1)*Objects!$X$4,0)</f>
        <v>0</v>
      </c>
      <c r="EN56">
        <f ca="1">OFFSET(Objects!$HW$6,EN$1+(Objects!$Y$4-$A56-1)*Objects!$X$4,0)</f>
        <v>0</v>
      </c>
      <c r="EO56">
        <f ca="1">OFFSET(Objects!$HW$6,EO$1+(Objects!$Y$4-$A56-1)*Objects!$X$4,0)</f>
        <v>0</v>
      </c>
      <c r="EP56">
        <f ca="1">OFFSET(Objects!$HW$6,EP$1+(Objects!$Y$4-$A56-1)*Objects!$X$4,0)</f>
        <v>0</v>
      </c>
      <c r="EQ56">
        <f ca="1">OFFSET(Objects!$HW$6,EQ$1+(Objects!$Y$4-$A56-1)*Objects!$X$4,0)</f>
        <v>0</v>
      </c>
      <c r="ER56">
        <f ca="1">OFFSET(Objects!$HW$6,ER$1+(Objects!$Y$4-$A56-1)*Objects!$X$4,0)</f>
        <v>0</v>
      </c>
      <c r="ES56">
        <f ca="1">OFFSET(Objects!$HW$6,ES$1+(Objects!$Y$4-$A56-1)*Objects!$X$4,0)</f>
        <v>0</v>
      </c>
      <c r="ET56">
        <f ca="1">OFFSET(Objects!$HW$6,ET$1+(Objects!$Y$4-$A56-1)*Objects!$X$4,0)</f>
        <v>0</v>
      </c>
      <c r="EU56">
        <f ca="1">OFFSET(Objects!$HW$6,EU$1+(Objects!$Y$4-$A56-1)*Objects!$X$4,0)</f>
        <v>0</v>
      </c>
      <c r="EV56">
        <f ca="1">OFFSET(Objects!$HW$6,EV$1+(Objects!$Y$4-$A56-1)*Objects!$X$4,0)</f>
        <v>0</v>
      </c>
      <c r="EW56">
        <f ca="1">OFFSET(Objects!$HW$6,EW$1+(Objects!$Y$4-$A56-1)*Objects!$X$4,0)</f>
        <v>0</v>
      </c>
      <c r="EX56">
        <f ca="1">OFFSET(Objects!$HW$6,EX$1+(Objects!$Y$4-$A56-1)*Objects!$X$4,0)</f>
        <v>0</v>
      </c>
      <c r="EY56">
        <f ca="1">OFFSET(Objects!$HW$6,EY$1+(Objects!$Y$4-$A56-1)*Objects!$X$4,0)</f>
        <v>0</v>
      </c>
      <c r="EZ56">
        <f ca="1">OFFSET(Objects!$HW$6,EZ$1+(Objects!$Y$4-$A56-1)*Objects!$X$4,0)</f>
        <v>0</v>
      </c>
      <c r="FA56">
        <f ca="1">OFFSET(Objects!$HW$6,FA$1+(Objects!$Y$4-$A56-1)*Objects!$X$4,0)</f>
        <v>0</v>
      </c>
      <c r="FB56">
        <f ca="1">OFFSET(Objects!$HW$6,FB$1+(Objects!$Y$4-$A56-1)*Objects!$X$4,0)</f>
        <v>0</v>
      </c>
      <c r="FC56">
        <f ca="1">OFFSET(Objects!$HW$6,FC$1+(Objects!$Y$4-$A56-1)*Objects!$X$4,0)</f>
        <v>0</v>
      </c>
      <c r="FD56">
        <f ca="1">OFFSET(Objects!$HW$6,FD$1+(Objects!$Y$4-$A56-1)*Objects!$X$4,0)</f>
        <v>0</v>
      </c>
      <c r="FE56" s="22">
        <f ca="1">OFFSET(Objects!$HW$6,FE$1+(Objects!$Y$4-$A56-1)*Objects!$X$4,0)</f>
        <v>0</v>
      </c>
    </row>
    <row r="57" spans="1:161" ht="4.5" customHeight="1" x14ac:dyDescent="0.25">
      <c r="A57">
        <v>55</v>
      </c>
      <c r="B57" s="21">
        <f ca="1">OFFSET(Objects!$HW$6,B$1+(Objects!$Y$4-$A57-1)*Objects!$X$4,0)</f>
        <v>0</v>
      </c>
      <c r="C57">
        <f ca="1">OFFSET(Objects!$HW$6,C$1+(Objects!$Y$4-$A57-1)*Objects!$X$4,0)</f>
        <v>0</v>
      </c>
      <c r="D57">
        <f ca="1">OFFSET(Objects!$HW$6,D$1+(Objects!$Y$4-$A57-1)*Objects!$X$4,0)</f>
        <v>0</v>
      </c>
      <c r="E57">
        <f ca="1">OFFSET(Objects!$HW$6,E$1+(Objects!$Y$4-$A57-1)*Objects!$X$4,0)</f>
        <v>0</v>
      </c>
      <c r="F57">
        <f ca="1">OFFSET(Objects!$HW$6,F$1+(Objects!$Y$4-$A57-1)*Objects!$X$4,0)</f>
        <v>0</v>
      </c>
      <c r="G57">
        <f ca="1">OFFSET(Objects!$HW$6,G$1+(Objects!$Y$4-$A57-1)*Objects!$X$4,0)</f>
        <v>0</v>
      </c>
      <c r="H57">
        <f ca="1">OFFSET(Objects!$HW$6,H$1+(Objects!$Y$4-$A57-1)*Objects!$X$4,0)</f>
        <v>0</v>
      </c>
      <c r="I57">
        <f ca="1">OFFSET(Objects!$HW$6,I$1+(Objects!$Y$4-$A57-1)*Objects!$X$4,0)</f>
        <v>0</v>
      </c>
      <c r="J57">
        <f ca="1">OFFSET(Objects!$HW$6,J$1+(Objects!$Y$4-$A57-1)*Objects!$X$4,0)</f>
        <v>0</v>
      </c>
      <c r="K57">
        <f ca="1">OFFSET(Objects!$HW$6,K$1+(Objects!$Y$4-$A57-1)*Objects!$X$4,0)</f>
        <v>0</v>
      </c>
      <c r="L57">
        <f ca="1">OFFSET(Objects!$HW$6,L$1+(Objects!$Y$4-$A57-1)*Objects!$X$4,0)</f>
        <v>0</v>
      </c>
      <c r="M57">
        <f ca="1">OFFSET(Objects!$HW$6,M$1+(Objects!$Y$4-$A57-1)*Objects!$X$4,0)</f>
        <v>0</v>
      </c>
      <c r="N57">
        <f ca="1">OFFSET(Objects!$HW$6,N$1+(Objects!$Y$4-$A57-1)*Objects!$X$4,0)</f>
        <v>0</v>
      </c>
      <c r="O57">
        <f ca="1">OFFSET(Objects!$HW$6,O$1+(Objects!$Y$4-$A57-1)*Objects!$X$4,0)</f>
        <v>0</v>
      </c>
      <c r="P57">
        <f ca="1">OFFSET(Objects!$HW$6,P$1+(Objects!$Y$4-$A57-1)*Objects!$X$4,0)</f>
        <v>0</v>
      </c>
      <c r="Q57">
        <f ca="1">OFFSET(Objects!$HW$6,Q$1+(Objects!$Y$4-$A57-1)*Objects!$X$4,0)</f>
        <v>0</v>
      </c>
      <c r="R57">
        <f ca="1">OFFSET(Objects!$HW$6,R$1+(Objects!$Y$4-$A57-1)*Objects!$X$4,0)</f>
        <v>0</v>
      </c>
      <c r="S57">
        <f ca="1">OFFSET(Objects!$HW$6,S$1+(Objects!$Y$4-$A57-1)*Objects!$X$4,0)</f>
        <v>0</v>
      </c>
      <c r="T57">
        <f ca="1">OFFSET(Objects!$HW$6,T$1+(Objects!$Y$4-$A57-1)*Objects!$X$4,0)</f>
        <v>0</v>
      </c>
      <c r="U57">
        <f ca="1">OFFSET(Objects!$HW$6,U$1+(Objects!$Y$4-$A57-1)*Objects!$X$4,0)</f>
        <v>0</v>
      </c>
      <c r="V57">
        <f ca="1">OFFSET(Objects!$HW$6,V$1+(Objects!$Y$4-$A57-1)*Objects!$X$4,0)</f>
        <v>0</v>
      </c>
      <c r="W57">
        <f ca="1">OFFSET(Objects!$HW$6,W$1+(Objects!$Y$4-$A57-1)*Objects!$X$4,0)</f>
        <v>0</v>
      </c>
      <c r="X57">
        <f ca="1">OFFSET(Objects!$HW$6,X$1+(Objects!$Y$4-$A57-1)*Objects!$X$4,0)</f>
        <v>0</v>
      </c>
      <c r="Y57">
        <f ca="1">OFFSET(Objects!$HW$6,Y$1+(Objects!$Y$4-$A57-1)*Objects!$X$4,0)</f>
        <v>0</v>
      </c>
      <c r="Z57">
        <f ca="1">OFFSET(Objects!$HW$6,Z$1+(Objects!$Y$4-$A57-1)*Objects!$X$4,0)</f>
        <v>0</v>
      </c>
      <c r="AA57">
        <f ca="1">OFFSET(Objects!$HW$6,AA$1+(Objects!$Y$4-$A57-1)*Objects!$X$4,0)</f>
        <v>0</v>
      </c>
      <c r="AB57">
        <f ca="1">OFFSET(Objects!$HW$6,AB$1+(Objects!$Y$4-$A57-1)*Objects!$X$4,0)</f>
        <v>0</v>
      </c>
      <c r="AC57">
        <f ca="1">OFFSET(Objects!$HW$6,AC$1+(Objects!$Y$4-$A57-1)*Objects!$X$4,0)</f>
        <v>0</v>
      </c>
      <c r="AD57">
        <f ca="1">OFFSET(Objects!$HW$6,AD$1+(Objects!$Y$4-$A57-1)*Objects!$X$4,0)</f>
        <v>0</v>
      </c>
      <c r="AE57">
        <f ca="1">OFFSET(Objects!$HW$6,AE$1+(Objects!$Y$4-$A57-1)*Objects!$X$4,0)</f>
        <v>0</v>
      </c>
      <c r="AF57">
        <f ca="1">OFFSET(Objects!$HW$6,AF$1+(Objects!$Y$4-$A57-1)*Objects!$X$4,0)</f>
        <v>0</v>
      </c>
      <c r="AG57">
        <f ca="1">OFFSET(Objects!$HW$6,AG$1+(Objects!$Y$4-$A57-1)*Objects!$X$4,0)</f>
        <v>0</v>
      </c>
      <c r="AH57">
        <f ca="1">OFFSET(Objects!$HW$6,AH$1+(Objects!$Y$4-$A57-1)*Objects!$X$4,0)</f>
        <v>0</v>
      </c>
      <c r="AI57">
        <f ca="1">OFFSET(Objects!$HW$6,AI$1+(Objects!$Y$4-$A57-1)*Objects!$X$4,0)</f>
        <v>0</v>
      </c>
      <c r="AJ57">
        <f ca="1">OFFSET(Objects!$HW$6,AJ$1+(Objects!$Y$4-$A57-1)*Objects!$X$4,0)</f>
        <v>0</v>
      </c>
      <c r="AK57">
        <f ca="1">OFFSET(Objects!$HW$6,AK$1+(Objects!$Y$4-$A57-1)*Objects!$X$4,0)</f>
        <v>0</v>
      </c>
      <c r="AL57">
        <f ca="1">OFFSET(Objects!$HW$6,AL$1+(Objects!$Y$4-$A57-1)*Objects!$X$4,0)</f>
        <v>0</v>
      </c>
      <c r="AM57">
        <f ca="1">OFFSET(Objects!$HW$6,AM$1+(Objects!$Y$4-$A57-1)*Objects!$X$4,0)</f>
        <v>0</v>
      </c>
      <c r="AN57">
        <f ca="1">OFFSET(Objects!$HW$6,AN$1+(Objects!$Y$4-$A57-1)*Objects!$X$4,0)</f>
        <v>0</v>
      </c>
      <c r="AO57">
        <f ca="1">OFFSET(Objects!$HW$6,AO$1+(Objects!$Y$4-$A57-1)*Objects!$X$4,0)</f>
        <v>0</v>
      </c>
      <c r="AP57">
        <f ca="1">OFFSET(Objects!$HW$6,AP$1+(Objects!$Y$4-$A57-1)*Objects!$X$4,0)</f>
        <v>0</v>
      </c>
      <c r="AQ57">
        <f ca="1">OFFSET(Objects!$HW$6,AQ$1+(Objects!$Y$4-$A57-1)*Objects!$X$4,0)</f>
        <v>0</v>
      </c>
      <c r="AR57">
        <f ca="1">OFFSET(Objects!$HW$6,AR$1+(Objects!$Y$4-$A57-1)*Objects!$X$4,0)</f>
        <v>0</v>
      </c>
      <c r="AS57">
        <f ca="1">OFFSET(Objects!$HW$6,AS$1+(Objects!$Y$4-$A57-1)*Objects!$X$4,0)</f>
        <v>0</v>
      </c>
      <c r="AT57">
        <f ca="1">OFFSET(Objects!$HW$6,AT$1+(Objects!$Y$4-$A57-1)*Objects!$X$4,0)</f>
        <v>0</v>
      </c>
      <c r="AU57">
        <f ca="1">OFFSET(Objects!$HW$6,AU$1+(Objects!$Y$4-$A57-1)*Objects!$X$4,0)</f>
        <v>0</v>
      </c>
      <c r="AV57">
        <f ca="1">OFFSET(Objects!$HW$6,AV$1+(Objects!$Y$4-$A57-1)*Objects!$X$4,0)</f>
        <v>0</v>
      </c>
      <c r="AW57">
        <f ca="1">OFFSET(Objects!$HW$6,AW$1+(Objects!$Y$4-$A57-1)*Objects!$X$4,0)</f>
        <v>0</v>
      </c>
      <c r="AX57">
        <f ca="1">OFFSET(Objects!$HW$6,AX$1+(Objects!$Y$4-$A57-1)*Objects!$X$4,0)</f>
        <v>0</v>
      </c>
      <c r="AY57">
        <f ca="1">OFFSET(Objects!$HW$6,AY$1+(Objects!$Y$4-$A57-1)*Objects!$X$4,0)</f>
        <v>0</v>
      </c>
      <c r="AZ57">
        <f ca="1">OFFSET(Objects!$HW$6,AZ$1+(Objects!$Y$4-$A57-1)*Objects!$X$4,0)</f>
        <v>0</v>
      </c>
      <c r="BA57">
        <f ca="1">OFFSET(Objects!$HW$6,BA$1+(Objects!$Y$4-$A57-1)*Objects!$X$4,0)</f>
        <v>0</v>
      </c>
      <c r="BB57">
        <f ca="1">OFFSET(Objects!$HW$6,BB$1+(Objects!$Y$4-$A57-1)*Objects!$X$4,0)</f>
        <v>0</v>
      </c>
      <c r="BC57">
        <f ca="1">OFFSET(Objects!$HW$6,BC$1+(Objects!$Y$4-$A57-1)*Objects!$X$4,0)</f>
        <v>0</v>
      </c>
      <c r="BD57">
        <f ca="1">OFFSET(Objects!$HW$6,BD$1+(Objects!$Y$4-$A57-1)*Objects!$X$4,0)</f>
        <v>0</v>
      </c>
      <c r="BE57">
        <f ca="1">OFFSET(Objects!$HW$6,BE$1+(Objects!$Y$4-$A57-1)*Objects!$X$4,0)</f>
        <v>0</v>
      </c>
      <c r="BF57">
        <f ca="1">OFFSET(Objects!$HW$6,BF$1+(Objects!$Y$4-$A57-1)*Objects!$X$4,0)</f>
        <v>0</v>
      </c>
      <c r="BG57">
        <f ca="1">OFFSET(Objects!$HW$6,BG$1+(Objects!$Y$4-$A57-1)*Objects!$X$4,0)</f>
        <v>0</v>
      </c>
      <c r="BH57">
        <f ca="1">OFFSET(Objects!$HW$6,BH$1+(Objects!$Y$4-$A57-1)*Objects!$X$4,0)</f>
        <v>0</v>
      </c>
      <c r="BI57">
        <f ca="1">OFFSET(Objects!$HW$6,BI$1+(Objects!$Y$4-$A57-1)*Objects!$X$4,0)</f>
        <v>0</v>
      </c>
      <c r="BJ57">
        <f ca="1">OFFSET(Objects!$HW$6,BJ$1+(Objects!$Y$4-$A57-1)*Objects!$X$4,0)</f>
        <v>0</v>
      </c>
      <c r="BK57">
        <f ca="1">OFFSET(Objects!$HW$6,BK$1+(Objects!$Y$4-$A57-1)*Objects!$X$4,0)</f>
        <v>0</v>
      </c>
      <c r="BL57">
        <f ca="1">OFFSET(Objects!$HW$6,BL$1+(Objects!$Y$4-$A57-1)*Objects!$X$4,0)</f>
        <v>0</v>
      </c>
      <c r="BM57">
        <f ca="1">OFFSET(Objects!$HW$6,BM$1+(Objects!$Y$4-$A57-1)*Objects!$X$4,0)</f>
        <v>0</v>
      </c>
      <c r="BN57">
        <f ca="1">OFFSET(Objects!$HW$6,BN$1+(Objects!$Y$4-$A57-1)*Objects!$X$4,0)</f>
        <v>0</v>
      </c>
      <c r="BO57">
        <f ca="1">OFFSET(Objects!$HW$6,BO$1+(Objects!$Y$4-$A57-1)*Objects!$X$4,0)</f>
        <v>0</v>
      </c>
      <c r="BP57">
        <f ca="1">OFFSET(Objects!$HW$6,BP$1+(Objects!$Y$4-$A57-1)*Objects!$X$4,0)</f>
        <v>0</v>
      </c>
      <c r="BQ57">
        <f ca="1">OFFSET(Objects!$HW$6,BQ$1+(Objects!$Y$4-$A57-1)*Objects!$X$4,0)</f>
        <v>0</v>
      </c>
      <c r="BR57">
        <f ca="1">OFFSET(Objects!$HW$6,BR$1+(Objects!$Y$4-$A57-1)*Objects!$X$4,0)</f>
        <v>0</v>
      </c>
      <c r="BS57">
        <f ca="1">OFFSET(Objects!$HW$6,BS$1+(Objects!$Y$4-$A57-1)*Objects!$X$4,0)</f>
        <v>0</v>
      </c>
      <c r="BT57">
        <f ca="1">OFFSET(Objects!$HW$6,BT$1+(Objects!$Y$4-$A57-1)*Objects!$X$4,0)</f>
        <v>0</v>
      </c>
      <c r="BU57">
        <f ca="1">OFFSET(Objects!$HW$6,BU$1+(Objects!$Y$4-$A57-1)*Objects!$X$4,0)</f>
        <v>0</v>
      </c>
      <c r="BV57">
        <f ca="1">OFFSET(Objects!$HW$6,BV$1+(Objects!$Y$4-$A57-1)*Objects!$X$4,0)</f>
        <v>0</v>
      </c>
      <c r="BW57">
        <f ca="1">OFFSET(Objects!$HW$6,BW$1+(Objects!$Y$4-$A57-1)*Objects!$X$4,0)</f>
        <v>0</v>
      </c>
      <c r="BX57">
        <f ca="1">OFFSET(Objects!$HW$6,BX$1+(Objects!$Y$4-$A57-1)*Objects!$X$4,0)</f>
        <v>0</v>
      </c>
      <c r="BY57">
        <f ca="1">OFFSET(Objects!$HW$6,BY$1+(Objects!$Y$4-$A57-1)*Objects!$X$4,0)</f>
        <v>0</v>
      </c>
      <c r="BZ57">
        <f ca="1">OFFSET(Objects!$HW$6,BZ$1+(Objects!$Y$4-$A57-1)*Objects!$X$4,0)</f>
        <v>0</v>
      </c>
      <c r="CA57">
        <f ca="1">OFFSET(Objects!$HW$6,CA$1+(Objects!$Y$4-$A57-1)*Objects!$X$4,0)</f>
        <v>0</v>
      </c>
      <c r="CB57">
        <f ca="1">OFFSET(Objects!$HW$6,CB$1+(Objects!$Y$4-$A57-1)*Objects!$X$4,0)</f>
        <v>0</v>
      </c>
      <c r="CC57">
        <f ca="1">OFFSET(Objects!$HW$6,CC$1+(Objects!$Y$4-$A57-1)*Objects!$X$4,0)</f>
        <v>0</v>
      </c>
      <c r="CD57">
        <f ca="1">OFFSET(Objects!$HW$6,CD$1+(Objects!$Y$4-$A57-1)*Objects!$X$4,0)</f>
        <v>0</v>
      </c>
      <c r="CE57">
        <f ca="1">OFFSET(Objects!$HW$6,CE$1+(Objects!$Y$4-$A57-1)*Objects!$X$4,0)</f>
        <v>0</v>
      </c>
      <c r="CF57">
        <f ca="1">OFFSET(Objects!$HW$6,CF$1+(Objects!$Y$4-$A57-1)*Objects!$X$4,0)</f>
        <v>0</v>
      </c>
      <c r="CG57">
        <f ca="1">OFFSET(Objects!$HW$6,CG$1+(Objects!$Y$4-$A57-1)*Objects!$X$4,0)</f>
        <v>0</v>
      </c>
      <c r="CH57">
        <f ca="1">OFFSET(Objects!$HW$6,CH$1+(Objects!$Y$4-$A57-1)*Objects!$X$4,0)</f>
        <v>0</v>
      </c>
      <c r="CI57">
        <f ca="1">OFFSET(Objects!$HW$6,CI$1+(Objects!$Y$4-$A57-1)*Objects!$X$4,0)</f>
        <v>0</v>
      </c>
      <c r="CJ57">
        <f ca="1">OFFSET(Objects!$HW$6,CJ$1+(Objects!$Y$4-$A57-1)*Objects!$X$4,0)</f>
        <v>0</v>
      </c>
      <c r="CK57">
        <f ca="1">OFFSET(Objects!$HW$6,CK$1+(Objects!$Y$4-$A57-1)*Objects!$X$4,0)</f>
        <v>0</v>
      </c>
      <c r="CL57">
        <f ca="1">OFFSET(Objects!$HW$6,CL$1+(Objects!$Y$4-$A57-1)*Objects!$X$4,0)</f>
        <v>0</v>
      </c>
      <c r="CM57">
        <f ca="1">OFFSET(Objects!$HW$6,CM$1+(Objects!$Y$4-$A57-1)*Objects!$X$4,0)</f>
        <v>0</v>
      </c>
      <c r="CN57">
        <f ca="1">OFFSET(Objects!$HW$6,CN$1+(Objects!$Y$4-$A57-1)*Objects!$X$4,0)</f>
        <v>0</v>
      </c>
      <c r="CO57">
        <f ca="1">OFFSET(Objects!$HW$6,CO$1+(Objects!$Y$4-$A57-1)*Objects!$X$4,0)</f>
        <v>0</v>
      </c>
      <c r="CP57">
        <f ca="1">OFFSET(Objects!$HW$6,CP$1+(Objects!$Y$4-$A57-1)*Objects!$X$4,0)</f>
        <v>0</v>
      </c>
      <c r="CQ57">
        <f ca="1">OFFSET(Objects!$HW$6,CQ$1+(Objects!$Y$4-$A57-1)*Objects!$X$4,0)</f>
        <v>0</v>
      </c>
      <c r="CR57">
        <f ca="1">OFFSET(Objects!$HW$6,CR$1+(Objects!$Y$4-$A57-1)*Objects!$X$4,0)</f>
        <v>0</v>
      </c>
      <c r="CS57">
        <f ca="1">OFFSET(Objects!$HW$6,CS$1+(Objects!$Y$4-$A57-1)*Objects!$X$4,0)</f>
        <v>0</v>
      </c>
      <c r="CT57">
        <f ca="1">OFFSET(Objects!$HW$6,CT$1+(Objects!$Y$4-$A57-1)*Objects!$X$4,0)</f>
        <v>0</v>
      </c>
      <c r="CU57">
        <f ca="1">OFFSET(Objects!$HW$6,CU$1+(Objects!$Y$4-$A57-1)*Objects!$X$4,0)</f>
        <v>0</v>
      </c>
      <c r="CV57">
        <f ca="1">OFFSET(Objects!$HW$6,CV$1+(Objects!$Y$4-$A57-1)*Objects!$X$4,0)</f>
        <v>0</v>
      </c>
      <c r="CW57">
        <f ca="1">OFFSET(Objects!$HW$6,CW$1+(Objects!$Y$4-$A57-1)*Objects!$X$4,0)</f>
        <v>0</v>
      </c>
      <c r="CX57">
        <f ca="1">OFFSET(Objects!$HW$6,CX$1+(Objects!$Y$4-$A57-1)*Objects!$X$4,0)</f>
        <v>0</v>
      </c>
      <c r="CY57">
        <f ca="1">OFFSET(Objects!$HW$6,CY$1+(Objects!$Y$4-$A57-1)*Objects!$X$4,0)</f>
        <v>0</v>
      </c>
      <c r="CZ57">
        <f ca="1">OFFSET(Objects!$HW$6,CZ$1+(Objects!$Y$4-$A57-1)*Objects!$X$4,0)</f>
        <v>0</v>
      </c>
      <c r="DA57">
        <f ca="1">OFFSET(Objects!$HW$6,DA$1+(Objects!$Y$4-$A57-1)*Objects!$X$4,0)</f>
        <v>0</v>
      </c>
      <c r="DB57">
        <f ca="1">OFFSET(Objects!$HW$6,DB$1+(Objects!$Y$4-$A57-1)*Objects!$X$4,0)</f>
        <v>0</v>
      </c>
      <c r="DC57">
        <f ca="1">OFFSET(Objects!$HW$6,DC$1+(Objects!$Y$4-$A57-1)*Objects!$X$4,0)</f>
        <v>0</v>
      </c>
      <c r="DD57">
        <f ca="1">OFFSET(Objects!$HW$6,DD$1+(Objects!$Y$4-$A57-1)*Objects!$X$4,0)</f>
        <v>0</v>
      </c>
      <c r="DE57">
        <f ca="1">OFFSET(Objects!$HW$6,DE$1+(Objects!$Y$4-$A57-1)*Objects!$X$4,0)</f>
        <v>0</v>
      </c>
      <c r="DF57">
        <f ca="1">OFFSET(Objects!$HW$6,DF$1+(Objects!$Y$4-$A57-1)*Objects!$X$4,0)</f>
        <v>0</v>
      </c>
      <c r="DG57">
        <f ca="1">OFFSET(Objects!$HW$6,DG$1+(Objects!$Y$4-$A57-1)*Objects!$X$4,0)</f>
        <v>0</v>
      </c>
      <c r="DH57">
        <f ca="1">OFFSET(Objects!$HW$6,DH$1+(Objects!$Y$4-$A57-1)*Objects!$X$4,0)</f>
        <v>0</v>
      </c>
      <c r="DI57">
        <f ca="1">OFFSET(Objects!$HW$6,DI$1+(Objects!$Y$4-$A57-1)*Objects!$X$4,0)</f>
        <v>0</v>
      </c>
      <c r="DJ57">
        <f ca="1">OFFSET(Objects!$HW$6,DJ$1+(Objects!$Y$4-$A57-1)*Objects!$X$4,0)</f>
        <v>0</v>
      </c>
      <c r="DK57">
        <f ca="1">OFFSET(Objects!$HW$6,DK$1+(Objects!$Y$4-$A57-1)*Objects!$X$4,0)</f>
        <v>0</v>
      </c>
      <c r="DL57">
        <f ca="1">OFFSET(Objects!$HW$6,DL$1+(Objects!$Y$4-$A57-1)*Objects!$X$4,0)</f>
        <v>0</v>
      </c>
      <c r="DM57">
        <f ca="1">OFFSET(Objects!$HW$6,DM$1+(Objects!$Y$4-$A57-1)*Objects!$X$4,0)</f>
        <v>0</v>
      </c>
      <c r="DN57">
        <f ca="1">OFFSET(Objects!$HW$6,DN$1+(Objects!$Y$4-$A57-1)*Objects!$X$4,0)</f>
        <v>0</v>
      </c>
      <c r="DO57">
        <f ca="1">OFFSET(Objects!$HW$6,DO$1+(Objects!$Y$4-$A57-1)*Objects!$X$4,0)</f>
        <v>0</v>
      </c>
      <c r="DP57">
        <f ca="1">OFFSET(Objects!$HW$6,DP$1+(Objects!$Y$4-$A57-1)*Objects!$X$4,0)</f>
        <v>0</v>
      </c>
      <c r="DQ57">
        <f ca="1">OFFSET(Objects!$HW$6,DQ$1+(Objects!$Y$4-$A57-1)*Objects!$X$4,0)</f>
        <v>0</v>
      </c>
      <c r="DR57">
        <f ca="1">OFFSET(Objects!$HW$6,DR$1+(Objects!$Y$4-$A57-1)*Objects!$X$4,0)</f>
        <v>0</v>
      </c>
      <c r="DS57">
        <f ca="1">OFFSET(Objects!$HW$6,DS$1+(Objects!$Y$4-$A57-1)*Objects!$X$4,0)</f>
        <v>0</v>
      </c>
      <c r="DT57">
        <f ca="1">OFFSET(Objects!$HW$6,DT$1+(Objects!$Y$4-$A57-1)*Objects!$X$4,0)</f>
        <v>0</v>
      </c>
      <c r="DU57">
        <f ca="1">OFFSET(Objects!$HW$6,DU$1+(Objects!$Y$4-$A57-1)*Objects!$X$4,0)</f>
        <v>0</v>
      </c>
      <c r="DV57">
        <f ca="1">OFFSET(Objects!$HW$6,DV$1+(Objects!$Y$4-$A57-1)*Objects!$X$4,0)</f>
        <v>0</v>
      </c>
      <c r="DW57">
        <f ca="1">OFFSET(Objects!$HW$6,DW$1+(Objects!$Y$4-$A57-1)*Objects!$X$4,0)</f>
        <v>0</v>
      </c>
      <c r="DX57">
        <f ca="1">OFFSET(Objects!$HW$6,DX$1+(Objects!$Y$4-$A57-1)*Objects!$X$4,0)</f>
        <v>0</v>
      </c>
      <c r="DY57">
        <f ca="1">OFFSET(Objects!$HW$6,DY$1+(Objects!$Y$4-$A57-1)*Objects!$X$4,0)</f>
        <v>0</v>
      </c>
      <c r="DZ57">
        <f ca="1">OFFSET(Objects!$HW$6,DZ$1+(Objects!$Y$4-$A57-1)*Objects!$X$4,0)</f>
        <v>0</v>
      </c>
      <c r="EA57">
        <f ca="1">OFFSET(Objects!$HW$6,EA$1+(Objects!$Y$4-$A57-1)*Objects!$X$4,0)</f>
        <v>0</v>
      </c>
      <c r="EB57">
        <f ca="1">OFFSET(Objects!$HW$6,EB$1+(Objects!$Y$4-$A57-1)*Objects!$X$4,0)</f>
        <v>0</v>
      </c>
      <c r="EC57">
        <f ca="1">OFFSET(Objects!$HW$6,EC$1+(Objects!$Y$4-$A57-1)*Objects!$X$4,0)</f>
        <v>0</v>
      </c>
      <c r="ED57">
        <f ca="1">OFFSET(Objects!$HW$6,ED$1+(Objects!$Y$4-$A57-1)*Objects!$X$4,0)</f>
        <v>0</v>
      </c>
      <c r="EE57">
        <f ca="1">OFFSET(Objects!$HW$6,EE$1+(Objects!$Y$4-$A57-1)*Objects!$X$4,0)</f>
        <v>0</v>
      </c>
      <c r="EF57">
        <f ca="1">OFFSET(Objects!$HW$6,EF$1+(Objects!$Y$4-$A57-1)*Objects!$X$4,0)</f>
        <v>0</v>
      </c>
      <c r="EG57">
        <f ca="1">OFFSET(Objects!$HW$6,EG$1+(Objects!$Y$4-$A57-1)*Objects!$X$4,0)</f>
        <v>0</v>
      </c>
      <c r="EH57">
        <f ca="1">OFFSET(Objects!$HW$6,EH$1+(Objects!$Y$4-$A57-1)*Objects!$X$4,0)</f>
        <v>0</v>
      </c>
      <c r="EI57">
        <f ca="1">OFFSET(Objects!$HW$6,EI$1+(Objects!$Y$4-$A57-1)*Objects!$X$4,0)</f>
        <v>0</v>
      </c>
      <c r="EJ57">
        <f ca="1">OFFSET(Objects!$HW$6,EJ$1+(Objects!$Y$4-$A57-1)*Objects!$X$4,0)</f>
        <v>0</v>
      </c>
      <c r="EK57">
        <f ca="1">OFFSET(Objects!$HW$6,EK$1+(Objects!$Y$4-$A57-1)*Objects!$X$4,0)</f>
        <v>0</v>
      </c>
      <c r="EL57">
        <f ca="1">OFFSET(Objects!$HW$6,EL$1+(Objects!$Y$4-$A57-1)*Objects!$X$4,0)</f>
        <v>0</v>
      </c>
      <c r="EM57">
        <f ca="1">OFFSET(Objects!$HW$6,EM$1+(Objects!$Y$4-$A57-1)*Objects!$X$4,0)</f>
        <v>0</v>
      </c>
      <c r="EN57">
        <f ca="1">OFFSET(Objects!$HW$6,EN$1+(Objects!$Y$4-$A57-1)*Objects!$X$4,0)</f>
        <v>0</v>
      </c>
      <c r="EO57">
        <f ca="1">OFFSET(Objects!$HW$6,EO$1+(Objects!$Y$4-$A57-1)*Objects!$X$4,0)</f>
        <v>0</v>
      </c>
      <c r="EP57">
        <f ca="1">OFFSET(Objects!$HW$6,EP$1+(Objects!$Y$4-$A57-1)*Objects!$X$4,0)</f>
        <v>0</v>
      </c>
      <c r="EQ57">
        <f ca="1">OFFSET(Objects!$HW$6,EQ$1+(Objects!$Y$4-$A57-1)*Objects!$X$4,0)</f>
        <v>0</v>
      </c>
      <c r="ER57">
        <f ca="1">OFFSET(Objects!$HW$6,ER$1+(Objects!$Y$4-$A57-1)*Objects!$X$4,0)</f>
        <v>0</v>
      </c>
      <c r="ES57">
        <f ca="1">OFFSET(Objects!$HW$6,ES$1+(Objects!$Y$4-$A57-1)*Objects!$X$4,0)</f>
        <v>0</v>
      </c>
      <c r="ET57">
        <f ca="1">OFFSET(Objects!$HW$6,ET$1+(Objects!$Y$4-$A57-1)*Objects!$X$4,0)</f>
        <v>0</v>
      </c>
      <c r="EU57">
        <f ca="1">OFFSET(Objects!$HW$6,EU$1+(Objects!$Y$4-$A57-1)*Objects!$X$4,0)</f>
        <v>0</v>
      </c>
      <c r="EV57">
        <f ca="1">OFFSET(Objects!$HW$6,EV$1+(Objects!$Y$4-$A57-1)*Objects!$X$4,0)</f>
        <v>0</v>
      </c>
      <c r="EW57">
        <f ca="1">OFFSET(Objects!$HW$6,EW$1+(Objects!$Y$4-$A57-1)*Objects!$X$4,0)</f>
        <v>0</v>
      </c>
      <c r="EX57">
        <f ca="1">OFFSET(Objects!$HW$6,EX$1+(Objects!$Y$4-$A57-1)*Objects!$X$4,0)</f>
        <v>0</v>
      </c>
      <c r="EY57">
        <f ca="1">OFFSET(Objects!$HW$6,EY$1+(Objects!$Y$4-$A57-1)*Objects!$X$4,0)</f>
        <v>0</v>
      </c>
      <c r="EZ57">
        <f ca="1">OFFSET(Objects!$HW$6,EZ$1+(Objects!$Y$4-$A57-1)*Objects!$X$4,0)</f>
        <v>0</v>
      </c>
      <c r="FA57">
        <f ca="1">OFFSET(Objects!$HW$6,FA$1+(Objects!$Y$4-$A57-1)*Objects!$X$4,0)</f>
        <v>0</v>
      </c>
      <c r="FB57">
        <f ca="1">OFFSET(Objects!$HW$6,FB$1+(Objects!$Y$4-$A57-1)*Objects!$X$4,0)</f>
        <v>0</v>
      </c>
      <c r="FC57">
        <f ca="1">OFFSET(Objects!$HW$6,FC$1+(Objects!$Y$4-$A57-1)*Objects!$X$4,0)</f>
        <v>0</v>
      </c>
      <c r="FD57">
        <f ca="1">OFFSET(Objects!$HW$6,FD$1+(Objects!$Y$4-$A57-1)*Objects!$X$4,0)</f>
        <v>0</v>
      </c>
      <c r="FE57" s="22">
        <f ca="1">OFFSET(Objects!$HW$6,FE$1+(Objects!$Y$4-$A57-1)*Objects!$X$4,0)</f>
        <v>0</v>
      </c>
    </row>
    <row r="58" spans="1:161" ht="4.5" customHeight="1" x14ac:dyDescent="0.25">
      <c r="A58">
        <v>56</v>
      </c>
      <c r="B58" s="21">
        <f ca="1">OFFSET(Objects!$HW$6,B$1+(Objects!$Y$4-$A58-1)*Objects!$X$4,0)</f>
        <v>0</v>
      </c>
      <c r="C58">
        <f ca="1">OFFSET(Objects!$HW$6,C$1+(Objects!$Y$4-$A58-1)*Objects!$X$4,0)</f>
        <v>0</v>
      </c>
      <c r="D58">
        <f ca="1">OFFSET(Objects!$HW$6,D$1+(Objects!$Y$4-$A58-1)*Objects!$X$4,0)</f>
        <v>0</v>
      </c>
      <c r="E58">
        <f ca="1">OFFSET(Objects!$HW$6,E$1+(Objects!$Y$4-$A58-1)*Objects!$X$4,0)</f>
        <v>0</v>
      </c>
      <c r="F58">
        <f ca="1">OFFSET(Objects!$HW$6,F$1+(Objects!$Y$4-$A58-1)*Objects!$X$4,0)</f>
        <v>0</v>
      </c>
      <c r="G58">
        <f ca="1">OFFSET(Objects!$HW$6,G$1+(Objects!$Y$4-$A58-1)*Objects!$X$4,0)</f>
        <v>0</v>
      </c>
      <c r="H58">
        <f ca="1">OFFSET(Objects!$HW$6,H$1+(Objects!$Y$4-$A58-1)*Objects!$X$4,0)</f>
        <v>0</v>
      </c>
      <c r="I58">
        <f ca="1">OFFSET(Objects!$HW$6,I$1+(Objects!$Y$4-$A58-1)*Objects!$X$4,0)</f>
        <v>0</v>
      </c>
      <c r="J58">
        <f ca="1">OFFSET(Objects!$HW$6,J$1+(Objects!$Y$4-$A58-1)*Objects!$X$4,0)</f>
        <v>0</v>
      </c>
      <c r="K58">
        <f ca="1">OFFSET(Objects!$HW$6,K$1+(Objects!$Y$4-$A58-1)*Objects!$X$4,0)</f>
        <v>0</v>
      </c>
      <c r="L58">
        <f ca="1">OFFSET(Objects!$HW$6,L$1+(Objects!$Y$4-$A58-1)*Objects!$X$4,0)</f>
        <v>0</v>
      </c>
      <c r="M58">
        <f ca="1">OFFSET(Objects!$HW$6,M$1+(Objects!$Y$4-$A58-1)*Objects!$X$4,0)</f>
        <v>0</v>
      </c>
      <c r="N58">
        <f ca="1">OFFSET(Objects!$HW$6,N$1+(Objects!$Y$4-$A58-1)*Objects!$X$4,0)</f>
        <v>0</v>
      </c>
      <c r="O58">
        <f ca="1">OFFSET(Objects!$HW$6,O$1+(Objects!$Y$4-$A58-1)*Objects!$X$4,0)</f>
        <v>0</v>
      </c>
      <c r="P58">
        <f ca="1">OFFSET(Objects!$HW$6,P$1+(Objects!$Y$4-$A58-1)*Objects!$X$4,0)</f>
        <v>0</v>
      </c>
      <c r="Q58">
        <f ca="1">OFFSET(Objects!$HW$6,Q$1+(Objects!$Y$4-$A58-1)*Objects!$X$4,0)</f>
        <v>0</v>
      </c>
      <c r="R58">
        <f ca="1">OFFSET(Objects!$HW$6,R$1+(Objects!$Y$4-$A58-1)*Objects!$X$4,0)</f>
        <v>0</v>
      </c>
      <c r="S58">
        <f ca="1">OFFSET(Objects!$HW$6,S$1+(Objects!$Y$4-$A58-1)*Objects!$X$4,0)</f>
        <v>0</v>
      </c>
      <c r="T58">
        <f ca="1">OFFSET(Objects!$HW$6,T$1+(Objects!$Y$4-$A58-1)*Objects!$X$4,0)</f>
        <v>0</v>
      </c>
      <c r="U58">
        <f ca="1">OFFSET(Objects!$HW$6,U$1+(Objects!$Y$4-$A58-1)*Objects!$X$4,0)</f>
        <v>0</v>
      </c>
      <c r="V58">
        <f ca="1">OFFSET(Objects!$HW$6,V$1+(Objects!$Y$4-$A58-1)*Objects!$X$4,0)</f>
        <v>0</v>
      </c>
      <c r="W58">
        <f ca="1">OFFSET(Objects!$HW$6,W$1+(Objects!$Y$4-$A58-1)*Objects!$X$4,0)</f>
        <v>0</v>
      </c>
      <c r="X58">
        <f ca="1">OFFSET(Objects!$HW$6,X$1+(Objects!$Y$4-$A58-1)*Objects!$X$4,0)</f>
        <v>0</v>
      </c>
      <c r="Y58">
        <f ca="1">OFFSET(Objects!$HW$6,Y$1+(Objects!$Y$4-$A58-1)*Objects!$X$4,0)</f>
        <v>0</v>
      </c>
      <c r="Z58">
        <f ca="1">OFFSET(Objects!$HW$6,Z$1+(Objects!$Y$4-$A58-1)*Objects!$X$4,0)</f>
        <v>0</v>
      </c>
      <c r="AA58">
        <f ca="1">OFFSET(Objects!$HW$6,AA$1+(Objects!$Y$4-$A58-1)*Objects!$X$4,0)</f>
        <v>0</v>
      </c>
      <c r="AB58">
        <f ca="1">OFFSET(Objects!$HW$6,AB$1+(Objects!$Y$4-$A58-1)*Objects!$X$4,0)</f>
        <v>0</v>
      </c>
      <c r="AC58">
        <f ca="1">OFFSET(Objects!$HW$6,AC$1+(Objects!$Y$4-$A58-1)*Objects!$X$4,0)</f>
        <v>0</v>
      </c>
      <c r="AD58">
        <f ca="1">OFFSET(Objects!$HW$6,AD$1+(Objects!$Y$4-$A58-1)*Objects!$X$4,0)</f>
        <v>0</v>
      </c>
      <c r="AE58">
        <f ca="1">OFFSET(Objects!$HW$6,AE$1+(Objects!$Y$4-$A58-1)*Objects!$X$4,0)</f>
        <v>0</v>
      </c>
      <c r="AF58">
        <f ca="1">OFFSET(Objects!$HW$6,AF$1+(Objects!$Y$4-$A58-1)*Objects!$X$4,0)</f>
        <v>0</v>
      </c>
      <c r="AG58">
        <f ca="1">OFFSET(Objects!$HW$6,AG$1+(Objects!$Y$4-$A58-1)*Objects!$X$4,0)</f>
        <v>0</v>
      </c>
      <c r="AH58">
        <f ca="1">OFFSET(Objects!$HW$6,AH$1+(Objects!$Y$4-$A58-1)*Objects!$X$4,0)</f>
        <v>0</v>
      </c>
      <c r="AI58">
        <f ca="1">OFFSET(Objects!$HW$6,AI$1+(Objects!$Y$4-$A58-1)*Objects!$X$4,0)</f>
        <v>0</v>
      </c>
      <c r="AJ58">
        <f ca="1">OFFSET(Objects!$HW$6,AJ$1+(Objects!$Y$4-$A58-1)*Objects!$X$4,0)</f>
        <v>0</v>
      </c>
      <c r="AK58">
        <f ca="1">OFFSET(Objects!$HW$6,AK$1+(Objects!$Y$4-$A58-1)*Objects!$X$4,0)</f>
        <v>0</v>
      </c>
      <c r="AL58">
        <f ca="1">OFFSET(Objects!$HW$6,AL$1+(Objects!$Y$4-$A58-1)*Objects!$X$4,0)</f>
        <v>0</v>
      </c>
      <c r="AM58">
        <f ca="1">OFFSET(Objects!$HW$6,AM$1+(Objects!$Y$4-$A58-1)*Objects!$X$4,0)</f>
        <v>0</v>
      </c>
      <c r="AN58">
        <f ca="1">OFFSET(Objects!$HW$6,AN$1+(Objects!$Y$4-$A58-1)*Objects!$X$4,0)</f>
        <v>0</v>
      </c>
      <c r="AO58">
        <f ca="1">OFFSET(Objects!$HW$6,AO$1+(Objects!$Y$4-$A58-1)*Objects!$X$4,0)</f>
        <v>0</v>
      </c>
      <c r="AP58">
        <f ca="1">OFFSET(Objects!$HW$6,AP$1+(Objects!$Y$4-$A58-1)*Objects!$X$4,0)</f>
        <v>0</v>
      </c>
      <c r="AQ58">
        <f ca="1">OFFSET(Objects!$HW$6,AQ$1+(Objects!$Y$4-$A58-1)*Objects!$X$4,0)</f>
        <v>0</v>
      </c>
      <c r="AR58">
        <f ca="1">OFFSET(Objects!$HW$6,AR$1+(Objects!$Y$4-$A58-1)*Objects!$X$4,0)</f>
        <v>0</v>
      </c>
      <c r="AS58">
        <f ca="1">OFFSET(Objects!$HW$6,AS$1+(Objects!$Y$4-$A58-1)*Objects!$X$4,0)</f>
        <v>0</v>
      </c>
      <c r="AT58">
        <f ca="1">OFFSET(Objects!$HW$6,AT$1+(Objects!$Y$4-$A58-1)*Objects!$X$4,0)</f>
        <v>0</v>
      </c>
      <c r="AU58">
        <f ca="1">OFFSET(Objects!$HW$6,AU$1+(Objects!$Y$4-$A58-1)*Objects!$X$4,0)</f>
        <v>0</v>
      </c>
      <c r="AV58">
        <f ca="1">OFFSET(Objects!$HW$6,AV$1+(Objects!$Y$4-$A58-1)*Objects!$X$4,0)</f>
        <v>0</v>
      </c>
      <c r="AW58">
        <f ca="1">OFFSET(Objects!$HW$6,AW$1+(Objects!$Y$4-$A58-1)*Objects!$X$4,0)</f>
        <v>0</v>
      </c>
      <c r="AX58">
        <f ca="1">OFFSET(Objects!$HW$6,AX$1+(Objects!$Y$4-$A58-1)*Objects!$X$4,0)</f>
        <v>0</v>
      </c>
      <c r="AY58">
        <f ca="1">OFFSET(Objects!$HW$6,AY$1+(Objects!$Y$4-$A58-1)*Objects!$X$4,0)</f>
        <v>0</v>
      </c>
      <c r="AZ58">
        <f ca="1">OFFSET(Objects!$HW$6,AZ$1+(Objects!$Y$4-$A58-1)*Objects!$X$4,0)</f>
        <v>0</v>
      </c>
      <c r="BA58">
        <f ca="1">OFFSET(Objects!$HW$6,BA$1+(Objects!$Y$4-$A58-1)*Objects!$X$4,0)</f>
        <v>0</v>
      </c>
      <c r="BB58">
        <f ca="1">OFFSET(Objects!$HW$6,BB$1+(Objects!$Y$4-$A58-1)*Objects!$X$4,0)</f>
        <v>0</v>
      </c>
      <c r="BC58">
        <f ca="1">OFFSET(Objects!$HW$6,BC$1+(Objects!$Y$4-$A58-1)*Objects!$X$4,0)</f>
        <v>0</v>
      </c>
      <c r="BD58">
        <f ca="1">OFFSET(Objects!$HW$6,BD$1+(Objects!$Y$4-$A58-1)*Objects!$X$4,0)</f>
        <v>0</v>
      </c>
      <c r="BE58">
        <f ca="1">OFFSET(Objects!$HW$6,BE$1+(Objects!$Y$4-$A58-1)*Objects!$X$4,0)</f>
        <v>0</v>
      </c>
      <c r="BF58">
        <f ca="1">OFFSET(Objects!$HW$6,BF$1+(Objects!$Y$4-$A58-1)*Objects!$X$4,0)</f>
        <v>0</v>
      </c>
      <c r="BG58">
        <f ca="1">OFFSET(Objects!$HW$6,BG$1+(Objects!$Y$4-$A58-1)*Objects!$X$4,0)</f>
        <v>0</v>
      </c>
      <c r="BH58">
        <f ca="1">OFFSET(Objects!$HW$6,BH$1+(Objects!$Y$4-$A58-1)*Objects!$X$4,0)</f>
        <v>0</v>
      </c>
      <c r="BI58">
        <f ca="1">OFFSET(Objects!$HW$6,BI$1+(Objects!$Y$4-$A58-1)*Objects!$X$4,0)</f>
        <v>0</v>
      </c>
      <c r="BJ58">
        <f ca="1">OFFSET(Objects!$HW$6,BJ$1+(Objects!$Y$4-$A58-1)*Objects!$X$4,0)</f>
        <v>0</v>
      </c>
      <c r="BK58">
        <f ca="1">OFFSET(Objects!$HW$6,BK$1+(Objects!$Y$4-$A58-1)*Objects!$X$4,0)</f>
        <v>0</v>
      </c>
      <c r="BL58">
        <f ca="1">OFFSET(Objects!$HW$6,BL$1+(Objects!$Y$4-$A58-1)*Objects!$X$4,0)</f>
        <v>0</v>
      </c>
      <c r="BM58">
        <f ca="1">OFFSET(Objects!$HW$6,BM$1+(Objects!$Y$4-$A58-1)*Objects!$X$4,0)</f>
        <v>0</v>
      </c>
      <c r="BN58">
        <f ca="1">OFFSET(Objects!$HW$6,BN$1+(Objects!$Y$4-$A58-1)*Objects!$X$4,0)</f>
        <v>0</v>
      </c>
      <c r="BO58">
        <f ca="1">OFFSET(Objects!$HW$6,BO$1+(Objects!$Y$4-$A58-1)*Objects!$X$4,0)</f>
        <v>0</v>
      </c>
      <c r="BP58">
        <f ca="1">OFFSET(Objects!$HW$6,BP$1+(Objects!$Y$4-$A58-1)*Objects!$X$4,0)</f>
        <v>0</v>
      </c>
      <c r="BQ58">
        <f ca="1">OFFSET(Objects!$HW$6,BQ$1+(Objects!$Y$4-$A58-1)*Objects!$X$4,0)</f>
        <v>0</v>
      </c>
      <c r="BR58">
        <f ca="1">OFFSET(Objects!$HW$6,BR$1+(Objects!$Y$4-$A58-1)*Objects!$X$4,0)</f>
        <v>0</v>
      </c>
      <c r="BS58">
        <f ca="1">OFFSET(Objects!$HW$6,BS$1+(Objects!$Y$4-$A58-1)*Objects!$X$4,0)</f>
        <v>0</v>
      </c>
      <c r="BT58">
        <f ca="1">OFFSET(Objects!$HW$6,BT$1+(Objects!$Y$4-$A58-1)*Objects!$X$4,0)</f>
        <v>0</v>
      </c>
      <c r="BU58">
        <f ca="1">OFFSET(Objects!$HW$6,BU$1+(Objects!$Y$4-$A58-1)*Objects!$X$4,0)</f>
        <v>0</v>
      </c>
      <c r="BV58">
        <f ca="1">OFFSET(Objects!$HW$6,BV$1+(Objects!$Y$4-$A58-1)*Objects!$X$4,0)</f>
        <v>0</v>
      </c>
      <c r="BW58">
        <f ca="1">OFFSET(Objects!$HW$6,BW$1+(Objects!$Y$4-$A58-1)*Objects!$X$4,0)</f>
        <v>0</v>
      </c>
      <c r="BX58">
        <f ca="1">OFFSET(Objects!$HW$6,BX$1+(Objects!$Y$4-$A58-1)*Objects!$X$4,0)</f>
        <v>0</v>
      </c>
      <c r="BY58">
        <f ca="1">OFFSET(Objects!$HW$6,BY$1+(Objects!$Y$4-$A58-1)*Objects!$X$4,0)</f>
        <v>0</v>
      </c>
      <c r="BZ58">
        <f ca="1">OFFSET(Objects!$HW$6,BZ$1+(Objects!$Y$4-$A58-1)*Objects!$X$4,0)</f>
        <v>0</v>
      </c>
      <c r="CA58">
        <f ca="1">OFFSET(Objects!$HW$6,CA$1+(Objects!$Y$4-$A58-1)*Objects!$X$4,0)</f>
        <v>0</v>
      </c>
      <c r="CB58">
        <f ca="1">OFFSET(Objects!$HW$6,CB$1+(Objects!$Y$4-$A58-1)*Objects!$X$4,0)</f>
        <v>0</v>
      </c>
      <c r="CC58">
        <f ca="1">OFFSET(Objects!$HW$6,CC$1+(Objects!$Y$4-$A58-1)*Objects!$X$4,0)</f>
        <v>0</v>
      </c>
      <c r="CD58">
        <f ca="1">OFFSET(Objects!$HW$6,CD$1+(Objects!$Y$4-$A58-1)*Objects!$X$4,0)</f>
        <v>0</v>
      </c>
      <c r="CE58">
        <f ca="1">OFFSET(Objects!$HW$6,CE$1+(Objects!$Y$4-$A58-1)*Objects!$X$4,0)</f>
        <v>0</v>
      </c>
      <c r="CF58">
        <f ca="1">OFFSET(Objects!$HW$6,CF$1+(Objects!$Y$4-$A58-1)*Objects!$X$4,0)</f>
        <v>0</v>
      </c>
      <c r="CG58">
        <f ca="1">OFFSET(Objects!$HW$6,CG$1+(Objects!$Y$4-$A58-1)*Objects!$X$4,0)</f>
        <v>0</v>
      </c>
      <c r="CH58">
        <f ca="1">OFFSET(Objects!$HW$6,CH$1+(Objects!$Y$4-$A58-1)*Objects!$X$4,0)</f>
        <v>0</v>
      </c>
      <c r="CI58">
        <f ca="1">OFFSET(Objects!$HW$6,CI$1+(Objects!$Y$4-$A58-1)*Objects!$X$4,0)</f>
        <v>0</v>
      </c>
      <c r="CJ58">
        <f ca="1">OFFSET(Objects!$HW$6,CJ$1+(Objects!$Y$4-$A58-1)*Objects!$X$4,0)</f>
        <v>0</v>
      </c>
      <c r="CK58">
        <f ca="1">OFFSET(Objects!$HW$6,CK$1+(Objects!$Y$4-$A58-1)*Objects!$X$4,0)</f>
        <v>0</v>
      </c>
      <c r="CL58">
        <f ca="1">OFFSET(Objects!$HW$6,CL$1+(Objects!$Y$4-$A58-1)*Objects!$X$4,0)</f>
        <v>0</v>
      </c>
      <c r="CM58">
        <f ca="1">OFFSET(Objects!$HW$6,CM$1+(Objects!$Y$4-$A58-1)*Objects!$X$4,0)</f>
        <v>0</v>
      </c>
      <c r="CN58">
        <f ca="1">OFFSET(Objects!$HW$6,CN$1+(Objects!$Y$4-$A58-1)*Objects!$X$4,0)</f>
        <v>0</v>
      </c>
      <c r="CO58">
        <f ca="1">OFFSET(Objects!$HW$6,CO$1+(Objects!$Y$4-$A58-1)*Objects!$X$4,0)</f>
        <v>0</v>
      </c>
      <c r="CP58">
        <f ca="1">OFFSET(Objects!$HW$6,CP$1+(Objects!$Y$4-$A58-1)*Objects!$X$4,0)</f>
        <v>0</v>
      </c>
      <c r="CQ58">
        <f ca="1">OFFSET(Objects!$HW$6,CQ$1+(Objects!$Y$4-$A58-1)*Objects!$X$4,0)</f>
        <v>0</v>
      </c>
      <c r="CR58">
        <f ca="1">OFFSET(Objects!$HW$6,CR$1+(Objects!$Y$4-$A58-1)*Objects!$X$4,0)</f>
        <v>0</v>
      </c>
      <c r="CS58">
        <f ca="1">OFFSET(Objects!$HW$6,CS$1+(Objects!$Y$4-$A58-1)*Objects!$X$4,0)</f>
        <v>0</v>
      </c>
      <c r="CT58">
        <f ca="1">OFFSET(Objects!$HW$6,CT$1+(Objects!$Y$4-$A58-1)*Objects!$X$4,0)</f>
        <v>0</v>
      </c>
      <c r="CU58">
        <f ca="1">OFFSET(Objects!$HW$6,CU$1+(Objects!$Y$4-$A58-1)*Objects!$X$4,0)</f>
        <v>0</v>
      </c>
      <c r="CV58">
        <f ca="1">OFFSET(Objects!$HW$6,CV$1+(Objects!$Y$4-$A58-1)*Objects!$X$4,0)</f>
        <v>0</v>
      </c>
      <c r="CW58">
        <f ca="1">OFFSET(Objects!$HW$6,CW$1+(Objects!$Y$4-$A58-1)*Objects!$X$4,0)</f>
        <v>0</v>
      </c>
      <c r="CX58">
        <f ca="1">OFFSET(Objects!$HW$6,CX$1+(Objects!$Y$4-$A58-1)*Objects!$X$4,0)</f>
        <v>0</v>
      </c>
      <c r="CY58">
        <f ca="1">OFFSET(Objects!$HW$6,CY$1+(Objects!$Y$4-$A58-1)*Objects!$X$4,0)</f>
        <v>0</v>
      </c>
      <c r="CZ58">
        <f ca="1">OFFSET(Objects!$HW$6,CZ$1+(Objects!$Y$4-$A58-1)*Objects!$X$4,0)</f>
        <v>0</v>
      </c>
      <c r="DA58">
        <f ca="1">OFFSET(Objects!$HW$6,DA$1+(Objects!$Y$4-$A58-1)*Objects!$X$4,0)</f>
        <v>0</v>
      </c>
      <c r="DB58">
        <f ca="1">OFFSET(Objects!$HW$6,DB$1+(Objects!$Y$4-$A58-1)*Objects!$X$4,0)</f>
        <v>0</v>
      </c>
      <c r="DC58">
        <f ca="1">OFFSET(Objects!$HW$6,DC$1+(Objects!$Y$4-$A58-1)*Objects!$X$4,0)</f>
        <v>0</v>
      </c>
      <c r="DD58">
        <f ca="1">OFFSET(Objects!$HW$6,DD$1+(Objects!$Y$4-$A58-1)*Objects!$X$4,0)</f>
        <v>0</v>
      </c>
      <c r="DE58">
        <f ca="1">OFFSET(Objects!$HW$6,DE$1+(Objects!$Y$4-$A58-1)*Objects!$X$4,0)</f>
        <v>0</v>
      </c>
      <c r="DF58">
        <f ca="1">OFFSET(Objects!$HW$6,DF$1+(Objects!$Y$4-$A58-1)*Objects!$X$4,0)</f>
        <v>0</v>
      </c>
      <c r="DG58">
        <f ca="1">OFFSET(Objects!$HW$6,DG$1+(Objects!$Y$4-$A58-1)*Objects!$X$4,0)</f>
        <v>0</v>
      </c>
      <c r="DH58">
        <f ca="1">OFFSET(Objects!$HW$6,DH$1+(Objects!$Y$4-$A58-1)*Objects!$X$4,0)</f>
        <v>0</v>
      </c>
      <c r="DI58">
        <f ca="1">OFFSET(Objects!$HW$6,DI$1+(Objects!$Y$4-$A58-1)*Objects!$X$4,0)</f>
        <v>0</v>
      </c>
      <c r="DJ58">
        <f ca="1">OFFSET(Objects!$HW$6,DJ$1+(Objects!$Y$4-$A58-1)*Objects!$X$4,0)</f>
        <v>0</v>
      </c>
      <c r="DK58">
        <f ca="1">OFFSET(Objects!$HW$6,DK$1+(Objects!$Y$4-$A58-1)*Objects!$X$4,0)</f>
        <v>0</v>
      </c>
      <c r="DL58">
        <f ca="1">OFFSET(Objects!$HW$6,DL$1+(Objects!$Y$4-$A58-1)*Objects!$X$4,0)</f>
        <v>0</v>
      </c>
      <c r="DM58">
        <f ca="1">OFFSET(Objects!$HW$6,DM$1+(Objects!$Y$4-$A58-1)*Objects!$X$4,0)</f>
        <v>0</v>
      </c>
      <c r="DN58">
        <f ca="1">OFFSET(Objects!$HW$6,DN$1+(Objects!$Y$4-$A58-1)*Objects!$X$4,0)</f>
        <v>0</v>
      </c>
      <c r="DO58">
        <f ca="1">OFFSET(Objects!$HW$6,DO$1+(Objects!$Y$4-$A58-1)*Objects!$X$4,0)</f>
        <v>0</v>
      </c>
      <c r="DP58">
        <f ca="1">OFFSET(Objects!$HW$6,DP$1+(Objects!$Y$4-$A58-1)*Objects!$X$4,0)</f>
        <v>0</v>
      </c>
      <c r="DQ58">
        <f ca="1">OFFSET(Objects!$HW$6,DQ$1+(Objects!$Y$4-$A58-1)*Objects!$X$4,0)</f>
        <v>0</v>
      </c>
      <c r="DR58">
        <f ca="1">OFFSET(Objects!$HW$6,DR$1+(Objects!$Y$4-$A58-1)*Objects!$X$4,0)</f>
        <v>0</v>
      </c>
      <c r="DS58">
        <f ca="1">OFFSET(Objects!$HW$6,DS$1+(Objects!$Y$4-$A58-1)*Objects!$X$4,0)</f>
        <v>0</v>
      </c>
      <c r="DT58">
        <f ca="1">OFFSET(Objects!$HW$6,DT$1+(Objects!$Y$4-$A58-1)*Objects!$X$4,0)</f>
        <v>0</v>
      </c>
      <c r="DU58">
        <f ca="1">OFFSET(Objects!$HW$6,DU$1+(Objects!$Y$4-$A58-1)*Objects!$X$4,0)</f>
        <v>0</v>
      </c>
      <c r="DV58">
        <f ca="1">OFFSET(Objects!$HW$6,DV$1+(Objects!$Y$4-$A58-1)*Objects!$X$4,0)</f>
        <v>0</v>
      </c>
      <c r="DW58">
        <f ca="1">OFFSET(Objects!$HW$6,DW$1+(Objects!$Y$4-$A58-1)*Objects!$X$4,0)</f>
        <v>0</v>
      </c>
      <c r="DX58">
        <f ca="1">OFFSET(Objects!$HW$6,DX$1+(Objects!$Y$4-$A58-1)*Objects!$X$4,0)</f>
        <v>0</v>
      </c>
      <c r="DY58">
        <f ca="1">OFFSET(Objects!$HW$6,DY$1+(Objects!$Y$4-$A58-1)*Objects!$X$4,0)</f>
        <v>0</v>
      </c>
      <c r="DZ58">
        <f ca="1">OFFSET(Objects!$HW$6,DZ$1+(Objects!$Y$4-$A58-1)*Objects!$X$4,0)</f>
        <v>0</v>
      </c>
      <c r="EA58">
        <f ca="1">OFFSET(Objects!$HW$6,EA$1+(Objects!$Y$4-$A58-1)*Objects!$X$4,0)</f>
        <v>0</v>
      </c>
      <c r="EB58">
        <f ca="1">OFFSET(Objects!$HW$6,EB$1+(Objects!$Y$4-$A58-1)*Objects!$X$4,0)</f>
        <v>0</v>
      </c>
      <c r="EC58">
        <f ca="1">OFFSET(Objects!$HW$6,EC$1+(Objects!$Y$4-$A58-1)*Objects!$X$4,0)</f>
        <v>0</v>
      </c>
      <c r="ED58">
        <f ca="1">OFFSET(Objects!$HW$6,ED$1+(Objects!$Y$4-$A58-1)*Objects!$X$4,0)</f>
        <v>0</v>
      </c>
      <c r="EE58">
        <f ca="1">OFFSET(Objects!$HW$6,EE$1+(Objects!$Y$4-$A58-1)*Objects!$X$4,0)</f>
        <v>0</v>
      </c>
      <c r="EF58">
        <f ca="1">OFFSET(Objects!$HW$6,EF$1+(Objects!$Y$4-$A58-1)*Objects!$X$4,0)</f>
        <v>0</v>
      </c>
      <c r="EG58">
        <f ca="1">OFFSET(Objects!$HW$6,EG$1+(Objects!$Y$4-$A58-1)*Objects!$X$4,0)</f>
        <v>0</v>
      </c>
      <c r="EH58">
        <f ca="1">OFFSET(Objects!$HW$6,EH$1+(Objects!$Y$4-$A58-1)*Objects!$X$4,0)</f>
        <v>0</v>
      </c>
      <c r="EI58">
        <f ca="1">OFFSET(Objects!$HW$6,EI$1+(Objects!$Y$4-$A58-1)*Objects!$X$4,0)</f>
        <v>0</v>
      </c>
      <c r="EJ58">
        <f ca="1">OFFSET(Objects!$HW$6,EJ$1+(Objects!$Y$4-$A58-1)*Objects!$X$4,0)</f>
        <v>0</v>
      </c>
      <c r="EK58">
        <f ca="1">OFFSET(Objects!$HW$6,EK$1+(Objects!$Y$4-$A58-1)*Objects!$X$4,0)</f>
        <v>0</v>
      </c>
      <c r="EL58">
        <f ca="1">OFFSET(Objects!$HW$6,EL$1+(Objects!$Y$4-$A58-1)*Objects!$X$4,0)</f>
        <v>0</v>
      </c>
      <c r="EM58">
        <f ca="1">OFFSET(Objects!$HW$6,EM$1+(Objects!$Y$4-$A58-1)*Objects!$X$4,0)</f>
        <v>0</v>
      </c>
      <c r="EN58">
        <f ca="1">OFFSET(Objects!$HW$6,EN$1+(Objects!$Y$4-$A58-1)*Objects!$X$4,0)</f>
        <v>0</v>
      </c>
      <c r="EO58">
        <f ca="1">OFFSET(Objects!$HW$6,EO$1+(Objects!$Y$4-$A58-1)*Objects!$X$4,0)</f>
        <v>0</v>
      </c>
      <c r="EP58">
        <f ca="1">OFFSET(Objects!$HW$6,EP$1+(Objects!$Y$4-$A58-1)*Objects!$X$4,0)</f>
        <v>0</v>
      </c>
      <c r="EQ58">
        <f ca="1">OFFSET(Objects!$HW$6,EQ$1+(Objects!$Y$4-$A58-1)*Objects!$X$4,0)</f>
        <v>0</v>
      </c>
      <c r="ER58">
        <f ca="1">OFFSET(Objects!$HW$6,ER$1+(Objects!$Y$4-$A58-1)*Objects!$X$4,0)</f>
        <v>0</v>
      </c>
      <c r="ES58">
        <f ca="1">OFFSET(Objects!$HW$6,ES$1+(Objects!$Y$4-$A58-1)*Objects!$X$4,0)</f>
        <v>0</v>
      </c>
      <c r="ET58">
        <f ca="1">OFFSET(Objects!$HW$6,ET$1+(Objects!$Y$4-$A58-1)*Objects!$X$4,0)</f>
        <v>0</v>
      </c>
      <c r="EU58">
        <f ca="1">OFFSET(Objects!$HW$6,EU$1+(Objects!$Y$4-$A58-1)*Objects!$X$4,0)</f>
        <v>0</v>
      </c>
      <c r="EV58">
        <f ca="1">OFFSET(Objects!$HW$6,EV$1+(Objects!$Y$4-$A58-1)*Objects!$X$4,0)</f>
        <v>0</v>
      </c>
      <c r="EW58">
        <f ca="1">OFFSET(Objects!$HW$6,EW$1+(Objects!$Y$4-$A58-1)*Objects!$X$4,0)</f>
        <v>0</v>
      </c>
      <c r="EX58">
        <f ca="1">OFFSET(Objects!$HW$6,EX$1+(Objects!$Y$4-$A58-1)*Objects!$X$4,0)</f>
        <v>0</v>
      </c>
      <c r="EY58">
        <f ca="1">OFFSET(Objects!$HW$6,EY$1+(Objects!$Y$4-$A58-1)*Objects!$X$4,0)</f>
        <v>0</v>
      </c>
      <c r="EZ58">
        <f ca="1">OFFSET(Objects!$HW$6,EZ$1+(Objects!$Y$4-$A58-1)*Objects!$X$4,0)</f>
        <v>0</v>
      </c>
      <c r="FA58">
        <f ca="1">OFFSET(Objects!$HW$6,FA$1+(Objects!$Y$4-$A58-1)*Objects!$X$4,0)</f>
        <v>0</v>
      </c>
      <c r="FB58">
        <f ca="1">OFFSET(Objects!$HW$6,FB$1+(Objects!$Y$4-$A58-1)*Objects!$X$4,0)</f>
        <v>0</v>
      </c>
      <c r="FC58">
        <f ca="1">OFFSET(Objects!$HW$6,FC$1+(Objects!$Y$4-$A58-1)*Objects!$X$4,0)</f>
        <v>0</v>
      </c>
      <c r="FD58">
        <f ca="1">OFFSET(Objects!$HW$6,FD$1+(Objects!$Y$4-$A58-1)*Objects!$X$4,0)</f>
        <v>0</v>
      </c>
      <c r="FE58" s="22">
        <f ca="1">OFFSET(Objects!$HW$6,FE$1+(Objects!$Y$4-$A58-1)*Objects!$X$4,0)</f>
        <v>0</v>
      </c>
    </row>
    <row r="59" spans="1:161" ht="4.5" customHeight="1" x14ac:dyDescent="0.25">
      <c r="A59">
        <v>57</v>
      </c>
      <c r="B59" s="21">
        <f ca="1">OFFSET(Objects!$HW$6,B$1+(Objects!$Y$4-$A59-1)*Objects!$X$4,0)</f>
        <v>0</v>
      </c>
      <c r="C59">
        <f ca="1">OFFSET(Objects!$HW$6,C$1+(Objects!$Y$4-$A59-1)*Objects!$X$4,0)</f>
        <v>0</v>
      </c>
      <c r="D59">
        <f ca="1">OFFSET(Objects!$HW$6,D$1+(Objects!$Y$4-$A59-1)*Objects!$X$4,0)</f>
        <v>0</v>
      </c>
      <c r="E59">
        <f ca="1">OFFSET(Objects!$HW$6,E$1+(Objects!$Y$4-$A59-1)*Objects!$X$4,0)</f>
        <v>0</v>
      </c>
      <c r="F59">
        <f ca="1">OFFSET(Objects!$HW$6,F$1+(Objects!$Y$4-$A59-1)*Objects!$X$4,0)</f>
        <v>0</v>
      </c>
      <c r="G59">
        <f ca="1">OFFSET(Objects!$HW$6,G$1+(Objects!$Y$4-$A59-1)*Objects!$X$4,0)</f>
        <v>0</v>
      </c>
      <c r="H59">
        <f ca="1">OFFSET(Objects!$HW$6,H$1+(Objects!$Y$4-$A59-1)*Objects!$X$4,0)</f>
        <v>0</v>
      </c>
      <c r="I59">
        <f ca="1">OFFSET(Objects!$HW$6,I$1+(Objects!$Y$4-$A59-1)*Objects!$X$4,0)</f>
        <v>0</v>
      </c>
      <c r="J59">
        <f ca="1">OFFSET(Objects!$HW$6,J$1+(Objects!$Y$4-$A59-1)*Objects!$X$4,0)</f>
        <v>0</v>
      </c>
      <c r="K59">
        <f ca="1">OFFSET(Objects!$HW$6,K$1+(Objects!$Y$4-$A59-1)*Objects!$X$4,0)</f>
        <v>0</v>
      </c>
      <c r="L59">
        <f ca="1">OFFSET(Objects!$HW$6,L$1+(Objects!$Y$4-$A59-1)*Objects!$X$4,0)</f>
        <v>0</v>
      </c>
      <c r="M59">
        <f ca="1">OFFSET(Objects!$HW$6,M$1+(Objects!$Y$4-$A59-1)*Objects!$X$4,0)</f>
        <v>0</v>
      </c>
      <c r="N59">
        <f ca="1">OFFSET(Objects!$HW$6,N$1+(Objects!$Y$4-$A59-1)*Objects!$X$4,0)</f>
        <v>0</v>
      </c>
      <c r="O59">
        <f ca="1">OFFSET(Objects!$HW$6,O$1+(Objects!$Y$4-$A59-1)*Objects!$X$4,0)</f>
        <v>0</v>
      </c>
      <c r="P59">
        <f ca="1">OFFSET(Objects!$HW$6,P$1+(Objects!$Y$4-$A59-1)*Objects!$X$4,0)</f>
        <v>0</v>
      </c>
      <c r="Q59">
        <f ca="1">OFFSET(Objects!$HW$6,Q$1+(Objects!$Y$4-$A59-1)*Objects!$X$4,0)</f>
        <v>0</v>
      </c>
      <c r="R59">
        <f ca="1">OFFSET(Objects!$HW$6,R$1+(Objects!$Y$4-$A59-1)*Objects!$X$4,0)</f>
        <v>0</v>
      </c>
      <c r="S59">
        <f ca="1">OFFSET(Objects!$HW$6,S$1+(Objects!$Y$4-$A59-1)*Objects!$X$4,0)</f>
        <v>0</v>
      </c>
      <c r="T59">
        <f ca="1">OFFSET(Objects!$HW$6,T$1+(Objects!$Y$4-$A59-1)*Objects!$X$4,0)</f>
        <v>0</v>
      </c>
      <c r="U59">
        <f ca="1">OFFSET(Objects!$HW$6,U$1+(Objects!$Y$4-$A59-1)*Objects!$X$4,0)</f>
        <v>0</v>
      </c>
      <c r="V59">
        <f ca="1">OFFSET(Objects!$HW$6,V$1+(Objects!$Y$4-$A59-1)*Objects!$X$4,0)</f>
        <v>0</v>
      </c>
      <c r="W59">
        <f ca="1">OFFSET(Objects!$HW$6,W$1+(Objects!$Y$4-$A59-1)*Objects!$X$4,0)</f>
        <v>0</v>
      </c>
      <c r="X59">
        <f ca="1">OFFSET(Objects!$HW$6,X$1+(Objects!$Y$4-$A59-1)*Objects!$X$4,0)</f>
        <v>0</v>
      </c>
      <c r="Y59">
        <f ca="1">OFFSET(Objects!$HW$6,Y$1+(Objects!$Y$4-$A59-1)*Objects!$X$4,0)</f>
        <v>0</v>
      </c>
      <c r="Z59">
        <f ca="1">OFFSET(Objects!$HW$6,Z$1+(Objects!$Y$4-$A59-1)*Objects!$X$4,0)</f>
        <v>0</v>
      </c>
      <c r="AA59">
        <f ca="1">OFFSET(Objects!$HW$6,AA$1+(Objects!$Y$4-$A59-1)*Objects!$X$4,0)</f>
        <v>0</v>
      </c>
      <c r="AB59">
        <f ca="1">OFFSET(Objects!$HW$6,AB$1+(Objects!$Y$4-$A59-1)*Objects!$X$4,0)</f>
        <v>0</v>
      </c>
      <c r="AC59">
        <f ca="1">OFFSET(Objects!$HW$6,AC$1+(Objects!$Y$4-$A59-1)*Objects!$X$4,0)</f>
        <v>0</v>
      </c>
      <c r="AD59">
        <f ca="1">OFFSET(Objects!$HW$6,AD$1+(Objects!$Y$4-$A59-1)*Objects!$X$4,0)</f>
        <v>0</v>
      </c>
      <c r="AE59">
        <f ca="1">OFFSET(Objects!$HW$6,AE$1+(Objects!$Y$4-$A59-1)*Objects!$X$4,0)</f>
        <v>0</v>
      </c>
      <c r="AF59">
        <f ca="1">OFFSET(Objects!$HW$6,AF$1+(Objects!$Y$4-$A59-1)*Objects!$X$4,0)</f>
        <v>0</v>
      </c>
      <c r="AG59">
        <f ca="1">OFFSET(Objects!$HW$6,AG$1+(Objects!$Y$4-$A59-1)*Objects!$X$4,0)</f>
        <v>0</v>
      </c>
      <c r="AH59">
        <f ca="1">OFFSET(Objects!$HW$6,AH$1+(Objects!$Y$4-$A59-1)*Objects!$X$4,0)</f>
        <v>0</v>
      </c>
      <c r="AI59">
        <f ca="1">OFFSET(Objects!$HW$6,AI$1+(Objects!$Y$4-$A59-1)*Objects!$X$4,0)</f>
        <v>0</v>
      </c>
      <c r="AJ59">
        <f ca="1">OFFSET(Objects!$HW$6,AJ$1+(Objects!$Y$4-$A59-1)*Objects!$X$4,0)</f>
        <v>0</v>
      </c>
      <c r="AK59">
        <f ca="1">OFFSET(Objects!$HW$6,AK$1+(Objects!$Y$4-$A59-1)*Objects!$X$4,0)</f>
        <v>0</v>
      </c>
      <c r="AL59">
        <f ca="1">OFFSET(Objects!$HW$6,AL$1+(Objects!$Y$4-$A59-1)*Objects!$X$4,0)</f>
        <v>0</v>
      </c>
      <c r="AM59">
        <f ca="1">OFFSET(Objects!$HW$6,AM$1+(Objects!$Y$4-$A59-1)*Objects!$X$4,0)</f>
        <v>0</v>
      </c>
      <c r="AN59">
        <f ca="1">OFFSET(Objects!$HW$6,AN$1+(Objects!$Y$4-$A59-1)*Objects!$X$4,0)</f>
        <v>0</v>
      </c>
      <c r="AO59">
        <f ca="1">OFFSET(Objects!$HW$6,AO$1+(Objects!$Y$4-$A59-1)*Objects!$X$4,0)</f>
        <v>0</v>
      </c>
      <c r="AP59">
        <f ca="1">OFFSET(Objects!$HW$6,AP$1+(Objects!$Y$4-$A59-1)*Objects!$X$4,0)</f>
        <v>0</v>
      </c>
      <c r="AQ59">
        <f ca="1">OFFSET(Objects!$HW$6,AQ$1+(Objects!$Y$4-$A59-1)*Objects!$X$4,0)</f>
        <v>0</v>
      </c>
      <c r="AR59">
        <f ca="1">OFFSET(Objects!$HW$6,AR$1+(Objects!$Y$4-$A59-1)*Objects!$X$4,0)</f>
        <v>0</v>
      </c>
      <c r="AS59">
        <f ca="1">OFFSET(Objects!$HW$6,AS$1+(Objects!$Y$4-$A59-1)*Objects!$X$4,0)</f>
        <v>0</v>
      </c>
      <c r="AT59">
        <f ca="1">OFFSET(Objects!$HW$6,AT$1+(Objects!$Y$4-$A59-1)*Objects!$X$4,0)</f>
        <v>0</v>
      </c>
      <c r="AU59">
        <f ca="1">OFFSET(Objects!$HW$6,AU$1+(Objects!$Y$4-$A59-1)*Objects!$X$4,0)</f>
        <v>0</v>
      </c>
      <c r="AV59">
        <f ca="1">OFFSET(Objects!$HW$6,AV$1+(Objects!$Y$4-$A59-1)*Objects!$X$4,0)</f>
        <v>0</v>
      </c>
      <c r="AW59">
        <f ca="1">OFFSET(Objects!$HW$6,AW$1+(Objects!$Y$4-$A59-1)*Objects!$X$4,0)</f>
        <v>0</v>
      </c>
      <c r="AX59">
        <f ca="1">OFFSET(Objects!$HW$6,AX$1+(Objects!$Y$4-$A59-1)*Objects!$X$4,0)</f>
        <v>0</v>
      </c>
      <c r="AY59">
        <f ca="1">OFFSET(Objects!$HW$6,AY$1+(Objects!$Y$4-$A59-1)*Objects!$X$4,0)</f>
        <v>0</v>
      </c>
      <c r="AZ59">
        <f ca="1">OFFSET(Objects!$HW$6,AZ$1+(Objects!$Y$4-$A59-1)*Objects!$X$4,0)</f>
        <v>0</v>
      </c>
      <c r="BA59">
        <f ca="1">OFFSET(Objects!$HW$6,BA$1+(Objects!$Y$4-$A59-1)*Objects!$X$4,0)</f>
        <v>0</v>
      </c>
      <c r="BB59">
        <f ca="1">OFFSET(Objects!$HW$6,BB$1+(Objects!$Y$4-$A59-1)*Objects!$X$4,0)</f>
        <v>0</v>
      </c>
      <c r="BC59">
        <f ca="1">OFFSET(Objects!$HW$6,BC$1+(Objects!$Y$4-$A59-1)*Objects!$X$4,0)</f>
        <v>0</v>
      </c>
      <c r="BD59">
        <f ca="1">OFFSET(Objects!$HW$6,BD$1+(Objects!$Y$4-$A59-1)*Objects!$X$4,0)</f>
        <v>0</v>
      </c>
      <c r="BE59">
        <f ca="1">OFFSET(Objects!$HW$6,BE$1+(Objects!$Y$4-$A59-1)*Objects!$X$4,0)</f>
        <v>0</v>
      </c>
      <c r="BF59">
        <f ca="1">OFFSET(Objects!$HW$6,BF$1+(Objects!$Y$4-$A59-1)*Objects!$X$4,0)</f>
        <v>0</v>
      </c>
      <c r="BG59">
        <f ca="1">OFFSET(Objects!$HW$6,BG$1+(Objects!$Y$4-$A59-1)*Objects!$X$4,0)</f>
        <v>0</v>
      </c>
      <c r="BH59">
        <f ca="1">OFFSET(Objects!$HW$6,BH$1+(Objects!$Y$4-$A59-1)*Objects!$X$4,0)</f>
        <v>0</v>
      </c>
      <c r="BI59">
        <f ca="1">OFFSET(Objects!$HW$6,BI$1+(Objects!$Y$4-$A59-1)*Objects!$X$4,0)</f>
        <v>0</v>
      </c>
      <c r="BJ59">
        <f ca="1">OFFSET(Objects!$HW$6,BJ$1+(Objects!$Y$4-$A59-1)*Objects!$X$4,0)</f>
        <v>0</v>
      </c>
      <c r="BK59">
        <f ca="1">OFFSET(Objects!$HW$6,BK$1+(Objects!$Y$4-$A59-1)*Objects!$X$4,0)</f>
        <v>0</v>
      </c>
      <c r="BL59">
        <f ca="1">OFFSET(Objects!$HW$6,BL$1+(Objects!$Y$4-$A59-1)*Objects!$X$4,0)</f>
        <v>0</v>
      </c>
      <c r="BM59">
        <f ca="1">OFFSET(Objects!$HW$6,BM$1+(Objects!$Y$4-$A59-1)*Objects!$X$4,0)</f>
        <v>0</v>
      </c>
      <c r="BN59">
        <f ca="1">OFFSET(Objects!$HW$6,BN$1+(Objects!$Y$4-$A59-1)*Objects!$X$4,0)</f>
        <v>0</v>
      </c>
      <c r="BO59">
        <f ca="1">OFFSET(Objects!$HW$6,BO$1+(Objects!$Y$4-$A59-1)*Objects!$X$4,0)</f>
        <v>0</v>
      </c>
      <c r="BP59">
        <f ca="1">OFFSET(Objects!$HW$6,BP$1+(Objects!$Y$4-$A59-1)*Objects!$X$4,0)</f>
        <v>0</v>
      </c>
      <c r="BQ59">
        <f ca="1">OFFSET(Objects!$HW$6,BQ$1+(Objects!$Y$4-$A59-1)*Objects!$X$4,0)</f>
        <v>0</v>
      </c>
      <c r="BR59">
        <f ca="1">OFFSET(Objects!$HW$6,BR$1+(Objects!$Y$4-$A59-1)*Objects!$X$4,0)</f>
        <v>0</v>
      </c>
      <c r="BS59">
        <f ca="1">OFFSET(Objects!$HW$6,BS$1+(Objects!$Y$4-$A59-1)*Objects!$X$4,0)</f>
        <v>0</v>
      </c>
      <c r="BT59">
        <f ca="1">OFFSET(Objects!$HW$6,BT$1+(Objects!$Y$4-$A59-1)*Objects!$X$4,0)</f>
        <v>0</v>
      </c>
      <c r="BU59">
        <f ca="1">OFFSET(Objects!$HW$6,BU$1+(Objects!$Y$4-$A59-1)*Objects!$X$4,0)</f>
        <v>0</v>
      </c>
      <c r="BV59">
        <f ca="1">OFFSET(Objects!$HW$6,BV$1+(Objects!$Y$4-$A59-1)*Objects!$X$4,0)</f>
        <v>0</v>
      </c>
      <c r="BW59">
        <f ca="1">OFFSET(Objects!$HW$6,BW$1+(Objects!$Y$4-$A59-1)*Objects!$X$4,0)</f>
        <v>0</v>
      </c>
      <c r="BX59">
        <f ca="1">OFFSET(Objects!$HW$6,BX$1+(Objects!$Y$4-$A59-1)*Objects!$X$4,0)</f>
        <v>0</v>
      </c>
      <c r="BY59">
        <f ca="1">OFFSET(Objects!$HW$6,BY$1+(Objects!$Y$4-$A59-1)*Objects!$X$4,0)</f>
        <v>0</v>
      </c>
      <c r="BZ59">
        <f ca="1">OFFSET(Objects!$HW$6,BZ$1+(Objects!$Y$4-$A59-1)*Objects!$X$4,0)</f>
        <v>0</v>
      </c>
      <c r="CA59">
        <f ca="1">OFFSET(Objects!$HW$6,CA$1+(Objects!$Y$4-$A59-1)*Objects!$X$4,0)</f>
        <v>0</v>
      </c>
      <c r="CB59">
        <f ca="1">OFFSET(Objects!$HW$6,CB$1+(Objects!$Y$4-$A59-1)*Objects!$X$4,0)</f>
        <v>0</v>
      </c>
      <c r="CC59">
        <f ca="1">OFFSET(Objects!$HW$6,CC$1+(Objects!$Y$4-$A59-1)*Objects!$X$4,0)</f>
        <v>0</v>
      </c>
      <c r="CD59">
        <f ca="1">OFFSET(Objects!$HW$6,CD$1+(Objects!$Y$4-$A59-1)*Objects!$X$4,0)</f>
        <v>0</v>
      </c>
      <c r="CE59">
        <f ca="1">OFFSET(Objects!$HW$6,CE$1+(Objects!$Y$4-$A59-1)*Objects!$X$4,0)</f>
        <v>0</v>
      </c>
      <c r="CF59">
        <f ca="1">OFFSET(Objects!$HW$6,CF$1+(Objects!$Y$4-$A59-1)*Objects!$X$4,0)</f>
        <v>0</v>
      </c>
      <c r="CG59">
        <f ca="1">OFFSET(Objects!$HW$6,CG$1+(Objects!$Y$4-$A59-1)*Objects!$X$4,0)</f>
        <v>0</v>
      </c>
      <c r="CH59">
        <f ca="1">OFFSET(Objects!$HW$6,CH$1+(Objects!$Y$4-$A59-1)*Objects!$X$4,0)</f>
        <v>0</v>
      </c>
      <c r="CI59">
        <f ca="1">OFFSET(Objects!$HW$6,CI$1+(Objects!$Y$4-$A59-1)*Objects!$X$4,0)</f>
        <v>0</v>
      </c>
      <c r="CJ59">
        <f ca="1">OFFSET(Objects!$HW$6,CJ$1+(Objects!$Y$4-$A59-1)*Objects!$X$4,0)</f>
        <v>0</v>
      </c>
      <c r="CK59">
        <f ca="1">OFFSET(Objects!$HW$6,CK$1+(Objects!$Y$4-$A59-1)*Objects!$X$4,0)</f>
        <v>0</v>
      </c>
      <c r="CL59">
        <f ca="1">OFFSET(Objects!$HW$6,CL$1+(Objects!$Y$4-$A59-1)*Objects!$X$4,0)</f>
        <v>0</v>
      </c>
      <c r="CM59">
        <f ca="1">OFFSET(Objects!$HW$6,CM$1+(Objects!$Y$4-$A59-1)*Objects!$X$4,0)</f>
        <v>0</v>
      </c>
      <c r="CN59">
        <f ca="1">OFFSET(Objects!$HW$6,CN$1+(Objects!$Y$4-$A59-1)*Objects!$X$4,0)</f>
        <v>0</v>
      </c>
      <c r="CO59">
        <f ca="1">OFFSET(Objects!$HW$6,CO$1+(Objects!$Y$4-$A59-1)*Objects!$X$4,0)</f>
        <v>0</v>
      </c>
      <c r="CP59">
        <f ca="1">OFFSET(Objects!$HW$6,CP$1+(Objects!$Y$4-$A59-1)*Objects!$X$4,0)</f>
        <v>0</v>
      </c>
      <c r="CQ59">
        <f ca="1">OFFSET(Objects!$HW$6,CQ$1+(Objects!$Y$4-$A59-1)*Objects!$X$4,0)</f>
        <v>0</v>
      </c>
      <c r="CR59">
        <f ca="1">OFFSET(Objects!$HW$6,CR$1+(Objects!$Y$4-$A59-1)*Objects!$X$4,0)</f>
        <v>0</v>
      </c>
      <c r="CS59">
        <f ca="1">OFFSET(Objects!$HW$6,CS$1+(Objects!$Y$4-$A59-1)*Objects!$X$4,0)</f>
        <v>0</v>
      </c>
      <c r="CT59">
        <f ca="1">OFFSET(Objects!$HW$6,CT$1+(Objects!$Y$4-$A59-1)*Objects!$X$4,0)</f>
        <v>0</v>
      </c>
      <c r="CU59">
        <f ca="1">OFFSET(Objects!$HW$6,CU$1+(Objects!$Y$4-$A59-1)*Objects!$X$4,0)</f>
        <v>0</v>
      </c>
      <c r="CV59">
        <f ca="1">OFFSET(Objects!$HW$6,CV$1+(Objects!$Y$4-$A59-1)*Objects!$X$4,0)</f>
        <v>0</v>
      </c>
      <c r="CW59">
        <f ca="1">OFFSET(Objects!$HW$6,CW$1+(Objects!$Y$4-$A59-1)*Objects!$X$4,0)</f>
        <v>0</v>
      </c>
      <c r="CX59">
        <f ca="1">OFFSET(Objects!$HW$6,CX$1+(Objects!$Y$4-$A59-1)*Objects!$X$4,0)</f>
        <v>0</v>
      </c>
      <c r="CY59">
        <f ca="1">OFFSET(Objects!$HW$6,CY$1+(Objects!$Y$4-$A59-1)*Objects!$X$4,0)</f>
        <v>0</v>
      </c>
      <c r="CZ59">
        <f ca="1">OFFSET(Objects!$HW$6,CZ$1+(Objects!$Y$4-$A59-1)*Objects!$X$4,0)</f>
        <v>0</v>
      </c>
      <c r="DA59">
        <f ca="1">OFFSET(Objects!$HW$6,DA$1+(Objects!$Y$4-$A59-1)*Objects!$X$4,0)</f>
        <v>0</v>
      </c>
      <c r="DB59">
        <f ca="1">OFFSET(Objects!$HW$6,DB$1+(Objects!$Y$4-$A59-1)*Objects!$X$4,0)</f>
        <v>0</v>
      </c>
      <c r="DC59">
        <f ca="1">OFFSET(Objects!$HW$6,DC$1+(Objects!$Y$4-$A59-1)*Objects!$X$4,0)</f>
        <v>0</v>
      </c>
      <c r="DD59">
        <f ca="1">OFFSET(Objects!$HW$6,DD$1+(Objects!$Y$4-$A59-1)*Objects!$X$4,0)</f>
        <v>0</v>
      </c>
      <c r="DE59">
        <f ca="1">OFFSET(Objects!$HW$6,DE$1+(Objects!$Y$4-$A59-1)*Objects!$X$4,0)</f>
        <v>0</v>
      </c>
      <c r="DF59">
        <f ca="1">OFFSET(Objects!$HW$6,DF$1+(Objects!$Y$4-$A59-1)*Objects!$X$4,0)</f>
        <v>0</v>
      </c>
      <c r="DG59">
        <f ca="1">OFFSET(Objects!$HW$6,DG$1+(Objects!$Y$4-$A59-1)*Objects!$X$4,0)</f>
        <v>0</v>
      </c>
      <c r="DH59">
        <f ca="1">OFFSET(Objects!$HW$6,DH$1+(Objects!$Y$4-$A59-1)*Objects!$X$4,0)</f>
        <v>0</v>
      </c>
      <c r="DI59">
        <f ca="1">OFFSET(Objects!$HW$6,DI$1+(Objects!$Y$4-$A59-1)*Objects!$X$4,0)</f>
        <v>0</v>
      </c>
      <c r="DJ59">
        <f ca="1">OFFSET(Objects!$HW$6,DJ$1+(Objects!$Y$4-$A59-1)*Objects!$X$4,0)</f>
        <v>0</v>
      </c>
      <c r="DK59">
        <f ca="1">OFFSET(Objects!$HW$6,DK$1+(Objects!$Y$4-$A59-1)*Objects!$X$4,0)</f>
        <v>0</v>
      </c>
      <c r="DL59">
        <f ca="1">OFFSET(Objects!$HW$6,DL$1+(Objects!$Y$4-$A59-1)*Objects!$X$4,0)</f>
        <v>0</v>
      </c>
      <c r="DM59">
        <f ca="1">OFFSET(Objects!$HW$6,DM$1+(Objects!$Y$4-$A59-1)*Objects!$X$4,0)</f>
        <v>0</v>
      </c>
      <c r="DN59">
        <f ca="1">OFFSET(Objects!$HW$6,DN$1+(Objects!$Y$4-$A59-1)*Objects!$X$4,0)</f>
        <v>0</v>
      </c>
      <c r="DO59">
        <f ca="1">OFFSET(Objects!$HW$6,DO$1+(Objects!$Y$4-$A59-1)*Objects!$X$4,0)</f>
        <v>0</v>
      </c>
      <c r="DP59">
        <f ca="1">OFFSET(Objects!$HW$6,DP$1+(Objects!$Y$4-$A59-1)*Objects!$X$4,0)</f>
        <v>0</v>
      </c>
      <c r="DQ59">
        <f ca="1">OFFSET(Objects!$HW$6,DQ$1+(Objects!$Y$4-$A59-1)*Objects!$X$4,0)</f>
        <v>0</v>
      </c>
      <c r="DR59">
        <f ca="1">OFFSET(Objects!$HW$6,DR$1+(Objects!$Y$4-$A59-1)*Objects!$X$4,0)</f>
        <v>0</v>
      </c>
      <c r="DS59">
        <f ca="1">OFFSET(Objects!$HW$6,DS$1+(Objects!$Y$4-$A59-1)*Objects!$X$4,0)</f>
        <v>0</v>
      </c>
      <c r="DT59">
        <f ca="1">OFFSET(Objects!$HW$6,DT$1+(Objects!$Y$4-$A59-1)*Objects!$X$4,0)</f>
        <v>0</v>
      </c>
      <c r="DU59">
        <f ca="1">OFFSET(Objects!$HW$6,DU$1+(Objects!$Y$4-$A59-1)*Objects!$X$4,0)</f>
        <v>0</v>
      </c>
      <c r="DV59">
        <f ca="1">OFFSET(Objects!$HW$6,DV$1+(Objects!$Y$4-$A59-1)*Objects!$X$4,0)</f>
        <v>0</v>
      </c>
      <c r="DW59">
        <f ca="1">OFFSET(Objects!$HW$6,DW$1+(Objects!$Y$4-$A59-1)*Objects!$X$4,0)</f>
        <v>0</v>
      </c>
      <c r="DX59">
        <f ca="1">OFFSET(Objects!$HW$6,DX$1+(Objects!$Y$4-$A59-1)*Objects!$X$4,0)</f>
        <v>0</v>
      </c>
      <c r="DY59">
        <f ca="1">OFFSET(Objects!$HW$6,DY$1+(Objects!$Y$4-$A59-1)*Objects!$X$4,0)</f>
        <v>0</v>
      </c>
      <c r="DZ59">
        <f ca="1">OFFSET(Objects!$HW$6,DZ$1+(Objects!$Y$4-$A59-1)*Objects!$X$4,0)</f>
        <v>0</v>
      </c>
      <c r="EA59">
        <f ca="1">OFFSET(Objects!$HW$6,EA$1+(Objects!$Y$4-$A59-1)*Objects!$X$4,0)</f>
        <v>0</v>
      </c>
      <c r="EB59">
        <f ca="1">OFFSET(Objects!$HW$6,EB$1+(Objects!$Y$4-$A59-1)*Objects!$X$4,0)</f>
        <v>0</v>
      </c>
      <c r="EC59">
        <f ca="1">OFFSET(Objects!$HW$6,EC$1+(Objects!$Y$4-$A59-1)*Objects!$X$4,0)</f>
        <v>0</v>
      </c>
      <c r="ED59">
        <f ca="1">OFFSET(Objects!$HW$6,ED$1+(Objects!$Y$4-$A59-1)*Objects!$X$4,0)</f>
        <v>0</v>
      </c>
      <c r="EE59">
        <f ca="1">OFFSET(Objects!$HW$6,EE$1+(Objects!$Y$4-$A59-1)*Objects!$X$4,0)</f>
        <v>0</v>
      </c>
      <c r="EF59">
        <f ca="1">OFFSET(Objects!$HW$6,EF$1+(Objects!$Y$4-$A59-1)*Objects!$X$4,0)</f>
        <v>0</v>
      </c>
      <c r="EG59">
        <f ca="1">OFFSET(Objects!$HW$6,EG$1+(Objects!$Y$4-$A59-1)*Objects!$X$4,0)</f>
        <v>0</v>
      </c>
      <c r="EH59">
        <f ca="1">OFFSET(Objects!$HW$6,EH$1+(Objects!$Y$4-$A59-1)*Objects!$X$4,0)</f>
        <v>0</v>
      </c>
      <c r="EI59">
        <f ca="1">OFFSET(Objects!$HW$6,EI$1+(Objects!$Y$4-$A59-1)*Objects!$X$4,0)</f>
        <v>0</v>
      </c>
      <c r="EJ59">
        <f ca="1">OFFSET(Objects!$HW$6,EJ$1+(Objects!$Y$4-$A59-1)*Objects!$X$4,0)</f>
        <v>0</v>
      </c>
      <c r="EK59">
        <f ca="1">OFFSET(Objects!$HW$6,EK$1+(Objects!$Y$4-$A59-1)*Objects!$X$4,0)</f>
        <v>0</v>
      </c>
      <c r="EL59">
        <f ca="1">OFFSET(Objects!$HW$6,EL$1+(Objects!$Y$4-$A59-1)*Objects!$X$4,0)</f>
        <v>0</v>
      </c>
      <c r="EM59">
        <f ca="1">OFFSET(Objects!$HW$6,EM$1+(Objects!$Y$4-$A59-1)*Objects!$X$4,0)</f>
        <v>0</v>
      </c>
      <c r="EN59">
        <f ca="1">OFFSET(Objects!$HW$6,EN$1+(Objects!$Y$4-$A59-1)*Objects!$X$4,0)</f>
        <v>0</v>
      </c>
      <c r="EO59">
        <f ca="1">OFFSET(Objects!$HW$6,EO$1+(Objects!$Y$4-$A59-1)*Objects!$X$4,0)</f>
        <v>0</v>
      </c>
      <c r="EP59">
        <f ca="1">OFFSET(Objects!$HW$6,EP$1+(Objects!$Y$4-$A59-1)*Objects!$X$4,0)</f>
        <v>0</v>
      </c>
      <c r="EQ59">
        <f ca="1">OFFSET(Objects!$HW$6,EQ$1+(Objects!$Y$4-$A59-1)*Objects!$X$4,0)</f>
        <v>0</v>
      </c>
      <c r="ER59">
        <f ca="1">OFFSET(Objects!$HW$6,ER$1+(Objects!$Y$4-$A59-1)*Objects!$X$4,0)</f>
        <v>0</v>
      </c>
      <c r="ES59">
        <f ca="1">OFFSET(Objects!$HW$6,ES$1+(Objects!$Y$4-$A59-1)*Objects!$X$4,0)</f>
        <v>0</v>
      </c>
      <c r="ET59">
        <f ca="1">OFFSET(Objects!$HW$6,ET$1+(Objects!$Y$4-$A59-1)*Objects!$X$4,0)</f>
        <v>0</v>
      </c>
      <c r="EU59">
        <f ca="1">OFFSET(Objects!$HW$6,EU$1+(Objects!$Y$4-$A59-1)*Objects!$X$4,0)</f>
        <v>0</v>
      </c>
      <c r="EV59">
        <f ca="1">OFFSET(Objects!$HW$6,EV$1+(Objects!$Y$4-$A59-1)*Objects!$X$4,0)</f>
        <v>0</v>
      </c>
      <c r="EW59">
        <f ca="1">OFFSET(Objects!$HW$6,EW$1+(Objects!$Y$4-$A59-1)*Objects!$X$4,0)</f>
        <v>0</v>
      </c>
      <c r="EX59">
        <f ca="1">OFFSET(Objects!$HW$6,EX$1+(Objects!$Y$4-$A59-1)*Objects!$X$4,0)</f>
        <v>0</v>
      </c>
      <c r="EY59">
        <f ca="1">OFFSET(Objects!$HW$6,EY$1+(Objects!$Y$4-$A59-1)*Objects!$X$4,0)</f>
        <v>0</v>
      </c>
      <c r="EZ59">
        <f ca="1">OFFSET(Objects!$HW$6,EZ$1+(Objects!$Y$4-$A59-1)*Objects!$X$4,0)</f>
        <v>0</v>
      </c>
      <c r="FA59">
        <f ca="1">OFFSET(Objects!$HW$6,FA$1+(Objects!$Y$4-$A59-1)*Objects!$X$4,0)</f>
        <v>0</v>
      </c>
      <c r="FB59">
        <f ca="1">OFFSET(Objects!$HW$6,FB$1+(Objects!$Y$4-$A59-1)*Objects!$X$4,0)</f>
        <v>0</v>
      </c>
      <c r="FC59">
        <f ca="1">OFFSET(Objects!$HW$6,FC$1+(Objects!$Y$4-$A59-1)*Objects!$X$4,0)</f>
        <v>0</v>
      </c>
      <c r="FD59">
        <f ca="1">OFFSET(Objects!$HW$6,FD$1+(Objects!$Y$4-$A59-1)*Objects!$X$4,0)</f>
        <v>0</v>
      </c>
      <c r="FE59" s="22">
        <f ca="1">OFFSET(Objects!$HW$6,FE$1+(Objects!$Y$4-$A59-1)*Objects!$X$4,0)</f>
        <v>0</v>
      </c>
    </row>
    <row r="60" spans="1:161" ht="4.5" customHeight="1" x14ac:dyDescent="0.25">
      <c r="A60">
        <v>58</v>
      </c>
      <c r="B60" s="21">
        <f ca="1">OFFSET(Objects!$HW$6,B$1+(Objects!$Y$4-$A60-1)*Objects!$X$4,0)</f>
        <v>0</v>
      </c>
      <c r="C60">
        <f ca="1">OFFSET(Objects!$HW$6,C$1+(Objects!$Y$4-$A60-1)*Objects!$X$4,0)</f>
        <v>0</v>
      </c>
      <c r="D60">
        <f ca="1">OFFSET(Objects!$HW$6,D$1+(Objects!$Y$4-$A60-1)*Objects!$X$4,0)</f>
        <v>0</v>
      </c>
      <c r="E60">
        <f ca="1">OFFSET(Objects!$HW$6,E$1+(Objects!$Y$4-$A60-1)*Objects!$X$4,0)</f>
        <v>0</v>
      </c>
      <c r="F60">
        <f ca="1">OFFSET(Objects!$HW$6,F$1+(Objects!$Y$4-$A60-1)*Objects!$X$4,0)</f>
        <v>0</v>
      </c>
      <c r="G60">
        <f ca="1">OFFSET(Objects!$HW$6,G$1+(Objects!$Y$4-$A60-1)*Objects!$X$4,0)</f>
        <v>0</v>
      </c>
      <c r="H60">
        <f ca="1">OFFSET(Objects!$HW$6,H$1+(Objects!$Y$4-$A60-1)*Objects!$X$4,0)</f>
        <v>0</v>
      </c>
      <c r="I60">
        <f ca="1">OFFSET(Objects!$HW$6,I$1+(Objects!$Y$4-$A60-1)*Objects!$X$4,0)</f>
        <v>0</v>
      </c>
      <c r="J60">
        <f ca="1">OFFSET(Objects!$HW$6,J$1+(Objects!$Y$4-$A60-1)*Objects!$X$4,0)</f>
        <v>0</v>
      </c>
      <c r="K60">
        <f ca="1">OFFSET(Objects!$HW$6,K$1+(Objects!$Y$4-$A60-1)*Objects!$X$4,0)</f>
        <v>0</v>
      </c>
      <c r="L60">
        <f ca="1">OFFSET(Objects!$HW$6,L$1+(Objects!$Y$4-$A60-1)*Objects!$X$4,0)</f>
        <v>0</v>
      </c>
      <c r="M60">
        <f ca="1">OFFSET(Objects!$HW$6,M$1+(Objects!$Y$4-$A60-1)*Objects!$X$4,0)</f>
        <v>0</v>
      </c>
      <c r="N60">
        <f ca="1">OFFSET(Objects!$HW$6,N$1+(Objects!$Y$4-$A60-1)*Objects!$X$4,0)</f>
        <v>0</v>
      </c>
      <c r="O60">
        <f ca="1">OFFSET(Objects!$HW$6,O$1+(Objects!$Y$4-$A60-1)*Objects!$X$4,0)</f>
        <v>0</v>
      </c>
      <c r="P60">
        <f ca="1">OFFSET(Objects!$HW$6,P$1+(Objects!$Y$4-$A60-1)*Objects!$X$4,0)</f>
        <v>0</v>
      </c>
      <c r="Q60">
        <f ca="1">OFFSET(Objects!$HW$6,Q$1+(Objects!$Y$4-$A60-1)*Objects!$X$4,0)</f>
        <v>0</v>
      </c>
      <c r="R60">
        <f ca="1">OFFSET(Objects!$HW$6,R$1+(Objects!$Y$4-$A60-1)*Objects!$X$4,0)</f>
        <v>0</v>
      </c>
      <c r="S60">
        <f ca="1">OFFSET(Objects!$HW$6,S$1+(Objects!$Y$4-$A60-1)*Objects!$X$4,0)</f>
        <v>0</v>
      </c>
      <c r="T60">
        <f ca="1">OFFSET(Objects!$HW$6,T$1+(Objects!$Y$4-$A60-1)*Objects!$X$4,0)</f>
        <v>0</v>
      </c>
      <c r="U60">
        <f ca="1">OFFSET(Objects!$HW$6,U$1+(Objects!$Y$4-$A60-1)*Objects!$X$4,0)</f>
        <v>0</v>
      </c>
      <c r="V60">
        <f ca="1">OFFSET(Objects!$HW$6,V$1+(Objects!$Y$4-$A60-1)*Objects!$X$4,0)</f>
        <v>0</v>
      </c>
      <c r="W60">
        <f ca="1">OFFSET(Objects!$HW$6,W$1+(Objects!$Y$4-$A60-1)*Objects!$X$4,0)</f>
        <v>0</v>
      </c>
      <c r="X60">
        <f ca="1">OFFSET(Objects!$HW$6,X$1+(Objects!$Y$4-$A60-1)*Objects!$X$4,0)</f>
        <v>0</v>
      </c>
      <c r="Y60">
        <f ca="1">OFFSET(Objects!$HW$6,Y$1+(Objects!$Y$4-$A60-1)*Objects!$X$4,0)</f>
        <v>0</v>
      </c>
      <c r="Z60">
        <f ca="1">OFFSET(Objects!$HW$6,Z$1+(Objects!$Y$4-$A60-1)*Objects!$X$4,0)</f>
        <v>0</v>
      </c>
      <c r="AA60">
        <f ca="1">OFFSET(Objects!$HW$6,AA$1+(Objects!$Y$4-$A60-1)*Objects!$X$4,0)</f>
        <v>0</v>
      </c>
      <c r="AB60">
        <f ca="1">OFFSET(Objects!$HW$6,AB$1+(Objects!$Y$4-$A60-1)*Objects!$X$4,0)</f>
        <v>0</v>
      </c>
      <c r="AC60">
        <f ca="1">OFFSET(Objects!$HW$6,AC$1+(Objects!$Y$4-$A60-1)*Objects!$X$4,0)</f>
        <v>0</v>
      </c>
      <c r="AD60">
        <f ca="1">OFFSET(Objects!$HW$6,AD$1+(Objects!$Y$4-$A60-1)*Objects!$X$4,0)</f>
        <v>0</v>
      </c>
      <c r="AE60">
        <f ca="1">OFFSET(Objects!$HW$6,AE$1+(Objects!$Y$4-$A60-1)*Objects!$X$4,0)</f>
        <v>0</v>
      </c>
      <c r="AF60">
        <f ca="1">OFFSET(Objects!$HW$6,AF$1+(Objects!$Y$4-$A60-1)*Objects!$X$4,0)</f>
        <v>0</v>
      </c>
      <c r="AG60">
        <f ca="1">OFFSET(Objects!$HW$6,AG$1+(Objects!$Y$4-$A60-1)*Objects!$X$4,0)</f>
        <v>0</v>
      </c>
      <c r="AH60">
        <f ca="1">OFFSET(Objects!$HW$6,AH$1+(Objects!$Y$4-$A60-1)*Objects!$X$4,0)</f>
        <v>0</v>
      </c>
      <c r="AI60">
        <f ca="1">OFFSET(Objects!$HW$6,AI$1+(Objects!$Y$4-$A60-1)*Objects!$X$4,0)</f>
        <v>0</v>
      </c>
      <c r="AJ60">
        <f ca="1">OFFSET(Objects!$HW$6,AJ$1+(Objects!$Y$4-$A60-1)*Objects!$X$4,0)</f>
        <v>0</v>
      </c>
      <c r="AK60">
        <f ca="1">OFFSET(Objects!$HW$6,AK$1+(Objects!$Y$4-$A60-1)*Objects!$X$4,0)</f>
        <v>0</v>
      </c>
      <c r="AL60">
        <f ca="1">OFFSET(Objects!$HW$6,AL$1+(Objects!$Y$4-$A60-1)*Objects!$X$4,0)</f>
        <v>0</v>
      </c>
      <c r="AM60">
        <f ca="1">OFFSET(Objects!$HW$6,AM$1+(Objects!$Y$4-$A60-1)*Objects!$X$4,0)</f>
        <v>0</v>
      </c>
      <c r="AN60">
        <f ca="1">OFFSET(Objects!$HW$6,AN$1+(Objects!$Y$4-$A60-1)*Objects!$X$4,0)</f>
        <v>0</v>
      </c>
      <c r="AO60">
        <f ca="1">OFFSET(Objects!$HW$6,AO$1+(Objects!$Y$4-$A60-1)*Objects!$X$4,0)</f>
        <v>0</v>
      </c>
      <c r="AP60">
        <f ca="1">OFFSET(Objects!$HW$6,AP$1+(Objects!$Y$4-$A60-1)*Objects!$X$4,0)</f>
        <v>0</v>
      </c>
      <c r="AQ60">
        <f ca="1">OFFSET(Objects!$HW$6,AQ$1+(Objects!$Y$4-$A60-1)*Objects!$X$4,0)</f>
        <v>0</v>
      </c>
      <c r="AR60">
        <f ca="1">OFFSET(Objects!$HW$6,AR$1+(Objects!$Y$4-$A60-1)*Objects!$X$4,0)</f>
        <v>0</v>
      </c>
      <c r="AS60">
        <f ca="1">OFFSET(Objects!$HW$6,AS$1+(Objects!$Y$4-$A60-1)*Objects!$X$4,0)</f>
        <v>0</v>
      </c>
      <c r="AT60">
        <f ca="1">OFFSET(Objects!$HW$6,AT$1+(Objects!$Y$4-$A60-1)*Objects!$X$4,0)</f>
        <v>0</v>
      </c>
      <c r="AU60">
        <f ca="1">OFFSET(Objects!$HW$6,AU$1+(Objects!$Y$4-$A60-1)*Objects!$X$4,0)</f>
        <v>0</v>
      </c>
      <c r="AV60">
        <f ca="1">OFFSET(Objects!$HW$6,AV$1+(Objects!$Y$4-$A60-1)*Objects!$X$4,0)</f>
        <v>0</v>
      </c>
      <c r="AW60">
        <f ca="1">OFFSET(Objects!$HW$6,AW$1+(Objects!$Y$4-$A60-1)*Objects!$X$4,0)</f>
        <v>0</v>
      </c>
      <c r="AX60">
        <f ca="1">OFFSET(Objects!$HW$6,AX$1+(Objects!$Y$4-$A60-1)*Objects!$X$4,0)</f>
        <v>0</v>
      </c>
      <c r="AY60">
        <f ca="1">OFFSET(Objects!$HW$6,AY$1+(Objects!$Y$4-$A60-1)*Objects!$X$4,0)</f>
        <v>0</v>
      </c>
      <c r="AZ60">
        <f ca="1">OFFSET(Objects!$HW$6,AZ$1+(Objects!$Y$4-$A60-1)*Objects!$X$4,0)</f>
        <v>0</v>
      </c>
      <c r="BA60">
        <f ca="1">OFFSET(Objects!$HW$6,BA$1+(Objects!$Y$4-$A60-1)*Objects!$X$4,0)</f>
        <v>0</v>
      </c>
      <c r="BB60">
        <f ca="1">OFFSET(Objects!$HW$6,BB$1+(Objects!$Y$4-$A60-1)*Objects!$X$4,0)</f>
        <v>0</v>
      </c>
      <c r="BC60">
        <f ca="1">OFFSET(Objects!$HW$6,BC$1+(Objects!$Y$4-$A60-1)*Objects!$X$4,0)</f>
        <v>0</v>
      </c>
      <c r="BD60">
        <f ca="1">OFFSET(Objects!$HW$6,BD$1+(Objects!$Y$4-$A60-1)*Objects!$X$4,0)</f>
        <v>0</v>
      </c>
      <c r="BE60">
        <f ca="1">OFFSET(Objects!$HW$6,BE$1+(Objects!$Y$4-$A60-1)*Objects!$X$4,0)</f>
        <v>0</v>
      </c>
      <c r="BF60">
        <f ca="1">OFFSET(Objects!$HW$6,BF$1+(Objects!$Y$4-$A60-1)*Objects!$X$4,0)</f>
        <v>0</v>
      </c>
      <c r="BG60">
        <f ca="1">OFFSET(Objects!$HW$6,BG$1+(Objects!$Y$4-$A60-1)*Objects!$X$4,0)</f>
        <v>0</v>
      </c>
      <c r="BH60">
        <f ca="1">OFFSET(Objects!$HW$6,BH$1+(Objects!$Y$4-$A60-1)*Objects!$X$4,0)</f>
        <v>0</v>
      </c>
      <c r="BI60">
        <f ca="1">OFFSET(Objects!$HW$6,BI$1+(Objects!$Y$4-$A60-1)*Objects!$X$4,0)</f>
        <v>0</v>
      </c>
      <c r="BJ60">
        <f ca="1">OFFSET(Objects!$HW$6,BJ$1+(Objects!$Y$4-$A60-1)*Objects!$X$4,0)</f>
        <v>0</v>
      </c>
      <c r="BK60">
        <f ca="1">OFFSET(Objects!$HW$6,BK$1+(Objects!$Y$4-$A60-1)*Objects!$X$4,0)</f>
        <v>0</v>
      </c>
      <c r="BL60">
        <f ca="1">OFFSET(Objects!$HW$6,BL$1+(Objects!$Y$4-$A60-1)*Objects!$X$4,0)</f>
        <v>0</v>
      </c>
      <c r="BM60">
        <f ca="1">OFFSET(Objects!$HW$6,BM$1+(Objects!$Y$4-$A60-1)*Objects!$X$4,0)</f>
        <v>0</v>
      </c>
      <c r="BN60">
        <f ca="1">OFFSET(Objects!$HW$6,BN$1+(Objects!$Y$4-$A60-1)*Objects!$X$4,0)</f>
        <v>0</v>
      </c>
      <c r="BO60">
        <f ca="1">OFFSET(Objects!$HW$6,BO$1+(Objects!$Y$4-$A60-1)*Objects!$X$4,0)</f>
        <v>0</v>
      </c>
      <c r="BP60">
        <f ca="1">OFFSET(Objects!$HW$6,BP$1+(Objects!$Y$4-$A60-1)*Objects!$X$4,0)</f>
        <v>0</v>
      </c>
      <c r="BQ60">
        <f ca="1">OFFSET(Objects!$HW$6,BQ$1+(Objects!$Y$4-$A60-1)*Objects!$X$4,0)</f>
        <v>0</v>
      </c>
      <c r="BR60">
        <f ca="1">OFFSET(Objects!$HW$6,BR$1+(Objects!$Y$4-$A60-1)*Objects!$X$4,0)</f>
        <v>0</v>
      </c>
      <c r="BS60">
        <f ca="1">OFFSET(Objects!$HW$6,BS$1+(Objects!$Y$4-$A60-1)*Objects!$X$4,0)</f>
        <v>0</v>
      </c>
      <c r="BT60">
        <f ca="1">OFFSET(Objects!$HW$6,BT$1+(Objects!$Y$4-$A60-1)*Objects!$X$4,0)</f>
        <v>0</v>
      </c>
      <c r="BU60">
        <f ca="1">OFFSET(Objects!$HW$6,BU$1+(Objects!$Y$4-$A60-1)*Objects!$X$4,0)</f>
        <v>0</v>
      </c>
      <c r="BV60">
        <f ca="1">OFFSET(Objects!$HW$6,BV$1+(Objects!$Y$4-$A60-1)*Objects!$X$4,0)</f>
        <v>0</v>
      </c>
      <c r="BW60">
        <f ca="1">OFFSET(Objects!$HW$6,BW$1+(Objects!$Y$4-$A60-1)*Objects!$X$4,0)</f>
        <v>0</v>
      </c>
      <c r="BX60">
        <f ca="1">OFFSET(Objects!$HW$6,BX$1+(Objects!$Y$4-$A60-1)*Objects!$X$4,0)</f>
        <v>0</v>
      </c>
      <c r="BY60">
        <f ca="1">OFFSET(Objects!$HW$6,BY$1+(Objects!$Y$4-$A60-1)*Objects!$X$4,0)</f>
        <v>0</v>
      </c>
      <c r="BZ60">
        <f ca="1">OFFSET(Objects!$HW$6,BZ$1+(Objects!$Y$4-$A60-1)*Objects!$X$4,0)</f>
        <v>0</v>
      </c>
      <c r="CA60">
        <f ca="1">OFFSET(Objects!$HW$6,CA$1+(Objects!$Y$4-$A60-1)*Objects!$X$4,0)</f>
        <v>0</v>
      </c>
      <c r="CB60">
        <f ca="1">OFFSET(Objects!$HW$6,CB$1+(Objects!$Y$4-$A60-1)*Objects!$X$4,0)</f>
        <v>0</v>
      </c>
      <c r="CC60">
        <f ca="1">OFFSET(Objects!$HW$6,CC$1+(Objects!$Y$4-$A60-1)*Objects!$X$4,0)</f>
        <v>0</v>
      </c>
      <c r="CD60">
        <f ca="1">OFFSET(Objects!$HW$6,CD$1+(Objects!$Y$4-$A60-1)*Objects!$X$4,0)</f>
        <v>0</v>
      </c>
      <c r="CE60">
        <f ca="1">OFFSET(Objects!$HW$6,CE$1+(Objects!$Y$4-$A60-1)*Objects!$X$4,0)</f>
        <v>0</v>
      </c>
      <c r="CF60">
        <f ca="1">OFFSET(Objects!$HW$6,CF$1+(Objects!$Y$4-$A60-1)*Objects!$X$4,0)</f>
        <v>0</v>
      </c>
      <c r="CG60">
        <f ca="1">OFFSET(Objects!$HW$6,CG$1+(Objects!$Y$4-$A60-1)*Objects!$X$4,0)</f>
        <v>0</v>
      </c>
      <c r="CH60">
        <f ca="1">OFFSET(Objects!$HW$6,CH$1+(Objects!$Y$4-$A60-1)*Objects!$X$4,0)</f>
        <v>0</v>
      </c>
      <c r="CI60">
        <f ca="1">OFFSET(Objects!$HW$6,CI$1+(Objects!$Y$4-$A60-1)*Objects!$X$4,0)</f>
        <v>0</v>
      </c>
      <c r="CJ60">
        <f ca="1">OFFSET(Objects!$HW$6,CJ$1+(Objects!$Y$4-$A60-1)*Objects!$X$4,0)</f>
        <v>0</v>
      </c>
      <c r="CK60">
        <f ca="1">OFFSET(Objects!$HW$6,CK$1+(Objects!$Y$4-$A60-1)*Objects!$X$4,0)</f>
        <v>0</v>
      </c>
      <c r="CL60">
        <f ca="1">OFFSET(Objects!$HW$6,CL$1+(Objects!$Y$4-$A60-1)*Objects!$X$4,0)</f>
        <v>0</v>
      </c>
      <c r="CM60">
        <f ca="1">OFFSET(Objects!$HW$6,CM$1+(Objects!$Y$4-$A60-1)*Objects!$X$4,0)</f>
        <v>0</v>
      </c>
      <c r="CN60">
        <f ca="1">OFFSET(Objects!$HW$6,CN$1+(Objects!$Y$4-$A60-1)*Objects!$X$4,0)</f>
        <v>0</v>
      </c>
      <c r="CO60">
        <f ca="1">OFFSET(Objects!$HW$6,CO$1+(Objects!$Y$4-$A60-1)*Objects!$X$4,0)</f>
        <v>0</v>
      </c>
      <c r="CP60">
        <f ca="1">OFFSET(Objects!$HW$6,CP$1+(Objects!$Y$4-$A60-1)*Objects!$X$4,0)</f>
        <v>0</v>
      </c>
      <c r="CQ60">
        <f ca="1">OFFSET(Objects!$HW$6,CQ$1+(Objects!$Y$4-$A60-1)*Objects!$X$4,0)</f>
        <v>0</v>
      </c>
      <c r="CR60">
        <f ca="1">OFFSET(Objects!$HW$6,CR$1+(Objects!$Y$4-$A60-1)*Objects!$X$4,0)</f>
        <v>0</v>
      </c>
      <c r="CS60">
        <f ca="1">OFFSET(Objects!$HW$6,CS$1+(Objects!$Y$4-$A60-1)*Objects!$X$4,0)</f>
        <v>0</v>
      </c>
      <c r="CT60">
        <f ca="1">OFFSET(Objects!$HW$6,CT$1+(Objects!$Y$4-$A60-1)*Objects!$X$4,0)</f>
        <v>0</v>
      </c>
      <c r="CU60">
        <f ca="1">OFFSET(Objects!$HW$6,CU$1+(Objects!$Y$4-$A60-1)*Objects!$X$4,0)</f>
        <v>0</v>
      </c>
      <c r="CV60">
        <f ca="1">OFFSET(Objects!$HW$6,CV$1+(Objects!$Y$4-$A60-1)*Objects!$X$4,0)</f>
        <v>0</v>
      </c>
      <c r="CW60">
        <f ca="1">OFFSET(Objects!$HW$6,CW$1+(Objects!$Y$4-$A60-1)*Objects!$X$4,0)</f>
        <v>0</v>
      </c>
      <c r="CX60">
        <f ca="1">OFFSET(Objects!$HW$6,CX$1+(Objects!$Y$4-$A60-1)*Objects!$X$4,0)</f>
        <v>0</v>
      </c>
      <c r="CY60">
        <f ca="1">OFFSET(Objects!$HW$6,CY$1+(Objects!$Y$4-$A60-1)*Objects!$X$4,0)</f>
        <v>0</v>
      </c>
      <c r="CZ60">
        <f ca="1">OFFSET(Objects!$HW$6,CZ$1+(Objects!$Y$4-$A60-1)*Objects!$X$4,0)</f>
        <v>0</v>
      </c>
      <c r="DA60">
        <f ca="1">OFFSET(Objects!$HW$6,DA$1+(Objects!$Y$4-$A60-1)*Objects!$X$4,0)</f>
        <v>0</v>
      </c>
      <c r="DB60">
        <f ca="1">OFFSET(Objects!$HW$6,DB$1+(Objects!$Y$4-$A60-1)*Objects!$X$4,0)</f>
        <v>0</v>
      </c>
      <c r="DC60">
        <f ca="1">OFFSET(Objects!$HW$6,DC$1+(Objects!$Y$4-$A60-1)*Objects!$X$4,0)</f>
        <v>0</v>
      </c>
      <c r="DD60">
        <f ca="1">OFFSET(Objects!$HW$6,DD$1+(Objects!$Y$4-$A60-1)*Objects!$X$4,0)</f>
        <v>0</v>
      </c>
      <c r="DE60">
        <f ca="1">OFFSET(Objects!$HW$6,DE$1+(Objects!$Y$4-$A60-1)*Objects!$X$4,0)</f>
        <v>0</v>
      </c>
      <c r="DF60">
        <f ca="1">OFFSET(Objects!$HW$6,DF$1+(Objects!$Y$4-$A60-1)*Objects!$X$4,0)</f>
        <v>0</v>
      </c>
      <c r="DG60">
        <f ca="1">OFFSET(Objects!$HW$6,DG$1+(Objects!$Y$4-$A60-1)*Objects!$X$4,0)</f>
        <v>0</v>
      </c>
      <c r="DH60">
        <f ca="1">OFFSET(Objects!$HW$6,DH$1+(Objects!$Y$4-$A60-1)*Objects!$X$4,0)</f>
        <v>0</v>
      </c>
      <c r="DI60">
        <f ca="1">OFFSET(Objects!$HW$6,DI$1+(Objects!$Y$4-$A60-1)*Objects!$X$4,0)</f>
        <v>0</v>
      </c>
      <c r="DJ60">
        <f ca="1">OFFSET(Objects!$HW$6,DJ$1+(Objects!$Y$4-$A60-1)*Objects!$X$4,0)</f>
        <v>0</v>
      </c>
      <c r="DK60">
        <f ca="1">OFFSET(Objects!$HW$6,DK$1+(Objects!$Y$4-$A60-1)*Objects!$X$4,0)</f>
        <v>0</v>
      </c>
      <c r="DL60">
        <f ca="1">OFFSET(Objects!$HW$6,DL$1+(Objects!$Y$4-$A60-1)*Objects!$X$4,0)</f>
        <v>0</v>
      </c>
      <c r="DM60">
        <f ca="1">OFFSET(Objects!$HW$6,DM$1+(Objects!$Y$4-$A60-1)*Objects!$X$4,0)</f>
        <v>0</v>
      </c>
      <c r="DN60">
        <f ca="1">OFFSET(Objects!$HW$6,DN$1+(Objects!$Y$4-$A60-1)*Objects!$X$4,0)</f>
        <v>0</v>
      </c>
      <c r="DO60">
        <f ca="1">OFFSET(Objects!$HW$6,DO$1+(Objects!$Y$4-$A60-1)*Objects!$X$4,0)</f>
        <v>0</v>
      </c>
      <c r="DP60">
        <f ca="1">OFFSET(Objects!$HW$6,DP$1+(Objects!$Y$4-$A60-1)*Objects!$X$4,0)</f>
        <v>0</v>
      </c>
      <c r="DQ60">
        <f ca="1">OFFSET(Objects!$HW$6,DQ$1+(Objects!$Y$4-$A60-1)*Objects!$X$4,0)</f>
        <v>0</v>
      </c>
      <c r="DR60">
        <f ca="1">OFFSET(Objects!$HW$6,DR$1+(Objects!$Y$4-$A60-1)*Objects!$X$4,0)</f>
        <v>0</v>
      </c>
      <c r="DS60">
        <f ca="1">OFFSET(Objects!$HW$6,DS$1+(Objects!$Y$4-$A60-1)*Objects!$X$4,0)</f>
        <v>0</v>
      </c>
      <c r="DT60">
        <f ca="1">OFFSET(Objects!$HW$6,DT$1+(Objects!$Y$4-$A60-1)*Objects!$X$4,0)</f>
        <v>0</v>
      </c>
      <c r="DU60">
        <f ca="1">OFFSET(Objects!$HW$6,DU$1+(Objects!$Y$4-$A60-1)*Objects!$X$4,0)</f>
        <v>0</v>
      </c>
      <c r="DV60">
        <f ca="1">OFFSET(Objects!$HW$6,DV$1+(Objects!$Y$4-$A60-1)*Objects!$X$4,0)</f>
        <v>0</v>
      </c>
      <c r="DW60">
        <f ca="1">OFFSET(Objects!$HW$6,DW$1+(Objects!$Y$4-$A60-1)*Objects!$X$4,0)</f>
        <v>0</v>
      </c>
      <c r="DX60">
        <f ca="1">OFFSET(Objects!$HW$6,DX$1+(Objects!$Y$4-$A60-1)*Objects!$X$4,0)</f>
        <v>0</v>
      </c>
      <c r="DY60">
        <f ca="1">OFFSET(Objects!$HW$6,DY$1+(Objects!$Y$4-$A60-1)*Objects!$X$4,0)</f>
        <v>0</v>
      </c>
      <c r="DZ60">
        <f ca="1">OFFSET(Objects!$HW$6,DZ$1+(Objects!$Y$4-$A60-1)*Objects!$X$4,0)</f>
        <v>0</v>
      </c>
      <c r="EA60">
        <f ca="1">OFFSET(Objects!$HW$6,EA$1+(Objects!$Y$4-$A60-1)*Objects!$X$4,0)</f>
        <v>0</v>
      </c>
      <c r="EB60">
        <f ca="1">OFFSET(Objects!$HW$6,EB$1+(Objects!$Y$4-$A60-1)*Objects!$X$4,0)</f>
        <v>0</v>
      </c>
      <c r="EC60">
        <f ca="1">OFFSET(Objects!$HW$6,EC$1+(Objects!$Y$4-$A60-1)*Objects!$X$4,0)</f>
        <v>0</v>
      </c>
      <c r="ED60">
        <f ca="1">OFFSET(Objects!$HW$6,ED$1+(Objects!$Y$4-$A60-1)*Objects!$X$4,0)</f>
        <v>0</v>
      </c>
      <c r="EE60">
        <f ca="1">OFFSET(Objects!$HW$6,EE$1+(Objects!$Y$4-$A60-1)*Objects!$X$4,0)</f>
        <v>0</v>
      </c>
      <c r="EF60">
        <f ca="1">OFFSET(Objects!$HW$6,EF$1+(Objects!$Y$4-$A60-1)*Objects!$X$4,0)</f>
        <v>0</v>
      </c>
      <c r="EG60">
        <f ca="1">OFFSET(Objects!$HW$6,EG$1+(Objects!$Y$4-$A60-1)*Objects!$X$4,0)</f>
        <v>0</v>
      </c>
      <c r="EH60">
        <f ca="1">OFFSET(Objects!$HW$6,EH$1+(Objects!$Y$4-$A60-1)*Objects!$X$4,0)</f>
        <v>0</v>
      </c>
      <c r="EI60">
        <f ca="1">OFFSET(Objects!$HW$6,EI$1+(Objects!$Y$4-$A60-1)*Objects!$X$4,0)</f>
        <v>0</v>
      </c>
      <c r="EJ60">
        <f ca="1">OFFSET(Objects!$HW$6,EJ$1+(Objects!$Y$4-$A60-1)*Objects!$X$4,0)</f>
        <v>0</v>
      </c>
      <c r="EK60">
        <f ca="1">OFFSET(Objects!$HW$6,EK$1+(Objects!$Y$4-$A60-1)*Objects!$X$4,0)</f>
        <v>0</v>
      </c>
      <c r="EL60">
        <f ca="1">OFFSET(Objects!$HW$6,EL$1+(Objects!$Y$4-$A60-1)*Objects!$X$4,0)</f>
        <v>0</v>
      </c>
      <c r="EM60">
        <f ca="1">OFFSET(Objects!$HW$6,EM$1+(Objects!$Y$4-$A60-1)*Objects!$X$4,0)</f>
        <v>0</v>
      </c>
      <c r="EN60">
        <f ca="1">OFFSET(Objects!$HW$6,EN$1+(Objects!$Y$4-$A60-1)*Objects!$X$4,0)</f>
        <v>0</v>
      </c>
      <c r="EO60">
        <f ca="1">OFFSET(Objects!$HW$6,EO$1+(Objects!$Y$4-$A60-1)*Objects!$X$4,0)</f>
        <v>0</v>
      </c>
      <c r="EP60">
        <f ca="1">OFFSET(Objects!$HW$6,EP$1+(Objects!$Y$4-$A60-1)*Objects!$X$4,0)</f>
        <v>0</v>
      </c>
      <c r="EQ60">
        <f ca="1">OFFSET(Objects!$HW$6,EQ$1+(Objects!$Y$4-$A60-1)*Objects!$X$4,0)</f>
        <v>0</v>
      </c>
      <c r="ER60">
        <f ca="1">OFFSET(Objects!$HW$6,ER$1+(Objects!$Y$4-$A60-1)*Objects!$X$4,0)</f>
        <v>0</v>
      </c>
      <c r="ES60">
        <f ca="1">OFFSET(Objects!$HW$6,ES$1+(Objects!$Y$4-$A60-1)*Objects!$X$4,0)</f>
        <v>0</v>
      </c>
      <c r="ET60">
        <f ca="1">OFFSET(Objects!$HW$6,ET$1+(Objects!$Y$4-$A60-1)*Objects!$X$4,0)</f>
        <v>0</v>
      </c>
      <c r="EU60">
        <f ca="1">OFFSET(Objects!$HW$6,EU$1+(Objects!$Y$4-$A60-1)*Objects!$X$4,0)</f>
        <v>0</v>
      </c>
      <c r="EV60">
        <f ca="1">OFFSET(Objects!$HW$6,EV$1+(Objects!$Y$4-$A60-1)*Objects!$X$4,0)</f>
        <v>0</v>
      </c>
      <c r="EW60">
        <f ca="1">OFFSET(Objects!$HW$6,EW$1+(Objects!$Y$4-$A60-1)*Objects!$X$4,0)</f>
        <v>0</v>
      </c>
      <c r="EX60">
        <f ca="1">OFFSET(Objects!$HW$6,EX$1+(Objects!$Y$4-$A60-1)*Objects!$X$4,0)</f>
        <v>0</v>
      </c>
      <c r="EY60">
        <f ca="1">OFFSET(Objects!$HW$6,EY$1+(Objects!$Y$4-$A60-1)*Objects!$X$4,0)</f>
        <v>0</v>
      </c>
      <c r="EZ60">
        <f ca="1">OFFSET(Objects!$HW$6,EZ$1+(Objects!$Y$4-$A60-1)*Objects!$X$4,0)</f>
        <v>0</v>
      </c>
      <c r="FA60">
        <f ca="1">OFFSET(Objects!$HW$6,FA$1+(Objects!$Y$4-$A60-1)*Objects!$X$4,0)</f>
        <v>0</v>
      </c>
      <c r="FB60">
        <f ca="1">OFFSET(Objects!$HW$6,FB$1+(Objects!$Y$4-$A60-1)*Objects!$X$4,0)</f>
        <v>0</v>
      </c>
      <c r="FC60">
        <f ca="1">OFFSET(Objects!$HW$6,FC$1+(Objects!$Y$4-$A60-1)*Objects!$X$4,0)</f>
        <v>0</v>
      </c>
      <c r="FD60">
        <f ca="1">OFFSET(Objects!$HW$6,FD$1+(Objects!$Y$4-$A60-1)*Objects!$X$4,0)</f>
        <v>0</v>
      </c>
      <c r="FE60" s="22">
        <f ca="1">OFFSET(Objects!$HW$6,FE$1+(Objects!$Y$4-$A60-1)*Objects!$X$4,0)</f>
        <v>0</v>
      </c>
    </row>
    <row r="61" spans="1:161" ht="4.5" customHeight="1" x14ac:dyDescent="0.25">
      <c r="A61">
        <v>59</v>
      </c>
      <c r="B61" s="21">
        <f ca="1">OFFSET(Objects!$HW$6,B$1+(Objects!$Y$4-$A61-1)*Objects!$X$4,0)</f>
        <v>0</v>
      </c>
      <c r="C61">
        <f ca="1">OFFSET(Objects!$HW$6,C$1+(Objects!$Y$4-$A61-1)*Objects!$X$4,0)</f>
        <v>0</v>
      </c>
      <c r="D61">
        <f ca="1">OFFSET(Objects!$HW$6,D$1+(Objects!$Y$4-$A61-1)*Objects!$X$4,0)</f>
        <v>0</v>
      </c>
      <c r="E61">
        <f ca="1">OFFSET(Objects!$HW$6,E$1+(Objects!$Y$4-$A61-1)*Objects!$X$4,0)</f>
        <v>0</v>
      </c>
      <c r="F61">
        <f ca="1">OFFSET(Objects!$HW$6,F$1+(Objects!$Y$4-$A61-1)*Objects!$X$4,0)</f>
        <v>0</v>
      </c>
      <c r="G61">
        <f ca="1">OFFSET(Objects!$HW$6,G$1+(Objects!$Y$4-$A61-1)*Objects!$X$4,0)</f>
        <v>0</v>
      </c>
      <c r="H61">
        <f ca="1">OFFSET(Objects!$HW$6,H$1+(Objects!$Y$4-$A61-1)*Objects!$X$4,0)</f>
        <v>0</v>
      </c>
      <c r="I61">
        <f ca="1">OFFSET(Objects!$HW$6,I$1+(Objects!$Y$4-$A61-1)*Objects!$X$4,0)</f>
        <v>0</v>
      </c>
      <c r="J61">
        <f ca="1">OFFSET(Objects!$HW$6,J$1+(Objects!$Y$4-$A61-1)*Objects!$X$4,0)</f>
        <v>0</v>
      </c>
      <c r="K61">
        <f ca="1">OFFSET(Objects!$HW$6,K$1+(Objects!$Y$4-$A61-1)*Objects!$X$4,0)</f>
        <v>0</v>
      </c>
      <c r="L61">
        <f ca="1">OFFSET(Objects!$HW$6,L$1+(Objects!$Y$4-$A61-1)*Objects!$X$4,0)</f>
        <v>0</v>
      </c>
      <c r="M61">
        <f ca="1">OFFSET(Objects!$HW$6,M$1+(Objects!$Y$4-$A61-1)*Objects!$X$4,0)</f>
        <v>0</v>
      </c>
      <c r="N61">
        <f ca="1">OFFSET(Objects!$HW$6,N$1+(Objects!$Y$4-$A61-1)*Objects!$X$4,0)</f>
        <v>0</v>
      </c>
      <c r="O61">
        <f ca="1">OFFSET(Objects!$HW$6,O$1+(Objects!$Y$4-$A61-1)*Objects!$X$4,0)</f>
        <v>0</v>
      </c>
      <c r="P61">
        <f ca="1">OFFSET(Objects!$HW$6,P$1+(Objects!$Y$4-$A61-1)*Objects!$X$4,0)</f>
        <v>0</v>
      </c>
      <c r="Q61">
        <f ca="1">OFFSET(Objects!$HW$6,Q$1+(Objects!$Y$4-$A61-1)*Objects!$X$4,0)</f>
        <v>0</v>
      </c>
      <c r="R61">
        <f ca="1">OFFSET(Objects!$HW$6,R$1+(Objects!$Y$4-$A61-1)*Objects!$X$4,0)</f>
        <v>0</v>
      </c>
      <c r="S61">
        <f ca="1">OFFSET(Objects!$HW$6,S$1+(Objects!$Y$4-$A61-1)*Objects!$X$4,0)</f>
        <v>0</v>
      </c>
      <c r="T61">
        <f ca="1">OFFSET(Objects!$HW$6,T$1+(Objects!$Y$4-$A61-1)*Objects!$X$4,0)</f>
        <v>0</v>
      </c>
      <c r="U61">
        <f ca="1">OFFSET(Objects!$HW$6,U$1+(Objects!$Y$4-$A61-1)*Objects!$X$4,0)</f>
        <v>0</v>
      </c>
      <c r="V61">
        <f ca="1">OFFSET(Objects!$HW$6,V$1+(Objects!$Y$4-$A61-1)*Objects!$X$4,0)</f>
        <v>0</v>
      </c>
      <c r="W61">
        <f ca="1">OFFSET(Objects!$HW$6,W$1+(Objects!$Y$4-$A61-1)*Objects!$X$4,0)</f>
        <v>0</v>
      </c>
      <c r="X61">
        <f ca="1">OFFSET(Objects!$HW$6,X$1+(Objects!$Y$4-$A61-1)*Objects!$X$4,0)</f>
        <v>0</v>
      </c>
      <c r="Y61">
        <f ca="1">OFFSET(Objects!$HW$6,Y$1+(Objects!$Y$4-$A61-1)*Objects!$X$4,0)</f>
        <v>0</v>
      </c>
      <c r="Z61">
        <f ca="1">OFFSET(Objects!$HW$6,Z$1+(Objects!$Y$4-$A61-1)*Objects!$X$4,0)</f>
        <v>0</v>
      </c>
      <c r="AA61">
        <f ca="1">OFFSET(Objects!$HW$6,AA$1+(Objects!$Y$4-$A61-1)*Objects!$X$4,0)</f>
        <v>0</v>
      </c>
      <c r="AB61">
        <f ca="1">OFFSET(Objects!$HW$6,AB$1+(Objects!$Y$4-$A61-1)*Objects!$X$4,0)</f>
        <v>0</v>
      </c>
      <c r="AC61">
        <f ca="1">OFFSET(Objects!$HW$6,AC$1+(Objects!$Y$4-$A61-1)*Objects!$X$4,0)</f>
        <v>0</v>
      </c>
      <c r="AD61">
        <f ca="1">OFFSET(Objects!$HW$6,AD$1+(Objects!$Y$4-$A61-1)*Objects!$X$4,0)</f>
        <v>0</v>
      </c>
      <c r="AE61">
        <f ca="1">OFFSET(Objects!$HW$6,AE$1+(Objects!$Y$4-$A61-1)*Objects!$X$4,0)</f>
        <v>0</v>
      </c>
      <c r="AF61">
        <f ca="1">OFFSET(Objects!$HW$6,AF$1+(Objects!$Y$4-$A61-1)*Objects!$X$4,0)</f>
        <v>0</v>
      </c>
      <c r="AG61">
        <f ca="1">OFFSET(Objects!$HW$6,AG$1+(Objects!$Y$4-$A61-1)*Objects!$X$4,0)</f>
        <v>0</v>
      </c>
      <c r="AH61">
        <f ca="1">OFFSET(Objects!$HW$6,AH$1+(Objects!$Y$4-$A61-1)*Objects!$X$4,0)</f>
        <v>0</v>
      </c>
      <c r="AI61">
        <f ca="1">OFFSET(Objects!$HW$6,AI$1+(Objects!$Y$4-$A61-1)*Objects!$X$4,0)</f>
        <v>0</v>
      </c>
      <c r="AJ61">
        <f ca="1">OFFSET(Objects!$HW$6,AJ$1+(Objects!$Y$4-$A61-1)*Objects!$X$4,0)</f>
        <v>0</v>
      </c>
      <c r="AK61">
        <f ca="1">OFFSET(Objects!$HW$6,AK$1+(Objects!$Y$4-$A61-1)*Objects!$X$4,0)</f>
        <v>0</v>
      </c>
      <c r="AL61">
        <f ca="1">OFFSET(Objects!$HW$6,AL$1+(Objects!$Y$4-$A61-1)*Objects!$X$4,0)</f>
        <v>0</v>
      </c>
      <c r="AM61">
        <f ca="1">OFFSET(Objects!$HW$6,AM$1+(Objects!$Y$4-$A61-1)*Objects!$X$4,0)</f>
        <v>0</v>
      </c>
      <c r="AN61">
        <f ca="1">OFFSET(Objects!$HW$6,AN$1+(Objects!$Y$4-$A61-1)*Objects!$X$4,0)</f>
        <v>0</v>
      </c>
      <c r="AO61">
        <f ca="1">OFFSET(Objects!$HW$6,AO$1+(Objects!$Y$4-$A61-1)*Objects!$X$4,0)</f>
        <v>0</v>
      </c>
      <c r="AP61">
        <f ca="1">OFFSET(Objects!$HW$6,AP$1+(Objects!$Y$4-$A61-1)*Objects!$X$4,0)</f>
        <v>0</v>
      </c>
      <c r="AQ61">
        <f ca="1">OFFSET(Objects!$HW$6,AQ$1+(Objects!$Y$4-$A61-1)*Objects!$X$4,0)</f>
        <v>0</v>
      </c>
      <c r="AR61">
        <f ca="1">OFFSET(Objects!$HW$6,AR$1+(Objects!$Y$4-$A61-1)*Objects!$X$4,0)</f>
        <v>0</v>
      </c>
      <c r="AS61">
        <f ca="1">OFFSET(Objects!$HW$6,AS$1+(Objects!$Y$4-$A61-1)*Objects!$X$4,0)</f>
        <v>0</v>
      </c>
      <c r="AT61">
        <f ca="1">OFFSET(Objects!$HW$6,AT$1+(Objects!$Y$4-$A61-1)*Objects!$X$4,0)</f>
        <v>0</v>
      </c>
      <c r="AU61">
        <f ca="1">OFFSET(Objects!$HW$6,AU$1+(Objects!$Y$4-$A61-1)*Objects!$X$4,0)</f>
        <v>0</v>
      </c>
      <c r="AV61">
        <f ca="1">OFFSET(Objects!$HW$6,AV$1+(Objects!$Y$4-$A61-1)*Objects!$X$4,0)</f>
        <v>0</v>
      </c>
      <c r="AW61">
        <f ca="1">OFFSET(Objects!$HW$6,AW$1+(Objects!$Y$4-$A61-1)*Objects!$X$4,0)</f>
        <v>0</v>
      </c>
      <c r="AX61">
        <f ca="1">OFFSET(Objects!$HW$6,AX$1+(Objects!$Y$4-$A61-1)*Objects!$X$4,0)</f>
        <v>0</v>
      </c>
      <c r="AY61">
        <f ca="1">OFFSET(Objects!$HW$6,AY$1+(Objects!$Y$4-$A61-1)*Objects!$X$4,0)</f>
        <v>0</v>
      </c>
      <c r="AZ61">
        <f ca="1">OFFSET(Objects!$HW$6,AZ$1+(Objects!$Y$4-$A61-1)*Objects!$X$4,0)</f>
        <v>0</v>
      </c>
      <c r="BA61">
        <f ca="1">OFFSET(Objects!$HW$6,BA$1+(Objects!$Y$4-$A61-1)*Objects!$X$4,0)</f>
        <v>0</v>
      </c>
      <c r="BB61">
        <f ca="1">OFFSET(Objects!$HW$6,BB$1+(Objects!$Y$4-$A61-1)*Objects!$X$4,0)</f>
        <v>0</v>
      </c>
      <c r="BC61">
        <f ca="1">OFFSET(Objects!$HW$6,BC$1+(Objects!$Y$4-$A61-1)*Objects!$X$4,0)</f>
        <v>0</v>
      </c>
      <c r="BD61">
        <f ca="1">OFFSET(Objects!$HW$6,BD$1+(Objects!$Y$4-$A61-1)*Objects!$X$4,0)</f>
        <v>0</v>
      </c>
      <c r="BE61">
        <f ca="1">OFFSET(Objects!$HW$6,BE$1+(Objects!$Y$4-$A61-1)*Objects!$X$4,0)</f>
        <v>0</v>
      </c>
      <c r="BF61">
        <f ca="1">OFFSET(Objects!$HW$6,BF$1+(Objects!$Y$4-$A61-1)*Objects!$X$4,0)</f>
        <v>0</v>
      </c>
      <c r="BG61">
        <f ca="1">OFFSET(Objects!$HW$6,BG$1+(Objects!$Y$4-$A61-1)*Objects!$X$4,0)</f>
        <v>0</v>
      </c>
      <c r="BH61">
        <f ca="1">OFFSET(Objects!$HW$6,BH$1+(Objects!$Y$4-$A61-1)*Objects!$X$4,0)</f>
        <v>0</v>
      </c>
      <c r="BI61">
        <f ca="1">OFFSET(Objects!$HW$6,BI$1+(Objects!$Y$4-$A61-1)*Objects!$X$4,0)</f>
        <v>0</v>
      </c>
      <c r="BJ61">
        <f ca="1">OFFSET(Objects!$HW$6,BJ$1+(Objects!$Y$4-$A61-1)*Objects!$X$4,0)</f>
        <v>0</v>
      </c>
      <c r="BK61">
        <f ca="1">OFFSET(Objects!$HW$6,BK$1+(Objects!$Y$4-$A61-1)*Objects!$X$4,0)</f>
        <v>0</v>
      </c>
      <c r="BL61">
        <f ca="1">OFFSET(Objects!$HW$6,BL$1+(Objects!$Y$4-$A61-1)*Objects!$X$4,0)</f>
        <v>0</v>
      </c>
      <c r="BM61">
        <f ca="1">OFFSET(Objects!$HW$6,BM$1+(Objects!$Y$4-$A61-1)*Objects!$X$4,0)</f>
        <v>0</v>
      </c>
      <c r="BN61">
        <f ca="1">OFFSET(Objects!$HW$6,BN$1+(Objects!$Y$4-$A61-1)*Objects!$X$4,0)</f>
        <v>0</v>
      </c>
      <c r="BO61">
        <f ca="1">OFFSET(Objects!$HW$6,BO$1+(Objects!$Y$4-$A61-1)*Objects!$X$4,0)</f>
        <v>0</v>
      </c>
      <c r="BP61">
        <f ca="1">OFFSET(Objects!$HW$6,BP$1+(Objects!$Y$4-$A61-1)*Objects!$X$4,0)</f>
        <v>0</v>
      </c>
      <c r="BQ61">
        <f ca="1">OFFSET(Objects!$HW$6,BQ$1+(Objects!$Y$4-$A61-1)*Objects!$X$4,0)</f>
        <v>0</v>
      </c>
      <c r="BR61">
        <f ca="1">OFFSET(Objects!$HW$6,BR$1+(Objects!$Y$4-$A61-1)*Objects!$X$4,0)</f>
        <v>0</v>
      </c>
      <c r="BS61">
        <f ca="1">OFFSET(Objects!$HW$6,BS$1+(Objects!$Y$4-$A61-1)*Objects!$X$4,0)</f>
        <v>0</v>
      </c>
      <c r="BT61">
        <f ca="1">OFFSET(Objects!$HW$6,BT$1+(Objects!$Y$4-$A61-1)*Objects!$X$4,0)</f>
        <v>0</v>
      </c>
      <c r="BU61">
        <f ca="1">OFFSET(Objects!$HW$6,BU$1+(Objects!$Y$4-$A61-1)*Objects!$X$4,0)</f>
        <v>0</v>
      </c>
      <c r="BV61">
        <f ca="1">OFFSET(Objects!$HW$6,BV$1+(Objects!$Y$4-$A61-1)*Objects!$X$4,0)</f>
        <v>0</v>
      </c>
      <c r="BW61">
        <f ca="1">OFFSET(Objects!$HW$6,BW$1+(Objects!$Y$4-$A61-1)*Objects!$X$4,0)</f>
        <v>0</v>
      </c>
      <c r="BX61">
        <f ca="1">OFFSET(Objects!$HW$6,BX$1+(Objects!$Y$4-$A61-1)*Objects!$X$4,0)</f>
        <v>0</v>
      </c>
      <c r="BY61">
        <f ca="1">OFFSET(Objects!$HW$6,BY$1+(Objects!$Y$4-$A61-1)*Objects!$X$4,0)</f>
        <v>0</v>
      </c>
      <c r="BZ61">
        <f ca="1">OFFSET(Objects!$HW$6,BZ$1+(Objects!$Y$4-$A61-1)*Objects!$X$4,0)</f>
        <v>0</v>
      </c>
      <c r="CA61">
        <f ca="1">OFFSET(Objects!$HW$6,CA$1+(Objects!$Y$4-$A61-1)*Objects!$X$4,0)</f>
        <v>0</v>
      </c>
      <c r="CB61">
        <f ca="1">OFFSET(Objects!$HW$6,CB$1+(Objects!$Y$4-$A61-1)*Objects!$X$4,0)</f>
        <v>0</v>
      </c>
      <c r="CC61">
        <f ca="1">OFFSET(Objects!$HW$6,CC$1+(Objects!$Y$4-$A61-1)*Objects!$X$4,0)</f>
        <v>0</v>
      </c>
      <c r="CD61">
        <f ca="1">OFFSET(Objects!$HW$6,CD$1+(Objects!$Y$4-$A61-1)*Objects!$X$4,0)</f>
        <v>0</v>
      </c>
      <c r="CE61">
        <f ca="1">OFFSET(Objects!$HW$6,CE$1+(Objects!$Y$4-$A61-1)*Objects!$X$4,0)</f>
        <v>0</v>
      </c>
      <c r="CF61">
        <f ca="1">OFFSET(Objects!$HW$6,CF$1+(Objects!$Y$4-$A61-1)*Objects!$X$4,0)</f>
        <v>0</v>
      </c>
      <c r="CG61">
        <f ca="1">OFFSET(Objects!$HW$6,CG$1+(Objects!$Y$4-$A61-1)*Objects!$X$4,0)</f>
        <v>0</v>
      </c>
      <c r="CH61">
        <f ca="1">OFFSET(Objects!$HW$6,CH$1+(Objects!$Y$4-$A61-1)*Objects!$X$4,0)</f>
        <v>0</v>
      </c>
      <c r="CI61">
        <f ca="1">OFFSET(Objects!$HW$6,CI$1+(Objects!$Y$4-$A61-1)*Objects!$X$4,0)</f>
        <v>0</v>
      </c>
      <c r="CJ61">
        <f ca="1">OFFSET(Objects!$HW$6,CJ$1+(Objects!$Y$4-$A61-1)*Objects!$X$4,0)</f>
        <v>0</v>
      </c>
      <c r="CK61">
        <f ca="1">OFFSET(Objects!$HW$6,CK$1+(Objects!$Y$4-$A61-1)*Objects!$X$4,0)</f>
        <v>0</v>
      </c>
      <c r="CL61">
        <f ca="1">OFFSET(Objects!$HW$6,CL$1+(Objects!$Y$4-$A61-1)*Objects!$X$4,0)</f>
        <v>0</v>
      </c>
      <c r="CM61">
        <f ca="1">OFFSET(Objects!$HW$6,CM$1+(Objects!$Y$4-$A61-1)*Objects!$X$4,0)</f>
        <v>0</v>
      </c>
      <c r="CN61">
        <f ca="1">OFFSET(Objects!$HW$6,CN$1+(Objects!$Y$4-$A61-1)*Objects!$X$4,0)</f>
        <v>0</v>
      </c>
      <c r="CO61">
        <f ca="1">OFFSET(Objects!$HW$6,CO$1+(Objects!$Y$4-$A61-1)*Objects!$X$4,0)</f>
        <v>0</v>
      </c>
      <c r="CP61">
        <f ca="1">OFFSET(Objects!$HW$6,CP$1+(Objects!$Y$4-$A61-1)*Objects!$X$4,0)</f>
        <v>0</v>
      </c>
      <c r="CQ61">
        <f ca="1">OFFSET(Objects!$HW$6,CQ$1+(Objects!$Y$4-$A61-1)*Objects!$X$4,0)</f>
        <v>0</v>
      </c>
      <c r="CR61">
        <f ca="1">OFFSET(Objects!$HW$6,CR$1+(Objects!$Y$4-$A61-1)*Objects!$X$4,0)</f>
        <v>0</v>
      </c>
      <c r="CS61">
        <f ca="1">OFFSET(Objects!$HW$6,CS$1+(Objects!$Y$4-$A61-1)*Objects!$X$4,0)</f>
        <v>0</v>
      </c>
      <c r="CT61">
        <f ca="1">OFFSET(Objects!$HW$6,CT$1+(Objects!$Y$4-$A61-1)*Objects!$X$4,0)</f>
        <v>0</v>
      </c>
      <c r="CU61">
        <f ca="1">OFFSET(Objects!$HW$6,CU$1+(Objects!$Y$4-$A61-1)*Objects!$X$4,0)</f>
        <v>0</v>
      </c>
      <c r="CV61">
        <f ca="1">OFFSET(Objects!$HW$6,CV$1+(Objects!$Y$4-$A61-1)*Objects!$X$4,0)</f>
        <v>0</v>
      </c>
      <c r="CW61">
        <f ca="1">OFFSET(Objects!$HW$6,CW$1+(Objects!$Y$4-$A61-1)*Objects!$X$4,0)</f>
        <v>0</v>
      </c>
      <c r="CX61">
        <f ca="1">OFFSET(Objects!$HW$6,CX$1+(Objects!$Y$4-$A61-1)*Objects!$X$4,0)</f>
        <v>0</v>
      </c>
      <c r="CY61">
        <f ca="1">OFFSET(Objects!$HW$6,CY$1+(Objects!$Y$4-$A61-1)*Objects!$X$4,0)</f>
        <v>0</v>
      </c>
      <c r="CZ61">
        <f ca="1">OFFSET(Objects!$HW$6,CZ$1+(Objects!$Y$4-$A61-1)*Objects!$X$4,0)</f>
        <v>0</v>
      </c>
      <c r="DA61">
        <f ca="1">OFFSET(Objects!$HW$6,DA$1+(Objects!$Y$4-$A61-1)*Objects!$X$4,0)</f>
        <v>0</v>
      </c>
      <c r="DB61">
        <f ca="1">OFFSET(Objects!$HW$6,DB$1+(Objects!$Y$4-$A61-1)*Objects!$X$4,0)</f>
        <v>0</v>
      </c>
      <c r="DC61">
        <f ca="1">OFFSET(Objects!$HW$6,DC$1+(Objects!$Y$4-$A61-1)*Objects!$X$4,0)</f>
        <v>0</v>
      </c>
      <c r="DD61">
        <f ca="1">OFFSET(Objects!$HW$6,DD$1+(Objects!$Y$4-$A61-1)*Objects!$X$4,0)</f>
        <v>0</v>
      </c>
      <c r="DE61">
        <f ca="1">OFFSET(Objects!$HW$6,DE$1+(Objects!$Y$4-$A61-1)*Objects!$X$4,0)</f>
        <v>0</v>
      </c>
      <c r="DF61">
        <f ca="1">OFFSET(Objects!$HW$6,DF$1+(Objects!$Y$4-$A61-1)*Objects!$X$4,0)</f>
        <v>0</v>
      </c>
      <c r="DG61">
        <f ca="1">OFFSET(Objects!$HW$6,DG$1+(Objects!$Y$4-$A61-1)*Objects!$X$4,0)</f>
        <v>0</v>
      </c>
      <c r="DH61">
        <f ca="1">OFFSET(Objects!$HW$6,DH$1+(Objects!$Y$4-$A61-1)*Objects!$X$4,0)</f>
        <v>0</v>
      </c>
      <c r="DI61">
        <f ca="1">OFFSET(Objects!$HW$6,DI$1+(Objects!$Y$4-$A61-1)*Objects!$X$4,0)</f>
        <v>0</v>
      </c>
      <c r="DJ61">
        <f ca="1">OFFSET(Objects!$HW$6,DJ$1+(Objects!$Y$4-$A61-1)*Objects!$X$4,0)</f>
        <v>0</v>
      </c>
      <c r="DK61">
        <f ca="1">OFFSET(Objects!$HW$6,DK$1+(Objects!$Y$4-$A61-1)*Objects!$X$4,0)</f>
        <v>0</v>
      </c>
      <c r="DL61">
        <f ca="1">OFFSET(Objects!$HW$6,DL$1+(Objects!$Y$4-$A61-1)*Objects!$X$4,0)</f>
        <v>0</v>
      </c>
      <c r="DM61">
        <f ca="1">OFFSET(Objects!$HW$6,DM$1+(Objects!$Y$4-$A61-1)*Objects!$X$4,0)</f>
        <v>0</v>
      </c>
      <c r="DN61">
        <f ca="1">OFFSET(Objects!$HW$6,DN$1+(Objects!$Y$4-$A61-1)*Objects!$X$4,0)</f>
        <v>0</v>
      </c>
      <c r="DO61">
        <f ca="1">OFFSET(Objects!$HW$6,DO$1+(Objects!$Y$4-$A61-1)*Objects!$X$4,0)</f>
        <v>0</v>
      </c>
      <c r="DP61">
        <f ca="1">OFFSET(Objects!$HW$6,DP$1+(Objects!$Y$4-$A61-1)*Objects!$X$4,0)</f>
        <v>0</v>
      </c>
      <c r="DQ61">
        <f ca="1">OFFSET(Objects!$HW$6,DQ$1+(Objects!$Y$4-$A61-1)*Objects!$X$4,0)</f>
        <v>0</v>
      </c>
      <c r="DR61">
        <f ca="1">OFFSET(Objects!$HW$6,DR$1+(Objects!$Y$4-$A61-1)*Objects!$X$4,0)</f>
        <v>0</v>
      </c>
      <c r="DS61">
        <f ca="1">OFFSET(Objects!$HW$6,DS$1+(Objects!$Y$4-$A61-1)*Objects!$X$4,0)</f>
        <v>0</v>
      </c>
      <c r="DT61">
        <f ca="1">OFFSET(Objects!$HW$6,DT$1+(Objects!$Y$4-$A61-1)*Objects!$X$4,0)</f>
        <v>0</v>
      </c>
      <c r="DU61">
        <f ca="1">OFFSET(Objects!$HW$6,DU$1+(Objects!$Y$4-$A61-1)*Objects!$X$4,0)</f>
        <v>0</v>
      </c>
      <c r="DV61">
        <f ca="1">OFFSET(Objects!$HW$6,DV$1+(Objects!$Y$4-$A61-1)*Objects!$X$4,0)</f>
        <v>0</v>
      </c>
      <c r="DW61">
        <f ca="1">OFFSET(Objects!$HW$6,DW$1+(Objects!$Y$4-$A61-1)*Objects!$X$4,0)</f>
        <v>0</v>
      </c>
      <c r="DX61">
        <f ca="1">OFFSET(Objects!$HW$6,DX$1+(Objects!$Y$4-$A61-1)*Objects!$X$4,0)</f>
        <v>0</v>
      </c>
      <c r="DY61">
        <f ca="1">OFFSET(Objects!$HW$6,DY$1+(Objects!$Y$4-$A61-1)*Objects!$X$4,0)</f>
        <v>0</v>
      </c>
      <c r="DZ61">
        <f ca="1">OFFSET(Objects!$HW$6,DZ$1+(Objects!$Y$4-$A61-1)*Objects!$X$4,0)</f>
        <v>0</v>
      </c>
      <c r="EA61">
        <f ca="1">OFFSET(Objects!$HW$6,EA$1+(Objects!$Y$4-$A61-1)*Objects!$X$4,0)</f>
        <v>0</v>
      </c>
      <c r="EB61">
        <f ca="1">OFFSET(Objects!$HW$6,EB$1+(Objects!$Y$4-$A61-1)*Objects!$X$4,0)</f>
        <v>0</v>
      </c>
      <c r="EC61">
        <f ca="1">OFFSET(Objects!$HW$6,EC$1+(Objects!$Y$4-$A61-1)*Objects!$X$4,0)</f>
        <v>0</v>
      </c>
      <c r="ED61">
        <f ca="1">OFFSET(Objects!$HW$6,ED$1+(Objects!$Y$4-$A61-1)*Objects!$X$4,0)</f>
        <v>0</v>
      </c>
      <c r="EE61">
        <f ca="1">OFFSET(Objects!$HW$6,EE$1+(Objects!$Y$4-$A61-1)*Objects!$X$4,0)</f>
        <v>0</v>
      </c>
      <c r="EF61">
        <f ca="1">OFFSET(Objects!$HW$6,EF$1+(Objects!$Y$4-$A61-1)*Objects!$X$4,0)</f>
        <v>0</v>
      </c>
      <c r="EG61">
        <f ca="1">OFFSET(Objects!$HW$6,EG$1+(Objects!$Y$4-$A61-1)*Objects!$X$4,0)</f>
        <v>0</v>
      </c>
      <c r="EH61">
        <f ca="1">OFFSET(Objects!$HW$6,EH$1+(Objects!$Y$4-$A61-1)*Objects!$X$4,0)</f>
        <v>0</v>
      </c>
      <c r="EI61">
        <f ca="1">OFFSET(Objects!$HW$6,EI$1+(Objects!$Y$4-$A61-1)*Objects!$X$4,0)</f>
        <v>0</v>
      </c>
      <c r="EJ61">
        <f ca="1">OFFSET(Objects!$HW$6,EJ$1+(Objects!$Y$4-$A61-1)*Objects!$X$4,0)</f>
        <v>0</v>
      </c>
      <c r="EK61">
        <f ca="1">OFFSET(Objects!$HW$6,EK$1+(Objects!$Y$4-$A61-1)*Objects!$X$4,0)</f>
        <v>0</v>
      </c>
      <c r="EL61">
        <f ca="1">OFFSET(Objects!$HW$6,EL$1+(Objects!$Y$4-$A61-1)*Objects!$X$4,0)</f>
        <v>0</v>
      </c>
      <c r="EM61">
        <f ca="1">OFFSET(Objects!$HW$6,EM$1+(Objects!$Y$4-$A61-1)*Objects!$X$4,0)</f>
        <v>0</v>
      </c>
      <c r="EN61">
        <f ca="1">OFFSET(Objects!$HW$6,EN$1+(Objects!$Y$4-$A61-1)*Objects!$X$4,0)</f>
        <v>0</v>
      </c>
      <c r="EO61">
        <f ca="1">OFFSET(Objects!$HW$6,EO$1+(Objects!$Y$4-$A61-1)*Objects!$X$4,0)</f>
        <v>0</v>
      </c>
      <c r="EP61">
        <f ca="1">OFFSET(Objects!$HW$6,EP$1+(Objects!$Y$4-$A61-1)*Objects!$X$4,0)</f>
        <v>0</v>
      </c>
      <c r="EQ61">
        <f ca="1">OFFSET(Objects!$HW$6,EQ$1+(Objects!$Y$4-$A61-1)*Objects!$X$4,0)</f>
        <v>0</v>
      </c>
      <c r="ER61">
        <f ca="1">OFFSET(Objects!$HW$6,ER$1+(Objects!$Y$4-$A61-1)*Objects!$X$4,0)</f>
        <v>0</v>
      </c>
      <c r="ES61">
        <f ca="1">OFFSET(Objects!$HW$6,ES$1+(Objects!$Y$4-$A61-1)*Objects!$X$4,0)</f>
        <v>0</v>
      </c>
      <c r="ET61">
        <f ca="1">OFFSET(Objects!$HW$6,ET$1+(Objects!$Y$4-$A61-1)*Objects!$X$4,0)</f>
        <v>0</v>
      </c>
      <c r="EU61">
        <f ca="1">OFFSET(Objects!$HW$6,EU$1+(Objects!$Y$4-$A61-1)*Objects!$X$4,0)</f>
        <v>0</v>
      </c>
      <c r="EV61">
        <f ca="1">OFFSET(Objects!$HW$6,EV$1+(Objects!$Y$4-$A61-1)*Objects!$X$4,0)</f>
        <v>0</v>
      </c>
      <c r="EW61">
        <f ca="1">OFFSET(Objects!$HW$6,EW$1+(Objects!$Y$4-$A61-1)*Objects!$X$4,0)</f>
        <v>0</v>
      </c>
      <c r="EX61">
        <f ca="1">OFFSET(Objects!$HW$6,EX$1+(Objects!$Y$4-$A61-1)*Objects!$X$4,0)</f>
        <v>0</v>
      </c>
      <c r="EY61">
        <f ca="1">OFFSET(Objects!$HW$6,EY$1+(Objects!$Y$4-$A61-1)*Objects!$X$4,0)</f>
        <v>0</v>
      </c>
      <c r="EZ61">
        <f ca="1">OFFSET(Objects!$HW$6,EZ$1+(Objects!$Y$4-$A61-1)*Objects!$X$4,0)</f>
        <v>0</v>
      </c>
      <c r="FA61">
        <f ca="1">OFFSET(Objects!$HW$6,FA$1+(Objects!$Y$4-$A61-1)*Objects!$X$4,0)</f>
        <v>0</v>
      </c>
      <c r="FB61">
        <f ca="1">OFFSET(Objects!$HW$6,FB$1+(Objects!$Y$4-$A61-1)*Objects!$X$4,0)</f>
        <v>0</v>
      </c>
      <c r="FC61">
        <f ca="1">OFFSET(Objects!$HW$6,FC$1+(Objects!$Y$4-$A61-1)*Objects!$X$4,0)</f>
        <v>0</v>
      </c>
      <c r="FD61">
        <f ca="1">OFFSET(Objects!$HW$6,FD$1+(Objects!$Y$4-$A61-1)*Objects!$X$4,0)</f>
        <v>0</v>
      </c>
      <c r="FE61" s="22">
        <f ca="1">OFFSET(Objects!$HW$6,FE$1+(Objects!$Y$4-$A61-1)*Objects!$X$4,0)</f>
        <v>0</v>
      </c>
    </row>
    <row r="62" spans="1:161" ht="4.5" customHeight="1" x14ac:dyDescent="0.25">
      <c r="A62">
        <v>60</v>
      </c>
      <c r="B62" s="21">
        <f ca="1">OFFSET(Objects!$HW$6,B$1+(Objects!$Y$4-$A62-1)*Objects!$X$4,0)</f>
        <v>0</v>
      </c>
      <c r="C62">
        <f ca="1">OFFSET(Objects!$HW$6,C$1+(Objects!$Y$4-$A62-1)*Objects!$X$4,0)</f>
        <v>0</v>
      </c>
      <c r="D62">
        <f ca="1">OFFSET(Objects!$HW$6,D$1+(Objects!$Y$4-$A62-1)*Objects!$X$4,0)</f>
        <v>0</v>
      </c>
      <c r="E62">
        <f ca="1">OFFSET(Objects!$HW$6,E$1+(Objects!$Y$4-$A62-1)*Objects!$X$4,0)</f>
        <v>0</v>
      </c>
      <c r="F62">
        <f ca="1">OFFSET(Objects!$HW$6,F$1+(Objects!$Y$4-$A62-1)*Objects!$X$4,0)</f>
        <v>0</v>
      </c>
      <c r="G62">
        <f ca="1">OFFSET(Objects!$HW$6,G$1+(Objects!$Y$4-$A62-1)*Objects!$X$4,0)</f>
        <v>0</v>
      </c>
      <c r="H62">
        <f ca="1">OFFSET(Objects!$HW$6,H$1+(Objects!$Y$4-$A62-1)*Objects!$X$4,0)</f>
        <v>0</v>
      </c>
      <c r="I62">
        <f ca="1">OFFSET(Objects!$HW$6,I$1+(Objects!$Y$4-$A62-1)*Objects!$X$4,0)</f>
        <v>0</v>
      </c>
      <c r="J62">
        <f ca="1">OFFSET(Objects!$HW$6,J$1+(Objects!$Y$4-$A62-1)*Objects!$X$4,0)</f>
        <v>0</v>
      </c>
      <c r="K62">
        <f ca="1">OFFSET(Objects!$HW$6,K$1+(Objects!$Y$4-$A62-1)*Objects!$X$4,0)</f>
        <v>0</v>
      </c>
      <c r="L62">
        <f ca="1">OFFSET(Objects!$HW$6,L$1+(Objects!$Y$4-$A62-1)*Objects!$X$4,0)</f>
        <v>0</v>
      </c>
      <c r="M62">
        <f ca="1">OFFSET(Objects!$HW$6,M$1+(Objects!$Y$4-$A62-1)*Objects!$X$4,0)</f>
        <v>0</v>
      </c>
      <c r="N62">
        <f ca="1">OFFSET(Objects!$HW$6,N$1+(Objects!$Y$4-$A62-1)*Objects!$X$4,0)</f>
        <v>0</v>
      </c>
      <c r="O62">
        <f ca="1">OFFSET(Objects!$HW$6,O$1+(Objects!$Y$4-$A62-1)*Objects!$X$4,0)</f>
        <v>0</v>
      </c>
      <c r="P62">
        <f ca="1">OFFSET(Objects!$HW$6,P$1+(Objects!$Y$4-$A62-1)*Objects!$X$4,0)</f>
        <v>0</v>
      </c>
      <c r="Q62">
        <f ca="1">OFFSET(Objects!$HW$6,Q$1+(Objects!$Y$4-$A62-1)*Objects!$X$4,0)</f>
        <v>0</v>
      </c>
      <c r="R62">
        <f ca="1">OFFSET(Objects!$HW$6,R$1+(Objects!$Y$4-$A62-1)*Objects!$X$4,0)</f>
        <v>0</v>
      </c>
      <c r="S62">
        <f ca="1">OFFSET(Objects!$HW$6,S$1+(Objects!$Y$4-$A62-1)*Objects!$X$4,0)</f>
        <v>0</v>
      </c>
      <c r="T62">
        <f ca="1">OFFSET(Objects!$HW$6,T$1+(Objects!$Y$4-$A62-1)*Objects!$X$4,0)</f>
        <v>0</v>
      </c>
      <c r="U62">
        <f ca="1">OFFSET(Objects!$HW$6,U$1+(Objects!$Y$4-$A62-1)*Objects!$X$4,0)</f>
        <v>0</v>
      </c>
      <c r="V62">
        <f ca="1">OFFSET(Objects!$HW$6,V$1+(Objects!$Y$4-$A62-1)*Objects!$X$4,0)</f>
        <v>0</v>
      </c>
      <c r="W62">
        <f ca="1">OFFSET(Objects!$HW$6,W$1+(Objects!$Y$4-$A62-1)*Objects!$X$4,0)</f>
        <v>0</v>
      </c>
      <c r="X62">
        <f ca="1">OFFSET(Objects!$HW$6,X$1+(Objects!$Y$4-$A62-1)*Objects!$X$4,0)</f>
        <v>0</v>
      </c>
      <c r="Y62">
        <f ca="1">OFFSET(Objects!$HW$6,Y$1+(Objects!$Y$4-$A62-1)*Objects!$X$4,0)</f>
        <v>0</v>
      </c>
      <c r="Z62">
        <f ca="1">OFFSET(Objects!$HW$6,Z$1+(Objects!$Y$4-$A62-1)*Objects!$X$4,0)</f>
        <v>0</v>
      </c>
      <c r="AA62">
        <f ca="1">OFFSET(Objects!$HW$6,AA$1+(Objects!$Y$4-$A62-1)*Objects!$X$4,0)</f>
        <v>0</v>
      </c>
      <c r="AB62">
        <f ca="1">OFFSET(Objects!$HW$6,AB$1+(Objects!$Y$4-$A62-1)*Objects!$X$4,0)</f>
        <v>0</v>
      </c>
      <c r="AC62">
        <f ca="1">OFFSET(Objects!$HW$6,AC$1+(Objects!$Y$4-$A62-1)*Objects!$X$4,0)</f>
        <v>0</v>
      </c>
      <c r="AD62">
        <f ca="1">OFFSET(Objects!$HW$6,AD$1+(Objects!$Y$4-$A62-1)*Objects!$X$4,0)</f>
        <v>0</v>
      </c>
      <c r="AE62">
        <f ca="1">OFFSET(Objects!$HW$6,AE$1+(Objects!$Y$4-$A62-1)*Objects!$X$4,0)</f>
        <v>0</v>
      </c>
      <c r="AF62">
        <f ca="1">OFFSET(Objects!$HW$6,AF$1+(Objects!$Y$4-$A62-1)*Objects!$X$4,0)</f>
        <v>0</v>
      </c>
      <c r="AG62">
        <f ca="1">OFFSET(Objects!$HW$6,AG$1+(Objects!$Y$4-$A62-1)*Objects!$X$4,0)</f>
        <v>0</v>
      </c>
      <c r="AH62">
        <f ca="1">OFFSET(Objects!$HW$6,AH$1+(Objects!$Y$4-$A62-1)*Objects!$X$4,0)</f>
        <v>0</v>
      </c>
      <c r="AI62">
        <f ca="1">OFFSET(Objects!$HW$6,AI$1+(Objects!$Y$4-$A62-1)*Objects!$X$4,0)</f>
        <v>0</v>
      </c>
      <c r="AJ62">
        <f ca="1">OFFSET(Objects!$HW$6,AJ$1+(Objects!$Y$4-$A62-1)*Objects!$X$4,0)</f>
        <v>0</v>
      </c>
      <c r="AK62">
        <f ca="1">OFFSET(Objects!$HW$6,AK$1+(Objects!$Y$4-$A62-1)*Objects!$X$4,0)</f>
        <v>0</v>
      </c>
      <c r="AL62">
        <f ca="1">OFFSET(Objects!$HW$6,AL$1+(Objects!$Y$4-$A62-1)*Objects!$X$4,0)</f>
        <v>0</v>
      </c>
      <c r="AM62">
        <f ca="1">OFFSET(Objects!$HW$6,AM$1+(Objects!$Y$4-$A62-1)*Objects!$X$4,0)</f>
        <v>0</v>
      </c>
      <c r="AN62">
        <f ca="1">OFFSET(Objects!$HW$6,AN$1+(Objects!$Y$4-$A62-1)*Objects!$X$4,0)</f>
        <v>0</v>
      </c>
      <c r="AO62">
        <f ca="1">OFFSET(Objects!$HW$6,AO$1+(Objects!$Y$4-$A62-1)*Objects!$X$4,0)</f>
        <v>0</v>
      </c>
      <c r="AP62">
        <f ca="1">OFFSET(Objects!$HW$6,AP$1+(Objects!$Y$4-$A62-1)*Objects!$X$4,0)</f>
        <v>0</v>
      </c>
      <c r="AQ62">
        <f ca="1">OFFSET(Objects!$HW$6,AQ$1+(Objects!$Y$4-$A62-1)*Objects!$X$4,0)</f>
        <v>0</v>
      </c>
      <c r="AR62">
        <f ca="1">OFFSET(Objects!$HW$6,AR$1+(Objects!$Y$4-$A62-1)*Objects!$X$4,0)</f>
        <v>0</v>
      </c>
      <c r="AS62">
        <f ca="1">OFFSET(Objects!$HW$6,AS$1+(Objects!$Y$4-$A62-1)*Objects!$X$4,0)</f>
        <v>0</v>
      </c>
      <c r="AT62">
        <f ca="1">OFFSET(Objects!$HW$6,AT$1+(Objects!$Y$4-$A62-1)*Objects!$X$4,0)</f>
        <v>0</v>
      </c>
      <c r="AU62">
        <f ca="1">OFFSET(Objects!$HW$6,AU$1+(Objects!$Y$4-$A62-1)*Objects!$X$4,0)</f>
        <v>0</v>
      </c>
      <c r="AV62">
        <f ca="1">OFFSET(Objects!$HW$6,AV$1+(Objects!$Y$4-$A62-1)*Objects!$X$4,0)</f>
        <v>0</v>
      </c>
      <c r="AW62">
        <f ca="1">OFFSET(Objects!$HW$6,AW$1+(Objects!$Y$4-$A62-1)*Objects!$X$4,0)</f>
        <v>0</v>
      </c>
      <c r="AX62">
        <f ca="1">OFFSET(Objects!$HW$6,AX$1+(Objects!$Y$4-$A62-1)*Objects!$X$4,0)</f>
        <v>0</v>
      </c>
      <c r="AY62">
        <f ca="1">OFFSET(Objects!$HW$6,AY$1+(Objects!$Y$4-$A62-1)*Objects!$X$4,0)</f>
        <v>0</v>
      </c>
      <c r="AZ62">
        <f ca="1">OFFSET(Objects!$HW$6,AZ$1+(Objects!$Y$4-$A62-1)*Objects!$X$4,0)</f>
        <v>0</v>
      </c>
      <c r="BA62">
        <f ca="1">OFFSET(Objects!$HW$6,BA$1+(Objects!$Y$4-$A62-1)*Objects!$X$4,0)</f>
        <v>0</v>
      </c>
      <c r="BB62">
        <f ca="1">OFFSET(Objects!$HW$6,BB$1+(Objects!$Y$4-$A62-1)*Objects!$X$4,0)</f>
        <v>0</v>
      </c>
      <c r="BC62">
        <f ca="1">OFFSET(Objects!$HW$6,BC$1+(Objects!$Y$4-$A62-1)*Objects!$X$4,0)</f>
        <v>0</v>
      </c>
      <c r="BD62">
        <f ca="1">OFFSET(Objects!$HW$6,BD$1+(Objects!$Y$4-$A62-1)*Objects!$X$4,0)</f>
        <v>0</v>
      </c>
      <c r="BE62">
        <f ca="1">OFFSET(Objects!$HW$6,BE$1+(Objects!$Y$4-$A62-1)*Objects!$X$4,0)</f>
        <v>0</v>
      </c>
      <c r="BF62">
        <f ca="1">OFFSET(Objects!$HW$6,BF$1+(Objects!$Y$4-$A62-1)*Objects!$X$4,0)</f>
        <v>0</v>
      </c>
      <c r="BG62">
        <f ca="1">OFFSET(Objects!$HW$6,BG$1+(Objects!$Y$4-$A62-1)*Objects!$X$4,0)</f>
        <v>0</v>
      </c>
      <c r="BH62">
        <f ca="1">OFFSET(Objects!$HW$6,BH$1+(Objects!$Y$4-$A62-1)*Objects!$X$4,0)</f>
        <v>0</v>
      </c>
      <c r="BI62">
        <f ca="1">OFFSET(Objects!$HW$6,BI$1+(Objects!$Y$4-$A62-1)*Objects!$X$4,0)</f>
        <v>0</v>
      </c>
      <c r="BJ62">
        <f ca="1">OFFSET(Objects!$HW$6,BJ$1+(Objects!$Y$4-$A62-1)*Objects!$X$4,0)</f>
        <v>0</v>
      </c>
      <c r="BK62">
        <f ca="1">OFFSET(Objects!$HW$6,BK$1+(Objects!$Y$4-$A62-1)*Objects!$X$4,0)</f>
        <v>0</v>
      </c>
      <c r="BL62">
        <f ca="1">OFFSET(Objects!$HW$6,BL$1+(Objects!$Y$4-$A62-1)*Objects!$X$4,0)</f>
        <v>0</v>
      </c>
      <c r="BM62">
        <f ca="1">OFFSET(Objects!$HW$6,BM$1+(Objects!$Y$4-$A62-1)*Objects!$X$4,0)</f>
        <v>0</v>
      </c>
      <c r="BN62">
        <f ca="1">OFFSET(Objects!$HW$6,BN$1+(Objects!$Y$4-$A62-1)*Objects!$X$4,0)</f>
        <v>0</v>
      </c>
      <c r="BO62">
        <f ca="1">OFFSET(Objects!$HW$6,BO$1+(Objects!$Y$4-$A62-1)*Objects!$X$4,0)</f>
        <v>0</v>
      </c>
      <c r="BP62">
        <f ca="1">OFFSET(Objects!$HW$6,BP$1+(Objects!$Y$4-$A62-1)*Objects!$X$4,0)</f>
        <v>0</v>
      </c>
      <c r="BQ62">
        <f ca="1">OFFSET(Objects!$HW$6,BQ$1+(Objects!$Y$4-$A62-1)*Objects!$X$4,0)</f>
        <v>0</v>
      </c>
      <c r="BR62">
        <f ca="1">OFFSET(Objects!$HW$6,BR$1+(Objects!$Y$4-$A62-1)*Objects!$X$4,0)</f>
        <v>0</v>
      </c>
      <c r="BS62">
        <f ca="1">OFFSET(Objects!$HW$6,BS$1+(Objects!$Y$4-$A62-1)*Objects!$X$4,0)</f>
        <v>0</v>
      </c>
      <c r="BT62">
        <f ca="1">OFFSET(Objects!$HW$6,BT$1+(Objects!$Y$4-$A62-1)*Objects!$X$4,0)</f>
        <v>0</v>
      </c>
      <c r="BU62">
        <f ca="1">OFFSET(Objects!$HW$6,BU$1+(Objects!$Y$4-$A62-1)*Objects!$X$4,0)</f>
        <v>0</v>
      </c>
      <c r="BV62">
        <f ca="1">OFFSET(Objects!$HW$6,BV$1+(Objects!$Y$4-$A62-1)*Objects!$X$4,0)</f>
        <v>0</v>
      </c>
      <c r="BW62">
        <f ca="1">OFFSET(Objects!$HW$6,BW$1+(Objects!$Y$4-$A62-1)*Objects!$X$4,0)</f>
        <v>0</v>
      </c>
      <c r="BX62">
        <f ca="1">OFFSET(Objects!$HW$6,BX$1+(Objects!$Y$4-$A62-1)*Objects!$X$4,0)</f>
        <v>0</v>
      </c>
      <c r="BY62">
        <f ca="1">OFFSET(Objects!$HW$6,BY$1+(Objects!$Y$4-$A62-1)*Objects!$X$4,0)</f>
        <v>0</v>
      </c>
      <c r="BZ62">
        <f ca="1">OFFSET(Objects!$HW$6,BZ$1+(Objects!$Y$4-$A62-1)*Objects!$X$4,0)</f>
        <v>0</v>
      </c>
      <c r="CA62">
        <f ca="1">OFFSET(Objects!$HW$6,CA$1+(Objects!$Y$4-$A62-1)*Objects!$X$4,0)</f>
        <v>0</v>
      </c>
      <c r="CB62">
        <f ca="1">OFFSET(Objects!$HW$6,CB$1+(Objects!$Y$4-$A62-1)*Objects!$X$4,0)</f>
        <v>0</v>
      </c>
      <c r="CC62">
        <f ca="1">OFFSET(Objects!$HW$6,CC$1+(Objects!$Y$4-$A62-1)*Objects!$X$4,0)</f>
        <v>0</v>
      </c>
      <c r="CD62">
        <f ca="1">OFFSET(Objects!$HW$6,CD$1+(Objects!$Y$4-$A62-1)*Objects!$X$4,0)</f>
        <v>0</v>
      </c>
      <c r="CE62">
        <f ca="1">OFFSET(Objects!$HW$6,CE$1+(Objects!$Y$4-$A62-1)*Objects!$X$4,0)</f>
        <v>0</v>
      </c>
      <c r="CF62">
        <f ca="1">OFFSET(Objects!$HW$6,CF$1+(Objects!$Y$4-$A62-1)*Objects!$X$4,0)</f>
        <v>0</v>
      </c>
      <c r="CG62">
        <f ca="1">OFFSET(Objects!$HW$6,CG$1+(Objects!$Y$4-$A62-1)*Objects!$X$4,0)</f>
        <v>0</v>
      </c>
      <c r="CH62">
        <f ca="1">OFFSET(Objects!$HW$6,CH$1+(Objects!$Y$4-$A62-1)*Objects!$X$4,0)</f>
        <v>0</v>
      </c>
      <c r="CI62">
        <f ca="1">OFFSET(Objects!$HW$6,CI$1+(Objects!$Y$4-$A62-1)*Objects!$X$4,0)</f>
        <v>0</v>
      </c>
      <c r="CJ62">
        <f ca="1">OFFSET(Objects!$HW$6,CJ$1+(Objects!$Y$4-$A62-1)*Objects!$X$4,0)</f>
        <v>0</v>
      </c>
      <c r="CK62">
        <f ca="1">OFFSET(Objects!$HW$6,CK$1+(Objects!$Y$4-$A62-1)*Objects!$X$4,0)</f>
        <v>0</v>
      </c>
      <c r="CL62">
        <f ca="1">OFFSET(Objects!$HW$6,CL$1+(Objects!$Y$4-$A62-1)*Objects!$X$4,0)</f>
        <v>0</v>
      </c>
      <c r="CM62">
        <f ca="1">OFFSET(Objects!$HW$6,CM$1+(Objects!$Y$4-$A62-1)*Objects!$X$4,0)</f>
        <v>0</v>
      </c>
      <c r="CN62">
        <f ca="1">OFFSET(Objects!$HW$6,CN$1+(Objects!$Y$4-$A62-1)*Objects!$X$4,0)</f>
        <v>0</v>
      </c>
      <c r="CO62">
        <f ca="1">OFFSET(Objects!$HW$6,CO$1+(Objects!$Y$4-$A62-1)*Objects!$X$4,0)</f>
        <v>0</v>
      </c>
      <c r="CP62">
        <f ca="1">OFFSET(Objects!$HW$6,CP$1+(Objects!$Y$4-$A62-1)*Objects!$X$4,0)</f>
        <v>0</v>
      </c>
      <c r="CQ62">
        <f ca="1">OFFSET(Objects!$HW$6,CQ$1+(Objects!$Y$4-$A62-1)*Objects!$X$4,0)</f>
        <v>0</v>
      </c>
      <c r="CR62">
        <f ca="1">OFFSET(Objects!$HW$6,CR$1+(Objects!$Y$4-$A62-1)*Objects!$X$4,0)</f>
        <v>0</v>
      </c>
      <c r="CS62">
        <f ca="1">OFFSET(Objects!$HW$6,CS$1+(Objects!$Y$4-$A62-1)*Objects!$X$4,0)</f>
        <v>0</v>
      </c>
      <c r="CT62">
        <f ca="1">OFFSET(Objects!$HW$6,CT$1+(Objects!$Y$4-$A62-1)*Objects!$X$4,0)</f>
        <v>0</v>
      </c>
      <c r="CU62">
        <f ca="1">OFFSET(Objects!$HW$6,CU$1+(Objects!$Y$4-$A62-1)*Objects!$X$4,0)</f>
        <v>0</v>
      </c>
      <c r="CV62">
        <f ca="1">OFFSET(Objects!$HW$6,CV$1+(Objects!$Y$4-$A62-1)*Objects!$X$4,0)</f>
        <v>0</v>
      </c>
      <c r="CW62">
        <f ca="1">OFFSET(Objects!$HW$6,CW$1+(Objects!$Y$4-$A62-1)*Objects!$X$4,0)</f>
        <v>0</v>
      </c>
      <c r="CX62">
        <f ca="1">OFFSET(Objects!$HW$6,CX$1+(Objects!$Y$4-$A62-1)*Objects!$X$4,0)</f>
        <v>0</v>
      </c>
      <c r="CY62">
        <f ca="1">OFFSET(Objects!$HW$6,CY$1+(Objects!$Y$4-$A62-1)*Objects!$X$4,0)</f>
        <v>0</v>
      </c>
      <c r="CZ62">
        <f ca="1">OFFSET(Objects!$HW$6,CZ$1+(Objects!$Y$4-$A62-1)*Objects!$X$4,0)</f>
        <v>0</v>
      </c>
      <c r="DA62">
        <f ca="1">OFFSET(Objects!$HW$6,DA$1+(Objects!$Y$4-$A62-1)*Objects!$X$4,0)</f>
        <v>0</v>
      </c>
      <c r="DB62">
        <f ca="1">OFFSET(Objects!$HW$6,DB$1+(Objects!$Y$4-$A62-1)*Objects!$X$4,0)</f>
        <v>0</v>
      </c>
      <c r="DC62">
        <f ca="1">OFFSET(Objects!$HW$6,DC$1+(Objects!$Y$4-$A62-1)*Objects!$X$4,0)</f>
        <v>0</v>
      </c>
      <c r="DD62">
        <f ca="1">OFFSET(Objects!$HW$6,DD$1+(Objects!$Y$4-$A62-1)*Objects!$X$4,0)</f>
        <v>0</v>
      </c>
      <c r="DE62">
        <f ca="1">OFFSET(Objects!$HW$6,DE$1+(Objects!$Y$4-$A62-1)*Objects!$X$4,0)</f>
        <v>0</v>
      </c>
      <c r="DF62">
        <f ca="1">OFFSET(Objects!$HW$6,DF$1+(Objects!$Y$4-$A62-1)*Objects!$X$4,0)</f>
        <v>0</v>
      </c>
      <c r="DG62">
        <f ca="1">OFFSET(Objects!$HW$6,DG$1+(Objects!$Y$4-$A62-1)*Objects!$X$4,0)</f>
        <v>0</v>
      </c>
      <c r="DH62">
        <f ca="1">OFFSET(Objects!$HW$6,DH$1+(Objects!$Y$4-$A62-1)*Objects!$X$4,0)</f>
        <v>0</v>
      </c>
      <c r="DI62">
        <f ca="1">OFFSET(Objects!$HW$6,DI$1+(Objects!$Y$4-$A62-1)*Objects!$X$4,0)</f>
        <v>0</v>
      </c>
      <c r="DJ62">
        <f ca="1">OFFSET(Objects!$HW$6,DJ$1+(Objects!$Y$4-$A62-1)*Objects!$X$4,0)</f>
        <v>0</v>
      </c>
      <c r="DK62">
        <f ca="1">OFFSET(Objects!$HW$6,DK$1+(Objects!$Y$4-$A62-1)*Objects!$X$4,0)</f>
        <v>0</v>
      </c>
      <c r="DL62">
        <f ca="1">OFFSET(Objects!$HW$6,DL$1+(Objects!$Y$4-$A62-1)*Objects!$X$4,0)</f>
        <v>0</v>
      </c>
      <c r="DM62">
        <f ca="1">OFFSET(Objects!$HW$6,DM$1+(Objects!$Y$4-$A62-1)*Objects!$X$4,0)</f>
        <v>0</v>
      </c>
      <c r="DN62">
        <f ca="1">OFFSET(Objects!$HW$6,DN$1+(Objects!$Y$4-$A62-1)*Objects!$X$4,0)</f>
        <v>0</v>
      </c>
      <c r="DO62">
        <f ca="1">OFFSET(Objects!$HW$6,DO$1+(Objects!$Y$4-$A62-1)*Objects!$X$4,0)</f>
        <v>0</v>
      </c>
      <c r="DP62">
        <f ca="1">OFFSET(Objects!$HW$6,DP$1+(Objects!$Y$4-$A62-1)*Objects!$X$4,0)</f>
        <v>0</v>
      </c>
      <c r="DQ62">
        <f ca="1">OFFSET(Objects!$HW$6,DQ$1+(Objects!$Y$4-$A62-1)*Objects!$X$4,0)</f>
        <v>0</v>
      </c>
      <c r="DR62">
        <f ca="1">OFFSET(Objects!$HW$6,DR$1+(Objects!$Y$4-$A62-1)*Objects!$X$4,0)</f>
        <v>0</v>
      </c>
      <c r="DS62">
        <f ca="1">OFFSET(Objects!$HW$6,DS$1+(Objects!$Y$4-$A62-1)*Objects!$X$4,0)</f>
        <v>0</v>
      </c>
      <c r="DT62">
        <f ca="1">OFFSET(Objects!$HW$6,DT$1+(Objects!$Y$4-$A62-1)*Objects!$X$4,0)</f>
        <v>0</v>
      </c>
      <c r="DU62">
        <f ca="1">OFFSET(Objects!$HW$6,DU$1+(Objects!$Y$4-$A62-1)*Objects!$X$4,0)</f>
        <v>0</v>
      </c>
      <c r="DV62">
        <f ca="1">OFFSET(Objects!$HW$6,DV$1+(Objects!$Y$4-$A62-1)*Objects!$X$4,0)</f>
        <v>0</v>
      </c>
      <c r="DW62">
        <f ca="1">OFFSET(Objects!$HW$6,DW$1+(Objects!$Y$4-$A62-1)*Objects!$X$4,0)</f>
        <v>0</v>
      </c>
      <c r="DX62">
        <f ca="1">OFFSET(Objects!$HW$6,DX$1+(Objects!$Y$4-$A62-1)*Objects!$X$4,0)</f>
        <v>0</v>
      </c>
      <c r="DY62">
        <f ca="1">OFFSET(Objects!$HW$6,DY$1+(Objects!$Y$4-$A62-1)*Objects!$X$4,0)</f>
        <v>0</v>
      </c>
      <c r="DZ62">
        <f ca="1">OFFSET(Objects!$HW$6,DZ$1+(Objects!$Y$4-$A62-1)*Objects!$X$4,0)</f>
        <v>0</v>
      </c>
      <c r="EA62">
        <f ca="1">OFFSET(Objects!$HW$6,EA$1+(Objects!$Y$4-$A62-1)*Objects!$X$4,0)</f>
        <v>0</v>
      </c>
      <c r="EB62">
        <f ca="1">OFFSET(Objects!$HW$6,EB$1+(Objects!$Y$4-$A62-1)*Objects!$X$4,0)</f>
        <v>0</v>
      </c>
      <c r="EC62">
        <f ca="1">OFFSET(Objects!$HW$6,EC$1+(Objects!$Y$4-$A62-1)*Objects!$X$4,0)</f>
        <v>0</v>
      </c>
      <c r="ED62">
        <f ca="1">OFFSET(Objects!$HW$6,ED$1+(Objects!$Y$4-$A62-1)*Objects!$X$4,0)</f>
        <v>0</v>
      </c>
      <c r="EE62">
        <f ca="1">OFFSET(Objects!$HW$6,EE$1+(Objects!$Y$4-$A62-1)*Objects!$X$4,0)</f>
        <v>0</v>
      </c>
      <c r="EF62">
        <f ca="1">OFFSET(Objects!$HW$6,EF$1+(Objects!$Y$4-$A62-1)*Objects!$X$4,0)</f>
        <v>0</v>
      </c>
      <c r="EG62">
        <f ca="1">OFFSET(Objects!$HW$6,EG$1+(Objects!$Y$4-$A62-1)*Objects!$X$4,0)</f>
        <v>0</v>
      </c>
      <c r="EH62">
        <f ca="1">OFFSET(Objects!$HW$6,EH$1+(Objects!$Y$4-$A62-1)*Objects!$X$4,0)</f>
        <v>0</v>
      </c>
      <c r="EI62">
        <f ca="1">OFFSET(Objects!$HW$6,EI$1+(Objects!$Y$4-$A62-1)*Objects!$X$4,0)</f>
        <v>0</v>
      </c>
      <c r="EJ62">
        <f ca="1">OFFSET(Objects!$HW$6,EJ$1+(Objects!$Y$4-$A62-1)*Objects!$X$4,0)</f>
        <v>0</v>
      </c>
      <c r="EK62">
        <f ca="1">OFFSET(Objects!$HW$6,EK$1+(Objects!$Y$4-$A62-1)*Objects!$X$4,0)</f>
        <v>0</v>
      </c>
      <c r="EL62">
        <f ca="1">OFFSET(Objects!$HW$6,EL$1+(Objects!$Y$4-$A62-1)*Objects!$X$4,0)</f>
        <v>0</v>
      </c>
      <c r="EM62">
        <f ca="1">OFFSET(Objects!$HW$6,EM$1+(Objects!$Y$4-$A62-1)*Objects!$X$4,0)</f>
        <v>0</v>
      </c>
      <c r="EN62">
        <f ca="1">OFFSET(Objects!$HW$6,EN$1+(Objects!$Y$4-$A62-1)*Objects!$X$4,0)</f>
        <v>0</v>
      </c>
      <c r="EO62">
        <f ca="1">OFFSET(Objects!$HW$6,EO$1+(Objects!$Y$4-$A62-1)*Objects!$X$4,0)</f>
        <v>0</v>
      </c>
      <c r="EP62">
        <f ca="1">OFFSET(Objects!$HW$6,EP$1+(Objects!$Y$4-$A62-1)*Objects!$X$4,0)</f>
        <v>0</v>
      </c>
      <c r="EQ62">
        <f ca="1">OFFSET(Objects!$HW$6,EQ$1+(Objects!$Y$4-$A62-1)*Objects!$X$4,0)</f>
        <v>0</v>
      </c>
      <c r="ER62">
        <f ca="1">OFFSET(Objects!$HW$6,ER$1+(Objects!$Y$4-$A62-1)*Objects!$X$4,0)</f>
        <v>0</v>
      </c>
      <c r="ES62">
        <f ca="1">OFFSET(Objects!$HW$6,ES$1+(Objects!$Y$4-$A62-1)*Objects!$X$4,0)</f>
        <v>0</v>
      </c>
      <c r="ET62">
        <f ca="1">OFFSET(Objects!$HW$6,ET$1+(Objects!$Y$4-$A62-1)*Objects!$X$4,0)</f>
        <v>0</v>
      </c>
      <c r="EU62">
        <f ca="1">OFFSET(Objects!$HW$6,EU$1+(Objects!$Y$4-$A62-1)*Objects!$X$4,0)</f>
        <v>0</v>
      </c>
      <c r="EV62">
        <f ca="1">OFFSET(Objects!$HW$6,EV$1+(Objects!$Y$4-$A62-1)*Objects!$X$4,0)</f>
        <v>0</v>
      </c>
      <c r="EW62">
        <f ca="1">OFFSET(Objects!$HW$6,EW$1+(Objects!$Y$4-$A62-1)*Objects!$X$4,0)</f>
        <v>0</v>
      </c>
      <c r="EX62">
        <f ca="1">OFFSET(Objects!$HW$6,EX$1+(Objects!$Y$4-$A62-1)*Objects!$X$4,0)</f>
        <v>0</v>
      </c>
      <c r="EY62">
        <f ca="1">OFFSET(Objects!$HW$6,EY$1+(Objects!$Y$4-$A62-1)*Objects!$X$4,0)</f>
        <v>0</v>
      </c>
      <c r="EZ62">
        <f ca="1">OFFSET(Objects!$HW$6,EZ$1+(Objects!$Y$4-$A62-1)*Objects!$X$4,0)</f>
        <v>0</v>
      </c>
      <c r="FA62">
        <f ca="1">OFFSET(Objects!$HW$6,FA$1+(Objects!$Y$4-$A62-1)*Objects!$X$4,0)</f>
        <v>0</v>
      </c>
      <c r="FB62">
        <f ca="1">OFFSET(Objects!$HW$6,FB$1+(Objects!$Y$4-$A62-1)*Objects!$X$4,0)</f>
        <v>0</v>
      </c>
      <c r="FC62">
        <f ca="1">OFFSET(Objects!$HW$6,FC$1+(Objects!$Y$4-$A62-1)*Objects!$X$4,0)</f>
        <v>0</v>
      </c>
      <c r="FD62">
        <f ca="1">OFFSET(Objects!$HW$6,FD$1+(Objects!$Y$4-$A62-1)*Objects!$X$4,0)</f>
        <v>0</v>
      </c>
      <c r="FE62" s="22">
        <f ca="1">OFFSET(Objects!$HW$6,FE$1+(Objects!$Y$4-$A62-1)*Objects!$X$4,0)</f>
        <v>0</v>
      </c>
    </row>
    <row r="63" spans="1:161" ht="4.5" customHeight="1" x14ac:dyDescent="0.25">
      <c r="A63">
        <v>61</v>
      </c>
      <c r="B63" s="21">
        <f ca="1">OFFSET(Objects!$HW$6,B$1+(Objects!$Y$4-$A63-1)*Objects!$X$4,0)</f>
        <v>0</v>
      </c>
      <c r="C63">
        <f ca="1">OFFSET(Objects!$HW$6,C$1+(Objects!$Y$4-$A63-1)*Objects!$X$4,0)</f>
        <v>0</v>
      </c>
      <c r="D63">
        <f ca="1">OFFSET(Objects!$HW$6,D$1+(Objects!$Y$4-$A63-1)*Objects!$X$4,0)</f>
        <v>0</v>
      </c>
      <c r="E63">
        <f ca="1">OFFSET(Objects!$HW$6,E$1+(Objects!$Y$4-$A63-1)*Objects!$X$4,0)</f>
        <v>0</v>
      </c>
      <c r="F63">
        <f ca="1">OFFSET(Objects!$HW$6,F$1+(Objects!$Y$4-$A63-1)*Objects!$X$4,0)</f>
        <v>0</v>
      </c>
      <c r="G63">
        <f ca="1">OFFSET(Objects!$HW$6,G$1+(Objects!$Y$4-$A63-1)*Objects!$X$4,0)</f>
        <v>0</v>
      </c>
      <c r="H63">
        <f ca="1">OFFSET(Objects!$HW$6,H$1+(Objects!$Y$4-$A63-1)*Objects!$X$4,0)</f>
        <v>0</v>
      </c>
      <c r="I63">
        <f ca="1">OFFSET(Objects!$HW$6,I$1+(Objects!$Y$4-$A63-1)*Objects!$X$4,0)</f>
        <v>0</v>
      </c>
      <c r="J63">
        <f ca="1">OFFSET(Objects!$HW$6,J$1+(Objects!$Y$4-$A63-1)*Objects!$X$4,0)</f>
        <v>0</v>
      </c>
      <c r="K63">
        <f ca="1">OFFSET(Objects!$HW$6,K$1+(Objects!$Y$4-$A63-1)*Objects!$X$4,0)</f>
        <v>0</v>
      </c>
      <c r="L63">
        <f ca="1">OFFSET(Objects!$HW$6,L$1+(Objects!$Y$4-$A63-1)*Objects!$X$4,0)</f>
        <v>0</v>
      </c>
      <c r="M63">
        <f ca="1">OFFSET(Objects!$HW$6,M$1+(Objects!$Y$4-$A63-1)*Objects!$X$4,0)</f>
        <v>0</v>
      </c>
      <c r="N63">
        <f ca="1">OFFSET(Objects!$HW$6,N$1+(Objects!$Y$4-$A63-1)*Objects!$X$4,0)</f>
        <v>0</v>
      </c>
      <c r="O63">
        <f ca="1">OFFSET(Objects!$HW$6,O$1+(Objects!$Y$4-$A63-1)*Objects!$X$4,0)</f>
        <v>0</v>
      </c>
      <c r="P63">
        <f ca="1">OFFSET(Objects!$HW$6,P$1+(Objects!$Y$4-$A63-1)*Objects!$X$4,0)</f>
        <v>0</v>
      </c>
      <c r="Q63">
        <f ca="1">OFFSET(Objects!$HW$6,Q$1+(Objects!$Y$4-$A63-1)*Objects!$X$4,0)</f>
        <v>0</v>
      </c>
      <c r="R63">
        <f ca="1">OFFSET(Objects!$HW$6,R$1+(Objects!$Y$4-$A63-1)*Objects!$X$4,0)</f>
        <v>0</v>
      </c>
      <c r="S63">
        <f ca="1">OFFSET(Objects!$HW$6,S$1+(Objects!$Y$4-$A63-1)*Objects!$X$4,0)</f>
        <v>0</v>
      </c>
      <c r="T63">
        <f ca="1">OFFSET(Objects!$HW$6,T$1+(Objects!$Y$4-$A63-1)*Objects!$X$4,0)</f>
        <v>0</v>
      </c>
      <c r="U63">
        <f ca="1">OFFSET(Objects!$HW$6,U$1+(Objects!$Y$4-$A63-1)*Objects!$X$4,0)</f>
        <v>0</v>
      </c>
      <c r="V63">
        <f ca="1">OFFSET(Objects!$HW$6,V$1+(Objects!$Y$4-$A63-1)*Objects!$X$4,0)</f>
        <v>0</v>
      </c>
      <c r="W63">
        <f ca="1">OFFSET(Objects!$HW$6,W$1+(Objects!$Y$4-$A63-1)*Objects!$X$4,0)</f>
        <v>0</v>
      </c>
      <c r="X63">
        <f ca="1">OFFSET(Objects!$HW$6,X$1+(Objects!$Y$4-$A63-1)*Objects!$X$4,0)</f>
        <v>0</v>
      </c>
      <c r="Y63">
        <f ca="1">OFFSET(Objects!$HW$6,Y$1+(Objects!$Y$4-$A63-1)*Objects!$X$4,0)</f>
        <v>0</v>
      </c>
      <c r="Z63">
        <f ca="1">OFFSET(Objects!$HW$6,Z$1+(Objects!$Y$4-$A63-1)*Objects!$X$4,0)</f>
        <v>0</v>
      </c>
      <c r="AA63">
        <f ca="1">OFFSET(Objects!$HW$6,AA$1+(Objects!$Y$4-$A63-1)*Objects!$X$4,0)</f>
        <v>0</v>
      </c>
      <c r="AB63">
        <f ca="1">OFFSET(Objects!$HW$6,AB$1+(Objects!$Y$4-$A63-1)*Objects!$X$4,0)</f>
        <v>0</v>
      </c>
      <c r="AC63">
        <f ca="1">OFFSET(Objects!$HW$6,AC$1+(Objects!$Y$4-$A63-1)*Objects!$X$4,0)</f>
        <v>0</v>
      </c>
      <c r="AD63">
        <f ca="1">OFFSET(Objects!$HW$6,AD$1+(Objects!$Y$4-$A63-1)*Objects!$X$4,0)</f>
        <v>0</v>
      </c>
      <c r="AE63">
        <f ca="1">OFFSET(Objects!$HW$6,AE$1+(Objects!$Y$4-$A63-1)*Objects!$X$4,0)</f>
        <v>0</v>
      </c>
      <c r="AF63">
        <f ca="1">OFFSET(Objects!$HW$6,AF$1+(Objects!$Y$4-$A63-1)*Objects!$X$4,0)</f>
        <v>0</v>
      </c>
      <c r="AG63">
        <f ca="1">OFFSET(Objects!$HW$6,AG$1+(Objects!$Y$4-$A63-1)*Objects!$X$4,0)</f>
        <v>0</v>
      </c>
      <c r="AH63">
        <f ca="1">OFFSET(Objects!$HW$6,AH$1+(Objects!$Y$4-$A63-1)*Objects!$X$4,0)</f>
        <v>0</v>
      </c>
      <c r="AI63">
        <f ca="1">OFFSET(Objects!$HW$6,AI$1+(Objects!$Y$4-$A63-1)*Objects!$X$4,0)</f>
        <v>0</v>
      </c>
      <c r="AJ63">
        <f ca="1">OFFSET(Objects!$HW$6,AJ$1+(Objects!$Y$4-$A63-1)*Objects!$X$4,0)</f>
        <v>0</v>
      </c>
      <c r="AK63">
        <f ca="1">OFFSET(Objects!$HW$6,AK$1+(Objects!$Y$4-$A63-1)*Objects!$X$4,0)</f>
        <v>0</v>
      </c>
      <c r="AL63">
        <f ca="1">OFFSET(Objects!$HW$6,AL$1+(Objects!$Y$4-$A63-1)*Objects!$X$4,0)</f>
        <v>0</v>
      </c>
      <c r="AM63">
        <f ca="1">OFFSET(Objects!$HW$6,AM$1+(Objects!$Y$4-$A63-1)*Objects!$X$4,0)</f>
        <v>0</v>
      </c>
      <c r="AN63">
        <f ca="1">OFFSET(Objects!$HW$6,AN$1+(Objects!$Y$4-$A63-1)*Objects!$X$4,0)</f>
        <v>0</v>
      </c>
      <c r="AO63">
        <f ca="1">OFFSET(Objects!$HW$6,AO$1+(Objects!$Y$4-$A63-1)*Objects!$X$4,0)</f>
        <v>0</v>
      </c>
      <c r="AP63">
        <f ca="1">OFFSET(Objects!$HW$6,AP$1+(Objects!$Y$4-$A63-1)*Objects!$X$4,0)</f>
        <v>0</v>
      </c>
      <c r="AQ63">
        <f ca="1">OFFSET(Objects!$HW$6,AQ$1+(Objects!$Y$4-$A63-1)*Objects!$X$4,0)</f>
        <v>0</v>
      </c>
      <c r="AR63">
        <f ca="1">OFFSET(Objects!$HW$6,AR$1+(Objects!$Y$4-$A63-1)*Objects!$X$4,0)</f>
        <v>0</v>
      </c>
      <c r="AS63">
        <f ca="1">OFFSET(Objects!$HW$6,AS$1+(Objects!$Y$4-$A63-1)*Objects!$X$4,0)</f>
        <v>0</v>
      </c>
      <c r="AT63">
        <f ca="1">OFFSET(Objects!$HW$6,AT$1+(Objects!$Y$4-$A63-1)*Objects!$X$4,0)</f>
        <v>0</v>
      </c>
      <c r="AU63">
        <f ca="1">OFFSET(Objects!$HW$6,AU$1+(Objects!$Y$4-$A63-1)*Objects!$X$4,0)</f>
        <v>0</v>
      </c>
      <c r="AV63">
        <f ca="1">OFFSET(Objects!$HW$6,AV$1+(Objects!$Y$4-$A63-1)*Objects!$X$4,0)</f>
        <v>0</v>
      </c>
      <c r="AW63">
        <f ca="1">OFFSET(Objects!$HW$6,AW$1+(Objects!$Y$4-$A63-1)*Objects!$X$4,0)</f>
        <v>0</v>
      </c>
      <c r="AX63">
        <f ca="1">OFFSET(Objects!$HW$6,AX$1+(Objects!$Y$4-$A63-1)*Objects!$X$4,0)</f>
        <v>0</v>
      </c>
      <c r="AY63">
        <f ca="1">OFFSET(Objects!$HW$6,AY$1+(Objects!$Y$4-$A63-1)*Objects!$X$4,0)</f>
        <v>0</v>
      </c>
      <c r="AZ63">
        <f ca="1">OFFSET(Objects!$HW$6,AZ$1+(Objects!$Y$4-$A63-1)*Objects!$X$4,0)</f>
        <v>0</v>
      </c>
      <c r="BA63">
        <f ca="1">OFFSET(Objects!$HW$6,BA$1+(Objects!$Y$4-$A63-1)*Objects!$X$4,0)</f>
        <v>0</v>
      </c>
      <c r="BB63">
        <f ca="1">OFFSET(Objects!$HW$6,BB$1+(Objects!$Y$4-$A63-1)*Objects!$X$4,0)</f>
        <v>0</v>
      </c>
      <c r="BC63">
        <f ca="1">OFFSET(Objects!$HW$6,BC$1+(Objects!$Y$4-$A63-1)*Objects!$X$4,0)</f>
        <v>0</v>
      </c>
      <c r="BD63">
        <f ca="1">OFFSET(Objects!$HW$6,BD$1+(Objects!$Y$4-$A63-1)*Objects!$X$4,0)</f>
        <v>0</v>
      </c>
      <c r="BE63">
        <f ca="1">OFFSET(Objects!$HW$6,BE$1+(Objects!$Y$4-$A63-1)*Objects!$X$4,0)</f>
        <v>0</v>
      </c>
      <c r="BF63">
        <f ca="1">OFFSET(Objects!$HW$6,BF$1+(Objects!$Y$4-$A63-1)*Objects!$X$4,0)</f>
        <v>0</v>
      </c>
      <c r="BG63">
        <f ca="1">OFFSET(Objects!$HW$6,BG$1+(Objects!$Y$4-$A63-1)*Objects!$X$4,0)</f>
        <v>0</v>
      </c>
      <c r="BH63">
        <f ca="1">OFFSET(Objects!$HW$6,BH$1+(Objects!$Y$4-$A63-1)*Objects!$X$4,0)</f>
        <v>0</v>
      </c>
      <c r="BI63">
        <f ca="1">OFFSET(Objects!$HW$6,BI$1+(Objects!$Y$4-$A63-1)*Objects!$X$4,0)</f>
        <v>0</v>
      </c>
      <c r="BJ63">
        <f ca="1">OFFSET(Objects!$HW$6,BJ$1+(Objects!$Y$4-$A63-1)*Objects!$X$4,0)</f>
        <v>0</v>
      </c>
      <c r="BK63">
        <f ca="1">OFFSET(Objects!$HW$6,BK$1+(Objects!$Y$4-$A63-1)*Objects!$X$4,0)</f>
        <v>0</v>
      </c>
      <c r="BL63">
        <f ca="1">OFFSET(Objects!$HW$6,BL$1+(Objects!$Y$4-$A63-1)*Objects!$X$4,0)</f>
        <v>0</v>
      </c>
      <c r="BM63">
        <f ca="1">OFFSET(Objects!$HW$6,BM$1+(Objects!$Y$4-$A63-1)*Objects!$X$4,0)</f>
        <v>0</v>
      </c>
      <c r="BN63">
        <f ca="1">OFFSET(Objects!$HW$6,BN$1+(Objects!$Y$4-$A63-1)*Objects!$X$4,0)</f>
        <v>0</v>
      </c>
      <c r="BO63">
        <f ca="1">OFFSET(Objects!$HW$6,BO$1+(Objects!$Y$4-$A63-1)*Objects!$X$4,0)</f>
        <v>0</v>
      </c>
      <c r="BP63">
        <f ca="1">OFFSET(Objects!$HW$6,BP$1+(Objects!$Y$4-$A63-1)*Objects!$X$4,0)</f>
        <v>0</v>
      </c>
      <c r="BQ63">
        <f ca="1">OFFSET(Objects!$HW$6,BQ$1+(Objects!$Y$4-$A63-1)*Objects!$X$4,0)</f>
        <v>0</v>
      </c>
      <c r="BR63">
        <f ca="1">OFFSET(Objects!$HW$6,BR$1+(Objects!$Y$4-$A63-1)*Objects!$X$4,0)</f>
        <v>0</v>
      </c>
      <c r="BS63">
        <f ca="1">OFFSET(Objects!$HW$6,BS$1+(Objects!$Y$4-$A63-1)*Objects!$X$4,0)</f>
        <v>0</v>
      </c>
      <c r="BT63">
        <f ca="1">OFFSET(Objects!$HW$6,BT$1+(Objects!$Y$4-$A63-1)*Objects!$X$4,0)</f>
        <v>0</v>
      </c>
      <c r="BU63">
        <f ca="1">OFFSET(Objects!$HW$6,BU$1+(Objects!$Y$4-$A63-1)*Objects!$X$4,0)</f>
        <v>0</v>
      </c>
      <c r="BV63">
        <f ca="1">OFFSET(Objects!$HW$6,BV$1+(Objects!$Y$4-$A63-1)*Objects!$X$4,0)</f>
        <v>0</v>
      </c>
      <c r="BW63">
        <f ca="1">OFFSET(Objects!$HW$6,BW$1+(Objects!$Y$4-$A63-1)*Objects!$X$4,0)</f>
        <v>0</v>
      </c>
      <c r="BX63">
        <f ca="1">OFFSET(Objects!$HW$6,BX$1+(Objects!$Y$4-$A63-1)*Objects!$X$4,0)</f>
        <v>0</v>
      </c>
      <c r="BY63">
        <f ca="1">OFFSET(Objects!$HW$6,BY$1+(Objects!$Y$4-$A63-1)*Objects!$X$4,0)</f>
        <v>0</v>
      </c>
      <c r="BZ63">
        <f ca="1">OFFSET(Objects!$HW$6,BZ$1+(Objects!$Y$4-$A63-1)*Objects!$X$4,0)</f>
        <v>0</v>
      </c>
      <c r="CA63">
        <f ca="1">OFFSET(Objects!$HW$6,CA$1+(Objects!$Y$4-$A63-1)*Objects!$X$4,0)</f>
        <v>0</v>
      </c>
      <c r="CB63">
        <f ca="1">OFFSET(Objects!$HW$6,CB$1+(Objects!$Y$4-$A63-1)*Objects!$X$4,0)</f>
        <v>0</v>
      </c>
      <c r="CC63">
        <f ca="1">OFFSET(Objects!$HW$6,CC$1+(Objects!$Y$4-$A63-1)*Objects!$X$4,0)</f>
        <v>0</v>
      </c>
      <c r="CD63">
        <f ca="1">OFFSET(Objects!$HW$6,CD$1+(Objects!$Y$4-$A63-1)*Objects!$X$4,0)</f>
        <v>0</v>
      </c>
      <c r="CE63">
        <f ca="1">OFFSET(Objects!$HW$6,CE$1+(Objects!$Y$4-$A63-1)*Objects!$X$4,0)</f>
        <v>0</v>
      </c>
      <c r="CF63">
        <f ca="1">OFFSET(Objects!$HW$6,CF$1+(Objects!$Y$4-$A63-1)*Objects!$X$4,0)</f>
        <v>0</v>
      </c>
      <c r="CG63">
        <f ca="1">OFFSET(Objects!$HW$6,CG$1+(Objects!$Y$4-$A63-1)*Objects!$X$4,0)</f>
        <v>0</v>
      </c>
      <c r="CH63">
        <f ca="1">OFFSET(Objects!$HW$6,CH$1+(Objects!$Y$4-$A63-1)*Objects!$X$4,0)</f>
        <v>0</v>
      </c>
      <c r="CI63">
        <f ca="1">OFFSET(Objects!$HW$6,CI$1+(Objects!$Y$4-$A63-1)*Objects!$X$4,0)</f>
        <v>0</v>
      </c>
      <c r="CJ63">
        <f ca="1">OFFSET(Objects!$HW$6,CJ$1+(Objects!$Y$4-$A63-1)*Objects!$X$4,0)</f>
        <v>0</v>
      </c>
      <c r="CK63">
        <f ca="1">OFFSET(Objects!$HW$6,CK$1+(Objects!$Y$4-$A63-1)*Objects!$X$4,0)</f>
        <v>0</v>
      </c>
      <c r="CL63">
        <f ca="1">OFFSET(Objects!$HW$6,CL$1+(Objects!$Y$4-$A63-1)*Objects!$X$4,0)</f>
        <v>0</v>
      </c>
      <c r="CM63">
        <f ca="1">OFFSET(Objects!$HW$6,CM$1+(Objects!$Y$4-$A63-1)*Objects!$X$4,0)</f>
        <v>0</v>
      </c>
      <c r="CN63">
        <f ca="1">OFFSET(Objects!$HW$6,CN$1+(Objects!$Y$4-$A63-1)*Objects!$X$4,0)</f>
        <v>0</v>
      </c>
      <c r="CO63">
        <f ca="1">OFFSET(Objects!$HW$6,CO$1+(Objects!$Y$4-$A63-1)*Objects!$X$4,0)</f>
        <v>0</v>
      </c>
      <c r="CP63">
        <f ca="1">OFFSET(Objects!$HW$6,CP$1+(Objects!$Y$4-$A63-1)*Objects!$X$4,0)</f>
        <v>0</v>
      </c>
      <c r="CQ63">
        <f ca="1">OFFSET(Objects!$HW$6,CQ$1+(Objects!$Y$4-$A63-1)*Objects!$X$4,0)</f>
        <v>0</v>
      </c>
      <c r="CR63">
        <f ca="1">OFFSET(Objects!$HW$6,CR$1+(Objects!$Y$4-$A63-1)*Objects!$X$4,0)</f>
        <v>0</v>
      </c>
      <c r="CS63">
        <f ca="1">OFFSET(Objects!$HW$6,CS$1+(Objects!$Y$4-$A63-1)*Objects!$X$4,0)</f>
        <v>0</v>
      </c>
      <c r="CT63">
        <f ca="1">OFFSET(Objects!$HW$6,CT$1+(Objects!$Y$4-$A63-1)*Objects!$X$4,0)</f>
        <v>0</v>
      </c>
      <c r="CU63">
        <f ca="1">OFFSET(Objects!$HW$6,CU$1+(Objects!$Y$4-$A63-1)*Objects!$X$4,0)</f>
        <v>0</v>
      </c>
      <c r="CV63">
        <f ca="1">OFFSET(Objects!$HW$6,CV$1+(Objects!$Y$4-$A63-1)*Objects!$X$4,0)</f>
        <v>0</v>
      </c>
      <c r="CW63">
        <f ca="1">OFFSET(Objects!$HW$6,CW$1+(Objects!$Y$4-$A63-1)*Objects!$X$4,0)</f>
        <v>0</v>
      </c>
      <c r="CX63">
        <f ca="1">OFFSET(Objects!$HW$6,CX$1+(Objects!$Y$4-$A63-1)*Objects!$X$4,0)</f>
        <v>0</v>
      </c>
      <c r="CY63">
        <f ca="1">OFFSET(Objects!$HW$6,CY$1+(Objects!$Y$4-$A63-1)*Objects!$X$4,0)</f>
        <v>0</v>
      </c>
      <c r="CZ63">
        <f ca="1">OFFSET(Objects!$HW$6,CZ$1+(Objects!$Y$4-$A63-1)*Objects!$X$4,0)</f>
        <v>0</v>
      </c>
      <c r="DA63">
        <f ca="1">OFFSET(Objects!$HW$6,DA$1+(Objects!$Y$4-$A63-1)*Objects!$X$4,0)</f>
        <v>0</v>
      </c>
      <c r="DB63">
        <f ca="1">OFFSET(Objects!$HW$6,DB$1+(Objects!$Y$4-$A63-1)*Objects!$X$4,0)</f>
        <v>0</v>
      </c>
      <c r="DC63">
        <f ca="1">OFFSET(Objects!$HW$6,DC$1+(Objects!$Y$4-$A63-1)*Objects!$X$4,0)</f>
        <v>0</v>
      </c>
      <c r="DD63">
        <f ca="1">OFFSET(Objects!$HW$6,DD$1+(Objects!$Y$4-$A63-1)*Objects!$X$4,0)</f>
        <v>0</v>
      </c>
      <c r="DE63">
        <f ca="1">OFFSET(Objects!$HW$6,DE$1+(Objects!$Y$4-$A63-1)*Objects!$X$4,0)</f>
        <v>0</v>
      </c>
      <c r="DF63">
        <f ca="1">OFFSET(Objects!$HW$6,DF$1+(Objects!$Y$4-$A63-1)*Objects!$X$4,0)</f>
        <v>0</v>
      </c>
      <c r="DG63">
        <f ca="1">OFFSET(Objects!$HW$6,DG$1+(Objects!$Y$4-$A63-1)*Objects!$X$4,0)</f>
        <v>0</v>
      </c>
      <c r="DH63">
        <f ca="1">OFFSET(Objects!$HW$6,DH$1+(Objects!$Y$4-$A63-1)*Objects!$X$4,0)</f>
        <v>0</v>
      </c>
      <c r="DI63">
        <f ca="1">OFFSET(Objects!$HW$6,DI$1+(Objects!$Y$4-$A63-1)*Objects!$X$4,0)</f>
        <v>0</v>
      </c>
      <c r="DJ63">
        <f ca="1">OFFSET(Objects!$HW$6,DJ$1+(Objects!$Y$4-$A63-1)*Objects!$X$4,0)</f>
        <v>0</v>
      </c>
      <c r="DK63">
        <f ca="1">OFFSET(Objects!$HW$6,DK$1+(Objects!$Y$4-$A63-1)*Objects!$X$4,0)</f>
        <v>0</v>
      </c>
      <c r="DL63">
        <f ca="1">OFFSET(Objects!$HW$6,DL$1+(Objects!$Y$4-$A63-1)*Objects!$X$4,0)</f>
        <v>0</v>
      </c>
      <c r="DM63">
        <f ca="1">OFFSET(Objects!$HW$6,DM$1+(Objects!$Y$4-$A63-1)*Objects!$X$4,0)</f>
        <v>0</v>
      </c>
      <c r="DN63">
        <f ca="1">OFFSET(Objects!$HW$6,DN$1+(Objects!$Y$4-$A63-1)*Objects!$X$4,0)</f>
        <v>0</v>
      </c>
      <c r="DO63">
        <f ca="1">OFFSET(Objects!$HW$6,DO$1+(Objects!$Y$4-$A63-1)*Objects!$X$4,0)</f>
        <v>0</v>
      </c>
      <c r="DP63">
        <f ca="1">OFFSET(Objects!$HW$6,DP$1+(Objects!$Y$4-$A63-1)*Objects!$X$4,0)</f>
        <v>0</v>
      </c>
      <c r="DQ63">
        <f ca="1">OFFSET(Objects!$HW$6,DQ$1+(Objects!$Y$4-$A63-1)*Objects!$X$4,0)</f>
        <v>0</v>
      </c>
      <c r="DR63">
        <f ca="1">OFFSET(Objects!$HW$6,DR$1+(Objects!$Y$4-$A63-1)*Objects!$X$4,0)</f>
        <v>0</v>
      </c>
      <c r="DS63">
        <f ca="1">OFFSET(Objects!$HW$6,DS$1+(Objects!$Y$4-$A63-1)*Objects!$X$4,0)</f>
        <v>0</v>
      </c>
      <c r="DT63">
        <f ca="1">OFFSET(Objects!$HW$6,DT$1+(Objects!$Y$4-$A63-1)*Objects!$X$4,0)</f>
        <v>0</v>
      </c>
      <c r="DU63">
        <f ca="1">OFFSET(Objects!$HW$6,DU$1+(Objects!$Y$4-$A63-1)*Objects!$X$4,0)</f>
        <v>0</v>
      </c>
      <c r="DV63">
        <f ca="1">OFFSET(Objects!$HW$6,DV$1+(Objects!$Y$4-$A63-1)*Objects!$X$4,0)</f>
        <v>0</v>
      </c>
      <c r="DW63">
        <f ca="1">OFFSET(Objects!$HW$6,DW$1+(Objects!$Y$4-$A63-1)*Objects!$X$4,0)</f>
        <v>0</v>
      </c>
      <c r="DX63">
        <f ca="1">OFFSET(Objects!$HW$6,DX$1+(Objects!$Y$4-$A63-1)*Objects!$X$4,0)</f>
        <v>0</v>
      </c>
      <c r="DY63">
        <f ca="1">OFFSET(Objects!$HW$6,DY$1+(Objects!$Y$4-$A63-1)*Objects!$X$4,0)</f>
        <v>0</v>
      </c>
      <c r="DZ63">
        <f ca="1">OFFSET(Objects!$HW$6,DZ$1+(Objects!$Y$4-$A63-1)*Objects!$X$4,0)</f>
        <v>0</v>
      </c>
      <c r="EA63">
        <f ca="1">OFFSET(Objects!$HW$6,EA$1+(Objects!$Y$4-$A63-1)*Objects!$X$4,0)</f>
        <v>0</v>
      </c>
      <c r="EB63">
        <f ca="1">OFFSET(Objects!$HW$6,EB$1+(Objects!$Y$4-$A63-1)*Objects!$X$4,0)</f>
        <v>0</v>
      </c>
      <c r="EC63">
        <f ca="1">OFFSET(Objects!$HW$6,EC$1+(Objects!$Y$4-$A63-1)*Objects!$X$4,0)</f>
        <v>0</v>
      </c>
      <c r="ED63">
        <f ca="1">OFFSET(Objects!$HW$6,ED$1+(Objects!$Y$4-$A63-1)*Objects!$X$4,0)</f>
        <v>0</v>
      </c>
      <c r="EE63">
        <f ca="1">OFFSET(Objects!$HW$6,EE$1+(Objects!$Y$4-$A63-1)*Objects!$X$4,0)</f>
        <v>0</v>
      </c>
      <c r="EF63">
        <f ca="1">OFFSET(Objects!$HW$6,EF$1+(Objects!$Y$4-$A63-1)*Objects!$X$4,0)</f>
        <v>0</v>
      </c>
      <c r="EG63">
        <f ca="1">OFFSET(Objects!$HW$6,EG$1+(Objects!$Y$4-$A63-1)*Objects!$X$4,0)</f>
        <v>0</v>
      </c>
      <c r="EH63">
        <f ca="1">OFFSET(Objects!$HW$6,EH$1+(Objects!$Y$4-$A63-1)*Objects!$X$4,0)</f>
        <v>0</v>
      </c>
      <c r="EI63">
        <f ca="1">OFFSET(Objects!$HW$6,EI$1+(Objects!$Y$4-$A63-1)*Objects!$X$4,0)</f>
        <v>0</v>
      </c>
      <c r="EJ63">
        <f ca="1">OFFSET(Objects!$HW$6,EJ$1+(Objects!$Y$4-$A63-1)*Objects!$X$4,0)</f>
        <v>0</v>
      </c>
      <c r="EK63">
        <f ca="1">OFFSET(Objects!$HW$6,EK$1+(Objects!$Y$4-$A63-1)*Objects!$X$4,0)</f>
        <v>0</v>
      </c>
      <c r="EL63">
        <f ca="1">OFFSET(Objects!$HW$6,EL$1+(Objects!$Y$4-$A63-1)*Objects!$X$4,0)</f>
        <v>0</v>
      </c>
      <c r="EM63">
        <f ca="1">OFFSET(Objects!$HW$6,EM$1+(Objects!$Y$4-$A63-1)*Objects!$X$4,0)</f>
        <v>0</v>
      </c>
      <c r="EN63">
        <f ca="1">OFFSET(Objects!$HW$6,EN$1+(Objects!$Y$4-$A63-1)*Objects!$X$4,0)</f>
        <v>0</v>
      </c>
      <c r="EO63">
        <f ca="1">OFFSET(Objects!$HW$6,EO$1+(Objects!$Y$4-$A63-1)*Objects!$X$4,0)</f>
        <v>0</v>
      </c>
      <c r="EP63">
        <f ca="1">OFFSET(Objects!$HW$6,EP$1+(Objects!$Y$4-$A63-1)*Objects!$X$4,0)</f>
        <v>0</v>
      </c>
      <c r="EQ63">
        <f ca="1">OFFSET(Objects!$HW$6,EQ$1+(Objects!$Y$4-$A63-1)*Objects!$X$4,0)</f>
        <v>0</v>
      </c>
      <c r="ER63">
        <f ca="1">OFFSET(Objects!$HW$6,ER$1+(Objects!$Y$4-$A63-1)*Objects!$X$4,0)</f>
        <v>0</v>
      </c>
      <c r="ES63">
        <f ca="1">OFFSET(Objects!$HW$6,ES$1+(Objects!$Y$4-$A63-1)*Objects!$X$4,0)</f>
        <v>0</v>
      </c>
      <c r="ET63">
        <f ca="1">OFFSET(Objects!$HW$6,ET$1+(Objects!$Y$4-$A63-1)*Objects!$X$4,0)</f>
        <v>0</v>
      </c>
      <c r="EU63">
        <f ca="1">OFFSET(Objects!$HW$6,EU$1+(Objects!$Y$4-$A63-1)*Objects!$X$4,0)</f>
        <v>0</v>
      </c>
      <c r="EV63">
        <f ca="1">OFFSET(Objects!$HW$6,EV$1+(Objects!$Y$4-$A63-1)*Objects!$X$4,0)</f>
        <v>0</v>
      </c>
      <c r="EW63">
        <f ca="1">OFFSET(Objects!$HW$6,EW$1+(Objects!$Y$4-$A63-1)*Objects!$X$4,0)</f>
        <v>0</v>
      </c>
      <c r="EX63">
        <f ca="1">OFFSET(Objects!$HW$6,EX$1+(Objects!$Y$4-$A63-1)*Objects!$X$4,0)</f>
        <v>0</v>
      </c>
      <c r="EY63">
        <f ca="1">OFFSET(Objects!$HW$6,EY$1+(Objects!$Y$4-$A63-1)*Objects!$X$4,0)</f>
        <v>0</v>
      </c>
      <c r="EZ63">
        <f ca="1">OFFSET(Objects!$HW$6,EZ$1+(Objects!$Y$4-$A63-1)*Objects!$X$4,0)</f>
        <v>0</v>
      </c>
      <c r="FA63">
        <f ca="1">OFFSET(Objects!$HW$6,FA$1+(Objects!$Y$4-$A63-1)*Objects!$X$4,0)</f>
        <v>0</v>
      </c>
      <c r="FB63">
        <f ca="1">OFFSET(Objects!$HW$6,FB$1+(Objects!$Y$4-$A63-1)*Objects!$X$4,0)</f>
        <v>0</v>
      </c>
      <c r="FC63">
        <f ca="1">OFFSET(Objects!$HW$6,FC$1+(Objects!$Y$4-$A63-1)*Objects!$X$4,0)</f>
        <v>0</v>
      </c>
      <c r="FD63">
        <f ca="1">OFFSET(Objects!$HW$6,FD$1+(Objects!$Y$4-$A63-1)*Objects!$X$4,0)</f>
        <v>0</v>
      </c>
      <c r="FE63" s="22">
        <f ca="1">OFFSET(Objects!$HW$6,FE$1+(Objects!$Y$4-$A63-1)*Objects!$X$4,0)</f>
        <v>0</v>
      </c>
    </row>
    <row r="64" spans="1:161" ht="4.5" customHeight="1" x14ac:dyDescent="0.25">
      <c r="A64">
        <v>62</v>
      </c>
      <c r="B64" s="21">
        <f ca="1">OFFSET(Objects!$HW$6,B$1+(Objects!$Y$4-$A64-1)*Objects!$X$4,0)</f>
        <v>0</v>
      </c>
      <c r="C64">
        <f ca="1">OFFSET(Objects!$HW$6,C$1+(Objects!$Y$4-$A64-1)*Objects!$X$4,0)</f>
        <v>0</v>
      </c>
      <c r="D64">
        <f ca="1">OFFSET(Objects!$HW$6,D$1+(Objects!$Y$4-$A64-1)*Objects!$X$4,0)</f>
        <v>0</v>
      </c>
      <c r="E64">
        <f ca="1">OFFSET(Objects!$HW$6,E$1+(Objects!$Y$4-$A64-1)*Objects!$X$4,0)</f>
        <v>0</v>
      </c>
      <c r="F64">
        <f ca="1">OFFSET(Objects!$HW$6,F$1+(Objects!$Y$4-$A64-1)*Objects!$X$4,0)</f>
        <v>0</v>
      </c>
      <c r="G64">
        <f ca="1">OFFSET(Objects!$HW$6,G$1+(Objects!$Y$4-$A64-1)*Objects!$X$4,0)</f>
        <v>0</v>
      </c>
      <c r="H64">
        <f ca="1">OFFSET(Objects!$HW$6,H$1+(Objects!$Y$4-$A64-1)*Objects!$X$4,0)</f>
        <v>0</v>
      </c>
      <c r="I64">
        <f ca="1">OFFSET(Objects!$HW$6,I$1+(Objects!$Y$4-$A64-1)*Objects!$X$4,0)</f>
        <v>0</v>
      </c>
      <c r="J64">
        <f ca="1">OFFSET(Objects!$HW$6,J$1+(Objects!$Y$4-$A64-1)*Objects!$X$4,0)</f>
        <v>0</v>
      </c>
      <c r="K64">
        <f ca="1">OFFSET(Objects!$HW$6,K$1+(Objects!$Y$4-$A64-1)*Objects!$X$4,0)</f>
        <v>0</v>
      </c>
      <c r="L64">
        <f ca="1">OFFSET(Objects!$HW$6,L$1+(Objects!$Y$4-$A64-1)*Objects!$X$4,0)</f>
        <v>0</v>
      </c>
      <c r="M64">
        <f ca="1">OFFSET(Objects!$HW$6,M$1+(Objects!$Y$4-$A64-1)*Objects!$X$4,0)</f>
        <v>0</v>
      </c>
      <c r="N64">
        <f ca="1">OFFSET(Objects!$HW$6,N$1+(Objects!$Y$4-$A64-1)*Objects!$X$4,0)</f>
        <v>0</v>
      </c>
      <c r="O64">
        <f ca="1">OFFSET(Objects!$HW$6,O$1+(Objects!$Y$4-$A64-1)*Objects!$X$4,0)</f>
        <v>0</v>
      </c>
      <c r="P64">
        <f ca="1">OFFSET(Objects!$HW$6,P$1+(Objects!$Y$4-$A64-1)*Objects!$X$4,0)</f>
        <v>0</v>
      </c>
      <c r="Q64">
        <f ca="1">OFFSET(Objects!$HW$6,Q$1+(Objects!$Y$4-$A64-1)*Objects!$X$4,0)</f>
        <v>0</v>
      </c>
      <c r="R64">
        <f ca="1">OFFSET(Objects!$HW$6,R$1+(Objects!$Y$4-$A64-1)*Objects!$X$4,0)</f>
        <v>0</v>
      </c>
      <c r="S64">
        <f ca="1">OFFSET(Objects!$HW$6,S$1+(Objects!$Y$4-$A64-1)*Objects!$X$4,0)</f>
        <v>0</v>
      </c>
      <c r="T64">
        <f ca="1">OFFSET(Objects!$HW$6,T$1+(Objects!$Y$4-$A64-1)*Objects!$X$4,0)</f>
        <v>0</v>
      </c>
      <c r="U64">
        <f ca="1">OFFSET(Objects!$HW$6,U$1+(Objects!$Y$4-$A64-1)*Objects!$X$4,0)</f>
        <v>0</v>
      </c>
      <c r="V64">
        <f ca="1">OFFSET(Objects!$HW$6,V$1+(Objects!$Y$4-$A64-1)*Objects!$X$4,0)</f>
        <v>0</v>
      </c>
      <c r="W64">
        <f ca="1">OFFSET(Objects!$HW$6,W$1+(Objects!$Y$4-$A64-1)*Objects!$X$4,0)</f>
        <v>0</v>
      </c>
      <c r="X64">
        <f ca="1">OFFSET(Objects!$HW$6,X$1+(Objects!$Y$4-$A64-1)*Objects!$X$4,0)</f>
        <v>0</v>
      </c>
      <c r="Y64">
        <f ca="1">OFFSET(Objects!$HW$6,Y$1+(Objects!$Y$4-$A64-1)*Objects!$X$4,0)</f>
        <v>0</v>
      </c>
      <c r="Z64">
        <f ca="1">OFFSET(Objects!$HW$6,Z$1+(Objects!$Y$4-$A64-1)*Objects!$X$4,0)</f>
        <v>0</v>
      </c>
      <c r="AA64">
        <f ca="1">OFFSET(Objects!$HW$6,AA$1+(Objects!$Y$4-$A64-1)*Objects!$X$4,0)</f>
        <v>0</v>
      </c>
      <c r="AB64">
        <f ca="1">OFFSET(Objects!$HW$6,AB$1+(Objects!$Y$4-$A64-1)*Objects!$X$4,0)</f>
        <v>0</v>
      </c>
      <c r="AC64">
        <f ca="1">OFFSET(Objects!$HW$6,AC$1+(Objects!$Y$4-$A64-1)*Objects!$X$4,0)</f>
        <v>0</v>
      </c>
      <c r="AD64">
        <f ca="1">OFFSET(Objects!$HW$6,AD$1+(Objects!$Y$4-$A64-1)*Objects!$X$4,0)</f>
        <v>0</v>
      </c>
      <c r="AE64">
        <f ca="1">OFFSET(Objects!$HW$6,AE$1+(Objects!$Y$4-$A64-1)*Objects!$X$4,0)</f>
        <v>0</v>
      </c>
      <c r="AF64">
        <f ca="1">OFFSET(Objects!$HW$6,AF$1+(Objects!$Y$4-$A64-1)*Objects!$X$4,0)</f>
        <v>0</v>
      </c>
      <c r="AG64">
        <f ca="1">OFFSET(Objects!$HW$6,AG$1+(Objects!$Y$4-$A64-1)*Objects!$X$4,0)</f>
        <v>0</v>
      </c>
      <c r="AH64">
        <f ca="1">OFFSET(Objects!$HW$6,AH$1+(Objects!$Y$4-$A64-1)*Objects!$X$4,0)</f>
        <v>0</v>
      </c>
      <c r="AI64">
        <f ca="1">OFFSET(Objects!$HW$6,AI$1+(Objects!$Y$4-$A64-1)*Objects!$X$4,0)</f>
        <v>0</v>
      </c>
      <c r="AJ64">
        <f ca="1">OFFSET(Objects!$HW$6,AJ$1+(Objects!$Y$4-$A64-1)*Objects!$X$4,0)</f>
        <v>0</v>
      </c>
      <c r="AK64">
        <f ca="1">OFFSET(Objects!$HW$6,AK$1+(Objects!$Y$4-$A64-1)*Objects!$X$4,0)</f>
        <v>0</v>
      </c>
      <c r="AL64">
        <f ca="1">OFFSET(Objects!$HW$6,AL$1+(Objects!$Y$4-$A64-1)*Objects!$X$4,0)</f>
        <v>0</v>
      </c>
      <c r="AM64">
        <f ca="1">OFFSET(Objects!$HW$6,AM$1+(Objects!$Y$4-$A64-1)*Objects!$X$4,0)</f>
        <v>0</v>
      </c>
      <c r="AN64">
        <f ca="1">OFFSET(Objects!$HW$6,AN$1+(Objects!$Y$4-$A64-1)*Objects!$X$4,0)</f>
        <v>0</v>
      </c>
      <c r="AO64">
        <f ca="1">OFFSET(Objects!$HW$6,AO$1+(Objects!$Y$4-$A64-1)*Objects!$X$4,0)</f>
        <v>0</v>
      </c>
      <c r="AP64">
        <f ca="1">OFFSET(Objects!$HW$6,AP$1+(Objects!$Y$4-$A64-1)*Objects!$X$4,0)</f>
        <v>0</v>
      </c>
      <c r="AQ64">
        <f ca="1">OFFSET(Objects!$HW$6,AQ$1+(Objects!$Y$4-$A64-1)*Objects!$X$4,0)</f>
        <v>0</v>
      </c>
      <c r="AR64">
        <f ca="1">OFFSET(Objects!$HW$6,AR$1+(Objects!$Y$4-$A64-1)*Objects!$X$4,0)</f>
        <v>0</v>
      </c>
      <c r="AS64">
        <f ca="1">OFFSET(Objects!$HW$6,AS$1+(Objects!$Y$4-$A64-1)*Objects!$X$4,0)</f>
        <v>0</v>
      </c>
      <c r="AT64">
        <f ca="1">OFFSET(Objects!$HW$6,AT$1+(Objects!$Y$4-$A64-1)*Objects!$X$4,0)</f>
        <v>0</v>
      </c>
      <c r="AU64">
        <f ca="1">OFFSET(Objects!$HW$6,AU$1+(Objects!$Y$4-$A64-1)*Objects!$X$4,0)</f>
        <v>0</v>
      </c>
      <c r="AV64">
        <f ca="1">OFFSET(Objects!$HW$6,AV$1+(Objects!$Y$4-$A64-1)*Objects!$X$4,0)</f>
        <v>0</v>
      </c>
      <c r="AW64">
        <f ca="1">OFFSET(Objects!$HW$6,AW$1+(Objects!$Y$4-$A64-1)*Objects!$X$4,0)</f>
        <v>0</v>
      </c>
      <c r="AX64">
        <f ca="1">OFFSET(Objects!$HW$6,AX$1+(Objects!$Y$4-$A64-1)*Objects!$X$4,0)</f>
        <v>0</v>
      </c>
      <c r="AY64">
        <f ca="1">OFFSET(Objects!$HW$6,AY$1+(Objects!$Y$4-$A64-1)*Objects!$X$4,0)</f>
        <v>0</v>
      </c>
      <c r="AZ64">
        <f ca="1">OFFSET(Objects!$HW$6,AZ$1+(Objects!$Y$4-$A64-1)*Objects!$X$4,0)</f>
        <v>0</v>
      </c>
      <c r="BA64">
        <f ca="1">OFFSET(Objects!$HW$6,BA$1+(Objects!$Y$4-$A64-1)*Objects!$X$4,0)</f>
        <v>0</v>
      </c>
      <c r="BB64">
        <f ca="1">OFFSET(Objects!$HW$6,BB$1+(Objects!$Y$4-$A64-1)*Objects!$X$4,0)</f>
        <v>0</v>
      </c>
      <c r="BC64">
        <f ca="1">OFFSET(Objects!$HW$6,BC$1+(Objects!$Y$4-$A64-1)*Objects!$X$4,0)</f>
        <v>0</v>
      </c>
      <c r="BD64">
        <f ca="1">OFFSET(Objects!$HW$6,BD$1+(Objects!$Y$4-$A64-1)*Objects!$X$4,0)</f>
        <v>0</v>
      </c>
      <c r="BE64">
        <f ca="1">OFFSET(Objects!$HW$6,BE$1+(Objects!$Y$4-$A64-1)*Objects!$X$4,0)</f>
        <v>0</v>
      </c>
      <c r="BF64">
        <f ca="1">OFFSET(Objects!$HW$6,BF$1+(Objects!$Y$4-$A64-1)*Objects!$X$4,0)</f>
        <v>0</v>
      </c>
      <c r="BG64">
        <f ca="1">OFFSET(Objects!$HW$6,BG$1+(Objects!$Y$4-$A64-1)*Objects!$X$4,0)</f>
        <v>0</v>
      </c>
      <c r="BH64">
        <f ca="1">OFFSET(Objects!$HW$6,BH$1+(Objects!$Y$4-$A64-1)*Objects!$X$4,0)</f>
        <v>0</v>
      </c>
      <c r="BI64">
        <f ca="1">OFFSET(Objects!$HW$6,BI$1+(Objects!$Y$4-$A64-1)*Objects!$X$4,0)</f>
        <v>0</v>
      </c>
      <c r="BJ64">
        <f ca="1">OFFSET(Objects!$HW$6,BJ$1+(Objects!$Y$4-$A64-1)*Objects!$X$4,0)</f>
        <v>0</v>
      </c>
      <c r="BK64">
        <f ca="1">OFFSET(Objects!$HW$6,BK$1+(Objects!$Y$4-$A64-1)*Objects!$X$4,0)</f>
        <v>0</v>
      </c>
      <c r="BL64">
        <f ca="1">OFFSET(Objects!$HW$6,BL$1+(Objects!$Y$4-$A64-1)*Objects!$X$4,0)</f>
        <v>0</v>
      </c>
      <c r="BM64">
        <f ca="1">OFFSET(Objects!$HW$6,BM$1+(Objects!$Y$4-$A64-1)*Objects!$X$4,0)</f>
        <v>0</v>
      </c>
      <c r="BN64">
        <f ca="1">OFFSET(Objects!$HW$6,BN$1+(Objects!$Y$4-$A64-1)*Objects!$X$4,0)</f>
        <v>0</v>
      </c>
      <c r="BO64">
        <f ca="1">OFFSET(Objects!$HW$6,BO$1+(Objects!$Y$4-$A64-1)*Objects!$X$4,0)</f>
        <v>0</v>
      </c>
      <c r="BP64">
        <f ca="1">OFFSET(Objects!$HW$6,BP$1+(Objects!$Y$4-$A64-1)*Objects!$X$4,0)</f>
        <v>0</v>
      </c>
      <c r="BQ64">
        <f ca="1">OFFSET(Objects!$HW$6,BQ$1+(Objects!$Y$4-$A64-1)*Objects!$X$4,0)</f>
        <v>0</v>
      </c>
      <c r="BR64">
        <f ca="1">OFFSET(Objects!$HW$6,BR$1+(Objects!$Y$4-$A64-1)*Objects!$X$4,0)</f>
        <v>0</v>
      </c>
      <c r="BS64">
        <f ca="1">OFFSET(Objects!$HW$6,BS$1+(Objects!$Y$4-$A64-1)*Objects!$X$4,0)</f>
        <v>0</v>
      </c>
      <c r="BT64">
        <f ca="1">OFFSET(Objects!$HW$6,BT$1+(Objects!$Y$4-$A64-1)*Objects!$X$4,0)</f>
        <v>0</v>
      </c>
      <c r="BU64">
        <f ca="1">OFFSET(Objects!$HW$6,BU$1+(Objects!$Y$4-$A64-1)*Objects!$X$4,0)</f>
        <v>0</v>
      </c>
      <c r="BV64">
        <f ca="1">OFFSET(Objects!$HW$6,BV$1+(Objects!$Y$4-$A64-1)*Objects!$X$4,0)</f>
        <v>0</v>
      </c>
      <c r="BW64">
        <f ca="1">OFFSET(Objects!$HW$6,BW$1+(Objects!$Y$4-$A64-1)*Objects!$X$4,0)</f>
        <v>0</v>
      </c>
      <c r="BX64">
        <f ca="1">OFFSET(Objects!$HW$6,BX$1+(Objects!$Y$4-$A64-1)*Objects!$X$4,0)</f>
        <v>0</v>
      </c>
      <c r="BY64">
        <f ca="1">OFFSET(Objects!$HW$6,BY$1+(Objects!$Y$4-$A64-1)*Objects!$X$4,0)</f>
        <v>0</v>
      </c>
      <c r="BZ64">
        <f ca="1">OFFSET(Objects!$HW$6,BZ$1+(Objects!$Y$4-$A64-1)*Objects!$X$4,0)</f>
        <v>0</v>
      </c>
      <c r="CA64">
        <f ca="1">OFFSET(Objects!$HW$6,CA$1+(Objects!$Y$4-$A64-1)*Objects!$X$4,0)</f>
        <v>0</v>
      </c>
      <c r="CB64">
        <f ca="1">OFFSET(Objects!$HW$6,CB$1+(Objects!$Y$4-$A64-1)*Objects!$X$4,0)</f>
        <v>0</v>
      </c>
      <c r="CC64">
        <f ca="1">OFFSET(Objects!$HW$6,CC$1+(Objects!$Y$4-$A64-1)*Objects!$X$4,0)</f>
        <v>0</v>
      </c>
      <c r="CD64">
        <f ca="1">OFFSET(Objects!$HW$6,CD$1+(Objects!$Y$4-$A64-1)*Objects!$X$4,0)</f>
        <v>0</v>
      </c>
      <c r="CE64">
        <f ca="1">OFFSET(Objects!$HW$6,CE$1+(Objects!$Y$4-$A64-1)*Objects!$X$4,0)</f>
        <v>0</v>
      </c>
      <c r="CF64">
        <f ca="1">OFFSET(Objects!$HW$6,CF$1+(Objects!$Y$4-$A64-1)*Objects!$X$4,0)</f>
        <v>0</v>
      </c>
      <c r="CG64">
        <f ca="1">OFFSET(Objects!$HW$6,CG$1+(Objects!$Y$4-$A64-1)*Objects!$X$4,0)</f>
        <v>0</v>
      </c>
      <c r="CH64">
        <f ca="1">OFFSET(Objects!$HW$6,CH$1+(Objects!$Y$4-$A64-1)*Objects!$X$4,0)</f>
        <v>0</v>
      </c>
      <c r="CI64">
        <f ca="1">OFFSET(Objects!$HW$6,CI$1+(Objects!$Y$4-$A64-1)*Objects!$X$4,0)</f>
        <v>0</v>
      </c>
      <c r="CJ64">
        <f ca="1">OFFSET(Objects!$HW$6,CJ$1+(Objects!$Y$4-$A64-1)*Objects!$X$4,0)</f>
        <v>0</v>
      </c>
      <c r="CK64">
        <f ca="1">OFFSET(Objects!$HW$6,CK$1+(Objects!$Y$4-$A64-1)*Objects!$X$4,0)</f>
        <v>0</v>
      </c>
      <c r="CL64">
        <f ca="1">OFFSET(Objects!$HW$6,CL$1+(Objects!$Y$4-$A64-1)*Objects!$X$4,0)</f>
        <v>0</v>
      </c>
      <c r="CM64">
        <f ca="1">OFFSET(Objects!$HW$6,CM$1+(Objects!$Y$4-$A64-1)*Objects!$X$4,0)</f>
        <v>0</v>
      </c>
      <c r="CN64">
        <f ca="1">OFFSET(Objects!$HW$6,CN$1+(Objects!$Y$4-$A64-1)*Objects!$X$4,0)</f>
        <v>0</v>
      </c>
      <c r="CO64">
        <f ca="1">OFFSET(Objects!$HW$6,CO$1+(Objects!$Y$4-$A64-1)*Objects!$X$4,0)</f>
        <v>0</v>
      </c>
      <c r="CP64">
        <f ca="1">OFFSET(Objects!$HW$6,CP$1+(Objects!$Y$4-$A64-1)*Objects!$X$4,0)</f>
        <v>0</v>
      </c>
      <c r="CQ64">
        <f ca="1">OFFSET(Objects!$HW$6,CQ$1+(Objects!$Y$4-$A64-1)*Objects!$X$4,0)</f>
        <v>0</v>
      </c>
      <c r="CR64">
        <f ca="1">OFFSET(Objects!$HW$6,CR$1+(Objects!$Y$4-$A64-1)*Objects!$X$4,0)</f>
        <v>0</v>
      </c>
      <c r="CS64">
        <f ca="1">OFFSET(Objects!$HW$6,CS$1+(Objects!$Y$4-$A64-1)*Objects!$X$4,0)</f>
        <v>0</v>
      </c>
      <c r="CT64">
        <f ca="1">OFFSET(Objects!$HW$6,CT$1+(Objects!$Y$4-$A64-1)*Objects!$X$4,0)</f>
        <v>0</v>
      </c>
      <c r="CU64">
        <f ca="1">OFFSET(Objects!$HW$6,CU$1+(Objects!$Y$4-$A64-1)*Objects!$X$4,0)</f>
        <v>0</v>
      </c>
      <c r="CV64">
        <f ca="1">OFFSET(Objects!$HW$6,CV$1+(Objects!$Y$4-$A64-1)*Objects!$X$4,0)</f>
        <v>0</v>
      </c>
      <c r="CW64">
        <f ca="1">OFFSET(Objects!$HW$6,CW$1+(Objects!$Y$4-$A64-1)*Objects!$X$4,0)</f>
        <v>0</v>
      </c>
      <c r="CX64">
        <f ca="1">OFFSET(Objects!$HW$6,CX$1+(Objects!$Y$4-$A64-1)*Objects!$X$4,0)</f>
        <v>0</v>
      </c>
      <c r="CY64">
        <f ca="1">OFFSET(Objects!$HW$6,CY$1+(Objects!$Y$4-$A64-1)*Objects!$X$4,0)</f>
        <v>0</v>
      </c>
      <c r="CZ64">
        <f ca="1">OFFSET(Objects!$HW$6,CZ$1+(Objects!$Y$4-$A64-1)*Objects!$X$4,0)</f>
        <v>0</v>
      </c>
      <c r="DA64">
        <f ca="1">OFFSET(Objects!$HW$6,DA$1+(Objects!$Y$4-$A64-1)*Objects!$X$4,0)</f>
        <v>0</v>
      </c>
      <c r="DB64">
        <f ca="1">OFFSET(Objects!$HW$6,DB$1+(Objects!$Y$4-$A64-1)*Objects!$X$4,0)</f>
        <v>0</v>
      </c>
      <c r="DC64">
        <f ca="1">OFFSET(Objects!$HW$6,DC$1+(Objects!$Y$4-$A64-1)*Objects!$X$4,0)</f>
        <v>0</v>
      </c>
      <c r="DD64">
        <f ca="1">OFFSET(Objects!$HW$6,DD$1+(Objects!$Y$4-$A64-1)*Objects!$X$4,0)</f>
        <v>0</v>
      </c>
      <c r="DE64">
        <f ca="1">OFFSET(Objects!$HW$6,DE$1+(Objects!$Y$4-$A64-1)*Objects!$X$4,0)</f>
        <v>0</v>
      </c>
      <c r="DF64">
        <f ca="1">OFFSET(Objects!$HW$6,DF$1+(Objects!$Y$4-$A64-1)*Objects!$X$4,0)</f>
        <v>0</v>
      </c>
      <c r="DG64">
        <f ca="1">OFFSET(Objects!$HW$6,DG$1+(Objects!$Y$4-$A64-1)*Objects!$X$4,0)</f>
        <v>0</v>
      </c>
      <c r="DH64">
        <f ca="1">OFFSET(Objects!$HW$6,DH$1+(Objects!$Y$4-$A64-1)*Objects!$X$4,0)</f>
        <v>0</v>
      </c>
      <c r="DI64">
        <f ca="1">OFFSET(Objects!$HW$6,DI$1+(Objects!$Y$4-$A64-1)*Objects!$X$4,0)</f>
        <v>0</v>
      </c>
      <c r="DJ64">
        <f ca="1">OFFSET(Objects!$HW$6,DJ$1+(Objects!$Y$4-$A64-1)*Objects!$X$4,0)</f>
        <v>0</v>
      </c>
      <c r="DK64">
        <f ca="1">OFFSET(Objects!$HW$6,DK$1+(Objects!$Y$4-$A64-1)*Objects!$X$4,0)</f>
        <v>0</v>
      </c>
      <c r="DL64">
        <f ca="1">OFFSET(Objects!$HW$6,DL$1+(Objects!$Y$4-$A64-1)*Objects!$X$4,0)</f>
        <v>0</v>
      </c>
      <c r="DM64">
        <f ca="1">OFFSET(Objects!$HW$6,DM$1+(Objects!$Y$4-$A64-1)*Objects!$X$4,0)</f>
        <v>0</v>
      </c>
      <c r="DN64">
        <f ca="1">OFFSET(Objects!$HW$6,DN$1+(Objects!$Y$4-$A64-1)*Objects!$X$4,0)</f>
        <v>0</v>
      </c>
      <c r="DO64">
        <f ca="1">OFFSET(Objects!$HW$6,DO$1+(Objects!$Y$4-$A64-1)*Objects!$X$4,0)</f>
        <v>0</v>
      </c>
      <c r="DP64">
        <f ca="1">OFFSET(Objects!$HW$6,DP$1+(Objects!$Y$4-$A64-1)*Objects!$X$4,0)</f>
        <v>0</v>
      </c>
      <c r="DQ64">
        <f ca="1">OFFSET(Objects!$HW$6,DQ$1+(Objects!$Y$4-$A64-1)*Objects!$X$4,0)</f>
        <v>0</v>
      </c>
      <c r="DR64">
        <f ca="1">OFFSET(Objects!$HW$6,DR$1+(Objects!$Y$4-$A64-1)*Objects!$X$4,0)</f>
        <v>0</v>
      </c>
      <c r="DS64">
        <f ca="1">OFFSET(Objects!$HW$6,DS$1+(Objects!$Y$4-$A64-1)*Objects!$X$4,0)</f>
        <v>0</v>
      </c>
      <c r="DT64">
        <f ca="1">OFFSET(Objects!$HW$6,DT$1+(Objects!$Y$4-$A64-1)*Objects!$X$4,0)</f>
        <v>0</v>
      </c>
      <c r="DU64">
        <f ca="1">OFFSET(Objects!$HW$6,DU$1+(Objects!$Y$4-$A64-1)*Objects!$X$4,0)</f>
        <v>0</v>
      </c>
      <c r="DV64">
        <f ca="1">OFFSET(Objects!$HW$6,DV$1+(Objects!$Y$4-$A64-1)*Objects!$X$4,0)</f>
        <v>0</v>
      </c>
      <c r="DW64">
        <f ca="1">OFFSET(Objects!$HW$6,DW$1+(Objects!$Y$4-$A64-1)*Objects!$X$4,0)</f>
        <v>0</v>
      </c>
      <c r="DX64">
        <f ca="1">OFFSET(Objects!$HW$6,DX$1+(Objects!$Y$4-$A64-1)*Objects!$X$4,0)</f>
        <v>0</v>
      </c>
      <c r="DY64">
        <f ca="1">OFFSET(Objects!$HW$6,DY$1+(Objects!$Y$4-$A64-1)*Objects!$X$4,0)</f>
        <v>0</v>
      </c>
      <c r="DZ64">
        <f ca="1">OFFSET(Objects!$HW$6,DZ$1+(Objects!$Y$4-$A64-1)*Objects!$X$4,0)</f>
        <v>0</v>
      </c>
      <c r="EA64">
        <f ca="1">OFFSET(Objects!$HW$6,EA$1+(Objects!$Y$4-$A64-1)*Objects!$X$4,0)</f>
        <v>0</v>
      </c>
      <c r="EB64">
        <f ca="1">OFFSET(Objects!$HW$6,EB$1+(Objects!$Y$4-$A64-1)*Objects!$X$4,0)</f>
        <v>0</v>
      </c>
      <c r="EC64">
        <f ca="1">OFFSET(Objects!$HW$6,EC$1+(Objects!$Y$4-$A64-1)*Objects!$X$4,0)</f>
        <v>0</v>
      </c>
      <c r="ED64">
        <f ca="1">OFFSET(Objects!$HW$6,ED$1+(Objects!$Y$4-$A64-1)*Objects!$X$4,0)</f>
        <v>0</v>
      </c>
      <c r="EE64">
        <f ca="1">OFFSET(Objects!$HW$6,EE$1+(Objects!$Y$4-$A64-1)*Objects!$X$4,0)</f>
        <v>0</v>
      </c>
      <c r="EF64">
        <f ca="1">OFFSET(Objects!$HW$6,EF$1+(Objects!$Y$4-$A64-1)*Objects!$X$4,0)</f>
        <v>0</v>
      </c>
      <c r="EG64">
        <f ca="1">OFFSET(Objects!$HW$6,EG$1+(Objects!$Y$4-$A64-1)*Objects!$X$4,0)</f>
        <v>0</v>
      </c>
      <c r="EH64">
        <f ca="1">OFFSET(Objects!$HW$6,EH$1+(Objects!$Y$4-$A64-1)*Objects!$X$4,0)</f>
        <v>0</v>
      </c>
      <c r="EI64">
        <f ca="1">OFFSET(Objects!$HW$6,EI$1+(Objects!$Y$4-$A64-1)*Objects!$X$4,0)</f>
        <v>0</v>
      </c>
      <c r="EJ64">
        <f ca="1">OFFSET(Objects!$HW$6,EJ$1+(Objects!$Y$4-$A64-1)*Objects!$X$4,0)</f>
        <v>0</v>
      </c>
      <c r="EK64">
        <f ca="1">OFFSET(Objects!$HW$6,EK$1+(Objects!$Y$4-$A64-1)*Objects!$X$4,0)</f>
        <v>0</v>
      </c>
      <c r="EL64">
        <f ca="1">OFFSET(Objects!$HW$6,EL$1+(Objects!$Y$4-$A64-1)*Objects!$X$4,0)</f>
        <v>0</v>
      </c>
      <c r="EM64">
        <f ca="1">OFFSET(Objects!$HW$6,EM$1+(Objects!$Y$4-$A64-1)*Objects!$X$4,0)</f>
        <v>0</v>
      </c>
      <c r="EN64">
        <f ca="1">OFFSET(Objects!$HW$6,EN$1+(Objects!$Y$4-$A64-1)*Objects!$X$4,0)</f>
        <v>0</v>
      </c>
      <c r="EO64">
        <f ca="1">OFFSET(Objects!$HW$6,EO$1+(Objects!$Y$4-$A64-1)*Objects!$X$4,0)</f>
        <v>0</v>
      </c>
      <c r="EP64">
        <f ca="1">OFFSET(Objects!$HW$6,EP$1+(Objects!$Y$4-$A64-1)*Objects!$X$4,0)</f>
        <v>0</v>
      </c>
      <c r="EQ64">
        <f ca="1">OFFSET(Objects!$HW$6,EQ$1+(Objects!$Y$4-$A64-1)*Objects!$X$4,0)</f>
        <v>0</v>
      </c>
      <c r="ER64">
        <f ca="1">OFFSET(Objects!$HW$6,ER$1+(Objects!$Y$4-$A64-1)*Objects!$X$4,0)</f>
        <v>0</v>
      </c>
      <c r="ES64">
        <f ca="1">OFFSET(Objects!$HW$6,ES$1+(Objects!$Y$4-$A64-1)*Objects!$X$4,0)</f>
        <v>0</v>
      </c>
      <c r="ET64">
        <f ca="1">OFFSET(Objects!$HW$6,ET$1+(Objects!$Y$4-$A64-1)*Objects!$X$4,0)</f>
        <v>0</v>
      </c>
      <c r="EU64">
        <f ca="1">OFFSET(Objects!$HW$6,EU$1+(Objects!$Y$4-$A64-1)*Objects!$X$4,0)</f>
        <v>0</v>
      </c>
      <c r="EV64">
        <f ca="1">OFFSET(Objects!$HW$6,EV$1+(Objects!$Y$4-$A64-1)*Objects!$X$4,0)</f>
        <v>0</v>
      </c>
      <c r="EW64">
        <f ca="1">OFFSET(Objects!$HW$6,EW$1+(Objects!$Y$4-$A64-1)*Objects!$X$4,0)</f>
        <v>0</v>
      </c>
      <c r="EX64">
        <f ca="1">OFFSET(Objects!$HW$6,EX$1+(Objects!$Y$4-$A64-1)*Objects!$X$4,0)</f>
        <v>0</v>
      </c>
      <c r="EY64">
        <f ca="1">OFFSET(Objects!$HW$6,EY$1+(Objects!$Y$4-$A64-1)*Objects!$X$4,0)</f>
        <v>0</v>
      </c>
      <c r="EZ64">
        <f ca="1">OFFSET(Objects!$HW$6,EZ$1+(Objects!$Y$4-$A64-1)*Objects!$X$4,0)</f>
        <v>0</v>
      </c>
      <c r="FA64">
        <f ca="1">OFFSET(Objects!$HW$6,FA$1+(Objects!$Y$4-$A64-1)*Objects!$X$4,0)</f>
        <v>0</v>
      </c>
      <c r="FB64">
        <f ca="1">OFFSET(Objects!$HW$6,FB$1+(Objects!$Y$4-$A64-1)*Objects!$X$4,0)</f>
        <v>0</v>
      </c>
      <c r="FC64">
        <f ca="1">OFFSET(Objects!$HW$6,FC$1+(Objects!$Y$4-$A64-1)*Objects!$X$4,0)</f>
        <v>0</v>
      </c>
      <c r="FD64">
        <f ca="1">OFFSET(Objects!$HW$6,FD$1+(Objects!$Y$4-$A64-1)*Objects!$X$4,0)</f>
        <v>0</v>
      </c>
      <c r="FE64" s="22">
        <f ca="1">OFFSET(Objects!$HW$6,FE$1+(Objects!$Y$4-$A64-1)*Objects!$X$4,0)</f>
        <v>0</v>
      </c>
    </row>
    <row r="65" spans="1:161" ht="4.5" customHeight="1" x14ac:dyDescent="0.25">
      <c r="A65">
        <v>63</v>
      </c>
      <c r="B65" s="21">
        <f ca="1">OFFSET(Objects!$HW$6,B$1+(Objects!$Y$4-$A65-1)*Objects!$X$4,0)</f>
        <v>0</v>
      </c>
      <c r="C65">
        <f ca="1">OFFSET(Objects!$HW$6,C$1+(Objects!$Y$4-$A65-1)*Objects!$X$4,0)</f>
        <v>0</v>
      </c>
      <c r="D65">
        <f ca="1">OFFSET(Objects!$HW$6,D$1+(Objects!$Y$4-$A65-1)*Objects!$X$4,0)</f>
        <v>0</v>
      </c>
      <c r="E65">
        <f ca="1">OFFSET(Objects!$HW$6,E$1+(Objects!$Y$4-$A65-1)*Objects!$X$4,0)</f>
        <v>0</v>
      </c>
      <c r="F65">
        <f ca="1">OFFSET(Objects!$HW$6,F$1+(Objects!$Y$4-$A65-1)*Objects!$X$4,0)</f>
        <v>0</v>
      </c>
      <c r="G65">
        <f ca="1">OFFSET(Objects!$HW$6,G$1+(Objects!$Y$4-$A65-1)*Objects!$X$4,0)</f>
        <v>0</v>
      </c>
      <c r="H65">
        <f ca="1">OFFSET(Objects!$HW$6,H$1+(Objects!$Y$4-$A65-1)*Objects!$X$4,0)</f>
        <v>0</v>
      </c>
      <c r="I65">
        <f ca="1">OFFSET(Objects!$HW$6,I$1+(Objects!$Y$4-$A65-1)*Objects!$X$4,0)</f>
        <v>0</v>
      </c>
      <c r="J65">
        <f ca="1">OFFSET(Objects!$HW$6,J$1+(Objects!$Y$4-$A65-1)*Objects!$X$4,0)</f>
        <v>0</v>
      </c>
      <c r="K65">
        <f ca="1">OFFSET(Objects!$HW$6,K$1+(Objects!$Y$4-$A65-1)*Objects!$X$4,0)</f>
        <v>0</v>
      </c>
      <c r="L65">
        <f ca="1">OFFSET(Objects!$HW$6,L$1+(Objects!$Y$4-$A65-1)*Objects!$X$4,0)</f>
        <v>0</v>
      </c>
      <c r="M65">
        <f ca="1">OFFSET(Objects!$HW$6,M$1+(Objects!$Y$4-$A65-1)*Objects!$X$4,0)</f>
        <v>0</v>
      </c>
      <c r="N65">
        <f ca="1">OFFSET(Objects!$HW$6,N$1+(Objects!$Y$4-$A65-1)*Objects!$X$4,0)</f>
        <v>0</v>
      </c>
      <c r="O65">
        <f ca="1">OFFSET(Objects!$HW$6,O$1+(Objects!$Y$4-$A65-1)*Objects!$X$4,0)</f>
        <v>0</v>
      </c>
      <c r="P65">
        <f ca="1">OFFSET(Objects!$HW$6,P$1+(Objects!$Y$4-$A65-1)*Objects!$X$4,0)</f>
        <v>0</v>
      </c>
      <c r="Q65">
        <f ca="1">OFFSET(Objects!$HW$6,Q$1+(Objects!$Y$4-$A65-1)*Objects!$X$4,0)</f>
        <v>0</v>
      </c>
      <c r="R65">
        <f ca="1">OFFSET(Objects!$HW$6,R$1+(Objects!$Y$4-$A65-1)*Objects!$X$4,0)</f>
        <v>0</v>
      </c>
      <c r="S65">
        <f ca="1">OFFSET(Objects!$HW$6,S$1+(Objects!$Y$4-$A65-1)*Objects!$X$4,0)</f>
        <v>0</v>
      </c>
      <c r="T65">
        <f ca="1">OFFSET(Objects!$HW$6,T$1+(Objects!$Y$4-$A65-1)*Objects!$X$4,0)</f>
        <v>0</v>
      </c>
      <c r="U65">
        <f ca="1">OFFSET(Objects!$HW$6,U$1+(Objects!$Y$4-$A65-1)*Objects!$X$4,0)</f>
        <v>0</v>
      </c>
      <c r="V65">
        <f ca="1">OFFSET(Objects!$HW$6,V$1+(Objects!$Y$4-$A65-1)*Objects!$X$4,0)</f>
        <v>0</v>
      </c>
      <c r="W65">
        <f ca="1">OFFSET(Objects!$HW$6,W$1+(Objects!$Y$4-$A65-1)*Objects!$X$4,0)</f>
        <v>0</v>
      </c>
      <c r="X65">
        <f ca="1">OFFSET(Objects!$HW$6,X$1+(Objects!$Y$4-$A65-1)*Objects!$X$4,0)</f>
        <v>0</v>
      </c>
      <c r="Y65">
        <f ca="1">OFFSET(Objects!$HW$6,Y$1+(Objects!$Y$4-$A65-1)*Objects!$X$4,0)</f>
        <v>0</v>
      </c>
      <c r="Z65">
        <f ca="1">OFFSET(Objects!$HW$6,Z$1+(Objects!$Y$4-$A65-1)*Objects!$X$4,0)</f>
        <v>0</v>
      </c>
      <c r="AA65">
        <f ca="1">OFFSET(Objects!$HW$6,AA$1+(Objects!$Y$4-$A65-1)*Objects!$X$4,0)</f>
        <v>0</v>
      </c>
      <c r="AB65">
        <f ca="1">OFFSET(Objects!$HW$6,AB$1+(Objects!$Y$4-$A65-1)*Objects!$X$4,0)</f>
        <v>0</v>
      </c>
      <c r="AC65">
        <f ca="1">OFFSET(Objects!$HW$6,AC$1+(Objects!$Y$4-$A65-1)*Objects!$X$4,0)</f>
        <v>0</v>
      </c>
      <c r="AD65">
        <f ca="1">OFFSET(Objects!$HW$6,AD$1+(Objects!$Y$4-$A65-1)*Objects!$X$4,0)</f>
        <v>0</v>
      </c>
      <c r="AE65">
        <f ca="1">OFFSET(Objects!$HW$6,AE$1+(Objects!$Y$4-$A65-1)*Objects!$X$4,0)</f>
        <v>0</v>
      </c>
      <c r="AF65">
        <f ca="1">OFFSET(Objects!$HW$6,AF$1+(Objects!$Y$4-$A65-1)*Objects!$X$4,0)</f>
        <v>0</v>
      </c>
      <c r="AG65">
        <f ca="1">OFFSET(Objects!$HW$6,AG$1+(Objects!$Y$4-$A65-1)*Objects!$X$4,0)</f>
        <v>0</v>
      </c>
      <c r="AH65">
        <f ca="1">OFFSET(Objects!$HW$6,AH$1+(Objects!$Y$4-$A65-1)*Objects!$X$4,0)</f>
        <v>0</v>
      </c>
      <c r="AI65">
        <f ca="1">OFFSET(Objects!$HW$6,AI$1+(Objects!$Y$4-$A65-1)*Objects!$X$4,0)</f>
        <v>0</v>
      </c>
      <c r="AJ65">
        <f ca="1">OFFSET(Objects!$HW$6,AJ$1+(Objects!$Y$4-$A65-1)*Objects!$X$4,0)</f>
        <v>0</v>
      </c>
      <c r="AK65">
        <f ca="1">OFFSET(Objects!$HW$6,AK$1+(Objects!$Y$4-$A65-1)*Objects!$X$4,0)</f>
        <v>0</v>
      </c>
      <c r="AL65">
        <f ca="1">OFFSET(Objects!$HW$6,AL$1+(Objects!$Y$4-$A65-1)*Objects!$X$4,0)</f>
        <v>0</v>
      </c>
      <c r="AM65">
        <f ca="1">OFFSET(Objects!$HW$6,AM$1+(Objects!$Y$4-$A65-1)*Objects!$X$4,0)</f>
        <v>0</v>
      </c>
      <c r="AN65">
        <f ca="1">OFFSET(Objects!$HW$6,AN$1+(Objects!$Y$4-$A65-1)*Objects!$X$4,0)</f>
        <v>0</v>
      </c>
      <c r="AO65">
        <f ca="1">OFFSET(Objects!$HW$6,AO$1+(Objects!$Y$4-$A65-1)*Objects!$X$4,0)</f>
        <v>0</v>
      </c>
      <c r="AP65">
        <f ca="1">OFFSET(Objects!$HW$6,AP$1+(Objects!$Y$4-$A65-1)*Objects!$X$4,0)</f>
        <v>0</v>
      </c>
      <c r="AQ65">
        <f ca="1">OFFSET(Objects!$HW$6,AQ$1+(Objects!$Y$4-$A65-1)*Objects!$X$4,0)</f>
        <v>0</v>
      </c>
      <c r="AR65">
        <f ca="1">OFFSET(Objects!$HW$6,AR$1+(Objects!$Y$4-$A65-1)*Objects!$X$4,0)</f>
        <v>0</v>
      </c>
      <c r="AS65">
        <f ca="1">OFFSET(Objects!$HW$6,AS$1+(Objects!$Y$4-$A65-1)*Objects!$X$4,0)</f>
        <v>0</v>
      </c>
      <c r="AT65">
        <f ca="1">OFFSET(Objects!$HW$6,AT$1+(Objects!$Y$4-$A65-1)*Objects!$X$4,0)</f>
        <v>0</v>
      </c>
      <c r="AU65">
        <f ca="1">OFFSET(Objects!$HW$6,AU$1+(Objects!$Y$4-$A65-1)*Objects!$X$4,0)</f>
        <v>0</v>
      </c>
      <c r="AV65">
        <f ca="1">OFFSET(Objects!$HW$6,AV$1+(Objects!$Y$4-$A65-1)*Objects!$X$4,0)</f>
        <v>0</v>
      </c>
      <c r="AW65">
        <f ca="1">OFFSET(Objects!$HW$6,AW$1+(Objects!$Y$4-$A65-1)*Objects!$X$4,0)</f>
        <v>0</v>
      </c>
      <c r="AX65">
        <f ca="1">OFFSET(Objects!$HW$6,AX$1+(Objects!$Y$4-$A65-1)*Objects!$X$4,0)</f>
        <v>0</v>
      </c>
      <c r="AY65">
        <f ca="1">OFFSET(Objects!$HW$6,AY$1+(Objects!$Y$4-$A65-1)*Objects!$X$4,0)</f>
        <v>0</v>
      </c>
      <c r="AZ65">
        <f ca="1">OFFSET(Objects!$HW$6,AZ$1+(Objects!$Y$4-$A65-1)*Objects!$X$4,0)</f>
        <v>0</v>
      </c>
      <c r="BA65">
        <f ca="1">OFFSET(Objects!$HW$6,BA$1+(Objects!$Y$4-$A65-1)*Objects!$X$4,0)</f>
        <v>0</v>
      </c>
      <c r="BB65">
        <f ca="1">OFFSET(Objects!$HW$6,BB$1+(Objects!$Y$4-$A65-1)*Objects!$X$4,0)</f>
        <v>0</v>
      </c>
      <c r="BC65">
        <f ca="1">OFFSET(Objects!$HW$6,BC$1+(Objects!$Y$4-$A65-1)*Objects!$X$4,0)</f>
        <v>0</v>
      </c>
      <c r="BD65">
        <f ca="1">OFFSET(Objects!$HW$6,BD$1+(Objects!$Y$4-$A65-1)*Objects!$X$4,0)</f>
        <v>0</v>
      </c>
      <c r="BE65">
        <f ca="1">OFFSET(Objects!$HW$6,BE$1+(Objects!$Y$4-$A65-1)*Objects!$X$4,0)</f>
        <v>0</v>
      </c>
      <c r="BF65">
        <f ca="1">OFFSET(Objects!$HW$6,BF$1+(Objects!$Y$4-$A65-1)*Objects!$X$4,0)</f>
        <v>0</v>
      </c>
      <c r="BG65">
        <f ca="1">OFFSET(Objects!$HW$6,BG$1+(Objects!$Y$4-$A65-1)*Objects!$X$4,0)</f>
        <v>0</v>
      </c>
      <c r="BH65">
        <f ca="1">OFFSET(Objects!$HW$6,BH$1+(Objects!$Y$4-$A65-1)*Objects!$X$4,0)</f>
        <v>0</v>
      </c>
      <c r="BI65">
        <f ca="1">OFFSET(Objects!$HW$6,BI$1+(Objects!$Y$4-$A65-1)*Objects!$X$4,0)</f>
        <v>0</v>
      </c>
      <c r="BJ65">
        <f ca="1">OFFSET(Objects!$HW$6,BJ$1+(Objects!$Y$4-$A65-1)*Objects!$X$4,0)</f>
        <v>0</v>
      </c>
      <c r="BK65">
        <f ca="1">OFFSET(Objects!$HW$6,BK$1+(Objects!$Y$4-$A65-1)*Objects!$X$4,0)</f>
        <v>0</v>
      </c>
      <c r="BL65">
        <f ca="1">OFFSET(Objects!$HW$6,BL$1+(Objects!$Y$4-$A65-1)*Objects!$X$4,0)</f>
        <v>0</v>
      </c>
      <c r="BM65">
        <f ca="1">OFFSET(Objects!$HW$6,BM$1+(Objects!$Y$4-$A65-1)*Objects!$X$4,0)</f>
        <v>0</v>
      </c>
      <c r="BN65">
        <f ca="1">OFFSET(Objects!$HW$6,BN$1+(Objects!$Y$4-$A65-1)*Objects!$X$4,0)</f>
        <v>0</v>
      </c>
      <c r="BO65">
        <f ca="1">OFFSET(Objects!$HW$6,BO$1+(Objects!$Y$4-$A65-1)*Objects!$X$4,0)</f>
        <v>0</v>
      </c>
      <c r="BP65">
        <f ca="1">OFFSET(Objects!$HW$6,BP$1+(Objects!$Y$4-$A65-1)*Objects!$X$4,0)</f>
        <v>0</v>
      </c>
      <c r="BQ65">
        <f ca="1">OFFSET(Objects!$HW$6,BQ$1+(Objects!$Y$4-$A65-1)*Objects!$X$4,0)</f>
        <v>0</v>
      </c>
      <c r="BR65">
        <f ca="1">OFFSET(Objects!$HW$6,BR$1+(Objects!$Y$4-$A65-1)*Objects!$X$4,0)</f>
        <v>0</v>
      </c>
      <c r="BS65">
        <f ca="1">OFFSET(Objects!$HW$6,BS$1+(Objects!$Y$4-$A65-1)*Objects!$X$4,0)</f>
        <v>0</v>
      </c>
      <c r="BT65">
        <f ca="1">OFFSET(Objects!$HW$6,BT$1+(Objects!$Y$4-$A65-1)*Objects!$X$4,0)</f>
        <v>0</v>
      </c>
      <c r="BU65">
        <f ca="1">OFFSET(Objects!$HW$6,BU$1+(Objects!$Y$4-$A65-1)*Objects!$X$4,0)</f>
        <v>0</v>
      </c>
      <c r="BV65">
        <f ca="1">OFFSET(Objects!$HW$6,BV$1+(Objects!$Y$4-$A65-1)*Objects!$X$4,0)</f>
        <v>0</v>
      </c>
      <c r="BW65">
        <f ca="1">OFFSET(Objects!$HW$6,BW$1+(Objects!$Y$4-$A65-1)*Objects!$X$4,0)</f>
        <v>0</v>
      </c>
      <c r="BX65">
        <f ca="1">OFFSET(Objects!$HW$6,BX$1+(Objects!$Y$4-$A65-1)*Objects!$X$4,0)</f>
        <v>0</v>
      </c>
      <c r="BY65">
        <f ca="1">OFFSET(Objects!$HW$6,BY$1+(Objects!$Y$4-$A65-1)*Objects!$X$4,0)</f>
        <v>0</v>
      </c>
      <c r="BZ65">
        <f ca="1">OFFSET(Objects!$HW$6,BZ$1+(Objects!$Y$4-$A65-1)*Objects!$X$4,0)</f>
        <v>0</v>
      </c>
      <c r="CA65">
        <f ca="1">OFFSET(Objects!$HW$6,CA$1+(Objects!$Y$4-$A65-1)*Objects!$X$4,0)</f>
        <v>0</v>
      </c>
      <c r="CB65">
        <f ca="1">OFFSET(Objects!$HW$6,CB$1+(Objects!$Y$4-$A65-1)*Objects!$X$4,0)</f>
        <v>0</v>
      </c>
      <c r="CC65">
        <f ca="1">OFFSET(Objects!$HW$6,CC$1+(Objects!$Y$4-$A65-1)*Objects!$X$4,0)</f>
        <v>0</v>
      </c>
      <c r="CD65">
        <f ca="1">OFFSET(Objects!$HW$6,CD$1+(Objects!$Y$4-$A65-1)*Objects!$X$4,0)</f>
        <v>0</v>
      </c>
      <c r="CE65">
        <f ca="1">OFFSET(Objects!$HW$6,CE$1+(Objects!$Y$4-$A65-1)*Objects!$X$4,0)</f>
        <v>0</v>
      </c>
      <c r="CF65">
        <f ca="1">OFFSET(Objects!$HW$6,CF$1+(Objects!$Y$4-$A65-1)*Objects!$X$4,0)</f>
        <v>0</v>
      </c>
      <c r="CG65">
        <f ca="1">OFFSET(Objects!$HW$6,CG$1+(Objects!$Y$4-$A65-1)*Objects!$X$4,0)</f>
        <v>0</v>
      </c>
      <c r="CH65">
        <f ca="1">OFFSET(Objects!$HW$6,CH$1+(Objects!$Y$4-$A65-1)*Objects!$X$4,0)</f>
        <v>0</v>
      </c>
      <c r="CI65">
        <f ca="1">OFFSET(Objects!$HW$6,CI$1+(Objects!$Y$4-$A65-1)*Objects!$X$4,0)</f>
        <v>0</v>
      </c>
      <c r="CJ65">
        <f ca="1">OFFSET(Objects!$HW$6,CJ$1+(Objects!$Y$4-$A65-1)*Objects!$X$4,0)</f>
        <v>0</v>
      </c>
      <c r="CK65">
        <f ca="1">OFFSET(Objects!$HW$6,CK$1+(Objects!$Y$4-$A65-1)*Objects!$X$4,0)</f>
        <v>0</v>
      </c>
      <c r="CL65">
        <f ca="1">OFFSET(Objects!$HW$6,CL$1+(Objects!$Y$4-$A65-1)*Objects!$X$4,0)</f>
        <v>0</v>
      </c>
      <c r="CM65">
        <f ca="1">OFFSET(Objects!$HW$6,CM$1+(Objects!$Y$4-$A65-1)*Objects!$X$4,0)</f>
        <v>0</v>
      </c>
      <c r="CN65">
        <f ca="1">OFFSET(Objects!$HW$6,CN$1+(Objects!$Y$4-$A65-1)*Objects!$X$4,0)</f>
        <v>0</v>
      </c>
      <c r="CO65">
        <f ca="1">OFFSET(Objects!$HW$6,CO$1+(Objects!$Y$4-$A65-1)*Objects!$X$4,0)</f>
        <v>0</v>
      </c>
      <c r="CP65">
        <f ca="1">OFFSET(Objects!$HW$6,CP$1+(Objects!$Y$4-$A65-1)*Objects!$X$4,0)</f>
        <v>0</v>
      </c>
      <c r="CQ65">
        <f ca="1">OFFSET(Objects!$HW$6,CQ$1+(Objects!$Y$4-$A65-1)*Objects!$X$4,0)</f>
        <v>0</v>
      </c>
      <c r="CR65">
        <f ca="1">OFFSET(Objects!$HW$6,CR$1+(Objects!$Y$4-$A65-1)*Objects!$X$4,0)</f>
        <v>0</v>
      </c>
      <c r="CS65">
        <f ca="1">OFFSET(Objects!$HW$6,CS$1+(Objects!$Y$4-$A65-1)*Objects!$X$4,0)</f>
        <v>0</v>
      </c>
      <c r="CT65">
        <f ca="1">OFFSET(Objects!$HW$6,CT$1+(Objects!$Y$4-$A65-1)*Objects!$X$4,0)</f>
        <v>0</v>
      </c>
      <c r="CU65">
        <f ca="1">OFFSET(Objects!$HW$6,CU$1+(Objects!$Y$4-$A65-1)*Objects!$X$4,0)</f>
        <v>0</v>
      </c>
      <c r="CV65">
        <f ca="1">OFFSET(Objects!$HW$6,CV$1+(Objects!$Y$4-$A65-1)*Objects!$X$4,0)</f>
        <v>0</v>
      </c>
      <c r="CW65">
        <f ca="1">OFFSET(Objects!$HW$6,CW$1+(Objects!$Y$4-$A65-1)*Objects!$X$4,0)</f>
        <v>0</v>
      </c>
      <c r="CX65">
        <f ca="1">OFFSET(Objects!$HW$6,CX$1+(Objects!$Y$4-$A65-1)*Objects!$X$4,0)</f>
        <v>0</v>
      </c>
      <c r="CY65">
        <f ca="1">OFFSET(Objects!$HW$6,CY$1+(Objects!$Y$4-$A65-1)*Objects!$X$4,0)</f>
        <v>0</v>
      </c>
      <c r="CZ65">
        <f ca="1">OFFSET(Objects!$HW$6,CZ$1+(Objects!$Y$4-$A65-1)*Objects!$X$4,0)</f>
        <v>0</v>
      </c>
      <c r="DA65">
        <f ca="1">OFFSET(Objects!$HW$6,DA$1+(Objects!$Y$4-$A65-1)*Objects!$X$4,0)</f>
        <v>0</v>
      </c>
      <c r="DB65">
        <f ca="1">OFFSET(Objects!$HW$6,DB$1+(Objects!$Y$4-$A65-1)*Objects!$X$4,0)</f>
        <v>0</v>
      </c>
      <c r="DC65">
        <f ca="1">OFFSET(Objects!$HW$6,DC$1+(Objects!$Y$4-$A65-1)*Objects!$X$4,0)</f>
        <v>0</v>
      </c>
      <c r="DD65">
        <f ca="1">OFFSET(Objects!$HW$6,DD$1+(Objects!$Y$4-$A65-1)*Objects!$X$4,0)</f>
        <v>0</v>
      </c>
      <c r="DE65">
        <f ca="1">OFFSET(Objects!$HW$6,DE$1+(Objects!$Y$4-$A65-1)*Objects!$X$4,0)</f>
        <v>0</v>
      </c>
      <c r="DF65">
        <f ca="1">OFFSET(Objects!$HW$6,DF$1+(Objects!$Y$4-$A65-1)*Objects!$X$4,0)</f>
        <v>0</v>
      </c>
      <c r="DG65">
        <f ca="1">OFFSET(Objects!$HW$6,DG$1+(Objects!$Y$4-$A65-1)*Objects!$X$4,0)</f>
        <v>0</v>
      </c>
      <c r="DH65">
        <f ca="1">OFFSET(Objects!$HW$6,DH$1+(Objects!$Y$4-$A65-1)*Objects!$X$4,0)</f>
        <v>0</v>
      </c>
      <c r="DI65">
        <f ca="1">OFFSET(Objects!$HW$6,DI$1+(Objects!$Y$4-$A65-1)*Objects!$X$4,0)</f>
        <v>0</v>
      </c>
      <c r="DJ65">
        <f ca="1">OFFSET(Objects!$HW$6,DJ$1+(Objects!$Y$4-$A65-1)*Objects!$X$4,0)</f>
        <v>0</v>
      </c>
      <c r="DK65">
        <f ca="1">OFFSET(Objects!$HW$6,DK$1+(Objects!$Y$4-$A65-1)*Objects!$X$4,0)</f>
        <v>0</v>
      </c>
      <c r="DL65">
        <f ca="1">OFFSET(Objects!$HW$6,DL$1+(Objects!$Y$4-$A65-1)*Objects!$X$4,0)</f>
        <v>0</v>
      </c>
      <c r="DM65">
        <f ca="1">OFFSET(Objects!$HW$6,DM$1+(Objects!$Y$4-$A65-1)*Objects!$X$4,0)</f>
        <v>0</v>
      </c>
      <c r="DN65">
        <f ca="1">OFFSET(Objects!$HW$6,DN$1+(Objects!$Y$4-$A65-1)*Objects!$X$4,0)</f>
        <v>0</v>
      </c>
      <c r="DO65">
        <f ca="1">OFFSET(Objects!$HW$6,DO$1+(Objects!$Y$4-$A65-1)*Objects!$X$4,0)</f>
        <v>0</v>
      </c>
      <c r="DP65">
        <f ca="1">OFFSET(Objects!$HW$6,DP$1+(Objects!$Y$4-$A65-1)*Objects!$X$4,0)</f>
        <v>0</v>
      </c>
      <c r="DQ65">
        <f ca="1">OFFSET(Objects!$HW$6,DQ$1+(Objects!$Y$4-$A65-1)*Objects!$X$4,0)</f>
        <v>0</v>
      </c>
      <c r="DR65">
        <f ca="1">OFFSET(Objects!$HW$6,DR$1+(Objects!$Y$4-$A65-1)*Objects!$X$4,0)</f>
        <v>0</v>
      </c>
      <c r="DS65">
        <f ca="1">OFFSET(Objects!$HW$6,DS$1+(Objects!$Y$4-$A65-1)*Objects!$X$4,0)</f>
        <v>0</v>
      </c>
      <c r="DT65">
        <f ca="1">OFFSET(Objects!$HW$6,DT$1+(Objects!$Y$4-$A65-1)*Objects!$X$4,0)</f>
        <v>0</v>
      </c>
      <c r="DU65">
        <f ca="1">OFFSET(Objects!$HW$6,DU$1+(Objects!$Y$4-$A65-1)*Objects!$X$4,0)</f>
        <v>0</v>
      </c>
      <c r="DV65">
        <f ca="1">OFFSET(Objects!$HW$6,DV$1+(Objects!$Y$4-$A65-1)*Objects!$X$4,0)</f>
        <v>0</v>
      </c>
      <c r="DW65">
        <f ca="1">OFFSET(Objects!$HW$6,DW$1+(Objects!$Y$4-$A65-1)*Objects!$X$4,0)</f>
        <v>0</v>
      </c>
      <c r="DX65">
        <f ca="1">OFFSET(Objects!$HW$6,DX$1+(Objects!$Y$4-$A65-1)*Objects!$X$4,0)</f>
        <v>0</v>
      </c>
      <c r="DY65">
        <f ca="1">OFFSET(Objects!$HW$6,DY$1+(Objects!$Y$4-$A65-1)*Objects!$X$4,0)</f>
        <v>0</v>
      </c>
      <c r="DZ65">
        <f ca="1">OFFSET(Objects!$HW$6,DZ$1+(Objects!$Y$4-$A65-1)*Objects!$X$4,0)</f>
        <v>0</v>
      </c>
      <c r="EA65">
        <f ca="1">OFFSET(Objects!$HW$6,EA$1+(Objects!$Y$4-$A65-1)*Objects!$X$4,0)</f>
        <v>0</v>
      </c>
      <c r="EB65">
        <f ca="1">OFFSET(Objects!$HW$6,EB$1+(Objects!$Y$4-$A65-1)*Objects!$X$4,0)</f>
        <v>0</v>
      </c>
      <c r="EC65">
        <f ca="1">OFFSET(Objects!$HW$6,EC$1+(Objects!$Y$4-$A65-1)*Objects!$X$4,0)</f>
        <v>0</v>
      </c>
      <c r="ED65">
        <f ca="1">OFFSET(Objects!$HW$6,ED$1+(Objects!$Y$4-$A65-1)*Objects!$X$4,0)</f>
        <v>0</v>
      </c>
      <c r="EE65">
        <f ca="1">OFFSET(Objects!$HW$6,EE$1+(Objects!$Y$4-$A65-1)*Objects!$X$4,0)</f>
        <v>0</v>
      </c>
      <c r="EF65">
        <f ca="1">OFFSET(Objects!$HW$6,EF$1+(Objects!$Y$4-$A65-1)*Objects!$X$4,0)</f>
        <v>0</v>
      </c>
      <c r="EG65">
        <f ca="1">OFFSET(Objects!$HW$6,EG$1+(Objects!$Y$4-$A65-1)*Objects!$X$4,0)</f>
        <v>0</v>
      </c>
      <c r="EH65">
        <f ca="1">OFFSET(Objects!$HW$6,EH$1+(Objects!$Y$4-$A65-1)*Objects!$X$4,0)</f>
        <v>0</v>
      </c>
      <c r="EI65">
        <f ca="1">OFFSET(Objects!$HW$6,EI$1+(Objects!$Y$4-$A65-1)*Objects!$X$4,0)</f>
        <v>0</v>
      </c>
      <c r="EJ65">
        <f ca="1">OFFSET(Objects!$HW$6,EJ$1+(Objects!$Y$4-$A65-1)*Objects!$X$4,0)</f>
        <v>0</v>
      </c>
      <c r="EK65">
        <f ca="1">OFFSET(Objects!$HW$6,EK$1+(Objects!$Y$4-$A65-1)*Objects!$X$4,0)</f>
        <v>0</v>
      </c>
      <c r="EL65">
        <f ca="1">OFFSET(Objects!$HW$6,EL$1+(Objects!$Y$4-$A65-1)*Objects!$X$4,0)</f>
        <v>0</v>
      </c>
      <c r="EM65">
        <f ca="1">OFFSET(Objects!$HW$6,EM$1+(Objects!$Y$4-$A65-1)*Objects!$X$4,0)</f>
        <v>0</v>
      </c>
      <c r="EN65">
        <f ca="1">OFFSET(Objects!$HW$6,EN$1+(Objects!$Y$4-$A65-1)*Objects!$X$4,0)</f>
        <v>0</v>
      </c>
      <c r="EO65">
        <f ca="1">OFFSET(Objects!$HW$6,EO$1+(Objects!$Y$4-$A65-1)*Objects!$X$4,0)</f>
        <v>0</v>
      </c>
      <c r="EP65">
        <f ca="1">OFFSET(Objects!$HW$6,EP$1+(Objects!$Y$4-$A65-1)*Objects!$X$4,0)</f>
        <v>0</v>
      </c>
      <c r="EQ65">
        <f ca="1">OFFSET(Objects!$HW$6,EQ$1+(Objects!$Y$4-$A65-1)*Objects!$X$4,0)</f>
        <v>0</v>
      </c>
      <c r="ER65">
        <f ca="1">OFFSET(Objects!$HW$6,ER$1+(Objects!$Y$4-$A65-1)*Objects!$X$4,0)</f>
        <v>0</v>
      </c>
      <c r="ES65">
        <f ca="1">OFFSET(Objects!$HW$6,ES$1+(Objects!$Y$4-$A65-1)*Objects!$X$4,0)</f>
        <v>0</v>
      </c>
      <c r="ET65">
        <f ca="1">OFFSET(Objects!$HW$6,ET$1+(Objects!$Y$4-$A65-1)*Objects!$X$4,0)</f>
        <v>0</v>
      </c>
      <c r="EU65">
        <f ca="1">OFFSET(Objects!$HW$6,EU$1+(Objects!$Y$4-$A65-1)*Objects!$X$4,0)</f>
        <v>0</v>
      </c>
      <c r="EV65">
        <f ca="1">OFFSET(Objects!$HW$6,EV$1+(Objects!$Y$4-$A65-1)*Objects!$X$4,0)</f>
        <v>0</v>
      </c>
      <c r="EW65">
        <f ca="1">OFFSET(Objects!$HW$6,EW$1+(Objects!$Y$4-$A65-1)*Objects!$X$4,0)</f>
        <v>0</v>
      </c>
      <c r="EX65">
        <f ca="1">OFFSET(Objects!$HW$6,EX$1+(Objects!$Y$4-$A65-1)*Objects!$X$4,0)</f>
        <v>0</v>
      </c>
      <c r="EY65">
        <f ca="1">OFFSET(Objects!$HW$6,EY$1+(Objects!$Y$4-$A65-1)*Objects!$X$4,0)</f>
        <v>0</v>
      </c>
      <c r="EZ65">
        <f ca="1">OFFSET(Objects!$HW$6,EZ$1+(Objects!$Y$4-$A65-1)*Objects!$X$4,0)</f>
        <v>0</v>
      </c>
      <c r="FA65">
        <f ca="1">OFFSET(Objects!$HW$6,FA$1+(Objects!$Y$4-$A65-1)*Objects!$X$4,0)</f>
        <v>0</v>
      </c>
      <c r="FB65">
        <f ca="1">OFFSET(Objects!$HW$6,FB$1+(Objects!$Y$4-$A65-1)*Objects!$X$4,0)</f>
        <v>0</v>
      </c>
      <c r="FC65">
        <f ca="1">OFFSET(Objects!$HW$6,FC$1+(Objects!$Y$4-$A65-1)*Objects!$X$4,0)</f>
        <v>0</v>
      </c>
      <c r="FD65">
        <f ca="1">OFFSET(Objects!$HW$6,FD$1+(Objects!$Y$4-$A65-1)*Objects!$X$4,0)</f>
        <v>0</v>
      </c>
      <c r="FE65" s="22">
        <f ca="1">OFFSET(Objects!$HW$6,FE$1+(Objects!$Y$4-$A65-1)*Objects!$X$4,0)</f>
        <v>0</v>
      </c>
    </row>
    <row r="66" spans="1:161" ht="4.5" customHeight="1" x14ac:dyDescent="0.25">
      <c r="A66">
        <v>64</v>
      </c>
      <c r="B66" s="21">
        <f ca="1">OFFSET(Objects!$HW$6,B$1+(Objects!$Y$4-$A66-1)*Objects!$X$4,0)</f>
        <v>0</v>
      </c>
      <c r="C66">
        <f ca="1">OFFSET(Objects!$HW$6,C$1+(Objects!$Y$4-$A66-1)*Objects!$X$4,0)</f>
        <v>0</v>
      </c>
      <c r="D66">
        <f ca="1">OFFSET(Objects!$HW$6,D$1+(Objects!$Y$4-$A66-1)*Objects!$X$4,0)</f>
        <v>0</v>
      </c>
      <c r="E66">
        <f ca="1">OFFSET(Objects!$HW$6,E$1+(Objects!$Y$4-$A66-1)*Objects!$X$4,0)</f>
        <v>0</v>
      </c>
      <c r="F66">
        <f ca="1">OFFSET(Objects!$HW$6,F$1+(Objects!$Y$4-$A66-1)*Objects!$X$4,0)</f>
        <v>0</v>
      </c>
      <c r="G66">
        <f ca="1">OFFSET(Objects!$HW$6,G$1+(Objects!$Y$4-$A66-1)*Objects!$X$4,0)</f>
        <v>0</v>
      </c>
      <c r="H66">
        <f ca="1">OFFSET(Objects!$HW$6,H$1+(Objects!$Y$4-$A66-1)*Objects!$X$4,0)</f>
        <v>0</v>
      </c>
      <c r="I66">
        <f ca="1">OFFSET(Objects!$HW$6,I$1+(Objects!$Y$4-$A66-1)*Objects!$X$4,0)</f>
        <v>0</v>
      </c>
      <c r="J66">
        <f ca="1">OFFSET(Objects!$HW$6,J$1+(Objects!$Y$4-$A66-1)*Objects!$X$4,0)</f>
        <v>0</v>
      </c>
      <c r="K66">
        <f ca="1">OFFSET(Objects!$HW$6,K$1+(Objects!$Y$4-$A66-1)*Objects!$X$4,0)</f>
        <v>0</v>
      </c>
      <c r="L66">
        <f ca="1">OFFSET(Objects!$HW$6,L$1+(Objects!$Y$4-$A66-1)*Objects!$X$4,0)</f>
        <v>0</v>
      </c>
      <c r="M66">
        <f ca="1">OFFSET(Objects!$HW$6,M$1+(Objects!$Y$4-$A66-1)*Objects!$X$4,0)</f>
        <v>0</v>
      </c>
      <c r="N66">
        <f ca="1">OFFSET(Objects!$HW$6,N$1+(Objects!$Y$4-$A66-1)*Objects!$X$4,0)</f>
        <v>0</v>
      </c>
      <c r="O66">
        <f ca="1">OFFSET(Objects!$HW$6,O$1+(Objects!$Y$4-$A66-1)*Objects!$X$4,0)</f>
        <v>0</v>
      </c>
      <c r="P66">
        <f ca="1">OFFSET(Objects!$HW$6,P$1+(Objects!$Y$4-$A66-1)*Objects!$X$4,0)</f>
        <v>0</v>
      </c>
      <c r="Q66">
        <f ca="1">OFFSET(Objects!$HW$6,Q$1+(Objects!$Y$4-$A66-1)*Objects!$X$4,0)</f>
        <v>0</v>
      </c>
      <c r="R66">
        <f ca="1">OFFSET(Objects!$HW$6,R$1+(Objects!$Y$4-$A66-1)*Objects!$X$4,0)</f>
        <v>0</v>
      </c>
      <c r="S66">
        <f ca="1">OFFSET(Objects!$HW$6,S$1+(Objects!$Y$4-$A66-1)*Objects!$X$4,0)</f>
        <v>0</v>
      </c>
      <c r="T66">
        <f ca="1">OFFSET(Objects!$HW$6,T$1+(Objects!$Y$4-$A66-1)*Objects!$X$4,0)</f>
        <v>0</v>
      </c>
      <c r="U66">
        <f ca="1">OFFSET(Objects!$HW$6,U$1+(Objects!$Y$4-$A66-1)*Objects!$X$4,0)</f>
        <v>0</v>
      </c>
      <c r="V66">
        <f ca="1">OFFSET(Objects!$HW$6,V$1+(Objects!$Y$4-$A66-1)*Objects!$X$4,0)</f>
        <v>0</v>
      </c>
      <c r="W66">
        <f ca="1">OFFSET(Objects!$HW$6,W$1+(Objects!$Y$4-$A66-1)*Objects!$X$4,0)</f>
        <v>0</v>
      </c>
      <c r="X66">
        <f ca="1">OFFSET(Objects!$HW$6,X$1+(Objects!$Y$4-$A66-1)*Objects!$X$4,0)</f>
        <v>0</v>
      </c>
      <c r="Y66">
        <f ca="1">OFFSET(Objects!$HW$6,Y$1+(Objects!$Y$4-$A66-1)*Objects!$X$4,0)</f>
        <v>0</v>
      </c>
      <c r="Z66">
        <f ca="1">OFFSET(Objects!$HW$6,Z$1+(Objects!$Y$4-$A66-1)*Objects!$X$4,0)</f>
        <v>0</v>
      </c>
      <c r="AA66">
        <f ca="1">OFFSET(Objects!$HW$6,AA$1+(Objects!$Y$4-$A66-1)*Objects!$X$4,0)</f>
        <v>0</v>
      </c>
      <c r="AB66">
        <f ca="1">OFFSET(Objects!$HW$6,AB$1+(Objects!$Y$4-$A66-1)*Objects!$X$4,0)</f>
        <v>0</v>
      </c>
      <c r="AC66">
        <f ca="1">OFFSET(Objects!$HW$6,AC$1+(Objects!$Y$4-$A66-1)*Objects!$X$4,0)</f>
        <v>0</v>
      </c>
      <c r="AD66">
        <f ca="1">OFFSET(Objects!$HW$6,AD$1+(Objects!$Y$4-$A66-1)*Objects!$X$4,0)</f>
        <v>0</v>
      </c>
      <c r="AE66">
        <f ca="1">OFFSET(Objects!$HW$6,AE$1+(Objects!$Y$4-$A66-1)*Objects!$X$4,0)</f>
        <v>0</v>
      </c>
      <c r="AF66">
        <f ca="1">OFFSET(Objects!$HW$6,AF$1+(Objects!$Y$4-$A66-1)*Objects!$X$4,0)</f>
        <v>0</v>
      </c>
      <c r="AG66">
        <f ca="1">OFFSET(Objects!$HW$6,AG$1+(Objects!$Y$4-$A66-1)*Objects!$X$4,0)</f>
        <v>0</v>
      </c>
      <c r="AH66">
        <f ca="1">OFFSET(Objects!$HW$6,AH$1+(Objects!$Y$4-$A66-1)*Objects!$X$4,0)</f>
        <v>0</v>
      </c>
      <c r="AI66">
        <f ca="1">OFFSET(Objects!$HW$6,AI$1+(Objects!$Y$4-$A66-1)*Objects!$X$4,0)</f>
        <v>0</v>
      </c>
      <c r="AJ66">
        <f ca="1">OFFSET(Objects!$HW$6,AJ$1+(Objects!$Y$4-$A66-1)*Objects!$X$4,0)</f>
        <v>0</v>
      </c>
      <c r="AK66">
        <f ca="1">OFFSET(Objects!$HW$6,AK$1+(Objects!$Y$4-$A66-1)*Objects!$X$4,0)</f>
        <v>0</v>
      </c>
      <c r="AL66">
        <f ca="1">OFFSET(Objects!$HW$6,AL$1+(Objects!$Y$4-$A66-1)*Objects!$X$4,0)</f>
        <v>0</v>
      </c>
      <c r="AM66">
        <f ca="1">OFFSET(Objects!$HW$6,AM$1+(Objects!$Y$4-$A66-1)*Objects!$X$4,0)</f>
        <v>0</v>
      </c>
      <c r="AN66">
        <f ca="1">OFFSET(Objects!$HW$6,AN$1+(Objects!$Y$4-$A66-1)*Objects!$X$4,0)</f>
        <v>0</v>
      </c>
      <c r="AO66">
        <f ca="1">OFFSET(Objects!$HW$6,AO$1+(Objects!$Y$4-$A66-1)*Objects!$X$4,0)</f>
        <v>0</v>
      </c>
      <c r="AP66">
        <f ca="1">OFFSET(Objects!$HW$6,AP$1+(Objects!$Y$4-$A66-1)*Objects!$X$4,0)</f>
        <v>0</v>
      </c>
      <c r="AQ66">
        <f ca="1">OFFSET(Objects!$HW$6,AQ$1+(Objects!$Y$4-$A66-1)*Objects!$X$4,0)</f>
        <v>0</v>
      </c>
      <c r="AR66">
        <f ca="1">OFFSET(Objects!$HW$6,AR$1+(Objects!$Y$4-$A66-1)*Objects!$X$4,0)</f>
        <v>0</v>
      </c>
      <c r="AS66">
        <f ca="1">OFFSET(Objects!$HW$6,AS$1+(Objects!$Y$4-$A66-1)*Objects!$X$4,0)</f>
        <v>0</v>
      </c>
      <c r="AT66">
        <f ca="1">OFFSET(Objects!$HW$6,AT$1+(Objects!$Y$4-$A66-1)*Objects!$X$4,0)</f>
        <v>0</v>
      </c>
      <c r="AU66">
        <f ca="1">OFFSET(Objects!$HW$6,AU$1+(Objects!$Y$4-$A66-1)*Objects!$X$4,0)</f>
        <v>0</v>
      </c>
      <c r="AV66">
        <f ca="1">OFFSET(Objects!$HW$6,AV$1+(Objects!$Y$4-$A66-1)*Objects!$X$4,0)</f>
        <v>0</v>
      </c>
      <c r="AW66">
        <f ca="1">OFFSET(Objects!$HW$6,AW$1+(Objects!$Y$4-$A66-1)*Objects!$X$4,0)</f>
        <v>0</v>
      </c>
      <c r="AX66">
        <f ca="1">OFFSET(Objects!$HW$6,AX$1+(Objects!$Y$4-$A66-1)*Objects!$X$4,0)</f>
        <v>0</v>
      </c>
      <c r="AY66">
        <f ca="1">OFFSET(Objects!$HW$6,AY$1+(Objects!$Y$4-$A66-1)*Objects!$X$4,0)</f>
        <v>0</v>
      </c>
      <c r="AZ66">
        <f ca="1">OFFSET(Objects!$HW$6,AZ$1+(Objects!$Y$4-$A66-1)*Objects!$X$4,0)</f>
        <v>0</v>
      </c>
      <c r="BA66">
        <f ca="1">OFFSET(Objects!$HW$6,BA$1+(Objects!$Y$4-$A66-1)*Objects!$X$4,0)</f>
        <v>0</v>
      </c>
      <c r="BB66">
        <f ca="1">OFFSET(Objects!$HW$6,BB$1+(Objects!$Y$4-$A66-1)*Objects!$X$4,0)</f>
        <v>0</v>
      </c>
      <c r="BC66">
        <f ca="1">OFFSET(Objects!$HW$6,BC$1+(Objects!$Y$4-$A66-1)*Objects!$X$4,0)</f>
        <v>0</v>
      </c>
      <c r="BD66">
        <f ca="1">OFFSET(Objects!$HW$6,BD$1+(Objects!$Y$4-$A66-1)*Objects!$X$4,0)</f>
        <v>0</v>
      </c>
      <c r="BE66">
        <f ca="1">OFFSET(Objects!$HW$6,BE$1+(Objects!$Y$4-$A66-1)*Objects!$X$4,0)</f>
        <v>0</v>
      </c>
      <c r="BF66">
        <f ca="1">OFFSET(Objects!$HW$6,BF$1+(Objects!$Y$4-$A66-1)*Objects!$X$4,0)</f>
        <v>0</v>
      </c>
      <c r="BG66">
        <f ca="1">OFFSET(Objects!$HW$6,BG$1+(Objects!$Y$4-$A66-1)*Objects!$X$4,0)</f>
        <v>0</v>
      </c>
      <c r="BH66">
        <f ca="1">OFFSET(Objects!$HW$6,BH$1+(Objects!$Y$4-$A66-1)*Objects!$X$4,0)</f>
        <v>0</v>
      </c>
      <c r="BI66">
        <f ca="1">OFFSET(Objects!$HW$6,BI$1+(Objects!$Y$4-$A66-1)*Objects!$X$4,0)</f>
        <v>0</v>
      </c>
      <c r="BJ66">
        <f ca="1">OFFSET(Objects!$HW$6,BJ$1+(Objects!$Y$4-$A66-1)*Objects!$X$4,0)</f>
        <v>0</v>
      </c>
      <c r="BK66">
        <f ca="1">OFFSET(Objects!$HW$6,BK$1+(Objects!$Y$4-$A66-1)*Objects!$X$4,0)</f>
        <v>0</v>
      </c>
      <c r="BL66">
        <f ca="1">OFFSET(Objects!$HW$6,BL$1+(Objects!$Y$4-$A66-1)*Objects!$X$4,0)</f>
        <v>0</v>
      </c>
      <c r="BM66">
        <f ca="1">OFFSET(Objects!$HW$6,BM$1+(Objects!$Y$4-$A66-1)*Objects!$X$4,0)</f>
        <v>0</v>
      </c>
      <c r="BN66">
        <f ca="1">OFFSET(Objects!$HW$6,BN$1+(Objects!$Y$4-$A66-1)*Objects!$X$4,0)</f>
        <v>0</v>
      </c>
      <c r="BO66">
        <f ca="1">OFFSET(Objects!$HW$6,BO$1+(Objects!$Y$4-$A66-1)*Objects!$X$4,0)</f>
        <v>0</v>
      </c>
      <c r="BP66">
        <f ca="1">OFFSET(Objects!$HW$6,BP$1+(Objects!$Y$4-$A66-1)*Objects!$X$4,0)</f>
        <v>0</v>
      </c>
      <c r="BQ66">
        <f ca="1">OFFSET(Objects!$HW$6,BQ$1+(Objects!$Y$4-$A66-1)*Objects!$X$4,0)</f>
        <v>0</v>
      </c>
      <c r="BR66">
        <f ca="1">OFFSET(Objects!$HW$6,BR$1+(Objects!$Y$4-$A66-1)*Objects!$X$4,0)</f>
        <v>0</v>
      </c>
      <c r="BS66">
        <f ca="1">OFFSET(Objects!$HW$6,BS$1+(Objects!$Y$4-$A66-1)*Objects!$X$4,0)</f>
        <v>0</v>
      </c>
      <c r="BT66">
        <f ca="1">OFFSET(Objects!$HW$6,BT$1+(Objects!$Y$4-$A66-1)*Objects!$X$4,0)</f>
        <v>0</v>
      </c>
      <c r="BU66">
        <f ca="1">OFFSET(Objects!$HW$6,BU$1+(Objects!$Y$4-$A66-1)*Objects!$X$4,0)</f>
        <v>0</v>
      </c>
      <c r="BV66">
        <f ca="1">OFFSET(Objects!$HW$6,BV$1+(Objects!$Y$4-$A66-1)*Objects!$X$4,0)</f>
        <v>0</v>
      </c>
      <c r="BW66">
        <f ca="1">OFFSET(Objects!$HW$6,BW$1+(Objects!$Y$4-$A66-1)*Objects!$X$4,0)</f>
        <v>0</v>
      </c>
      <c r="BX66">
        <f ca="1">OFFSET(Objects!$HW$6,BX$1+(Objects!$Y$4-$A66-1)*Objects!$X$4,0)</f>
        <v>0</v>
      </c>
      <c r="BY66">
        <f ca="1">OFFSET(Objects!$HW$6,BY$1+(Objects!$Y$4-$A66-1)*Objects!$X$4,0)</f>
        <v>0</v>
      </c>
      <c r="BZ66">
        <f ca="1">OFFSET(Objects!$HW$6,BZ$1+(Objects!$Y$4-$A66-1)*Objects!$X$4,0)</f>
        <v>0</v>
      </c>
      <c r="CA66">
        <f ca="1">OFFSET(Objects!$HW$6,CA$1+(Objects!$Y$4-$A66-1)*Objects!$X$4,0)</f>
        <v>0</v>
      </c>
      <c r="CB66">
        <f ca="1">OFFSET(Objects!$HW$6,CB$1+(Objects!$Y$4-$A66-1)*Objects!$X$4,0)</f>
        <v>0</v>
      </c>
      <c r="CC66">
        <f ca="1">OFFSET(Objects!$HW$6,CC$1+(Objects!$Y$4-$A66-1)*Objects!$X$4,0)</f>
        <v>0</v>
      </c>
      <c r="CD66">
        <f ca="1">OFFSET(Objects!$HW$6,CD$1+(Objects!$Y$4-$A66-1)*Objects!$X$4,0)</f>
        <v>0</v>
      </c>
      <c r="CE66">
        <f ca="1">OFFSET(Objects!$HW$6,CE$1+(Objects!$Y$4-$A66-1)*Objects!$X$4,0)</f>
        <v>0</v>
      </c>
      <c r="CF66">
        <f ca="1">OFFSET(Objects!$HW$6,CF$1+(Objects!$Y$4-$A66-1)*Objects!$X$4,0)</f>
        <v>0</v>
      </c>
      <c r="CG66">
        <f ca="1">OFFSET(Objects!$HW$6,CG$1+(Objects!$Y$4-$A66-1)*Objects!$X$4,0)</f>
        <v>0</v>
      </c>
      <c r="CH66">
        <f ca="1">OFFSET(Objects!$HW$6,CH$1+(Objects!$Y$4-$A66-1)*Objects!$X$4,0)</f>
        <v>0</v>
      </c>
      <c r="CI66">
        <f ca="1">OFFSET(Objects!$HW$6,CI$1+(Objects!$Y$4-$A66-1)*Objects!$X$4,0)</f>
        <v>0</v>
      </c>
      <c r="CJ66">
        <f ca="1">OFFSET(Objects!$HW$6,CJ$1+(Objects!$Y$4-$A66-1)*Objects!$X$4,0)</f>
        <v>0</v>
      </c>
      <c r="CK66">
        <f ca="1">OFFSET(Objects!$HW$6,CK$1+(Objects!$Y$4-$A66-1)*Objects!$X$4,0)</f>
        <v>0</v>
      </c>
      <c r="CL66">
        <f ca="1">OFFSET(Objects!$HW$6,CL$1+(Objects!$Y$4-$A66-1)*Objects!$X$4,0)</f>
        <v>0</v>
      </c>
      <c r="CM66">
        <f ca="1">OFFSET(Objects!$HW$6,CM$1+(Objects!$Y$4-$A66-1)*Objects!$X$4,0)</f>
        <v>0</v>
      </c>
      <c r="CN66">
        <f ca="1">OFFSET(Objects!$HW$6,CN$1+(Objects!$Y$4-$A66-1)*Objects!$X$4,0)</f>
        <v>0</v>
      </c>
      <c r="CO66">
        <f ca="1">OFFSET(Objects!$HW$6,CO$1+(Objects!$Y$4-$A66-1)*Objects!$X$4,0)</f>
        <v>0</v>
      </c>
      <c r="CP66">
        <f ca="1">OFFSET(Objects!$HW$6,CP$1+(Objects!$Y$4-$A66-1)*Objects!$X$4,0)</f>
        <v>0</v>
      </c>
      <c r="CQ66">
        <f ca="1">OFFSET(Objects!$HW$6,CQ$1+(Objects!$Y$4-$A66-1)*Objects!$X$4,0)</f>
        <v>0</v>
      </c>
      <c r="CR66">
        <f ca="1">OFFSET(Objects!$HW$6,CR$1+(Objects!$Y$4-$A66-1)*Objects!$X$4,0)</f>
        <v>0</v>
      </c>
      <c r="CS66">
        <f ca="1">OFFSET(Objects!$HW$6,CS$1+(Objects!$Y$4-$A66-1)*Objects!$X$4,0)</f>
        <v>0</v>
      </c>
      <c r="CT66">
        <f ca="1">OFFSET(Objects!$HW$6,CT$1+(Objects!$Y$4-$A66-1)*Objects!$X$4,0)</f>
        <v>0</v>
      </c>
      <c r="CU66">
        <f ca="1">OFFSET(Objects!$HW$6,CU$1+(Objects!$Y$4-$A66-1)*Objects!$X$4,0)</f>
        <v>0</v>
      </c>
      <c r="CV66">
        <f ca="1">OFFSET(Objects!$HW$6,CV$1+(Objects!$Y$4-$A66-1)*Objects!$X$4,0)</f>
        <v>0</v>
      </c>
      <c r="CW66">
        <f ca="1">OFFSET(Objects!$HW$6,CW$1+(Objects!$Y$4-$A66-1)*Objects!$X$4,0)</f>
        <v>0</v>
      </c>
      <c r="CX66">
        <f ca="1">OFFSET(Objects!$HW$6,CX$1+(Objects!$Y$4-$A66-1)*Objects!$X$4,0)</f>
        <v>0</v>
      </c>
      <c r="CY66">
        <f ca="1">OFFSET(Objects!$HW$6,CY$1+(Objects!$Y$4-$A66-1)*Objects!$X$4,0)</f>
        <v>0</v>
      </c>
      <c r="CZ66">
        <f ca="1">OFFSET(Objects!$HW$6,CZ$1+(Objects!$Y$4-$A66-1)*Objects!$X$4,0)</f>
        <v>0</v>
      </c>
      <c r="DA66">
        <f ca="1">OFFSET(Objects!$HW$6,DA$1+(Objects!$Y$4-$A66-1)*Objects!$X$4,0)</f>
        <v>0</v>
      </c>
      <c r="DB66">
        <f ca="1">OFFSET(Objects!$HW$6,DB$1+(Objects!$Y$4-$A66-1)*Objects!$X$4,0)</f>
        <v>0</v>
      </c>
      <c r="DC66">
        <f ca="1">OFFSET(Objects!$HW$6,DC$1+(Objects!$Y$4-$A66-1)*Objects!$X$4,0)</f>
        <v>0</v>
      </c>
      <c r="DD66">
        <f ca="1">OFFSET(Objects!$HW$6,DD$1+(Objects!$Y$4-$A66-1)*Objects!$X$4,0)</f>
        <v>0</v>
      </c>
      <c r="DE66">
        <f ca="1">OFFSET(Objects!$HW$6,DE$1+(Objects!$Y$4-$A66-1)*Objects!$X$4,0)</f>
        <v>0</v>
      </c>
      <c r="DF66">
        <f ca="1">OFFSET(Objects!$HW$6,DF$1+(Objects!$Y$4-$A66-1)*Objects!$X$4,0)</f>
        <v>0</v>
      </c>
      <c r="DG66">
        <f ca="1">OFFSET(Objects!$HW$6,DG$1+(Objects!$Y$4-$A66-1)*Objects!$X$4,0)</f>
        <v>0</v>
      </c>
      <c r="DH66">
        <f ca="1">OFFSET(Objects!$HW$6,DH$1+(Objects!$Y$4-$A66-1)*Objects!$X$4,0)</f>
        <v>0</v>
      </c>
      <c r="DI66">
        <f ca="1">OFFSET(Objects!$HW$6,DI$1+(Objects!$Y$4-$A66-1)*Objects!$X$4,0)</f>
        <v>0</v>
      </c>
      <c r="DJ66">
        <f ca="1">OFFSET(Objects!$HW$6,DJ$1+(Objects!$Y$4-$A66-1)*Objects!$X$4,0)</f>
        <v>0</v>
      </c>
      <c r="DK66">
        <f ca="1">OFFSET(Objects!$HW$6,DK$1+(Objects!$Y$4-$A66-1)*Objects!$X$4,0)</f>
        <v>0</v>
      </c>
      <c r="DL66">
        <f ca="1">OFFSET(Objects!$HW$6,DL$1+(Objects!$Y$4-$A66-1)*Objects!$X$4,0)</f>
        <v>0</v>
      </c>
      <c r="DM66">
        <f ca="1">OFFSET(Objects!$HW$6,DM$1+(Objects!$Y$4-$A66-1)*Objects!$X$4,0)</f>
        <v>0</v>
      </c>
      <c r="DN66">
        <f ca="1">OFFSET(Objects!$HW$6,DN$1+(Objects!$Y$4-$A66-1)*Objects!$X$4,0)</f>
        <v>0</v>
      </c>
      <c r="DO66">
        <f ca="1">OFFSET(Objects!$HW$6,DO$1+(Objects!$Y$4-$A66-1)*Objects!$X$4,0)</f>
        <v>0</v>
      </c>
      <c r="DP66">
        <f ca="1">OFFSET(Objects!$HW$6,DP$1+(Objects!$Y$4-$A66-1)*Objects!$X$4,0)</f>
        <v>0</v>
      </c>
      <c r="DQ66">
        <f ca="1">OFFSET(Objects!$HW$6,DQ$1+(Objects!$Y$4-$A66-1)*Objects!$X$4,0)</f>
        <v>0</v>
      </c>
      <c r="DR66">
        <f ca="1">OFFSET(Objects!$HW$6,DR$1+(Objects!$Y$4-$A66-1)*Objects!$X$4,0)</f>
        <v>0</v>
      </c>
      <c r="DS66">
        <f ca="1">OFFSET(Objects!$HW$6,DS$1+(Objects!$Y$4-$A66-1)*Objects!$X$4,0)</f>
        <v>0</v>
      </c>
      <c r="DT66">
        <f ca="1">OFFSET(Objects!$HW$6,DT$1+(Objects!$Y$4-$A66-1)*Objects!$X$4,0)</f>
        <v>0</v>
      </c>
      <c r="DU66">
        <f ca="1">OFFSET(Objects!$HW$6,DU$1+(Objects!$Y$4-$A66-1)*Objects!$X$4,0)</f>
        <v>0</v>
      </c>
      <c r="DV66">
        <f ca="1">OFFSET(Objects!$HW$6,DV$1+(Objects!$Y$4-$A66-1)*Objects!$X$4,0)</f>
        <v>0</v>
      </c>
      <c r="DW66">
        <f ca="1">OFFSET(Objects!$HW$6,DW$1+(Objects!$Y$4-$A66-1)*Objects!$X$4,0)</f>
        <v>0</v>
      </c>
      <c r="DX66">
        <f ca="1">OFFSET(Objects!$HW$6,DX$1+(Objects!$Y$4-$A66-1)*Objects!$X$4,0)</f>
        <v>0</v>
      </c>
      <c r="DY66">
        <f ca="1">OFFSET(Objects!$HW$6,DY$1+(Objects!$Y$4-$A66-1)*Objects!$X$4,0)</f>
        <v>0</v>
      </c>
      <c r="DZ66">
        <f ca="1">OFFSET(Objects!$HW$6,DZ$1+(Objects!$Y$4-$A66-1)*Objects!$X$4,0)</f>
        <v>0</v>
      </c>
      <c r="EA66">
        <f ca="1">OFFSET(Objects!$HW$6,EA$1+(Objects!$Y$4-$A66-1)*Objects!$X$4,0)</f>
        <v>0</v>
      </c>
      <c r="EB66">
        <f ca="1">OFFSET(Objects!$HW$6,EB$1+(Objects!$Y$4-$A66-1)*Objects!$X$4,0)</f>
        <v>0</v>
      </c>
      <c r="EC66">
        <f ca="1">OFFSET(Objects!$HW$6,EC$1+(Objects!$Y$4-$A66-1)*Objects!$X$4,0)</f>
        <v>0</v>
      </c>
      <c r="ED66">
        <f ca="1">OFFSET(Objects!$HW$6,ED$1+(Objects!$Y$4-$A66-1)*Objects!$X$4,0)</f>
        <v>0</v>
      </c>
      <c r="EE66">
        <f ca="1">OFFSET(Objects!$HW$6,EE$1+(Objects!$Y$4-$A66-1)*Objects!$X$4,0)</f>
        <v>0</v>
      </c>
      <c r="EF66">
        <f ca="1">OFFSET(Objects!$HW$6,EF$1+(Objects!$Y$4-$A66-1)*Objects!$X$4,0)</f>
        <v>0</v>
      </c>
      <c r="EG66">
        <f ca="1">OFFSET(Objects!$HW$6,EG$1+(Objects!$Y$4-$A66-1)*Objects!$X$4,0)</f>
        <v>0</v>
      </c>
      <c r="EH66">
        <f ca="1">OFFSET(Objects!$HW$6,EH$1+(Objects!$Y$4-$A66-1)*Objects!$X$4,0)</f>
        <v>0</v>
      </c>
      <c r="EI66">
        <f ca="1">OFFSET(Objects!$HW$6,EI$1+(Objects!$Y$4-$A66-1)*Objects!$X$4,0)</f>
        <v>0</v>
      </c>
      <c r="EJ66">
        <f ca="1">OFFSET(Objects!$HW$6,EJ$1+(Objects!$Y$4-$A66-1)*Objects!$X$4,0)</f>
        <v>0</v>
      </c>
      <c r="EK66">
        <f ca="1">OFFSET(Objects!$HW$6,EK$1+(Objects!$Y$4-$A66-1)*Objects!$X$4,0)</f>
        <v>0</v>
      </c>
      <c r="EL66">
        <f ca="1">OFFSET(Objects!$HW$6,EL$1+(Objects!$Y$4-$A66-1)*Objects!$X$4,0)</f>
        <v>0</v>
      </c>
      <c r="EM66">
        <f ca="1">OFFSET(Objects!$HW$6,EM$1+(Objects!$Y$4-$A66-1)*Objects!$X$4,0)</f>
        <v>0</v>
      </c>
      <c r="EN66">
        <f ca="1">OFFSET(Objects!$HW$6,EN$1+(Objects!$Y$4-$A66-1)*Objects!$X$4,0)</f>
        <v>0</v>
      </c>
      <c r="EO66">
        <f ca="1">OFFSET(Objects!$HW$6,EO$1+(Objects!$Y$4-$A66-1)*Objects!$X$4,0)</f>
        <v>0</v>
      </c>
      <c r="EP66">
        <f ca="1">OFFSET(Objects!$HW$6,EP$1+(Objects!$Y$4-$A66-1)*Objects!$X$4,0)</f>
        <v>0</v>
      </c>
      <c r="EQ66">
        <f ca="1">OFFSET(Objects!$HW$6,EQ$1+(Objects!$Y$4-$A66-1)*Objects!$X$4,0)</f>
        <v>0</v>
      </c>
      <c r="ER66">
        <f ca="1">OFFSET(Objects!$HW$6,ER$1+(Objects!$Y$4-$A66-1)*Objects!$X$4,0)</f>
        <v>0</v>
      </c>
      <c r="ES66">
        <f ca="1">OFFSET(Objects!$HW$6,ES$1+(Objects!$Y$4-$A66-1)*Objects!$X$4,0)</f>
        <v>0</v>
      </c>
      <c r="ET66">
        <f ca="1">OFFSET(Objects!$HW$6,ET$1+(Objects!$Y$4-$A66-1)*Objects!$X$4,0)</f>
        <v>0</v>
      </c>
      <c r="EU66">
        <f ca="1">OFFSET(Objects!$HW$6,EU$1+(Objects!$Y$4-$A66-1)*Objects!$X$4,0)</f>
        <v>0</v>
      </c>
      <c r="EV66">
        <f ca="1">OFFSET(Objects!$HW$6,EV$1+(Objects!$Y$4-$A66-1)*Objects!$X$4,0)</f>
        <v>0</v>
      </c>
      <c r="EW66">
        <f ca="1">OFFSET(Objects!$HW$6,EW$1+(Objects!$Y$4-$A66-1)*Objects!$X$4,0)</f>
        <v>0</v>
      </c>
      <c r="EX66">
        <f ca="1">OFFSET(Objects!$HW$6,EX$1+(Objects!$Y$4-$A66-1)*Objects!$X$4,0)</f>
        <v>0</v>
      </c>
      <c r="EY66">
        <f ca="1">OFFSET(Objects!$HW$6,EY$1+(Objects!$Y$4-$A66-1)*Objects!$X$4,0)</f>
        <v>0</v>
      </c>
      <c r="EZ66">
        <f ca="1">OFFSET(Objects!$HW$6,EZ$1+(Objects!$Y$4-$A66-1)*Objects!$X$4,0)</f>
        <v>0</v>
      </c>
      <c r="FA66">
        <f ca="1">OFFSET(Objects!$HW$6,FA$1+(Objects!$Y$4-$A66-1)*Objects!$X$4,0)</f>
        <v>0</v>
      </c>
      <c r="FB66">
        <f ca="1">OFFSET(Objects!$HW$6,FB$1+(Objects!$Y$4-$A66-1)*Objects!$X$4,0)</f>
        <v>0</v>
      </c>
      <c r="FC66">
        <f ca="1">OFFSET(Objects!$HW$6,FC$1+(Objects!$Y$4-$A66-1)*Objects!$X$4,0)</f>
        <v>0</v>
      </c>
      <c r="FD66">
        <f ca="1">OFFSET(Objects!$HW$6,FD$1+(Objects!$Y$4-$A66-1)*Objects!$X$4,0)</f>
        <v>0</v>
      </c>
      <c r="FE66" s="22">
        <f ca="1">OFFSET(Objects!$HW$6,FE$1+(Objects!$Y$4-$A66-1)*Objects!$X$4,0)</f>
        <v>0</v>
      </c>
    </row>
    <row r="67" spans="1:161" ht="4.5" customHeight="1" x14ac:dyDescent="0.25">
      <c r="A67">
        <v>65</v>
      </c>
      <c r="B67" s="21">
        <f ca="1">OFFSET(Objects!$HW$6,B$1+(Objects!$Y$4-$A67-1)*Objects!$X$4,0)</f>
        <v>0</v>
      </c>
      <c r="C67">
        <f ca="1">OFFSET(Objects!$HW$6,C$1+(Objects!$Y$4-$A67-1)*Objects!$X$4,0)</f>
        <v>0</v>
      </c>
      <c r="D67">
        <f ca="1">OFFSET(Objects!$HW$6,D$1+(Objects!$Y$4-$A67-1)*Objects!$X$4,0)</f>
        <v>0</v>
      </c>
      <c r="E67">
        <f ca="1">OFFSET(Objects!$HW$6,E$1+(Objects!$Y$4-$A67-1)*Objects!$X$4,0)</f>
        <v>0</v>
      </c>
      <c r="F67">
        <f ca="1">OFFSET(Objects!$HW$6,F$1+(Objects!$Y$4-$A67-1)*Objects!$X$4,0)</f>
        <v>0</v>
      </c>
      <c r="G67">
        <f ca="1">OFFSET(Objects!$HW$6,G$1+(Objects!$Y$4-$A67-1)*Objects!$X$4,0)</f>
        <v>0</v>
      </c>
      <c r="H67">
        <f ca="1">OFFSET(Objects!$HW$6,H$1+(Objects!$Y$4-$A67-1)*Objects!$X$4,0)</f>
        <v>0</v>
      </c>
      <c r="I67">
        <f ca="1">OFFSET(Objects!$HW$6,I$1+(Objects!$Y$4-$A67-1)*Objects!$X$4,0)</f>
        <v>0</v>
      </c>
      <c r="J67">
        <f ca="1">OFFSET(Objects!$HW$6,J$1+(Objects!$Y$4-$A67-1)*Objects!$X$4,0)</f>
        <v>0</v>
      </c>
      <c r="K67">
        <f ca="1">OFFSET(Objects!$HW$6,K$1+(Objects!$Y$4-$A67-1)*Objects!$X$4,0)</f>
        <v>0</v>
      </c>
      <c r="L67">
        <f ca="1">OFFSET(Objects!$HW$6,L$1+(Objects!$Y$4-$A67-1)*Objects!$X$4,0)</f>
        <v>0</v>
      </c>
      <c r="M67">
        <f ca="1">OFFSET(Objects!$HW$6,M$1+(Objects!$Y$4-$A67-1)*Objects!$X$4,0)</f>
        <v>0</v>
      </c>
      <c r="N67">
        <f ca="1">OFFSET(Objects!$HW$6,N$1+(Objects!$Y$4-$A67-1)*Objects!$X$4,0)</f>
        <v>0</v>
      </c>
      <c r="O67">
        <f ca="1">OFFSET(Objects!$HW$6,O$1+(Objects!$Y$4-$A67-1)*Objects!$X$4,0)</f>
        <v>0</v>
      </c>
      <c r="P67">
        <f ca="1">OFFSET(Objects!$HW$6,P$1+(Objects!$Y$4-$A67-1)*Objects!$X$4,0)</f>
        <v>0</v>
      </c>
      <c r="Q67">
        <f ca="1">OFFSET(Objects!$HW$6,Q$1+(Objects!$Y$4-$A67-1)*Objects!$X$4,0)</f>
        <v>0</v>
      </c>
      <c r="R67">
        <f ca="1">OFFSET(Objects!$HW$6,R$1+(Objects!$Y$4-$A67-1)*Objects!$X$4,0)</f>
        <v>0</v>
      </c>
      <c r="S67">
        <f ca="1">OFFSET(Objects!$HW$6,S$1+(Objects!$Y$4-$A67-1)*Objects!$X$4,0)</f>
        <v>0</v>
      </c>
      <c r="T67">
        <f ca="1">OFFSET(Objects!$HW$6,T$1+(Objects!$Y$4-$A67-1)*Objects!$X$4,0)</f>
        <v>0</v>
      </c>
      <c r="U67">
        <f ca="1">OFFSET(Objects!$HW$6,U$1+(Objects!$Y$4-$A67-1)*Objects!$X$4,0)</f>
        <v>0</v>
      </c>
      <c r="V67">
        <f ca="1">OFFSET(Objects!$HW$6,V$1+(Objects!$Y$4-$A67-1)*Objects!$X$4,0)</f>
        <v>0</v>
      </c>
      <c r="W67">
        <f ca="1">OFFSET(Objects!$HW$6,W$1+(Objects!$Y$4-$A67-1)*Objects!$X$4,0)</f>
        <v>0</v>
      </c>
      <c r="X67">
        <f ca="1">OFFSET(Objects!$HW$6,X$1+(Objects!$Y$4-$A67-1)*Objects!$X$4,0)</f>
        <v>0</v>
      </c>
      <c r="Y67">
        <f ca="1">OFFSET(Objects!$HW$6,Y$1+(Objects!$Y$4-$A67-1)*Objects!$X$4,0)</f>
        <v>0</v>
      </c>
      <c r="Z67">
        <f ca="1">OFFSET(Objects!$HW$6,Z$1+(Objects!$Y$4-$A67-1)*Objects!$X$4,0)</f>
        <v>0</v>
      </c>
      <c r="AA67">
        <f ca="1">OFFSET(Objects!$HW$6,AA$1+(Objects!$Y$4-$A67-1)*Objects!$X$4,0)</f>
        <v>0</v>
      </c>
      <c r="AB67">
        <f ca="1">OFFSET(Objects!$HW$6,AB$1+(Objects!$Y$4-$A67-1)*Objects!$X$4,0)</f>
        <v>0</v>
      </c>
      <c r="AC67">
        <f ca="1">OFFSET(Objects!$HW$6,AC$1+(Objects!$Y$4-$A67-1)*Objects!$X$4,0)</f>
        <v>0</v>
      </c>
      <c r="AD67">
        <f ca="1">OFFSET(Objects!$HW$6,AD$1+(Objects!$Y$4-$A67-1)*Objects!$X$4,0)</f>
        <v>0</v>
      </c>
      <c r="AE67">
        <f ca="1">OFFSET(Objects!$HW$6,AE$1+(Objects!$Y$4-$A67-1)*Objects!$X$4,0)</f>
        <v>0</v>
      </c>
      <c r="AF67">
        <f ca="1">OFFSET(Objects!$HW$6,AF$1+(Objects!$Y$4-$A67-1)*Objects!$X$4,0)</f>
        <v>0</v>
      </c>
      <c r="AG67">
        <f ca="1">OFFSET(Objects!$HW$6,AG$1+(Objects!$Y$4-$A67-1)*Objects!$X$4,0)</f>
        <v>0</v>
      </c>
      <c r="AH67">
        <f ca="1">OFFSET(Objects!$HW$6,AH$1+(Objects!$Y$4-$A67-1)*Objects!$X$4,0)</f>
        <v>0</v>
      </c>
      <c r="AI67">
        <f ca="1">OFFSET(Objects!$HW$6,AI$1+(Objects!$Y$4-$A67-1)*Objects!$X$4,0)</f>
        <v>0</v>
      </c>
      <c r="AJ67">
        <f ca="1">OFFSET(Objects!$HW$6,AJ$1+(Objects!$Y$4-$A67-1)*Objects!$X$4,0)</f>
        <v>0</v>
      </c>
      <c r="AK67">
        <f ca="1">OFFSET(Objects!$HW$6,AK$1+(Objects!$Y$4-$A67-1)*Objects!$X$4,0)</f>
        <v>0</v>
      </c>
      <c r="AL67">
        <f ca="1">OFFSET(Objects!$HW$6,AL$1+(Objects!$Y$4-$A67-1)*Objects!$X$4,0)</f>
        <v>0</v>
      </c>
      <c r="AM67">
        <f ca="1">OFFSET(Objects!$HW$6,AM$1+(Objects!$Y$4-$A67-1)*Objects!$X$4,0)</f>
        <v>0</v>
      </c>
      <c r="AN67">
        <f ca="1">OFFSET(Objects!$HW$6,AN$1+(Objects!$Y$4-$A67-1)*Objects!$X$4,0)</f>
        <v>0</v>
      </c>
      <c r="AO67">
        <f ca="1">OFFSET(Objects!$HW$6,AO$1+(Objects!$Y$4-$A67-1)*Objects!$X$4,0)</f>
        <v>0</v>
      </c>
      <c r="AP67">
        <f ca="1">OFFSET(Objects!$HW$6,AP$1+(Objects!$Y$4-$A67-1)*Objects!$X$4,0)</f>
        <v>0</v>
      </c>
      <c r="AQ67">
        <f ca="1">OFFSET(Objects!$HW$6,AQ$1+(Objects!$Y$4-$A67-1)*Objects!$X$4,0)</f>
        <v>0</v>
      </c>
      <c r="AR67">
        <f ca="1">OFFSET(Objects!$HW$6,AR$1+(Objects!$Y$4-$A67-1)*Objects!$X$4,0)</f>
        <v>0</v>
      </c>
      <c r="AS67">
        <f ca="1">OFFSET(Objects!$HW$6,AS$1+(Objects!$Y$4-$A67-1)*Objects!$X$4,0)</f>
        <v>0</v>
      </c>
      <c r="AT67">
        <f ca="1">OFFSET(Objects!$HW$6,AT$1+(Objects!$Y$4-$A67-1)*Objects!$X$4,0)</f>
        <v>0</v>
      </c>
      <c r="AU67">
        <f ca="1">OFFSET(Objects!$HW$6,AU$1+(Objects!$Y$4-$A67-1)*Objects!$X$4,0)</f>
        <v>0</v>
      </c>
      <c r="AV67">
        <f ca="1">OFFSET(Objects!$HW$6,AV$1+(Objects!$Y$4-$A67-1)*Objects!$X$4,0)</f>
        <v>0</v>
      </c>
      <c r="AW67">
        <f ca="1">OFFSET(Objects!$HW$6,AW$1+(Objects!$Y$4-$A67-1)*Objects!$X$4,0)</f>
        <v>0</v>
      </c>
      <c r="AX67">
        <f ca="1">OFFSET(Objects!$HW$6,AX$1+(Objects!$Y$4-$A67-1)*Objects!$X$4,0)</f>
        <v>0</v>
      </c>
      <c r="AY67">
        <f ca="1">OFFSET(Objects!$HW$6,AY$1+(Objects!$Y$4-$A67-1)*Objects!$X$4,0)</f>
        <v>0</v>
      </c>
      <c r="AZ67">
        <f ca="1">OFFSET(Objects!$HW$6,AZ$1+(Objects!$Y$4-$A67-1)*Objects!$X$4,0)</f>
        <v>0</v>
      </c>
      <c r="BA67">
        <f ca="1">OFFSET(Objects!$HW$6,BA$1+(Objects!$Y$4-$A67-1)*Objects!$X$4,0)</f>
        <v>0</v>
      </c>
      <c r="BB67">
        <f ca="1">OFFSET(Objects!$HW$6,BB$1+(Objects!$Y$4-$A67-1)*Objects!$X$4,0)</f>
        <v>0</v>
      </c>
      <c r="BC67">
        <f ca="1">OFFSET(Objects!$HW$6,BC$1+(Objects!$Y$4-$A67-1)*Objects!$X$4,0)</f>
        <v>0</v>
      </c>
      <c r="BD67">
        <f ca="1">OFFSET(Objects!$HW$6,BD$1+(Objects!$Y$4-$A67-1)*Objects!$X$4,0)</f>
        <v>0</v>
      </c>
      <c r="BE67">
        <f ca="1">OFFSET(Objects!$HW$6,BE$1+(Objects!$Y$4-$A67-1)*Objects!$X$4,0)</f>
        <v>0</v>
      </c>
      <c r="BF67">
        <f ca="1">OFFSET(Objects!$HW$6,BF$1+(Objects!$Y$4-$A67-1)*Objects!$X$4,0)</f>
        <v>0</v>
      </c>
      <c r="BG67">
        <f ca="1">OFFSET(Objects!$HW$6,BG$1+(Objects!$Y$4-$A67-1)*Objects!$X$4,0)</f>
        <v>0</v>
      </c>
      <c r="BH67">
        <f ca="1">OFFSET(Objects!$HW$6,BH$1+(Objects!$Y$4-$A67-1)*Objects!$X$4,0)</f>
        <v>0</v>
      </c>
      <c r="BI67">
        <f ca="1">OFFSET(Objects!$HW$6,BI$1+(Objects!$Y$4-$A67-1)*Objects!$X$4,0)</f>
        <v>0</v>
      </c>
      <c r="BJ67">
        <f ca="1">OFFSET(Objects!$HW$6,BJ$1+(Objects!$Y$4-$A67-1)*Objects!$X$4,0)</f>
        <v>0</v>
      </c>
      <c r="BK67">
        <f ca="1">OFFSET(Objects!$HW$6,BK$1+(Objects!$Y$4-$A67-1)*Objects!$X$4,0)</f>
        <v>0</v>
      </c>
      <c r="BL67">
        <f ca="1">OFFSET(Objects!$HW$6,BL$1+(Objects!$Y$4-$A67-1)*Objects!$X$4,0)</f>
        <v>0</v>
      </c>
      <c r="BM67">
        <f ca="1">OFFSET(Objects!$HW$6,BM$1+(Objects!$Y$4-$A67-1)*Objects!$X$4,0)</f>
        <v>0</v>
      </c>
      <c r="BN67">
        <f ca="1">OFFSET(Objects!$HW$6,BN$1+(Objects!$Y$4-$A67-1)*Objects!$X$4,0)</f>
        <v>0</v>
      </c>
      <c r="BO67">
        <f ca="1">OFFSET(Objects!$HW$6,BO$1+(Objects!$Y$4-$A67-1)*Objects!$X$4,0)</f>
        <v>0</v>
      </c>
      <c r="BP67">
        <f ca="1">OFFSET(Objects!$HW$6,BP$1+(Objects!$Y$4-$A67-1)*Objects!$X$4,0)</f>
        <v>0</v>
      </c>
      <c r="BQ67">
        <f ca="1">OFFSET(Objects!$HW$6,BQ$1+(Objects!$Y$4-$A67-1)*Objects!$X$4,0)</f>
        <v>0</v>
      </c>
      <c r="BR67">
        <f ca="1">OFFSET(Objects!$HW$6,BR$1+(Objects!$Y$4-$A67-1)*Objects!$X$4,0)</f>
        <v>0</v>
      </c>
      <c r="BS67">
        <f ca="1">OFFSET(Objects!$HW$6,BS$1+(Objects!$Y$4-$A67-1)*Objects!$X$4,0)</f>
        <v>0</v>
      </c>
      <c r="BT67">
        <f ca="1">OFFSET(Objects!$HW$6,BT$1+(Objects!$Y$4-$A67-1)*Objects!$X$4,0)</f>
        <v>0</v>
      </c>
      <c r="BU67">
        <f ca="1">OFFSET(Objects!$HW$6,BU$1+(Objects!$Y$4-$A67-1)*Objects!$X$4,0)</f>
        <v>0</v>
      </c>
      <c r="BV67">
        <f ca="1">OFFSET(Objects!$HW$6,BV$1+(Objects!$Y$4-$A67-1)*Objects!$X$4,0)</f>
        <v>0</v>
      </c>
      <c r="BW67">
        <f ca="1">OFFSET(Objects!$HW$6,BW$1+(Objects!$Y$4-$A67-1)*Objects!$X$4,0)</f>
        <v>0</v>
      </c>
      <c r="BX67">
        <f ca="1">OFFSET(Objects!$HW$6,BX$1+(Objects!$Y$4-$A67-1)*Objects!$X$4,0)</f>
        <v>0</v>
      </c>
      <c r="BY67">
        <f ca="1">OFFSET(Objects!$HW$6,BY$1+(Objects!$Y$4-$A67-1)*Objects!$X$4,0)</f>
        <v>0</v>
      </c>
      <c r="BZ67">
        <f ca="1">OFFSET(Objects!$HW$6,BZ$1+(Objects!$Y$4-$A67-1)*Objects!$X$4,0)</f>
        <v>0</v>
      </c>
      <c r="CA67">
        <f ca="1">OFFSET(Objects!$HW$6,CA$1+(Objects!$Y$4-$A67-1)*Objects!$X$4,0)</f>
        <v>0</v>
      </c>
      <c r="CB67">
        <f ca="1">OFFSET(Objects!$HW$6,CB$1+(Objects!$Y$4-$A67-1)*Objects!$X$4,0)</f>
        <v>0</v>
      </c>
      <c r="CC67">
        <f ca="1">OFFSET(Objects!$HW$6,CC$1+(Objects!$Y$4-$A67-1)*Objects!$X$4,0)</f>
        <v>0</v>
      </c>
      <c r="CD67">
        <f ca="1">OFFSET(Objects!$HW$6,CD$1+(Objects!$Y$4-$A67-1)*Objects!$X$4,0)</f>
        <v>0</v>
      </c>
      <c r="CE67">
        <f ca="1">OFFSET(Objects!$HW$6,CE$1+(Objects!$Y$4-$A67-1)*Objects!$X$4,0)</f>
        <v>0</v>
      </c>
      <c r="CF67">
        <f ca="1">OFFSET(Objects!$HW$6,CF$1+(Objects!$Y$4-$A67-1)*Objects!$X$4,0)</f>
        <v>0</v>
      </c>
      <c r="CG67">
        <f ca="1">OFFSET(Objects!$HW$6,CG$1+(Objects!$Y$4-$A67-1)*Objects!$X$4,0)</f>
        <v>0</v>
      </c>
      <c r="CH67">
        <f ca="1">OFFSET(Objects!$HW$6,CH$1+(Objects!$Y$4-$A67-1)*Objects!$X$4,0)</f>
        <v>0</v>
      </c>
      <c r="CI67">
        <f ca="1">OFFSET(Objects!$HW$6,CI$1+(Objects!$Y$4-$A67-1)*Objects!$X$4,0)</f>
        <v>0</v>
      </c>
      <c r="CJ67">
        <f ca="1">OFFSET(Objects!$HW$6,CJ$1+(Objects!$Y$4-$A67-1)*Objects!$X$4,0)</f>
        <v>0</v>
      </c>
      <c r="CK67">
        <f ca="1">OFFSET(Objects!$HW$6,CK$1+(Objects!$Y$4-$A67-1)*Objects!$X$4,0)</f>
        <v>0</v>
      </c>
      <c r="CL67">
        <f ca="1">OFFSET(Objects!$HW$6,CL$1+(Objects!$Y$4-$A67-1)*Objects!$X$4,0)</f>
        <v>0</v>
      </c>
      <c r="CM67">
        <f ca="1">OFFSET(Objects!$HW$6,CM$1+(Objects!$Y$4-$A67-1)*Objects!$X$4,0)</f>
        <v>0</v>
      </c>
      <c r="CN67">
        <f ca="1">OFFSET(Objects!$HW$6,CN$1+(Objects!$Y$4-$A67-1)*Objects!$X$4,0)</f>
        <v>0</v>
      </c>
      <c r="CO67">
        <f ca="1">OFFSET(Objects!$HW$6,CO$1+(Objects!$Y$4-$A67-1)*Objects!$X$4,0)</f>
        <v>0</v>
      </c>
      <c r="CP67">
        <f ca="1">OFFSET(Objects!$HW$6,CP$1+(Objects!$Y$4-$A67-1)*Objects!$X$4,0)</f>
        <v>0</v>
      </c>
      <c r="CQ67">
        <f ca="1">OFFSET(Objects!$HW$6,CQ$1+(Objects!$Y$4-$A67-1)*Objects!$X$4,0)</f>
        <v>0</v>
      </c>
      <c r="CR67">
        <f ca="1">OFFSET(Objects!$HW$6,CR$1+(Objects!$Y$4-$A67-1)*Objects!$X$4,0)</f>
        <v>0</v>
      </c>
      <c r="CS67">
        <f ca="1">OFFSET(Objects!$HW$6,CS$1+(Objects!$Y$4-$A67-1)*Objects!$X$4,0)</f>
        <v>0</v>
      </c>
      <c r="CT67">
        <f ca="1">OFFSET(Objects!$HW$6,CT$1+(Objects!$Y$4-$A67-1)*Objects!$X$4,0)</f>
        <v>0</v>
      </c>
      <c r="CU67">
        <f ca="1">OFFSET(Objects!$HW$6,CU$1+(Objects!$Y$4-$A67-1)*Objects!$X$4,0)</f>
        <v>0</v>
      </c>
      <c r="CV67">
        <f ca="1">OFFSET(Objects!$HW$6,CV$1+(Objects!$Y$4-$A67-1)*Objects!$X$4,0)</f>
        <v>0</v>
      </c>
      <c r="CW67">
        <f ca="1">OFFSET(Objects!$HW$6,CW$1+(Objects!$Y$4-$A67-1)*Objects!$X$4,0)</f>
        <v>0</v>
      </c>
      <c r="CX67">
        <f ca="1">OFFSET(Objects!$HW$6,CX$1+(Objects!$Y$4-$A67-1)*Objects!$X$4,0)</f>
        <v>0</v>
      </c>
      <c r="CY67">
        <f ca="1">OFFSET(Objects!$HW$6,CY$1+(Objects!$Y$4-$A67-1)*Objects!$X$4,0)</f>
        <v>0</v>
      </c>
      <c r="CZ67">
        <f ca="1">OFFSET(Objects!$HW$6,CZ$1+(Objects!$Y$4-$A67-1)*Objects!$X$4,0)</f>
        <v>0</v>
      </c>
      <c r="DA67">
        <f ca="1">OFFSET(Objects!$HW$6,DA$1+(Objects!$Y$4-$A67-1)*Objects!$X$4,0)</f>
        <v>0</v>
      </c>
      <c r="DB67">
        <f ca="1">OFFSET(Objects!$HW$6,DB$1+(Objects!$Y$4-$A67-1)*Objects!$X$4,0)</f>
        <v>0</v>
      </c>
      <c r="DC67">
        <f ca="1">OFFSET(Objects!$HW$6,DC$1+(Objects!$Y$4-$A67-1)*Objects!$X$4,0)</f>
        <v>0</v>
      </c>
      <c r="DD67">
        <f ca="1">OFFSET(Objects!$HW$6,DD$1+(Objects!$Y$4-$A67-1)*Objects!$X$4,0)</f>
        <v>0</v>
      </c>
      <c r="DE67">
        <f ca="1">OFFSET(Objects!$HW$6,DE$1+(Objects!$Y$4-$A67-1)*Objects!$X$4,0)</f>
        <v>0</v>
      </c>
      <c r="DF67">
        <f ca="1">OFFSET(Objects!$HW$6,DF$1+(Objects!$Y$4-$A67-1)*Objects!$X$4,0)</f>
        <v>0</v>
      </c>
      <c r="DG67">
        <f ca="1">OFFSET(Objects!$HW$6,DG$1+(Objects!$Y$4-$A67-1)*Objects!$X$4,0)</f>
        <v>0</v>
      </c>
      <c r="DH67">
        <f ca="1">OFFSET(Objects!$HW$6,DH$1+(Objects!$Y$4-$A67-1)*Objects!$X$4,0)</f>
        <v>0</v>
      </c>
      <c r="DI67">
        <f ca="1">OFFSET(Objects!$HW$6,DI$1+(Objects!$Y$4-$A67-1)*Objects!$X$4,0)</f>
        <v>0</v>
      </c>
      <c r="DJ67">
        <f ca="1">OFFSET(Objects!$HW$6,DJ$1+(Objects!$Y$4-$A67-1)*Objects!$X$4,0)</f>
        <v>0</v>
      </c>
      <c r="DK67">
        <f ca="1">OFFSET(Objects!$HW$6,DK$1+(Objects!$Y$4-$A67-1)*Objects!$X$4,0)</f>
        <v>0</v>
      </c>
      <c r="DL67">
        <f ca="1">OFFSET(Objects!$HW$6,DL$1+(Objects!$Y$4-$A67-1)*Objects!$X$4,0)</f>
        <v>0</v>
      </c>
      <c r="DM67">
        <f ca="1">OFFSET(Objects!$HW$6,DM$1+(Objects!$Y$4-$A67-1)*Objects!$X$4,0)</f>
        <v>0</v>
      </c>
      <c r="DN67">
        <f ca="1">OFFSET(Objects!$HW$6,DN$1+(Objects!$Y$4-$A67-1)*Objects!$X$4,0)</f>
        <v>0</v>
      </c>
      <c r="DO67">
        <f ca="1">OFFSET(Objects!$HW$6,DO$1+(Objects!$Y$4-$A67-1)*Objects!$X$4,0)</f>
        <v>0</v>
      </c>
      <c r="DP67">
        <f ca="1">OFFSET(Objects!$HW$6,DP$1+(Objects!$Y$4-$A67-1)*Objects!$X$4,0)</f>
        <v>0</v>
      </c>
      <c r="DQ67">
        <f ca="1">OFFSET(Objects!$HW$6,DQ$1+(Objects!$Y$4-$A67-1)*Objects!$X$4,0)</f>
        <v>0</v>
      </c>
      <c r="DR67">
        <f ca="1">OFFSET(Objects!$HW$6,DR$1+(Objects!$Y$4-$A67-1)*Objects!$X$4,0)</f>
        <v>0</v>
      </c>
      <c r="DS67">
        <f ca="1">OFFSET(Objects!$HW$6,DS$1+(Objects!$Y$4-$A67-1)*Objects!$X$4,0)</f>
        <v>0</v>
      </c>
      <c r="DT67">
        <f ca="1">OFFSET(Objects!$HW$6,DT$1+(Objects!$Y$4-$A67-1)*Objects!$X$4,0)</f>
        <v>0</v>
      </c>
      <c r="DU67">
        <f ca="1">OFFSET(Objects!$HW$6,DU$1+(Objects!$Y$4-$A67-1)*Objects!$X$4,0)</f>
        <v>0</v>
      </c>
      <c r="DV67">
        <f ca="1">OFFSET(Objects!$HW$6,DV$1+(Objects!$Y$4-$A67-1)*Objects!$X$4,0)</f>
        <v>0</v>
      </c>
      <c r="DW67">
        <f ca="1">OFFSET(Objects!$HW$6,DW$1+(Objects!$Y$4-$A67-1)*Objects!$X$4,0)</f>
        <v>0</v>
      </c>
      <c r="DX67">
        <f ca="1">OFFSET(Objects!$HW$6,DX$1+(Objects!$Y$4-$A67-1)*Objects!$X$4,0)</f>
        <v>0</v>
      </c>
      <c r="DY67">
        <f ca="1">OFFSET(Objects!$HW$6,DY$1+(Objects!$Y$4-$A67-1)*Objects!$X$4,0)</f>
        <v>0</v>
      </c>
      <c r="DZ67">
        <f ca="1">OFFSET(Objects!$HW$6,DZ$1+(Objects!$Y$4-$A67-1)*Objects!$X$4,0)</f>
        <v>0</v>
      </c>
      <c r="EA67">
        <f ca="1">OFFSET(Objects!$HW$6,EA$1+(Objects!$Y$4-$A67-1)*Objects!$X$4,0)</f>
        <v>0</v>
      </c>
      <c r="EB67">
        <f ca="1">OFFSET(Objects!$HW$6,EB$1+(Objects!$Y$4-$A67-1)*Objects!$X$4,0)</f>
        <v>0</v>
      </c>
      <c r="EC67">
        <f ca="1">OFFSET(Objects!$HW$6,EC$1+(Objects!$Y$4-$A67-1)*Objects!$X$4,0)</f>
        <v>0</v>
      </c>
      <c r="ED67">
        <f ca="1">OFFSET(Objects!$HW$6,ED$1+(Objects!$Y$4-$A67-1)*Objects!$X$4,0)</f>
        <v>0</v>
      </c>
      <c r="EE67">
        <f ca="1">OFFSET(Objects!$HW$6,EE$1+(Objects!$Y$4-$A67-1)*Objects!$X$4,0)</f>
        <v>0</v>
      </c>
      <c r="EF67">
        <f ca="1">OFFSET(Objects!$HW$6,EF$1+(Objects!$Y$4-$A67-1)*Objects!$X$4,0)</f>
        <v>0</v>
      </c>
      <c r="EG67">
        <f ca="1">OFFSET(Objects!$HW$6,EG$1+(Objects!$Y$4-$A67-1)*Objects!$X$4,0)</f>
        <v>0</v>
      </c>
      <c r="EH67">
        <f ca="1">OFFSET(Objects!$HW$6,EH$1+(Objects!$Y$4-$A67-1)*Objects!$X$4,0)</f>
        <v>0</v>
      </c>
      <c r="EI67">
        <f ca="1">OFFSET(Objects!$HW$6,EI$1+(Objects!$Y$4-$A67-1)*Objects!$X$4,0)</f>
        <v>0</v>
      </c>
      <c r="EJ67">
        <f ca="1">OFFSET(Objects!$HW$6,EJ$1+(Objects!$Y$4-$A67-1)*Objects!$X$4,0)</f>
        <v>0</v>
      </c>
      <c r="EK67">
        <f ca="1">OFFSET(Objects!$HW$6,EK$1+(Objects!$Y$4-$A67-1)*Objects!$X$4,0)</f>
        <v>0</v>
      </c>
      <c r="EL67">
        <f ca="1">OFFSET(Objects!$HW$6,EL$1+(Objects!$Y$4-$A67-1)*Objects!$X$4,0)</f>
        <v>0</v>
      </c>
      <c r="EM67">
        <f ca="1">OFFSET(Objects!$HW$6,EM$1+(Objects!$Y$4-$A67-1)*Objects!$X$4,0)</f>
        <v>0</v>
      </c>
      <c r="EN67">
        <f ca="1">OFFSET(Objects!$HW$6,EN$1+(Objects!$Y$4-$A67-1)*Objects!$X$4,0)</f>
        <v>0</v>
      </c>
      <c r="EO67">
        <f ca="1">OFFSET(Objects!$HW$6,EO$1+(Objects!$Y$4-$A67-1)*Objects!$X$4,0)</f>
        <v>0</v>
      </c>
      <c r="EP67">
        <f ca="1">OFFSET(Objects!$HW$6,EP$1+(Objects!$Y$4-$A67-1)*Objects!$X$4,0)</f>
        <v>0</v>
      </c>
      <c r="EQ67">
        <f ca="1">OFFSET(Objects!$HW$6,EQ$1+(Objects!$Y$4-$A67-1)*Objects!$X$4,0)</f>
        <v>0</v>
      </c>
      <c r="ER67">
        <f ca="1">OFFSET(Objects!$HW$6,ER$1+(Objects!$Y$4-$A67-1)*Objects!$X$4,0)</f>
        <v>0</v>
      </c>
      <c r="ES67">
        <f ca="1">OFFSET(Objects!$HW$6,ES$1+(Objects!$Y$4-$A67-1)*Objects!$X$4,0)</f>
        <v>0</v>
      </c>
      <c r="ET67">
        <f ca="1">OFFSET(Objects!$HW$6,ET$1+(Objects!$Y$4-$A67-1)*Objects!$X$4,0)</f>
        <v>0</v>
      </c>
      <c r="EU67">
        <f ca="1">OFFSET(Objects!$HW$6,EU$1+(Objects!$Y$4-$A67-1)*Objects!$X$4,0)</f>
        <v>0</v>
      </c>
      <c r="EV67">
        <f ca="1">OFFSET(Objects!$HW$6,EV$1+(Objects!$Y$4-$A67-1)*Objects!$X$4,0)</f>
        <v>0</v>
      </c>
      <c r="EW67">
        <f ca="1">OFFSET(Objects!$HW$6,EW$1+(Objects!$Y$4-$A67-1)*Objects!$X$4,0)</f>
        <v>0</v>
      </c>
      <c r="EX67">
        <f ca="1">OFFSET(Objects!$HW$6,EX$1+(Objects!$Y$4-$A67-1)*Objects!$X$4,0)</f>
        <v>0</v>
      </c>
      <c r="EY67">
        <f ca="1">OFFSET(Objects!$HW$6,EY$1+(Objects!$Y$4-$A67-1)*Objects!$X$4,0)</f>
        <v>0</v>
      </c>
      <c r="EZ67">
        <f ca="1">OFFSET(Objects!$HW$6,EZ$1+(Objects!$Y$4-$A67-1)*Objects!$X$4,0)</f>
        <v>0</v>
      </c>
      <c r="FA67">
        <f ca="1">OFFSET(Objects!$HW$6,FA$1+(Objects!$Y$4-$A67-1)*Objects!$X$4,0)</f>
        <v>0</v>
      </c>
      <c r="FB67">
        <f ca="1">OFFSET(Objects!$HW$6,FB$1+(Objects!$Y$4-$A67-1)*Objects!$X$4,0)</f>
        <v>0</v>
      </c>
      <c r="FC67">
        <f ca="1">OFFSET(Objects!$HW$6,FC$1+(Objects!$Y$4-$A67-1)*Objects!$X$4,0)</f>
        <v>0</v>
      </c>
      <c r="FD67">
        <f ca="1">OFFSET(Objects!$HW$6,FD$1+(Objects!$Y$4-$A67-1)*Objects!$X$4,0)</f>
        <v>0</v>
      </c>
      <c r="FE67" s="22">
        <f ca="1">OFFSET(Objects!$HW$6,FE$1+(Objects!$Y$4-$A67-1)*Objects!$X$4,0)</f>
        <v>0</v>
      </c>
    </row>
    <row r="68" spans="1:161" ht="4.5" customHeight="1" x14ac:dyDescent="0.25">
      <c r="A68">
        <v>66</v>
      </c>
      <c r="B68" s="21">
        <f ca="1">OFFSET(Objects!$HW$6,B$1+(Objects!$Y$4-$A68-1)*Objects!$X$4,0)</f>
        <v>0</v>
      </c>
      <c r="C68">
        <f ca="1">OFFSET(Objects!$HW$6,C$1+(Objects!$Y$4-$A68-1)*Objects!$X$4,0)</f>
        <v>0</v>
      </c>
      <c r="D68">
        <f ca="1">OFFSET(Objects!$HW$6,D$1+(Objects!$Y$4-$A68-1)*Objects!$X$4,0)</f>
        <v>0</v>
      </c>
      <c r="E68">
        <f ca="1">OFFSET(Objects!$HW$6,E$1+(Objects!$Y$4-$A68-1)*Objects!$X$4,0)</f>
        <v>0</v>
      </c>
      <c r="F68">
        <f ca="1">OFFSET(Objects!$HW$6,F$1+(Objects!$Y$4-$A68-1)*Objects!$X$4,0)</f>
        <v>0</v>
      </c>
      <c r="G68">
        <f ca="1">OFFSET(Objects!$HW$6,G$1+(Objects!$Y$4-$A68-1)*Objects!$X$4,0)</f>
        <v>0</v>
      </c>
      <c r="H68">
        <f ca="1">OFFSET(Objects!$HW$6,H$1+(Objects!$Y$4-$A68-1)*Objects!$X$4,0)</f>
        <v>0</v>
      </c>
      <c r="I68">
        <f ca="1">OFFSET(Objects!$HW$6,I$1+(Objects!$Y$4-$A68-1)*Objects!$X$4,0)</f>
        <v>0</v>
      </c>
      <c r="J68">
        <f ca="1">OFFSET(Objects!$HW$6,J$1+(Objects!$Y$4-$A68-1)*Objects!$X$4,0)</f>
        <v>0</v>
      </c>
      <c r="K68">
        <f ca="1">OFFSET(Objects!$HW$6,K$1+(Objects!$Y$4-$A68-1)*Objects!$X$4,0)</f>
        <v>0</v>
      </c>
      <c r="L68">
        <f ca="1">OFFSET(Objects!$HW$6,L$1+(Objects!$Y$4-$A68-1)*Objects!$X$4,0)</f>
        <v>0</v>
      </c>
      <c r="M68">
        <f ca="1">OFFSET(Objects!$HW$6,M$1+(Objects!$Y$4-$A68-1)*Objects!$X$4,0)</f>
        <v>0</v>
      </c>
      <c r="N68">
        <f ca="1">OFFSET(Objects!$HW$6,N$1+(Objects!$Y$4-$A68-1)*Objects!$X$4,0)</f>
        <v>0</v>
      </c>
      <c r="O68">
        <f ca="1">OFFSET(Objects!$HW$6,O$1+(Objects!$Y$4-$A68-1)*Objects!$X$4,0)</f>
        <v>0</v>
      </c>
      <c r="P68">
        <f ca="1">OFFSET(Objects!$HW$6,P$1+(Objects!$Y$4-$A68-1)*Objects!$X$4,0)</f>
        <v>0</v>
      </c>
      <c r="Q68">
        <f ca="1">OFFSET(Objects!$HW$6,Q$1+(Objects!$Y$4-$A68-1)*Objects!$X$4,0)</f>
        <v>0</v>
      </c>
      <c r="R68">
        <f ca="1">OFFSET(Objects!$HW$6,R$1+(Objects!$Y$4-$A68-1)*Objects!$X$4,0)</f>
        <v>0</v>
      </c>
      <c r="S68">
        <f ca="1">OFFSET(Objects!$HW$6,S$1+(Objects!$Y$4-$A68-1)*Objects!$X$4,0)</f>
        <v>0</v>
      </c>
      <c r="T68">
        <f ca="1">OFFSET(Objects!$HW$6,T$1+(Objects!$Y$4-$A68-1)*Objects!$X$4,0)</f>
        <v>0</v>
      </c>
      <c r="U68">
        <f ca="1">OFFSET(Objects!$HW$6,U$1+(Objects!$Y$4-$A68-1)*Objects!$X$4,0)</f>
        <v>0</v>
      </c>
      <c r="V68">
        <f ca="1">OFFSET(Objects!$HW$6,V$1+(Objects!$Y$4-$A68-1)*Objects!$X$4,0)</f>
        <v>0</v>
      </c>
      <c r="W68">
        <f ca="1">OFFSET(Objects!$HW$6,W$1+(Objects!$Y$4-$A68-1)*Objects!$X$4,0)</f>
        <v>0</v>
      </c>
      <c r="X68">
        <f ca="1">OFFSET(Objects!$HW$6,X$1+(Objects!$Y$4-$A68-1)*Objects!$X$4,0)</f>
        <v>0</v>
      </c>
      <c r="Y68">
        <f ca="1">OFFSET(Objects!$HW$6,Y$1+(Objects!$Y$4-$A68-1)*Objects!$X$4,0)</f>
        <v>0</v>
      </c>
      <c r="Z68">
        <f ca="1">OFFSET(Objects!$HW$6,Z$1+(Objects!$Y$4-$A68-1)*Objects!$X$4,0)</f>
        <v>0</v>
      </c>
      <c r="AA68">
        <f ca="1">OFFSET(Objects!$HW$6,AA$1+(Objects!$Y$4-$A68-1)*Objects!$X$4,0)</f>
        <v>0</v>
      </c>
      <c r="AB68">
        <f ca="1">OFFSET(Objects!$HW$6,AB$1+(Objects!$Y$4-$A68-1)*Objects!$X$4,0)</f>
        <v>0</v>
      </c>
      <c r="AC68">
        <f ca="1">OFFSET(Objects!$HW$6,AC$1+(Objects!$Y$4-$A68-1)*Objects!$X$4,0)</f>
        <v>0</v>
      </c>
      <c r="AD68">
        <f ca="1">OFFSET(Objects!$HW$6,AD$1+(Objects!$Y$4-$A68-1)*Objects!$X$4,0)</f>
        <v>0</v>
      </c>
      <c r="AE68">
        <f ca="1">OFFSET(Objects!$HW$6,AE$1+(Objects!$Y$4-$A68-1)*Objects!$X$4,0)</f>
        <v>0</v>
      </c>
      <c r="AF68">
        <f ca="1">OFFSET(Objects!$HW$6,AF$1+(Objects!$Y$4-$A68-1)*Objects!$X$4,0)</f>
        <v>0</v>
      </c>
      <c r="AG68">
        <f ca="1">OFFSET(Objects!$HW$6,AG$1+(Objects!$Y$4-$A68-1)*Objects!$X$4,0)</f>
        <v>0</v>
      </c>
      <c r="AH68">
        <f ca="1">OFFSET(Objects!$HW$6,AH$1+(Objects!$Y$4-$A68-1)*Objects!$X$4,0)</f>
        <v>0</v>
      </c>
      <c r="AI68">
        <f ca="1">OFFSET(Objects!$HW$6,AI$1+(Objects!$Y$4-$A68-1)*Objects!$X$4,0)</f>
        <v>0</v>
      </c>
      <c r="AJ68">
        <f ca="1">OFFSET(Objects!$HW$6,AJ$1+(Objects!$Y$4-$A68-1)*Objects!$X$4,0)</f>
        <v>0</v>
      </c>
      <c r="AK68">
        <f ca="1">OFFSET(Objects!$HW$6,AK$1+(Objects!$Y$4-$A68-1)*Objects!$X$4,0)</f>
        <v>0</v>
      </c>
      <c r="AL68">
        <f ca="1">OFFSET(Objects!$HW$6,AL$1+(Objects!$Y$4-$A68-1)*Objects!$X$4,0)</f>
        <v>0</v>
      </c>
      <c r="AM68">
        <f ca="1">OFFSET(Objects!$HW$6,AM$1+(Objects!$Y$4-$A68-1)*Objects!$X$4,0)</f>
        <v>0</v>
      </c>
      <c r="AN68">
        <f ca="1">OFFSET(Objects!$HW$6,AN$1+(Objects!$Y$4-$A68-1)*Objects!$X$4,0)</f>
        <v>0</v>
      </c>
      <c r="AO68">
        <f ca="1">OFFSET(Objects!$HW$6,AO$1+(Objects!$Y$4-$A68-1)*Objects!$X$4,0)</f>
        <v>0</v>
      </c>
      <c r="AP68">
        <f ca="1">OFFSET(Objects!$HW$6,AP$1+(Objects!$Y$4-$A68-1)*Objects!$X$4,0)</f>
        <v>0</v>
      </c>
      <c r="AQ68">
        <f ca="1">OFFSET(Objects!$HW$6,AQ$1+(Objects!$Y$4-$A68-1)*Objects!$X$4,0)</f>
        <v>0</v>
      </c>
      <c r="AR68">
        <f ca="1">OFFSET(Objects!$HW$6,AR$1+(Objects!$Y$4-$A68-1)*Objects!$X$4,0)</f>
        <v>0</v>
      </c>
      <c r="AS68">
        <f ca="1">OFFSET(Objects!$HW$6,AS$1+(Objects!$Y$4-$A68-1)*Objects!$X$4,0)</f>
        <v>0</v>
      </c>
      <c r="AT68">
        <f ca="1">OFFSET(Objects!$HW$6,AT$1+(Objects!$Y$4-$A68-1)*Objects!$X$4,0)</f>
        <v>0</v>
      </c>
      <c r="AU68">
        <f ca="1">OFFSET(Objects!$HW$6,AU$1+(Objects!$Y$4-$A68-1)*Objects!$X$4,0)</f>
        <v>0</v>
      </c>
      <c r="AV68">
        <f ca="1">OFFSET(Objects!$HW$6,AV$1+(Objects!$Y$4-$A68-1)*Objects!$X$4,0)</f>
        <v>0</v>
      </c>
      <c r="AW68">
        <f ca="1">OFFSET(Objects!$HW$6,AW$1+(Objects!$Y$4-$A68-1)*Objects!$X$4,0)</f>
        <v>0</v>
      </c>
      <c r="AX68">
        <f ca="1">OFFSET(Objects!$HW$6,AX$1+(Objects!$Y$4-$A68-1)*Objects!$X$4,0)</f>
        <v>0</v>
      </c>
      <c r="AY68">
        <f ca="1">OFFSET(Objects!$HW$6,AY$1+(Objects!$Y$4-$A68-1)*Objects!$X$4,0)</f>
        <v>0</v>
      </c>
      <c r="AZ68">
        <f ca="1">OFFSET(Objects!$HW$6,AZ$1+(Objects!$Y$4-$A68-1)*Objects!$X$4,0)</f>
        <v>0</v>
      </c>
      <c r="BA68">
        <f ca="1">OFFSET(Objects!$HW$6,BA$1+(Objects!$Y$4-$A68-1)*Objects!$X$4,0)</f>
        <v>0</v>
      </c>
      <c r="BB68">
        <f ca="1">OFFSET(Objects!$HW$6,BB$1+(Objects!$Y$4-$A68-1)*Objects!$X$4,0)</f>
        <v>0</v>
      </c>
      <c r="BC68">
        <f ca="1">OFFSET(Objects!$HW$6,BC$1+(Objects!$Y$4-$A68-1)*Objects!$X$4,0)</f>
        <v>0</v>
      </c>
      <c r="BD68">
        <f ca="1">OFFSET(Objects!$HW$6,BD$1+(Objects!$Y$4-$A68-1)*Objects!$X$4,0)</f>
        <v>0</v>
      </c>
      <c r="BE68">
        <f ca="1">OFFSET(Objects!$HW$6,BE$1+(Objects!$Y$4-$A68-1)*Objects!$X$4,0)</f>
        <v>0</v>
      </c>
      <c r="BF68">
        <f ca="1">OFFSET(Objects!$HW$6,BF$1+(Objects!$Y$4-$A68-1)*Objects!$X$4,0)</f>
        <v>0</v>
      </c>
      <c r="BG68">
        <f ca="1">OFFSET(Objects!$HW$6,BG$1+(Objects!$Y$4-$A68-1)*Objects!$X$4,0)</f>
        <v>0</v>
      </c>
      <c r="BH68">
        <f ca="1">OFFSET(Objects!$HW$6,BH$1+(Objects!$Y$4-$A68-1)*Objects!$X$4,0)</f>
        <v>0</v>
      </c>
      <c r="BI68">
        <f ca="1">OFFSET(Objects!$HW$6,BI$1+(Objects!$Y$4-$A68-1)*Objects!$X$4,0)</f>
        <v>0</v>
      </c>
      <c r="BJ68">
        <f ca="1">OFFSET(Objects!$HW$6,BJ$1+(Objects!$Y$4-$A68-1)*Objects!$X$4,0)</f>
        <v>0</v>
      </c>
      <c r="BK68">
        <f ca="1">OFFSET(Objects!$HW$6,BK$1+(Objects!$Y$4-$A68-1)*Objects!$X$4,0)</f>
        <v>0</v>
      </c>
      <c r="BL68">
        <f ca="1">OFFSET(Objects!$HW$6,BL$1+(Objects!$Y$4-$A68-1)*Objects!$X$4,0)</f>
        <v>0</v>
      </c>
      <c r="BM68">
        <f ca="1">OFFSET(Objects!$HW$6,BM$1+(Objects!$Y$4-$A68-1)*Objects!$X$4,0)</f>
        <v>0</v>
      </c>
      <c r="BN68">
        <f ca="1">OFFSET(Objects!$HW$6,BN$1+(Objects!$Y$4-$A68-1)*Objects!$X$4,0)</f>
        <v>0</v>
      </c>
      <c r="BO68">
        <f ca="1">OFFSET(Objects!$HW$6,BO$1+(Objects!$Y$4-$A68-1)*Objects!$X$4,0)</f>
        <v>0</v>
      </c>
      <c r="BP68">
        <f ca="1">OFFSET(Objects!$HW$6,BP$1+(Objects!$Y$4-$A68-1)*Objects!$X$4,0)</f>
        <v>0</v>
      </c>
      <c r="BQ68">
        <f ca="1">OFFSET(Objects!$HW$6,BQ$1+(Objects!$Y$4-$A68-1)*Objects!$X$4,0)</f>
        <v>0</v>
      </c>
      <c r="BR68">
        <f ca="1">OFFSET(Objects!$HW$6,BR$1+(Objects!$Y$4-$A68-1)*Objects!$X$4,0)</f>
        <v>0</v>
      </c>
      <c r="BS68">
        <f ca="1">OFFSET(Objects!$HW$6,BS$1+(Objects!$Y$4-$A68-1)*Objects!$X$4,0)</f>
        <v>0</v>
      </c>
      <c r="BT68">
        <f ca="1">OFFSET(Objects!$HW$6,BT$1+(Objects!$Y$4-$A68-1)*Objects!$X$4,0)</f>
        <v>0</v>
      </c>
      <c r="BU68">
        <f ca="1">OFFSET(Objects!$HW$6,BU$1+(Objects!$Y$4-$A68-1)*Objects!$X$4,0)</f>
        <v>0</v>
      </c>
      <c r="BV68">
        <f ca="1">OFFSET(Objects!$HW$6,BV$1+(Objects!$Y$4-$A68-1)*Objects!$X$4,0)</f>
        <v>0</v>
      </c>
      <c r="BW68">
        <f ca="1">OFFSET(Objects!$HW$6,BW$1+(Objects!$Y$4-$A68-1)*Objects!$X$4,0)</f>
        <v>0</v>
      </c>
      <c r="BX68">
        <f ca="1">OFFSET(Objects!$HW$6,BX$1+(Objects!$Y$4-$A68-1)*Objects!$X$4,0)</f>
        <v>0</v>
      </c>
      <c r="BY68">
        <f ca="1">OFFSET(Objects!$HW$6,BY$1+(Objects!$Y$4-$A68-1)*Objects!$X$4,0)</f>
        <v>0</v>
      </c>
      <c r="BZ68">
        <f ca="1">OFFSET(Objects!$HW$6,BZ$1+(Objects!$Y$4-$A68-1)*Objects!$X$4,0)</f>
        <v>0</v>
      </c>
      <c r="CA68">
        <f ca="1">OFFSET(Objects!$HW$6,CA$1+(Objects!$Y$4-$A68-1)*Objects!$X$4,0)</f>
        <v>0</v>
      </c>
      <c r="CB68">
        <f ca="1">OFFSET(Objects!$HW$6,CB$1+(Objects!$Y$4-$A68-1)*Objects!$X$4,0)</f>
        <v>0</v>
      </c>
      <c r="CC68">
        <f ca="1">OFFSET(Objects!$HW$6,CC$1+(Objects!$Y$4-$A68-1)*Objects!$X$4,0)</f>
        <v>0</v>
      </c>
      <c r="CD68">
        <f ca="1">OFFSET(Objects!$HW$6,CD$1+(Objects!$Y$4-$A68-1)*Objects!$X$4,0)</f>
        <v>0</v>
      </c>
      <c r="CE68">
        <f ca="1">OFFSET(Objects!$HW$6,CE$1+(Objects!$Y$4-$A68-1)*Objects!$X$4,0)</f>
        <v>0</v>
      </c>
      <c r="CF68">
        <f ca="1">OFFSET(Objects!$HW$6,CF$1+(Objects!$Y$4-$A68-1)*Objects!$X$4,0)</f>
        <v>0</v>
      </c>
      <c r="CG68">
        <f ca="1">OFFSET(Objects!$HW$6,CG$1+(Objects!$Y$4-$A68-1)*Objects!$X$4,0)</f>
        <v>0</v>
      </c>
      <c r="CH68">
        <f ca="1">OFFSET(Objects!$HW$6,CH$1+(Objects!$Y$4-$A68-1)*Objects!$X$4,0)</f>
        <v>0</v>
      </c>
      <c r="CI68">
        <f ca="1">OFFSET(Objects!$HW$6,CI$1+(Objects!$Y$4-$A68-1)*Objects!$X$4,0)</f>
        <v>0</v>
      </c>
      <c r="CJ68">
        <f ca="1">OFFSET(Objects!$HW$6,CJ$1+(Objects!$Y$4-$A68-1)*Objects!$X$4,0)</f>
        <v>0</v>
      </c>
      <c r="CK68">
        <f ca="1">OFFSET(Objects!$HW$6,CK$1+(Objects!$Y$4-$A68-1)*Objects!$X$4,0)</f>
        <v>0</v>
      </c>
      <c r="CL68">
        <f ca="1">OFFSET(Objects!$HW$6,CL$1+(Objects!$Y$4-$A68-1)*Objects!$X$4,0)</f>
        <v>0</v>
      </c>
      <c r="CM68">
        <f ca="1">OFFSET(Objects!$HW$6,CM$1+(Objects!$Y$4-$A68-1)*Objects!$X$4,0)</f>
        <v>0</v>
      </c>
      <c r="CN68">
        <f ca="1">OFFSET(Objects!$HW$6,CN$1+(Objects!$Y$4-$A68-1)*Objects!$X$4,0)</f>
        <v>0</v>
      </c>
      <c r="CO68">
        <f ca="1">OFFSET(Objects!$HW$6,CO$1+(Objects!$Y$4-$A68-1)*Objects!$X$4,0)</f>
        <v>0</v>
      </c>
      <c r="CP68">
        <f ca="1">OFFSET(Objects!$HW$6,CP$1+(Objects!$Y$4-$A68-1)*Objects!$X$4,0)</f>
        <v>0</v>
      </c>
      <c r="CQ68">
        <f ca="1">OFFSET(Objects!$HW$6,CQ$1+(Objects!$Y$4-$A68-1)*Objects!$X$4,0)</f>
        <v>0</v>
      </c>
      <c r="CR68">
        <f ca="1">OFFSET(Objects!$HW$6,CR$1+(Objects!$Y$4-$A68-1)*Objects!$X$4,0)</f>
        <v>0</v>
      </c>
      <c r="CS68">
        <f ca="1">OFFSET(Objects!$HW$6,CS$1+(Objects!$Y$4-$A68-1)*Objects!$X$4,0)</f>
        <v>0</v>
      </c>
      <c r="CT68">
        <f ca="1">OFFSET(Objects!$HW$6,CT$1+(Objects!$Y$4-$A68-1)*Objects!$X$4,0)</f>
        <v>0</v>
      </c>
      <c r="CU68">
        <f ca="1">OFFSET(Objects!$HW$6,CU$1+(Objects!$Y$4-$A68-1)*Objects!$X$4,0)</f>
        <v>0</v>
      </c>
      <c r="CV68">
        <f ca="1">OFFSET(Objects!$HW$6,CV$1+(Objects!$Y$4-$A68-1)*Objects!$X$4,0)</f>
        <v>0</v>
      </c>
      <c r="CW68">
        <f ca="1">OFFSET(Objects!$HW$6,CW$1+(Objects!$Y$4-$A68-1)*Objects!$X$4,0)</f>
        <v>0</v>
      </c>
      <c r="CX68">
        <f ca="1">OFFSET(Objects!$HW$6,CX$1+(Objects!$Y$4-$A68-1)*Objects!$X$4,0)</f>
        <v>0</v>
      </c>
      <c r="CY68">
        <f ca="1">OFFSET(Objects!$HW$6,CY$1+(Objects!$Y$4-$A68-1)*Objects!$X$4,0)</f>
        <v>0</v>
      </c>
      <c r="CZ68">
        <f ca="1">OFFSET(Objects!$HW$6,CZ$1+(Objects!$Y$4-$A68-1)*Objects!$X$4,0)</f>
        <v>0</v>
      </c>
      <c r="DA68">
        <f ca="1">OFFSET(Objects!$HW$6,DA$1+(Objects!$Y$4-$A68-1)*Objects!$X$4,0)</f>
        <v>0</v>
      </c>
      <c r="DB68">
        <f ca="1">OFFSET(Objects!$HW$6,DB$1+(Objects!$Y$4-$A68-1)*Objects!$X$4,0)</f>
        <v>0</v>
      </c>
      <c r="DC68">
        <f ca="1">OFFSET(Objects!$HW$6,DC$1+(Objects!$Y$4-$A68-1)*Objects!$X$4,0)</f>
        <v>0</v>
      </c>
      <c r="DD68">
        <f ca="1">OFFSET(Objects!$HW$6,DD$1+(Objects!$Y$4-$A68-1)*Objects!$X$4,0)</f>
        <v>0</v>
      </c>
      <c r="DE68">
        <f ca="1">OFFSET(Objects!$HW$6,DE$1+(Objects!$Y$4-$A68-1)*Objects!$X$4,0)</f>
        <v>0</v>
      </c>
      <c r="DF68">
        <f ca="1">OFFSET(Objects!$HW$6,DF$1+(Objects!$Y$4-$A68-1)*Objects!$X$4,0)</f>
        <v>0</v>
      </c>
      <c r="DG68">
        <f ca="1">OFFSET(Objects!$HW$6,DG$1+(Objects!$Y$4-$A68-1)*Objects!$X$4,0)</f>
        <v>0</v>
      </c>
      <c r="DH68">
        <f ca="1">OFFSET(Objects!$HW$6,DH$1+(Objects!$Y$4-$A68-1)*Objects!$X$4,0)</f>
        <v>0</v>
      </c>
      <c r="DI68">
        <f ca="1">OFFSET(Objects!$HW$6,DI$1+(Objects!$Y$4-$A68-1)*Objects!$X$4,0)</f>
        <v>0</v>
      </c>
      <c r="DJ68">
        <f ca="1">OFFSET(Objects!$HW$6,DJ$1+(Objects!$Y$4-$A68-1)*Objects!$X$4,0)</f>
        <v>0</v>
      </c>
      <c r="DK68">
        <f ca="1">OFFSET(Objects!$HW$6,DK$1+(Objects!$Y$4-$A68-1)*Objects!$X$4,0)</f>
        <v>0</v>
      </c>
      <c r="DL68">
        <f ca="1">OFFSET(Objects!$HW$6,DL$1+(Objects!$Y$4-$A68-1)*Objects!$X$4,0)</f>
        <v>0</v>
      </c>
      <c r="DM68">
        <f ca="1">OFFSET(Objects!$HW$6,DM$1+(Objects!$Y$4-$A68-1)*Objects!$X$4,0)</f>
        <v>0</v>
      </c>
      <c r="DN68">
        <f ca="1">OFFSET(Objects!$HW$6,DN$1+(Objects!$Y$4-$A68-1)*Objects!$X$4,0)</f>
        <v>0</v>
      </c>
      <c r="DO68">
        <f ca="1">OFFSET(Objects!$HW$6,DO$1+(Objects!$Y$4-$A68-1)*Objects!$X$4,0)</f>
        <v>0</v>
      </c>
      <c r="DP68">
        <f ca="1">OFFSET(Objects!$HW$6,DP$1+(Objects!$Y$4-$A68-1)*Objects!$X$4,0)</f>
        <v>0</v>
      </c>
      <c r="DQ68">
        <f ca="1">OFFSET(Objects!$HW$6,DQ$1+(Objects!$Y$4-$A68-1)*Objects!$X$4,0)</f>
        <v>0</v>
      </c>
      <c r="DR68">
        <f ca="1">OFFSET(Objects!$HW$6,DR$1+(Objects!$Y$4-$A68-1)*Objects!$X$4,0)</f>
        <v>0</v>
      </c>
      <c r="DS68">
        <f ca="1">OFFSET(Objects!$HW$6,DS$1+(Objects!$Y$4-$A68-1)*Objects!$X$4,0)</f>
        <v>0</v>
      </c>
      <c r="DT68">
        <f ca="1">OFFSET(Objects!$HW$6,DT$1+(Objects!$Y$4-$A68-1)*Objects!$X$4,0)</f>
        <v>0</v>
      </c>
      <c r="DU68">
        <f ca="1">OFFSET(Objects!$HW$6,DU$1+(Objects!$Y$4-$A68-1)*Objects!$X$4,0)</f>
        <v>0</v>
      </c>
      <c r="DV68">
        <f ca="1">OFFSET(Objects!$HW$6,DV$1+(Objects!$Y$4-$A68-1)*Objects!$X$4,0)</f>
        <v>0</v>
      </c>
      <c r="DW68">
        <f ca="1">OFFSET(Objects!$HW$6,DW$1+(Objects!$Y$4-$A68-1)*Objects!$X$4,0)</f>
        <v>0</v>
      </c>
      <c r="DX68">
        <f ca="1">OFFSET(Objects!$HW$6,DX$1+(Objects!$Y$4-$A68-1)*Objects!$X$4,0)</f>
        <v>0</v>
      </c>
      <c r="DY68">
        <f ca="1">OFFSET(Objects!$HW$6,DY$1+(Objects!$Y$4-$A68-1)*Objects!$X$4,0)</f>
        <v>0</v>
      </c>
      <c r="DZ68">
        <f ca="1">OFFSET(Objects!$HW$6,DZ$1+(Objects!$Y$4-$A68-1)*Objects!$X$4,0)</f>
        <v>0</v>
      </c>
      <c r="EA68">
        <f ca="1">OFFSET(Objects!$HW$6,EA$1+(Objects!$Y$4-$A68-1)*Objects!$X$4,0)</f>
        <v>0</v>
      </c>
      <c r="EB68">
        <f ca="1">OFFSET(Objects!$HW$6,EB$1+(Objects!$Y$4-$A68-1)*Objects!$X$4,0)</f>
        <v>0</v>
      </c>
      <c r="EC68">
        <f ca="1">OFFSET(Objects!$HW$6,EC$1+(Objects!$Y$4-$A68-1)*Objects!$X$4,0)</f>
        <v>0</v>
      </c>
      <c r="ED68">
        <f ca="1">OFFSET(Objects!$HW$6,ED$1+(Objects!$Y$4-$A68-1)*Objects!$X$4,0)</f>
        <v>0</v>
      </c>
      <c r="EE68">
        <f ca="1">OFFSET(Objects!$HW$6,EE$1+(Objects!$Y$4-$A68-1)*Objects!$X$4,0)</f>
        <v>0</v>
      </c>
      <c r="EF68">
        <f ca="1">OFFSET(Objects!$HW$6,EF$1+(Objects!$Y$4-$A68-1)*Objects!$X$4,0)</f>
        <v>0</v>
      </c>
      <c r="EG68">
        <f ca="1">OFFSET(Objects!$HW$6,EG$1+(Objects!$Y$4-$A68-1)*Objects!$X$4,0)</f>
        <v>0</v>
      </c>
      <c r="EH68">
        <f ca="1">OFFSET(Objects!$HW$6,EH$1+(Objects!$Y$4-$A68-1)*Objects!$X$4,0)</f>
        <v>0</v>
      </c>
      <c r="EI68">
        <f ca="1">OFFSET(Objects!$HW$6,EI$1+(Objects!$Y$4-$A68-1)*Objects!$X$4,0)</f>
        <v>0</v>
      </c>
      <c r="EJ68">
        <f ca="1">OFFSET(Objects!$HW$6,EJ$1+(Objects!$Y$4-$A68-1)*Objects!$X$4,0)</f>
        <v>0</v>
      </c>
      <c r="EK68">
        <f ca="1">OFFSET(Objects!$HW$6,EK$1+(Objects!$Y$4-$A68-1)*Objects!$X$4,0)</f>
        <v>0</v>
      </c>
      <c r="EL68">
        <f ca="1">OFFSET(Objects!$HW$6,EL$1+(Objects!$Y$4-$A68-1)*Objects!$X$4,0)</f>
        <v>0</v>
      </c>
      <c r="EM68">
        <f ca="1">OFFSET(Objects!$HW$6,EM$1+(Objects!$Y$4-$A68-1)*Objects!$X$4,0)</f>
        <v>0</v>
      </c>
      <c r="EN68">
        <f ca="1">OFFSET(Objects!$HW$6,EN$1+(Objects!$Y$4-$A68-1)*Objects!$X$4,0)</f>
        <v>0</v>
      </c>
      <c r="EO68">
        <f ca="1">OFFSET(Objects!$HW$6,EO$1+(Objects!$Y$4-$A68-1)*Objects!$X$4,0)</f>
        <v>0</v>
      </c>
      <c r="EP68">
        <f ca="1">OFFSET(Objects!$HW$6,EP$1+(Objects!$Y$4-$A68-1)*Objects!$X$4,0)</f>
        <v>0</v>
      </c>
      <c r="EQ68">
        <f ca="1">OFFSET(Objects!$HW$6,EQ$1+(Objects!$Y$4-$A68-1)*Objects!$X$4,0)</f>
        <v>0</v>
      </c>
      <c r="ER68">
        <f ca="1">OFFSET(Objects!$HW$6,ER$1+(Objects!$Y$4-$A68-1)*Objects!$X$4,0)</f>
        <v>0</v>
      </c>
      <c r="ES68">
        <f ca="1">OFFSET(Objects!$HW$6,ES$1+(Objects!$Y$4-$A68-1)*Objects!$X$4,0)</f>
        <v>0</v>
      </c>
      <c r="ET68">
        <f ca="1">OFFSET(Objects!$HW$6,ET$1+(Objects!$Y$4-$A68-1)*Objects!$X$4,0)</f>
        <v>0</v>
      </c>
      <c r="EU68">
        <f ca="1">OFFSET(Objects!$HW$6,EU$1+(Objects!$Y$4-$A68-1)*Objects!$X$4,0)</f>
        <v>0</v>
      </c>
      <c r="EV68">
        <f ca="1">OFFSET(Objects!$HW$6,EV$1+(Objects!$Y$4-$A68-1)*Objects!$X$4,0)</f>
        <v>0</v>
      </c>
      <c r="EW68">
        <f ca="1">OFFSET(Objects!$HW$6,EW$1+(Objects!$Y$4-$A68-1)*Objects!$X$4,0)</f>
        <v>0</v>
      </c>
      <c r="EX68">
        <f ca="1">OFFSET(Objects!$HW$6,EX$1+(Objects!$Y$4-$A68-1)*Objects!$X$4,0)</f>
        <v>0</v>
      </c>
      <c r="EY68">
        <f ca="1">OFFSET(Objects!$HW$6,EY$1+(Objects!$Y$4-$A68-1)*Objects!$X$4,0)</f>
        <v>0</v>
      </c>
      <c r="EZ68">
        <f ca="1">OFFSET(Objects!$HW$6,EZ$1+(Objects!$Y$4-$A68-1)*Objects!$X$4,0)</f>
        <v>0</v>
      </c>
      <c r="FA68">
        <f ca="1">OFFSET(Objects!$HW$6,FA$1+(Objects!$Y$4-$A68-1)*Objects!$X$4,0)</f>
        <v>0</v>
      </c>
      <c r="FB68">
        <f ca="1">OFFSET(Objects!$HW$6,FB$1+(Objects!$Y$4-$A68-1)*Objects!$X$4,0)</f>
        <v>0</v>
      </c>
      <c r="FC68">
        <f ca="1">OFFSET(Objects!$HW$6,FC$1+(Objects!$Y$4-$A68-1)*Objects!$X$4,0)</f>
        <v>0</v>
      </c>
      <c r="FD68">
        <f ca="1">OFFSET(Objects!$HW$6,FD$1+(Objects!$Y$4-$A68-1)*Objects!$X$4,0)</f>
        <v>0</v>
      </c>
      <c r="FE68" s="22">
        <f ca="1">OFFSET(Objects!$HW$6,FE$1+(Objects!$Y$4-$A68-1)*Objects!$X$4,0)</f>
        <v>0</v>
      </c>
    </row>
    <row r="69" spans="1:161" ht="4.5" customHeight="1" x14ac:dyDescent="0.25">
      <c r="A69">
        <v>67</v>
      </c>
      <c r="B69" s="21">
        <f ca="1">OFFSET(Objects!$HW$6,B$1+(Objects!$Y$4-$A69-1)*Objects!$X$4,0)</f>
        <v>0</v>
      </c>
      <c r="C69">
        <f ca="1">OFFSET(Objects!$HW$6,C$1+(Objects!$Y$4-$A69-1)*Objects!$X$4,0)</f>
        <v>0</v>
      </c>
      <c r="D69">
        <f ca="1">OFFSET(Objects!$HW$6,D$1+(Objects!$Y$4-$A69-1)*Objects!$X$4,0)</f>
        <v>0</v>
      </c>
      <c r="E69">
        <f ca="1">OFFSET(Objects!$HW$6,E$1+(Objects!$Y$4-$A69-1)*Objects!$X$4,0)</f>
        <v>0</v>
      </c>
      <c r="F69">
        <f ca="1">OFFSET(Objects!$HW$6,F$1+(Objects!$Y$4-$A69-1)*Objects!$X$4,0)</f>
        <v>0</v>
      </c>
      <c r="G69">
        <f ca="1">OFFSET(Objects!$HW$6,G$1+(Objects!$Y$4-$A69-1)*Objects!$X$4,0)</f>
        <v>0</v>
      </c>
      <c r="H69">
        <f ca="1">OFFSET(Objects!$HW$6,H$1+(Objects!$Y$4-$A69-1)*Objects!$X$4,0)</f>
        <v>0</v>
      </c>
      <c r="I69">
        <f ca="1">OFFSET(Objects!$HW$6,I$1+(Objects!$Y$4-$A69-1)*Objects!$X$4,0)</f>
        <v>0</v>
      </c>
      <c r="J69">
        <f ca="1">OFFSET(Objects!$HW$6,J$1+(Objects!$Y$4-$A69-1)*Objects!$X$4,0)</f>
        <v>0</v>
      </c>
      <c r="K69">
        <f ca="1">OFFSET(Objects!$HW$6,K$1+(Objects!$Y$4-$A69-1)*Objects!$X$4,0)</f>
        <v>0</v>
      </c>
      <c r="L69">
        <f ca="1">OFFSET(Objects!$HW$6,L$1+(Objects!$Y$4-$A69-1)*Objects!$X$4,0)</f>
        <v>0</v>
      </c>
      <c r="M69">
        <f ca="1">OFFSET(Objects!$HW$6,M$1+(Objects!$Y$4-$A69-1)*Objects!$X$4,0)</f>
        <v>0</v>
      </c>
      <c r="N69">
        <f ca="1">OFFSET(Objects!$HW$6,N$1+(Objects!$Y$4-$A69-1)*Objects!$X$4,0)</f>
        <v>0</v>
      </c>
      <c r="O69">
        <f ca="1">OFFSET(Objects!$HW$6,O$1+(Objects!$Y$4-$A69-1)*Objects!$X$4,0)</f>
        <v>0</v>
      </c>
      <c r="P69">
        <f ca="1">OFFSET(Objects!$HW$6,P$1+(Objects!$Y$4-$A69-1)*Objects!$X$4,0)</f>
        <v>0</v>
      </c>
      <c r="Q69">
        <f ca="1">OFFSET(Objects!$HW$6,Q$1+(Objects!$Y$4-$A69-1)*Objects!$X$4,0)</f>
        <v>0</v>
      </c>
      <c r="R69">
        <f ca="1">OFFSET(Objects!$HW$6,R$1+(Objects!$Y$4-$A69-1)*Objects!$X$4,0)</f>
        <v>0</v>
      </c>
      <c r="S69">
        <f ca="1">OFFSET(Objects!$HW$6,S$1+(Objects!$Y$4-$A69-1)*Objects!$X$4,0)</f>
        <v>0</v>
      </c>
      <c r="T69">
        <f ca="1">OFFSET(Objects!$HW$6,T$1+(Objects!$Y$4-$A69-1)*Objects!$X$4,0)</f>
        <v>0</v>
      </c>
      <c r="U69">
        <f ca="1">OFFSET(Objects!$HW$6,U$1+(Objects!$Y$4-$A69-1)*Objects!$X$4,0)</f>
        <v>0</v>
      </c>
      <c r="V69">
        <f ca="1">OFFSET(Objects!$HW$6,V$1+(Objects!$Y$4-$A69-1)*Objects!$X$4,0)</f>
        <v>0</v>
      </c>
      <c r="W69">
        <f ca="1">OFFSET(Objects!$HW$6,W$1+(Objects!$Y$4-$A69-1)*Objects!$X$4,0)</f>
        <v>0</v>
      </c>
      <c r="X69">
        <f ca="1">OFFSET(Objects!$HW$6,X$1+(Objects!$Y$4-$A69-1)*Objects!$X$4,0)</f>
        <v>0</v>
      </c>
      <c r="Y69">
        <f ca="1">OFFSET(Objects!$HW$6,Y$1+(Objects!$Y$4-$A69-1)*Objects!$X$4,0)</f>
        <v>0</v>
      </c>
      <c r="Z69">
        <f ca="1">OFFSET(Objects!$HW$6,Z$1+(Objects!$Y$4-$A69-1)*Objects!$X$4,0)</f>
        <v>0</v>
      </c>
      <c r="AA69">
        <f ca="1">OFFSET(Objects!$HW$6,AA$1+(Objects!$Y$4-$A69-1)*Objects!$X$4,0)</f>
        <v>0</v>
      </c>
      <c r="AB69">
        <f ca="1">OFFSET(Objects!$HW$6,AB$1+(Objects!$Y$4-$A69-1)*Objects!$X$4,0)</f>
        <v>0</v>
      </c>
      <c r="AC69">
        <f ca="1">OFFSET(Objects!$HW$6,AC$1+(Objects!$Y$4-$A69-1)*Objects!$X$4,0)</f>
        <v>0</v>
      </c>
      <c r="AD69">
        <f ca="1">OFFSET(Objects!$HW$6,AD$1+(Objects!$Y$4-$A69-1)*Objects!$X$4,0)</f>
        <v>0</v>
      </c>
      <c r="AE69">
        <f ca="1">OFFSET(Objects!$HW$6,AE$1+(Objects!$Y$4-$A69-1)*Objects!$X$4,0)</f>
        <v>0</v>
      </c>
      <c r="AF69">
        <f ca="1">OFFSET(Objects!$HW$6,AF$1+(Objects!$Y$4-$A69-1)*Objects!$X$4,0)</f>
        <v>0</v>
      </c>
      <c r="AG69">
        <f ca="1">OFFSET(Objects!$HW$6,AG$1+(Objects!$Y$4-$A69-1)*Objects!$X$4,0)</f>
        <v>0</v>
      </c>
      <c r="AH69">
        <f ca="1">OFFSET(Objects!$HW$6,AH$1+(Objects!$Y$4-$A69-1)*Objects!$X$4,0)</f>
        <v>0</v>
      </c>
      <c r="AI69">
        <f ca="1">OFFSET(Objects!$HW$6,AI$1+(Objects!$Y$4-$A69-1)*Objects!$X$4,0)</f>
        <v>0</v>
      </c>
      <c r="AJ69">
        <f ca="1">OFFSET(Objects!$HW$6,AJ$1+(Objects!$Y$4-$A69-1)*Objects!$X$4,0)</f>
        <v>0</v>
      </c>
      <c r="AK69">
        <f ca="1">OFFSET(Objects!$HW$6,AK$1+(Objects!$Y$4-$A69-1)*Objects!$X$4,0)</f>
        <v>0</v>
      </c>
      <c r="AL69">
        <f ca="1">OFFSET(Objects!$HW$6,AL$1+(Objects!$Y$4-$A69-1)*Objects!$X$4,0)</f>
        <v>0</v>
      </c>
      <c r="AM69">
        <f ca="1">OFFSET(Objects!$HW$6,AM$1+(Objects!$Y$4-$A69-1)*Objects!$X$4,0)</f>
        <v>0</v>
      </c>
      <c r="AN69">
        <f ca="1">OFFSET(Objects!$HW$6,AN$1+(Objects!$Y$4-$A69-1)*Objects!$X$4,0)</f>
        <v>0</v>
      </c>
      <c r="AO69">
        <f ca="1">OFFSET(Objects!$HW$6,AO$1+(Objects!$Y$4-$A69-1)*Objects!$X$4,0)</f>
        <v>0</v>
      </c>
      <c r="AP69">
        <f ca="1">OFFSET(Objects!$HW$6,AP$1+(Objects!$Y$4-$A69-1)*Objects!$X$4,0)</f>
        <v>0</v>
      </c>
      <c r="AQ69">
        <f ca="1">OFFSET(Objects!$HW$6,AQ$1+(Objects!$Y$4-$A69-1)*Objects!$X$4,0)</f>
        <v>0</v>
      </c>
      <c r="AR69">
        <f ca="1">OFFSET(Objects!$HW$6,AR$1+(Objects!$Y$4-$A69-1)*Objects!$X$4,0)</f>
        <v>0</v>
      </c>
      <c r="AS69">
        <f ca="1">OFFSET(Objects!$HW$6,AS$1+(Objects!$Y$4-$A69-1)*Objects!$X$4,0)</f>
        <v>0</v>
      </c>
      <c r="AT69">
        <f ca="1">OFFSET(Objects!$HW$6,AT$1+(Objects!$Y$4-$A69-1)*Objects!$X$4,0)</f>
        <v>0</v>
      </c>
      <c r="AU69">
        <f ca="1">OFFSET(Objects!$HW$6,AU$1+(Objects!$Y$4-$A69-1)*Objects!$X$4,0)</f>
        <v>0</v>
      </c>
      <c r="AV69">
        <f ca="1">OFFSET(Objects!$HW$6,AV$1+(Objects!$Y$4-$A69-1)*Objects!$X$4,0)</f>
        <v>0</v>
      </c>
      <c r="AW69">
        <f ca="1">OFFSET(Objects!$HW$6,AW$1+(Objects!$Y$4-$A69-1)*Objects!$X$4,0)</f>
        <v>0</v>
      </c>
      <c r="AX69">
        <f ca="1">OFFSET(Objects!$HW$6,AX$1+(Objects!$Y$4-$A69-1)*Objects!$X$4,0)</f>
        <v>0</v>
      </c>
      <c r="AY69">
        <f ca="1">OFFSET(Objects!$HW$6,AY$1+(Objects!$Y$4-$A69-1)*Objects!$X$4,0)</f>
        <v>0</v>
      </c>
      <c r="AZ69">
        <f ca="1">OFFSET(Objects!$HW$6,AZ$1+(Objects!$Y$4-$A69-1)*Objects!$X$4,0)</f>
        <v>0</v>
      </c>
      <c r="BA69">
        <f ca="1">OFFSET(Objects!$HW$6,BA$1+(Objects!$Y$4-$A69-1)*Objects!$X$4,0)</f>
        <v>0</v>
      </c>
      <c r="BB69">
        <f ca="1">OFFSET(Objects!$HW$6,BB$1+(Objects!$Y$4-$A69-1)*Objects!$X$4,0)</f>
        <v>0</v>
      </c>
      <c r="BC69">
        <f ca="1">OFFSET(Objects!$HW$6,BC$1+(Objects!$Y$4-$A69-1)*Objects!$X$4,0)</f>
        <v>0</v>
      </c>
      <c r="BD69">
        <f ca="1">OFFSET(Objects!$HW$6,BD$1+(Objects!$Y$4-$A69-1)*Objects!$X$4,0)</f>
        <v>0</v>
      </c>
      <c r="BE69">
        <f ca="1">OFFSET(Objects!$HW$6,BE$1+(Objects!$Y$4-$A69-1)*Objects!$X$4,0)</f>
        <v>0</v>
      </c>
      <c r="BF69">
        <f ca="1">OFFSET(Objects!$HW$6,BF$1+(Objects!$Y$4-$A69-1)*Objects!$X$4,0)</f>
        <v>0</v>
      </c>
      <c r="BG69">
        <f ca="1">OFFSET(Objects!$HW$6,BG$1+(Objects!$Y$4-$A69-1)*Objects!$X$4,0)</f>
        <v>0</v>
      </c>
      <c r="BH69">
        <f ca="1">OFFSET(Objects!$HW$6,BH$1+(Objects!$Y$4-$A69-1)*Objects!$X$4,0)</f>
        <v>0</v>
      </c>
      <c r="BI69">
        <f ca="1">OFFSET(Objects!$HW$6,BI$1+(Objects!$Y$4-$A69-1)*Objects!$X$4,0)</f>
        <v>0</v>
      </c>
      <c r="BJ69">
        <f ca="1">OFFSET(Objects!$HW$6,BJ$1+(Objects!$Y$4-$A69-1)*Objects!$X$4,0)</f>
        <v>0</v>
      </c>
      <c r="BK69">
        <f ca="1">OFFSET(Objects!$HW$6,BK$1+(Objects!$Y$4-$A69-1)*Objects!$X$4,0)</f>
        <v>0</v>
      </c>
      <c r="BL69">
        <f ca="1">OFFSET(Objects!$HW$6,BL$1+(Objects!$Y$4-$A69-1)*Objects!$X$4,0)</f>
        <v>0</v>
      </c>
      <c r="BM69">
        <f ca="1">OFFSET(Objects!$HW$6,BM$1+(Objects!$Y$4-$A69-1)*Objects!$X$4,0)</f>
        <v>0</v>
      </c>
      <c r="BN69">
        <f ca="1">OFFSET(Objects!$HW$6,BN$1+(Objects!$Y$4-$A69-1)*Objects!$X$4,0)</f>
        <v>0</v>
      </c>
      <c r="BO69">
        <f ca="1">OFFSET(Objects!$HW$6,BO$1+(Objects!$Y$4-$A69-1)*Objects!$X$4,0)</f>
        <v>0</v>
      </c>
      <c r="BP69">
        <f ca="1">OFFSET(Objects!$HW$6,BP$1+(Objects!$Y$4-$A69-1)*Objects!$X$4,0)</f>
        <v>0</v>
      </c>
      <c r="BQ69">
        <f ca="1">OFFSET(Objects!$HW$6,BQ$1+(Objects!$Y$4-$A69-1)*Objects!$X$4,0)</f>
        <v>0</v>
      </c>
      <c r="BR69">
        <f ca="1">OFFSET(Objects!$HW$6,BR$1+(Objects!$Y$4-$A69-1)*Objects!$X$4,0)</f>
        <v>0</v>
      </c>
      <c r="BS69">
        <f ca="1">OFFSET(Objects!$HW$6,BS$1+(Objects!$Y$4-$A69-1)*Objects!$X$4,0)</f>
        <v>0</v>
      </c>
      <c r="BT69">
        <f ca="1">OFFSET(Objects!$HW$6,BT$1+(Objects!$Y$4-$A69-1)*Objects!$X$4,0)</f>
        <v>0</v>
      </c>
      <c r="BU69">
        <f ca="1">OFFSET(Objects!$HW$6,BU$1+(Objects!$Y$4-$A69-1)*Objects!$X$4,0)</f>
        <v>0</v>
      </c>
      <c r="BV69">
        <f ca="1">OFFSET(Objects!$HW$6,BV$1+(Objects!$Y$4-$A69-1)*Objects!$X$4,0)</f>
        <v>0</v>
      </c>
      <c r="BW69">
        <f ca="1">OFFSET(Objects!$HW$6,BW$1+(Objects!$Y$4-$A69-1)*Objects!$X$4,0)</f>
        <v>0</v>
      </c>
      <c r="BX69">
        <f ca="1">OFFSET(Objects!$HW$6,BX$1+(Objects!$Y$4-$A69-1)*Objects!$X$4,0)</f>
        <v>0</v>
      </c>
      <c r="BY69">
        <f ca="1">OFFSET(Objects!$HW$6,BY$1+(Objects!$Y$4-$A69-1)*Objects!$X$4,0)</f>
        <v>0</v>
      </c>
      <c r="BZ69">
        <f ca="1">OFFSET(Objects!$HW$6,BZ$1+(Objects!$Y$4-$A69-1)*Objects!$X$4,0)</f>
        <v>0</v>
      </c>
      <c r="CA69">
        <f ca="1">OFFSET(Objects!$HW$6,CA$1+(Objects!$Y$4-$A69-1)*Objects!$X$4,0)</f>
        <v>0</v>
      </c>
      <c r="CB69">
        <f ca="1">OFFSET(Objects!$HW$6,CB$1+(Objects!$Y$4-$A69-1)*Objects!$X$4,0)</f>
        <v>0</v>
      </c>
      <c r="CC69">
        <f ca="1">OFFSET(Objects!$HW$6,CC$1+(Objects!$Y$4-$A69-1)*Objects!$X$4,0)</f>
        <v>0</v>
      </c>
      <c r="CD69">
        <f ca="1">OFFSET(Objects!$HW$6,CD$1+(Objects!$Y$4-$A69-1)*Objects!$X$4,0)</f>
        <v>0</v>
      </c>
      <c r="CE69">
        <f ca="1">OFFSET(Objects!$HW$6,CE$1+(Objects!$Y$4-$A69-1)*Objects!$X$4,0)</f>
        <v>0</v>
      </c>
      <c r="CF69">
        <f ca="1">OFFSET(Objects!$HW$6,CF$1+(Objects!$Y$4-$A69-1)*Objects!$X$4,0)</f>
        <v>0</v>
      </c>
      <c r="CG69">
        <f ca="1">OFFSET(Objects!$HW$6,CG$1+(Objects!$Y$4-$A69-1)*Objects!$X$4,0)</f>
        <v>0</v>
      </c>
      <c r="CH69">
        <f ca="1">OFFSET(Objects!$HW$6,CH$1+(Objects!$Y$4-$A69-1)*Objects!$X$4,0)</f>
        <v>0</v>
      </c>
      <c r="CI69">
        <f ca="1">OFFSET(Objects!$HW$6,CI$1+(Objects!$Y$4-$A69-1)*Objects!$X$4,0)</f>
        <v>0</v>
      </c>
      <c r="CJ69">
        <f ca="1">OFFSET(Objects!$HW$6,CJ$1+(Objects!$Y$4-$A69-1)*Objects!$X$4,0)</f>
        <v>0</v>
      </c>
      <c r="CK69">
        <f ca="1">OFFSET(Objects!$HW$6,CK$1+(Objects!$Y$4-$A69-1)*Objects!$X$4,0)</f>
        <v>0</v>
      </c>
      <c r="CL69">
        <f ca="1">OFFSET(Objects!$HW$6,CL$1+(Objects!$Y$4-$A69-1)*Objects!$X$4,0)</f>
        <v>0</v>
      </c>
      <c r="CM69">
        <f ca="1">OFFSET(Objects!$HW$6,CM$1+(Objects!$Y$4-$A69-1)*Objects!$X$4,0)</f>
        <v>0</v>
      </c>
      <c r="CN69">
        <f ca="1">OFFSET(Objects!$HW$6,CN$1+(Objects!$Y$4-$A69-1)*Objects!$X$4,0)</f>
        <v>0</v>
      </c>
      <c r="CO69">
        <f ca="1">OFFSET(Objects!$HW$6,CO$1+(Objects!$Y$4-$A69-1)*Objects!$X$4,0)</f>
        <v>0</v>
      </c>
      <c r="CP69">
        <f ca="1">OFFSET(Objects!$HW$6,CP$1+(Objects!$Y$4-$A69-1)*Objects!$X$4,0)</f>
        <v>0</v>
      </c>
      <c r="CQ69">
        <f ca="1">OFFSET(Objects!$HW$6,CQ$1+(Objects!$Y$4-$A69-1)*Objects!$X$4,0)</f>
        <v>0</v>
      </c>
      <c r="CR69">
        <f ca="1">OFFSET(Objects!$HW$6,CR$1+(Objects!$Y$4-$A69-1)*Objects!$X$4,0)</f>
        <v>0</v>
      </c>
      <c r="CS69">
        <f ca="1">OFFSET(Objects!$HW$6,CS$1+(Objects!$Y$4-$A69-1)*Objects!$X$4,0)</f>
        <v>0</v>
      </c>
      <c r="CT69">
        <f ca="1">OFFSET(Objects!$HW$6,CT$1+(Objects!$Y$4-$A69-1)*Objects!$X$4,0)</f>
        <v>0</v>
      </c>
      <c r="CU69">
        <f ca="1">OFFSET(Objects!$HW$6,CU$1+(Objects!$Y$4-$A69-1)*Objects!$X$4,0)</f>
        <v>0</v>
      </c>
      <c r="CV69">
        <f ca="1">OFFSET(Objects!$HW$6,CV$1+(Objects!$Y$4-$A69-1)*Objects!$X$4,0)</f>
        <v>0</v>
      </c>
      <c r="CW69">
        <f ca="1">OFFSET(Objects!$HW$6,CW$1+(Objects!$Y$4-$A69-1)*Objects!$X$4,0)</f>
        <v>0</v>
      </c>
      <c r="CX69">
        <f ca="1">OFFSET(Objects!$HW$6,CX$1+(Objects!$Y$4-$A69-1)*Objects!$X$4,0)</f>
        <v>0</v>
      </c>
      <c r="CY69">
        <f ca="1">OFFSET(Objects!$HW$6,CY$1+(Objects!$Y$4-$A69-1)*Objects!$X$4,0)</f>
        <v>0</v>
      </c>
      <c r="CZ69">
        <f ca="1">OFFSET(Objects!$HW$6,CZ$1+(Objects!$Y$4-$A69-1)*Objects!$X$4,0)</f>
        <v>0</v>
      </c>
      <c r="DA69">
        <f ca="1">OFFSET(Objects!$HW$6,DA$1+(Objects!$Y$4-$A69-1)*Objects!$X$4,0)</f>
        <v>0</v>
      </c>
      <c r="DB69">
        <f ca="1">OFFSET(Objects!$HW$6,DB$1+(Objects!$Y$4-$A69-1)*Objects!$X$4,0)</f>
        <v>0</v>
      </c>
      <c r="DC69">
        <f ca="1">OFFSET(Objects!$HW$6,DC$1+(Objects!$Y$4-$A69-1)*Objects!$X$4,0)</f>
        <v>0</v>
      </c>
      <c r="DD69">
        <f ca="1">OFFSET(Objects!$HW$6,DD$1+(Objects!$Y$4-$A69-1)*Objects!$X$4,0)</f>
        <v>0</v>
      </c>
      <c r="DE69">
        <f ca="1">OFFSET(Objects!$HW$6,DE$1+(Objects!$Y$4-$A69-1)*Objects!$X$4,0)</f>
        <v>0</v>
      </c>
      <c r="DF69">
        <f ca="1">OFFSET(Objects!$HW$6,DF$1+(Objects!$Y$4-$A69-1)*Objects!$X$4,0)</f>
        <v>0</v>
      </c>
      <c r="DG69">
        <f ca="1">OFFSET(Objects!$HW$6,DG$1+(Objects!$Y$4-$A69-1)*Objects!$X$4,0)</f>
        <v>0</v>
      </c>
      <c r="DH69">
        <f ca="1">OFFSET(Objects!$HW$6,DH$1+(Objects!$Y$4-$A69-1)*Objects!$X$4,0)</f>
        <v>0</v>
      </c>
      <c r="DI69">
        <f ca="1">OFFSET(Objects!$HW$6,DI$1+(Objects!$Y$4-$A69-1)*Objects!$X$4,0)</f>
        <v>0</v>
      </c>
      <c r="DJ69">
        <f ca="1">OFFSET(Objects!$HW$6,DJ$1+(Objects!$Y$4-$A69-1)*Objects!$X$4,0)</f>
        <v>0</v>
      </c>
      <c r="DK69">
        <f ca="1">OFFSET(Objects!$HW$6,DK$1+(Objects!$Y$4-$A69-1)*Objects!$X$4,0)</f>
        <v>0</v>
      </c>
      <c r="DL69">
        <f ca="1">OFFSET(Objects!$HW$6,DL$1+(Objects!$Y$4-$A69-1)*Objects!$X$4,0)</f>
        <v>0</v>
      </c>
      <c r="DM69">
        <f ca="1">OFFSET(Objects!$HW$6,DM$1+(Objects!$Y$4-$A69-1)*Objects!$X$4,0)</f>
        <v>0</v>
      </c>
      <c r="DN69">
        <f ca="1">OFFSET(Objects!$HW$6,DN$1+(Objects!$Y$4-$A69-1)*Objects!$X$4,0)</f>
        <v>0</v>
      </c>
      <c r="DO69">
        <f ca="1">OFFSET(Objects!$HW$6,DO$1+(Objects!$Y$4-$A69-1)*Objects!$X$4,0)</f>
        <v>0</v>
      </c>
      <c r="DP69">
        <f ca="1">OFFSET(Objects!$HW$6,DP$1+(Objects!$Y$4-$A69-1)*Objects!$X$4,0)</f>
        <v>0</v>
      </c>
      <c r="DQ69">
        <f ca="1">OFFSET(Objects!$HW$6,DQ$1+(Objects!$Y$4-$A69-1)*Objects!$X$4,0)</f>
        <v>0</v>
      </c>
      <c r="DR69">
        <f ca="1">OFFSET(Objects!$HW$6,DR$1+(Objects!$Y$4-$A69-1)*Objects!$X$4,0)</f>
        <v>0</v>
      </c>
      <c r="DS69">
        <f ca="1">OFFSET(Objects!$HW$6,DS$1+(Objects!$Y$4-$A69-1)*Objects!$X$4,0)</f>
        <v>0</v>
      </c>
      <c r="DT69">
        <f ca="1">OFFSET(Objects!$HW$6,DT$1+(Objects!$Y$4-$A69-1)*Objects!$X$4,0)</f>
        <v>0</v>
      </c>
      <c r="DU69">
        <f ca="1">OFFSET(Objects!$HW$6,DU$1+(Objects!$Y$4-$A69-1)*Objects!$X$4,0)</f>
        <v>0</v>
      </c>
      <c r="DV69">
        <f ca="1">OFFSET(Objects!$HW$6,DV$1+(Objects!$Y$4-$A69-1)*Objects!$X$4,0)</f>
        <v>0</v>
      </c>
      <c r="DW69">
        <f ca="1">OFFSET(Objects!$HW$6,DW$1+(Objects!$Y$4-$A69-1)*Objects!$X$4,0)</f>
        <v>0</v>
      </c>
      <c r="DX69">
        <f ca="1">OFFSET(Objects!$HW$6,DX$1+(Objects!$Y$4-$A69-1)*Objects!$X$4,0)</f>
        <v>0</v>
      </c>
      <c r="DY69">
        <f ca="1">OFFSET(Objects!$HW$6,DY$1+(Objects!$Y$4-$A69-1)*Objects!$X$4,0)</f>
        <v>0</v>
      </c>
      <c r="DZ69">
        <f ca="1">OFFSET(Objects!$HW$6,DZ$1+(Objects!$Y$4-$A69-1)*Objects!$X$4,0)</f>
        <v>0</v>
      </c>
      <c r="EA69">
        <f ca="1">OFFSET(Objects!$HW$6,EA$1+(Objects!$Y$4-$A69-1)*Objects!$X$4,0)</f>
        <v>0</v>
      </c>
      <c r="EB69">
        <f ca="1">OFFSET(Objects!$HW$6,EB$1+(Objects!$Y$4-$A69-1)*Objects!$X$4,0)</f>
        <v>0</v>
      </c>
      <c r="EC69">
        <f ca="1">OFFSET(Objects!$HW$6,EC$1+(Objects!$Y$4-$A69-1)*Objects!$X$4,0)</f>
        <v>0</v>
      </c>
      <c r="ED69">
        <f ca="1">OFFSET(Objects!$HW$6,ED$1+(Objects!$Y$4-$A69-1)*Objects!$X$4,0)</f>
        <v>0</v>
      </c>
      <c r="EE69">
        <f ca="1">OFFSET(Objects!$HW$6,EE$1+(Objects!$Y$4-$A69-1)*Objects!$X$4,0)</f>
        <v>0</v>
      </c>
      <c r="EF69">
        <f ca="1">OFFSET(Objects!$HW$6,EF$1+(Objects!$Y$4-$A69-1)*Objects!$X$4,0)</f>
        <v>0</v>
      </c>
      <c r="EG69">
        <f ca="1">OFFSET(Objects!$HW$6,EG$1+(Objects!$Y$4-$A69-1)*Objects!$X$4,0)</f>
        <v>0</v>
      </c>
      <c r="EH69">
        <f ca="1">OFFSET(Objects!$HW$6,EH$1+(Objects!$Y$4-$A69-1)*Objects!$X$4,0)</f>
        <v>0</v>
      </c>
      <c r="EI69">
        <f ca="1">OFFSET(Objects!$HW$6,EI$1+(Objects!$Y$4-$A69-1)*Objects!$X$4,0)</f>
        <v>0</v>
      </c>
      <c r="EJ69">
        <f ca="1">OFFSET(Objects!$HW$6,EJ$1+(Objects!$Y$4-$A69-1)*Objects!$X$4,0)</f>
        <v>0</v>
      </c>
      <c r="EK69">
        <f ca="1">OFFSET(Objects!$HW$6,EK$1+(Objects!$Y$4-$A69-1)*Objects!$X$4,0)</f>
        <v>0</v>
      </c>
      <c r="EL69">
        <f ca="1">OFFSET(Objects!$HW$6,EL$1+(Objects!$Y$4-$A69-1)*Objects!$X$4,0)</f>
        <v>0</v>
      </c>
      <c r="EM69">
        <f ca="1">OFFSET(Objects!$HW$6,EM$1+(Objects!$Y$4-$A69-1)*Objects!$X$4,0)</f>
        <v>0</v>
      </c>
      <c r="EN69">
        <f ca="1">OFFSET(Objects!$HW$6,EN$1+(Objects!$Y$4-$A69-1)*Objects!$X$4,0)</f>
        <v>0</v>
      </c>
      <c r="EO69">
        <f ca="1">OFFSET(Objects!$HW$6,EO$1+(Objects!$Y$4-$A69-1)*Objects!$X$4,0)</f>
        <v>0</v>
      </c>
      <c r="EP69">
        <f ca="1">OFFSET(Objects!$HW$6,EP$1+(Objects!$Y$4-$A69-1)*Objects!$X$4,0)</f>
        <v>0</v>
      </c>
      <c r="EQ69">
        <f ca="1">OFFSET(Objects!$HW$6,EQ$1+(Objects!$Y$4-$A69-1)*Objects!$X$4,0)</f>
        <v>0</v>
      </c>
      <c r="ER69">
        <f ca="1">OFFSET(Objects!$HW$6,ER$1+(Objects!$Y$4-$A69-1)*Objects!$X$4,0)</f>
        <v>0</v>
      </c>
      <c r="ES69">
        <f ca="1">OFFSET(Objects!$HW$6,ES$1+(Objects!$Y$4-$A69-1)*Objects!$X$4,0)</f>
        <v>0</v>
      </c>
      <c r="ET69">
        <f ca="1">OFFSET(Objects!$HW$6,ET$1+(Objects!$Y$4-$A69-1)*Objects!$X$4,0)</f>
        <v>0</v>
      </c>
      <c r="EU69">
        <f ca="1">OFFSET(Objects!$HW$6,EU$1+(Objects!$Y$4-$A69-1)*Objects!$X$4,0)</f>
        <v>0</v>
      </c>
      <c r="EV69">
        <f ca="1">OFFSET(Objects!$HW$6,EV$1+(Objects!$Y$4-$A69-1)*Objects!$X$4,0)</f>
        <v>0</v>
      </c>
      <c r="EW69">
        <f ca="1">OFFSET(Objects!$HW$6,EW$1+(Objects!$Y$4-$A69-1)*Objects!$X$4,0)</f>
        <v>0</v>
      </c>
      <c r="EX69">
        <f ca="1">OFFSET(Objects!$HW$6,EX$1+(Objects!$Y$4-$A69-1)*Objects!$X$4,0)</f>
        <v>0</v>
      </c>
      <c r="EY69">
        <f ca="1">OFFSET(Objects!$HW$6,EY$1+(Objects!$Y$4-$A69-1)*Objects!$X$4,0)</f>
        <v>0</v>
      </c>
      <c r="EZ69">
        <f ca="1">OFFSET(Objects!$HW$6,EZ$1+(Objects!$Y$4-$A69-1)*Objects!$X$4,0)</f>
        <v>0</v>
      </c>
      <c r="FA69">
        <f ca="1">OFFSET(Objects!$HW$6,FA$1+(Objects!$Y$4-$A69-1)*Objects!$X$4,0)</f>
        <v>0</v>
      </c>
      <c r="FB69">
        <f ca="1">OFFSET(Objects!$HW$6,FB$1+(Objects!$Y$4-$A69-1)*Objects!$X$4,0)</f>
        <v>0</v>
      </c>
      <c r="FC69">
        <f ca="1">OFFSET(Objects!$HW$6,FC$1+(Objects!$Y$4-$A69-1)*Objects!$X$4,0)</f>
        <v>0</v>
      </c>
      <c r="FD69">
        <f ca="1">OFFSET(Objects!$HW$6,FD$1+(Objects!$Y$4-$A69-1)*Objects!$X$4,0)</f>
        <v>0</v>
      </c>
      <c r="FE69" s="22">
        <f ca="1">OFFSET(Objects!$HW$6,FE$1+(Objects!$Y$4-$A69-1)*Objects!$X$4,0)</f>
        <v>0</v>
      </c>
    </row>
    <row r="70" spans="1:161" ht="4.5" customHeight="1" x14ac:dyDescent="0.25">
      <c r="A70">
        <v>68</v>
      </c>
      <c r="B70" s="21">
        <f ca="1">OFFSET(Objects!$HW$6,B$1+(Objects!$Y$4-$A70-1)*Objects!$X$4,0)</f>
        <v>0</v>
      </c>
      <c r="C70">
        <f ca="1">OFFSET(Objects!$HW$6,C$1+(Objects!$Y$4-$A70-1)*Objects!$X$4,0)</f>
        <v>0</v>
      </c>
      <c r="D70">
        <f ca="1">OFFSET(Objects!$HW$6,D$1+(Objects!$Y$4-$A70-1)*Objects!$X$4,0)</f>
        <v>0</v>
      </c>
      <c r="E70">
        <f ca="1">OFFSET(Objects!$HW$6,E$1+(Objects!$Y$4-$A70-1)*Objects!$X$4,0)</f>
        <v>0</v>
      </c>
      <c r="F70">
        <f ca="1">OFFSET(Objects!$HW$6,F$1+(Objects!$Y$4-$A70-1)*Objects!$X$4,0)</f>
        <v>0</v>
      </c>
      <c r="G70">
        <f ca="1">OFFSET(Objects!$HW$6,G$1+(Objects!$Y$4-$A70-1)*Objects!$X$4,0)</f>
        <v>0</v>
      </c>
      <c r="H70">
        <f ca="1">OFFSET(Objects!$HW$6,H$1+(Objects!$Y$4-$A70-1)*Objects!$X$4,0)</f>
        <v>0</v>
      </c>
      <c r="I70">
        <f ca="1">OFFSET(Objects!$HW$6,I$1+(Objects!$Y$4-$A70-1)*Objects!$X$4,0)</f>
        <v>0</v>
      </c>
      <c r="J70">
        <f ca="1">OFFSET(Objects!$HW$6,J$1+(Objects!$Y$4-$A70-1)*Objects!$X$4,0)</f>
        <v>0</v>
      </c>
      <c r="K70">
        <f ca="1">OFFSET(Objects!$HW$6,K$1+(Objects!$Y$4-$A70-1)*Objects!$X$4,0)</f>
        <v>0</v>
      </c>
      <c r="L70">
        <f ca="1">OFFSET(Objects!$HW$6,L$1+(Objects!$Y$4-$A70-1)*Objects!$X$4,0)</f>
        <v>0</v>
      </c>
      <c r="M70">
        <f ca="1">OFFSET(Objects!$HW$6,M$1+(Objects!$Y$4-$A70-1)*Objects!$X$4,0)</f>
        <v>0</v>
      </c>
      <c r="N70">
        <f ca="1">OFFSET(Objects!$HW$6,N$1+(Objects!$Y$4-$A70-1)*Objects!$X$4,0)</f>
        <v>0</v>
      </c>
      <c r="O70">
        <f ca="1">OFFSET(Objects!$HW$6,O$1+(Objects!$Y$4-$A70-1)*Objects!$X$4,0)</f>
        <v>0</v>
      </c>
      <c r="P70">
        <f ca="1">OFFSET(Objects!$HW$6,P$1+(Objects!$Y$4-$A70-1)*Objects!$X$4,0)</f>
        <v>0</v>
      </c>
      <c r="Q70">
        <f ca="1">OFFSET(Objects!$HW$6,Q$1+(Objects!$Y$4-$A70-1)*Objects!$X$4,0)</f>
        <v>0</v>
      </c>
      <c r="R70">
        <f ca="1">OFFSET(Objects!$HW$6,R$1+(Objects!$Y$4-$A70-1)*Objects!$X$4,0)</f>
        <v>0</v>
      </c>
      <c r="S70">
        <f ca="1">OFFSET(Objects!$HW$6,S$1+(Objects!$Y$4-$A70-1)*Objects!$X$4,0)</f>
        <v>0</v>
      </c>
      <c r="T70">
        <f ca="1">OFFSET(Objects!$HW$6,T$1+(Objects!$Y$4-$A70-1)*Objects!$X$4,0)</f>
        <v>0</v>
      </c>
      <c r="U70">
        <f ca="1">OFFSET(Objects!$HW$6,U$1+(Objects!$Y$4-$A70-1)*Objects!$X$4,0)</f>
        <v>0</v>
      </c>
      <c r="V70">
        <f ca="1">OFFSET(Objects!$HW$6,V$1+(Objects!$Y$4-$A70-1)*Objects!$X$4,0)</f>
        <v>0</v>
      </c>
      <c r="W70">
        <f ca="1">OFFSET(Objects!$HW$6,W$1+(Objects!$Y$4-$A70-1)*Objects!$X$4,0)</f>
        <v>0</v>
      </c>
      <c r="X70">
        <f ca="1">OFFSET(Objects!$HW$6,X$1+(Objects!$Y$4-$A70-1)*Objects!$X$4,0)</f>
        <v>0</v>
      </c>
      <c r="Y70">
        <f ca="1">OFFSET(Objects!$HW$6,Y$1+(Objects!$Y$4-$A70-1)*Objects!$X$4,0)</f>
        <v>0</v>
      </c>
      <c r="Z70">
        <f ca="1">OFFSET(Objects!$HW$6,Z$1+(Objects!$Y$4-$A70-1)*Objects!$X$4,0)</f>
        <v>0</v>
      </c>
      <c r="AA70">
        <f ca="1">OFFSET(Objects!$HW$6,AA$1+(Objects!$Y$4-$A70-1)*Objects!$X$4,0)</f>
        <v>0</v>
      </c>
      <c r="AB70">
        <f ca="1">OFFSET(Objects!$HW$6,AB$1+(Objects!$Y$4-$A70-1)*Objects!$X$4,0)</f>
        <v>0</v>
      </c>
      <c r="AC70">
        <f ca="1">OFFSET(Objects!$HW$6,AC$1+(Objects!$Y$4-$A70-1)*Objects!$X$4,0)</f>
        <v>0</v>
      </c>
      <c r="AD70">
        <f ca="1">OFFSET(Objects!$HW$6,AD$1+(Objects!$Y$4-$A70-1)*Objects!$X$4,0)</f>
        <v>0</v>
      </c>
      <c r="AE70">
        <f ca="1">OFFSET(Objects!$HW$6,AE$1+(Objects!$Y$4-$A70-1)*Objects!$X$4,0)</f>
        <v>0</v>
      </c>
      <c r="AF70">
        <f ca="1">OFFSET(Objects!$HW$6,AF$1+(Objects!$Y$4-$A70-1)*Objects!$X$4,0)</f>
        <v>0</v>
      </c>
      <c r="AG70">
        <f ca="1">OFFSET(Objects!$HW$6,AG$1+(Objects!$Y$4-$A70-1)*Objects!$X$4,0)</f>
        <v>0</v>
      </c>
      <c r="AH70">
        <f ca="1">OFFSET(Objects!$HW$6,AH$1+(Objects!$Y$4-$A70-1)*Objects!$X$4,0)</f>
        <v>0</v>
      </c>
      <c r="AI70">
        <f ca="1">OFFSET(Objects!$HW$6,AI$1+(Objects!$Y$4-$A70-1)*Objects!$X$4,0)</f>
        <v>0</v>
      </c>
      <c r="AJ70">
        <f ca="1">OFFSET(Objects!$HW$6,AJ$1+(Objects!$Y$4-$A70-1)*Objects!$X$4,0)</f>
        <v>0</v>
      </c>
      <c r="AK70">
        <f ca="1">OFFSET(Objects!$HW$6,AK$1+(Objects!$Y$4-$A70-1)*Objects!$X$4,0)</f>
        <v>0</v>
      </c>
      <c r="AL70">
        <f ca="1">OFFSET(Objects!$HW$6,AL$1+(Objects!$Y$4-$A70-1)*Objects!$X$4,0)</f>
        <v>0</v>
      </c>
      <c r="AM70">
        <f ca="1">OFFSET(Objects!$HW$6,AM$1+(Objects!$Y$4-$A70-1)*Objects!$X$4,0)</f>
        <v>0</v>
      </c>
      <c r="AN70">
        <f ca="1">OFFSET(Objects!$HW$6,AN$1+(Objects!$Y$4-$A70-1)*Objects!$X$4,0)</f>
        <v>0</v>
      </c>
      <c r="AO70">
        <f ca="1">OFFSET(Objects!$HW$6,AO$1+(Objects!$Y$4-$A70-1)*Objects!$X$4,0)</f>
        <v>0</v>
      </c>
      <c r="AP70">
        <f ca="1">OFFSET(Objects!$HW$6,AP$1+(Objects!$Y$4-$A70-1)*Objects!$X$4,0)</f>
        <v>0</v>
      </c>
      <c r="AQ70">
        <f ca="1">OFFSET(Objects!$HW$6,AQ$1+(Objects!$Y$4-$A70-1)*Objects!$X$4,0)</f>
        <v>0</v>
      </c>
      <c r="AR70">
        <f ca="1">OFFSET(Objects!$HW$6,AR$1+(Objects!$Y$4-$A70-1)*Objects!$X$4,0)</f>
        <v>0</v>
      </c>
      <c r="AS70">
        <f ca="1">OFFSET(Objects!$HW$6,AS$1+(Objects!$Y$4-$A70-1)*Objects!$X$4,0)</f>
        <v>0</v>
      </c>
      <c r="AT70">
        <f ca="1">OFFSET(Objects!$HW$6,AT$1+(Objects!$Y$4-$A70-1)*Objects!$X$4,0)</f>
        <v>0</v>
      </c>
      <c r="AU70">
        <f ca="1">OFFSET(Objects!$HW$6,AU$1+(Objects!$Y$4-$A70-1)*Objects!$X$4,0)</f>
        <v>0</v>
      </c>
      <c r="AV70">
        <f ca="1">OFFSET(Objects!$HW$6,AV$1+(Objects!$Y$4-$A70-1)*Objects!$X$4,0)</f>
        <v>0</v>
      </c>
      <c r="AW70">
        <f ca="1">OFFSET(Objects!$HW$6,AW$1+(Objects!$Y$4-$A70-1)*Objects!$X$4,0)</f>
        <v>0</v>
      </c>
      <c r="AX70">
        <f ca="1">OFFSET(Objects!$HW$6,AX$1+(Objects!$Y$4-$A70-1)*Objects!$X$4,0)</f>
        <v>0</v>
      </c>
      <c r="AY70">
        <f ca="1">OFFSET(Objects!$HW$6,AY$1+(Objects!$Y$4-$A70-1)*Objects!$X$4,0)</f>
        <v>0</v>
      </c>
      <c r="AZ70">
        <f ca="1">OFFSET(Objects!$HW$6,AZ$1+(Objects!$Y$4-$A70-1)*Objects!$X$4,0)</f>
        <v>0</v>
      </c>
      <c r="BA70">
        <f ca="1">OFFSET(Objects!$HW$6,BA$1+(Objects!$Y$4-$A70-1)*Objects!$X$4,0)</f>
        <v>0</v>
      </c>
      <c r="BB70">
        <f ca="1">OFFSET(Objects!$HW$6,BB$1+(Objects!$Y$4-$A70-1)*Objects!$X$4,0)</f>
        <v>0</v>
      </c>
      <c r="BC70">
        <f ca="1">OFFSET(Objects!$HW$6,BC$1+(Objects!$Y$4-$A70-1)*Objects!$X$4,0)</f>
        <v>0</v>
      </c>
      <c r="BD70">
        <f ca="1">OFFSET(Objects!$HW$6,BD$1+(Objects!$Y$4-$A70-1)*Objects!$X$4,0)</f>
        <v>0</v>
      </c>
      <c r="BE70">
        <f ca="1">OFFSET(Objects!$HW$6,BE$1+(Objects!$Y$4-$A70-1)*Objects!$X$4,0)</f>
        <v>0</v>
      </c>
      <c r="BF70">
        <f ca="1">OFFSET(Objects!$HW$6,BF$1+(Objects!$Y$4-$A70-1)*Objects!$X$4,0)</f>
        <v>0</v>
      </c>
      <c r="BG70">
        <f ca="1">OFFSET(Objects!$HW$6,BG$1+(Objects!$Y$4-$A70-1)*Objects!$X$4,0)</f>
        <v>0</v>
      </c>
      <c r="BH70">
        <f ca="1">OFFSET(Objects!$HW$6,BH$1+(Objects!$Y$4-$A70-1)*Objects!$X$4,0)</f>
        <v>0</v>
      </c>
      <c r="BI70">
        <f ca="1">OFFSET(Objects!$HW$6,BI$1+(Objects!$Y$4-$A70-1)*Objects!$X$4,0)</f>
        <v>0</v>
      </c>
      <c r="BJ70">
        <f ca="1">OFFSET(Objects!$HW$6,BJ$1+(Objects!$Y$4-$A70-1)*Objects!$X$4,0)</f>
        <v>0</v>
      </c>
      <c r="BK70">
        <f ca="1">OFFSET(Objects!$HW$6,BK$1+(Objects!$Y$4-$A70-1)*Objects!$X$4,0)</f>
        <v>0</v>
      </c>
      <c r="BL70">
        <f ca="1">OFFSET(Objects!$HW$6,BL$1+(Objects!$Y$4-$A70-1)*Objects!$X$4,0)</f>
        <v>0</v>
      </c>
      <c r="BM70">
        <f ca="1">OFFSET(Objects!$HW$6,BM$1+(Objects!$Y$4-$A70-1)*Objects!$X$4,0)</f>
        <v>0</v>
      </c>
      <c r="BN70">
        <f ca="1">OFFSET(Objects!$HW$6,BN$1+(Objects!$Y$4-$A70-1)*Objects!$X$4,0)</f>
        <v>0</v>
      </c>
      <c r="BO70">
        <f ca="1">OFFSET(Objects!$HW$6,BO$1+(Objects!$Y$4-$A70-1)*Objects!$X$4,0)</f>
        <v>0</v>
      </c>
      <c r="BP70">
        <f ca="1">OFFSET(Objects!$HW$6,BP$1+(Objects!$Y$4-$A70-1)*Objects!$X$4,0)</f>
        <v>0</v>
      </c>
      <c r="BQ70">
        <f ca="1">OFFSET(Objects!$HW$6,BQ$1+(Objects!$Y$4-$A70-1)*Objects!$X$4,0)</f>
        <v>0</v>
      </c>
      <c r="BR70">
        <f ca="1">OFFSET(Objects!$HW$6,BR$1+(Objects!$Y$4-$A70-1)*Objects!$X$4,0)</f>
        <v>0</v>
      </c>
      <c r="BS70">
        <f ca="1">OFFSET(Objects!$HW$6,BS$1+(Objects!$Y$4-$A70-1)*Objects!$X$4,0)</f>
        <v>0</v>
      </c>
      <c r="BT70">
        <f ca="1">OFFSET(Objects!$HW$6,BT$1+(Objects!$Y$4-$A70-1)*Objects!$X$4,0)</f>
        <v>0</v>
      </c>
      <c r="BU70">
        <f ca="1">OFFSET(Objects!$HW$6,BU$1+(Objects!$Y$4-$A70-1)*Objects!$X$4,0)</f>
        <v>0</v>
      </c>
      <c r="BV70">
        <f ca="1">OFFSET(Objects!$HW$6,BV$1+(Objects!$Y$4-$A70-1)*Objects!$X$4,0)</f>
        <v>0</v>
      </c>
      <c r="BW70">
        <f ca="1">OFFSET(Objects!$HW$6,BW$1+(Objects!$Y$4-$A70-1)*Objects!$X$4,0)</f>
        <v>0</v>
      </c>
      <c r="BX70">
        <f ca="1">OFFSET(Objects!$HW$6,BX$1+(Objects!$Y$4-$A70-1)*Objects!$X$4,0)</f>
        <v>0</v>
      </c>
      <c r="BY70">
        <f ca="1">OFFSET(Objects!$HW$6,BY$1+(Objects!$Y$4-$A70-1)*Objects!$X$4,0)</f>
        <v>0</v>
      </c>
      <c r="BZ70">
        <f ca="1">OFFSET(Objects!$HW$6,BZ$1+(Objects!$Y$4-$A70-1)*Objects!$X$4,0)</f>
        <v>0</v>
      </c>
      <c r="CA70">
        <f ca="1">OFFSET(Objects!$HW$6,CA$1+(Objects!$Y$4-$A70-1)*Objects!$X$4,0)</f>
        <v>0</v>
      </c>
      <c r="CB70">
        <f ca="1">OFFSET(Objects!$HW$6,CB$1+(Objects!$Y$4-$A70-1)*Objects!$X$4,0)</f>
        <v>0</v>
      </c>
      <c r="CC70">
        <f ca="1">OFFSET(Objects!$HW$6,CC$1+(Objects!$Y$4-$A70-1)*Objects!$X$4,0)</f>
        <v>0</v>
      </c>
      <c r="CD70">
        <f ca="1">OFFSET(Objects!$HW$6,CD$1+(Objects!$Y$4-$A70-1)*Objects!$X$4,0)</f>
        <v>0</v>
      </c>
      <c r="CE70">
        <f ca="1">OFFSET(Objects!$HW$6,CE$1+(Objects!$Y$4-$A70-1)*Objects!$X$4,0)</f>
        <v>0</v>
      </c>
      <c r="CF70">
        <f ca="1">OFFSET(Objects!$HW$6,CF$1+(Objects!$Y$4-$A70-1)*Objects!$X$4,0)</f>
        <v>0</v>
      </c>
      <c r="CG70">
        <f ca="1">OFFSET(Objects!$HW$6,CG$1+(Objects!$Y$4-$A70-1)*Objects!$X$4,0)</f>
        <v>0</v>
      </c>
      <c r="CH70">
        <f ca="1">OFFSET(Objects!$HW$6,CH$1+(Objects!$Y$4-$A70-1)*Objects!$X$4,0)</f>
        <v>0</v>
      </c>
      <c r="CI70">
        <f ca="1">OFFSET(Objects!$HW$6,CI$1+(Objects!$Y$4-$A70-1)*Objects!$X$4,0)</f>
        <v>0</v>
      </c>
      <c r="CJ70">
        <f ca="1">OFFSET(Objects!$HW$6,CJ$1+(Objects!$Y$4-$A70-1)*Objects!$X$4,0)</f>
        <v>0</v>
      </c>
      <c r="CK70">
        <f ca="1">OFFSET(Objects!$HW$6,CK$1+(Objects!$Y$4-$A70-1)*Objects!$X$4,0)</f>
        <v>0</v>
      </c>
      <c r="CL70">
        <f ca="1">OFFSET(Objects!$HW$6,CL$1+(Objects!$Y$4-$A70-1)*Objects!$X$4,0)</f>
        <v>0</v>
      </c>
      <c r="CM70">
        <f ca="1">OFFSET(Objects!$HW$6,CM$1+(Objects!$Y$4-$A70-1)*Objects!$X$4,0)</f>
        <v>0</v>
      </c>
      <c r="CN70">
        <f ca="1">OFFSET(Objects!$HW$6,CN$1+(Objects!$Y$4-$A70-1)*Objects!$X$4,0)</f>
        <v>0</v>
      </c>
      <c r="CO70">
        <f ca="1">OFFSET(Objects!$HW$6,CO$1+(Objects!$Y$4-$A70-1)*Objects!$X$4,0)</f>
        <v>0</v>
      </c>
      <c r="CP70">
        <f ca="1">OFFSET(Objects!$HW$6,CP$1+(Objects!$Y$4-$A70-1)*Objects!$X$4,0)</f>
        <v>0</v>
      </c>
      <c r="CQ70">
        <f ca="1">OFFSET(Objects!$HW$6,CQ$1+(Objects!$Y$4-$A70-1)*Objects!$X$4,0)</f>
        <v>0</v>
      </c>
      <c r="CR70">
        <f ca="1">OFFSET(Objects!$HW$6,CR$1+(Objects!$Y$4-$A70-1)*Objects!$X$4,0)</f>
        <v>0</v>
      </c>
      <c r="CS70">
        <f ca="1">OFFSET(Objects!$HW$6,CS$1+(Objects!$Y$4-$A70-1)*Objects!$X$4,0)</f>
        <v>0</v>
      </c>
      <c r="CT70">
        <f ca="1">OFFSET(Objects!$HW$6,CT$1+(Objects!$Y$4-$A70-1)*Objects!$X$4,0)</f>
        <v>0</v>
      </c>
      <c r="CU70">
        <f ca="1">OFFSET(Objects!$HW$6,CU$1+(Objects!$Y$4-$A70-1)*Objects!$X$4,0)</f>
        <v>0</v>
      </c>
      <c r="CV70">
        <f ca="1">OFFSET(Objects!$HW$6,CV$1+(Objects!$Y$4-$A70-1)*Objects!$X$4,0)</f>
        <v>0</v>
      </c>
      <c r="CW70">
        <f ca="1">OFFSET(Objects!$HW$6,CW$1+(Objects!$Y$4-$A70-1)*Objects!$X$4,0)</f>
        <v>0</v>
      </c>
      <c r="CX70">
        <f ca="1">OFFSET(Objects!$HW$6,CX$1+(Objects!$Y$4-$A70-1)*Objects!$X$4,0)</f>
        <v>0</v>
      </c>
      <c r="CY70">
        <f ca="1">OFFSET(Objects!$HW$6,CY$1+(Objects!$Y$4-$A70-1)*Objects!$X$4,0)</f>
        <v>0</v>
      </c>
      <c r="CZ70">
        <f ca="1">OFFSET(Objects!$HW$6,CZ$1+(Objects!$Y$4-$A70-1)*Objects!$X$4,0)</f>
        <v>0</v>
      </c>
      <c r="DA70">
        <f ca="1">OFFSET(Objects!$HW$6,DA$1+(Objects!$Y$4-$A70-1)*Objects!$X$4,0)</f>
        <v>0</v>
      </c>
      <c r="DB70">
        <f ca="1">OFFSET(Objects!$HW$6,DB$1+(Objects!$Y$4-$A70-1)*Objects!$X$4,0)</f>
        <v>0</v>
      </c>
      <c r="DC70">
        <f ca="1">OFFSET(Objects!$HW$6,DC$1+(Objects!$Y$4-$A70-1)*Objects!$X$4,0)</f>
        <v>0</v>
      </c>
      <c r="DD70">
        <f ca="1">OFFSET(Objects!$HW$6,DD$1+(Objects!$Y$4-$A70-1)*Objects!$X$4,0)</f>
        <v>0</v>
      </c>
      <c r="DE70">
        <f ca="1">OFFSET(Objects!$HW$6,DE$1+(Objects!$Y$4-$A70-1)*Objects!$X$4,0)</f>
        <v>0</v>
      </c>
      <c r="DF70">
        <f ca="1">OFFSET(Objects!$HW$6,DF$1+(Objects!$Y$4-$A70-1)*Objects!$X$4,0)</f>
        <v>0</v>
      </c>
      <c r="DG70">
        <f ca="1">OFFSET(Objects!$HW$6,DG$1+(Objects!$Y$4-$A70-1)*Objects!$X$4,0)</f>
        <v>0</v>
      </c>
      <c r="DH70">
        <f ca="1">OFFSET(Objects!$HW$6,DH$1+(Objects!$Y$4-$A70-1)*Objects!$X$4,0)</f>
        <v>0</v>
      </c>
      <c r="DI70">
        <f ca="1">OFFSET(Objects!$HW$6,DI$1+(Objects!$Y$4-$A70-1)*Objects!$X$4,0)</f>
        <v>0</v>
      </c>
      <c r="DJ70">
        <f ca="1">OFFSET(Objects!$HW$6,DJ$1+(Objects!$Y$4-$A70-1)*Objects!$X$4,0)</f>
        <v>0</v>
      </c>
      <c r="DK70">
        <f ca="1">OFFSET(Objects!$HW$6,DK$1+(Objects!$Y$4-$A70-1)*Objects!$X$4,0)</f>
        <v>0</v>
      </c>
      <c r="DL70">
        <f ca="1">OFFSET(Objects!$HW$6,DL$1+(Objects!$Y$4-$A70-1)*Objects!$X$4,0)</f>
        <v>0</v>
      </c>
      <c r="DM70">
        <f ca="1">OFFSET(Objects!$HW$6,DM$1+(Objects!$Y$4-$A70-1)*Objects!$X$4,0)</f>
        <v>0</v>
      </c>
      <c r="DN70">
        <f ca="1">OFFSET(Objects!$HW$6,DN$1+(Objects!$Y$4-$A70-1)*Objects!$X$4,0)</f>
        <v>0</v>
      </c>
      <c r="DO70">
        <f ca="1">OFFSET(Objects!$HW$6,DO$1+(Objects!$Y$4-$A70-1)*Objects!$X$4,0)</f>
        <v>0</v>
      </c>
      <c r="DP70">
        <f ca="1">OFFSET(Objects!$HW$6,DP$1+(Objects!$Y$4-$A70-1)*Objects!$X$4,0)</f>
        <v>0</v>
      </c>
      <c r="DQ70">
        <f ca="1">OFFSET(Objects!$HW$6,DQ$1+(Objects!$Y$4-$A70-1)*Objects!$X$4,0)</f>
        <v>0</v>
      </c>
      <c r="DR70">
        <f ca="1">OFFSET(Objects!$HW$6,DR$1+(Objects!$Y$4-$A70-1)*Objects!$X$4,0)</f>
        <v>0</v>
      </c>
      <c r="DS70">
        <f ca="1">OFFSET(Objects!$HW$6,DS$1+(Objects!$Y$4-$A70-1)*Objects!$X$4,0)</f>
        <v>0</v>
      </c>
      <c r="DT70">
        <f ca="1">OFFSET(Objects!$HW$6,DT$1+(Objects!$Y$4-$A70-1)*Objects!$X$4,0)</f>
        <v>0</v>
      </c>
      <c r="DU70">
        <f ca="1">OFFSET(Objects!$HW$6,DU$1+(Objects!$Y$4-$A70-1)*Objects!$X$4,0)</f>
        <v>0</v>
      </c>
      <c r="DV70">
        <f ca="1">OFFSET(Objects!$HW$6,DV$1+(Objects!$Y$4-$A70-1)*Objects!$X$4,0)</f>
        <v>0</v>
      </c>
      <c r="DW70">
        <f ca="1">OFFSET(Objects!$HW$6,DW$1+(Objects!$Y$4-$A70-1)*Objects!$X$4,0)</f>
        <v>0</v>
      </c>
      <c r="DX70">
        <f ca="1">OFFSET(Objects!$HW$6,DX$1+(Objects!$Y$4-$A70-1)*Objects!$X$4,0)</f>
        <v>0</v>
      </c>
      <c r="DY70">
        <f ca="1">OFFSET(Objects!$HW$6,DY$1+(Objects!$Y$4-$A70-1)*Objects!$X$4,0)</f>
        <v>0</v>
      </c>
      <c r="DZ70">
        <f ca="1">OFFSET(Objects!$HW$6,DZ$1+(Objects!$Y$4-$A70-1)*Objects!$X$4,0)</f>
        <v>0</v>
      </c>
      <c r="EA70">
        <f ca="1">OFFSET(Objects!$HW$6,EA$1+(Objects!$Y$4-$A70-1)*Objects!$X$4,0)</f>
        <v>0</v>
      </c>
      <c r="EB70">
        <f ca="1">OFFSET(Objects!$HW$6,EB$1+(Objects!$Y$4-$A70-1)*Objects!$X$4,0)</f>
        <v>0</v>
      </c>
      <c r="EC70">
        <f ca="1">OFFSET(Objects!$HW$6,EC$1+(Objects!$Y$4-$A70-1)*Objects!$X$4,0)</f>
        <v>0</v>
      </c>
      <c r="ED70">
        <f ca="1">OFFSET(Objects!$HW$6,ED$1+(Objects!$Y$4-$A70-1)*Objects!$X$4,0)</f>
        <v>0</v>
      </c>
      <c r="EE70">
        <f ca="1">OFFSET(Objects!$HW$6,EE$1+(Objects!$Y$4-$A70-1)*Objects!$X$4,0)</f>
        <v>0</v>
      </c>
      <c r="EF70">
        <f ca="1">OFFSET(Objects!$HW$6,EF$1+(Objects!$Y$4-$A70-1)*Objects!$X$4,0)</f>
        <v>0</v>
      </c>
      <c r="EG70">
        <f ca="1">OFFSET(Objects!$HW$6,EG$1+(Objects!$Y$4-$A70-1)*Objects!$X$4,0)</f>
        <v>0</v>
      </c>
      <c r="EH70">
        <f ca="1">OFFSET(Objects!$HW$6,EH$1+(Objects!$Y$4-$A70-1)*Objects!$X$4,0)</f>
        <v>0</v>
      </c>
      <c r="EI70">
        <f ca="1">OFFSET(Objects!$HW$6,EI$1+(Objects!$Y$4-$A70-1)*Objects!$X$4,0)</f>
        <v>0</v>
      </c>
      <c r="EJ70">
        <f ca="1">OFFSET(Objects!$HW$6,EJ$1+(Objects!$Y$4-$A70-1)*Objects!$X$4,0)</f>
        <v>0</v>
      </c>
      <c r="EK70">
        <f ca="1">OFFSET(Objects!$HW$6,EK$1+(Objects!$Y$4-$A70-1)*Objects!$X$4,0)</f>
        <v>0</v>
      </c>
      <c r="EL70">
        <f ca="1">OFFSET(Objects!$HW$6,EL$1+(Objects!$Y$4-$A70-1)*Objects!$X$4,0)</f>
        <v>0</v>
      </c>
      <c r="EM70">
        <f ca="1">OFFSET(Objects!$HW$6,EM$1+(Objects!$Y$4-$A70-1)*Objects!$X$4,0)</f>
        <v>0</v>
      </c>
      <c r="EN70">
        <f ca="1">OFFSET(Objects!$HW$6,EN$1+(Objects!$Y$4-$A70-1)*Objects!$X$4,0)</f>
        <v>0</v>
      </c>
      <c r="EO70">
        <f ca="1">OFFSET(Objects!$HW$6,EO$1+(Objects!$Y$4-$A70-1)*Objects!$X$4,0)</f>
        <v>0</v>
      </c>
      <c r="EP70">
        <f ca="1">OFFSET(Objects!$HW$6,EP$1+(Objects!$Y$4-$A70-1)*Objects!$X$4,0)</f>
        <v>0</v>
      </c>
      <c r="EQ70">
        <f ca="1">OFFSET(Objects!$HW$6,EQ$1+(Objects!$Y$4-$A70-1)*Objects!$X$4,0)</f>
        <v>0</v>
      </c>
      <c r="ER70">
        <f ca="1">OFFSET(Objects!$HW$6,ER$1+(Objects!$Y$4-$A70-1)*Objects!$X$4,0)</f>
        <v>0</v>
      </c>
      <c r="ES70">
        <f ca="1">OFFSET(Objects!$HW$6,ES$1+(Objects!$Y$4-$A70-1)*Objects!$X$4,0)</f>
        <v>0</v>
      </c>
      <c r="ET70">
        <f ca="1">OFFSET(Objects!$HW$6,ET$1+(Objects!$Y$4-$A70-1)*Objects!$X$4,0)</f>
        <v>0</v>
      </c>
      <c r="EU70">
        <f ca="1">OFFSET(Objects!$HW$6,EU$1+(Objects!$Y$4-$A70-1)*Objects!$X$4,0)</f>
        <v>0</v>
      </c>
      <c r="EV70">
        <f ca="1">OFFSET(Objects!$HW$6,EV$1+(Objects!$Y$4-$A70-1)*Objects!$X$4,0)</f>
        <v>0</v>
      </c>
      <c r="EW70">
        <f ca="1">OFFSET(Objects!$HW$6,EW$1+(Objects!$Y$4-$A70-1)*Objects!$X$4,0)</f>
        <v>0</v>
      </c>
      <c r="EX70">
        <f ca="1">OFFSET(Objects!$HW$6,EX$1+(Objects!$Y$4-$A70-1)*Objects!$X$4,0)</f>
        <v>0</v>
      </c>
      <c r="EY70">
        <f ca="1">OFFSET(Objects!$HW$6,EY$1+(Objects!$Y$4-$A70-1)*Objects!$X$4,0)</f>
        <v>0</v>
      </c>
      <c r="EZ70">
        <f ca="1">OFFSET(Objects!$HW$6,EZ$1+(Objects!$Y$4-$A70-1)*Objects!$X$4,0)</f>
        <v>0</v>
      </c>
      <c r="FA70">
        <f ca="1">OFFSET(Objects!$HW$6,FA$1+(Objects!$Y$4-$A70-1)*Objects!$X$4,0)</f>
        <v>0</v>
      </c>
      <c r="FB70">
        <f ca="1">OFFSET(Objects!$HW$6,FB$1+(Objects!$Y$4-$A70-1)*Objects!$X$4,0)</f>
        <v>0</v>
      </c>
      <c r="FC70">
        <f ca="1">OFFSET(Objects!$HW$6,FC$1+(Objects!$Y$4-$A70-1)*Objects!$X$4,0)</f>
        <v>0</v>
      </c>
      <c r="FD70">
        <f ca="1">OFFSET(Objects!$HW$6,FD$1+(Objects!$Y$4-$A70-1)*Objects!$X$4,0)</f>
        <v>0</v>
      </c>
      <c r="FE70" s="22">
        <f ca="1">OFFSET(Objects!$HW$6,FE$1+(Objects!$Y$4-$A70-1)*Objects!$X$4,0)</f>
        <v>0</v>
      </c>
    </row>
    <row r="71" spans="1:161" ht="4.5" customHeight="1" x14ac:dyDescent="0.25">
      <c r="A71">
        <v>69</v>
      </c>
      <c r="B71" s="21">
        <f ca="1">OFFSET(Objects!$HW$6,B$1+(Objects!$Y$4-$A71-1)*Objects!$X$4,0)</f>
        <v>0</v>
      </c>
      <c r="C71">
        <f ca="1">OFFSET(Objects!$HW$6,C$1+(Objects!$Y$4-$A71-1)*Objects!$X$4,0)</f>
        <v>0</v>
      </c>
      <c r="D71">
        <f ca="1">OFFSET(Objects!$HW$6,D$1+(Objects!$Y$4-$A71-1)*Objects!$X$4,0)</f>
        <v>0</v>
      </c>
      <c r="E71">
        <f ca="1">OFFSET(Objects!$HW$6,E$1+(Objects!$Y$4-$A71-1)*Objects!$X$4,0)</f>
        <v>0</v>
      </c>
      <c r="F71">
        <f ca="1">OFFSET(Objects!$HW$6,F$1+(Objects!$Y$4-$A71-1)*Objects!$X$4,0)</f>
        <v>0</v>
      </c>
      <c r="G71">
        <f ca="1">OFFSET(Objects!$HW$6,G$1+(Objects!$Y$4-$A71-1)*Objects!$X$4,0)</f>
        <v>0</v>
      </c>
      <c r="H71">
        <f ca="1">OFFSET(Objects!$HW$6,H$1+(Objects!$Y$4-$A71-1)*Objects!$X$4,0)</f>
        <v>0</v>
      </c>
      <c r="I71">
        <f ca="1">OFFSET(Objects!$HW$6,I$1+(Objects!$Y$4-$A71-1)*Objects!$X$4,0)</f>
        <v>0</v>
      </c>
      <c r="J71">
        <f ca="1">OFFSET(Objects!$HW$6,J$1+(Objects!$Y$4-$A71-1)*Objects!$X$4,0)</f>
        <v>0</v>
      </c>
      <c r="K71">
        <f ca="1">OFFSET(Objects!$HW$6,K$1+(Objects!$Y$4-$A71-1)*Objects!$X$4,0)</f>
        <v>0</v>
      </c>
      <c r="L71">
        <f ca="1">OFFSET(Objects!$HW$6,L$1+(Objects!$Y$4-$A71-1)*Objects!$X$4,0)</f>
        <v>0</v>
      </c>
      <c r="M71">
        <f ca="1">OFFSET(Objects!$HW$6,M$1+(Objects!$Y$4-$A71-1)*Objects!$X$4,0)</f>
        <v>0</v>
      </c>
      <c r="N71">
        <f ca="1">OFFSET(Objects!$HW$6,N$1+(Objects!$Y$4-$A71-1)*Objects!$X$4,0)</f>
        <v>0</v>
      </c>
      <c r="O71">
        <f ca="1">OFFSET(Objects!$HW$6,O$1+(Objects!$Y$4-$A71-1)*Objects!$X$4,0)</f>
        <v>0</v>
      </c>
      <c r="P71">
        <f ca="1">OFFSET(Objects!$HW$6,P$1+(Objects!$Y$4-$A71-1)*Objects!$X$4,0)</f>
        <v>0</v>
      </c>
      <c r="Q71">
        <f ca="1">OFFSET(Objects!$HW$6,Q$1+(Objects!$Y$4-$A71-1)*Objects!$X$4,0)</f>
        <v>0</v>
      </c>
      <c r="R71">
        <f ca="1">OFFSET(Objects!$HW$6,R$1+(Objects!$Y$4-$A71-1)*Objects!$X$4,0)</f>
        <v>0</v>
      </c>
      <c r="S71">
        <f ca="1">OFFSET(Objects!$HW$6,S$1+(Objects!$Y$4-$A71-1)*Objects!$X$4,0)</f>
        <v>0</v>
      </c>
      <c r="T71">
        <f ca="1">OFFSET(Objects!$HW$6,T$1+(Objects!$Y$4-$A71-1)*Objects!$X$4,0)</f>
        <v>0</v>
      </c>
      <c r="U71">
        <f ca="1">OFFSET(Objects!$HW$6,U$1+(Objects!$Y$4-$A71-1)*Objects!$X$4,0)</f>
        <v>0</v>
      </c>
      <c r="V71">
        <f ca="1">OFFSET(Objects!$HW$6,V$1+(Objects!$Y$4-$A71-1)*Objects!$X$4,0)</f>
        <v>0</v>
      </c>
      <c r="W71">
        <f ca="1">OFFSET(Objects!$HW$6,W$1+(Objects!$Y$4-$A71-1)*Objects!$X$4,0)</f>
        <v>0</v>
      </c>
      <c r="X71">
        <f ca="1">OFFSET(Objects!$HW$6,X$1+(Objects!$Y$4-$A71-1)*Objects!$X$4,0)</f>
        <v>0</v>
      </c>
      <c r="Y71">
        <f ca="1">OFFSET(Objects!$HW$6,Y$1+(Objects!$Y$4-$A71-1)*Objects!$X$4,0)</f>
        <v>0</v>
      </c>
      <c r="Z71">
        <f ca="1">OFFSET(Objects!$HW$6,Z$1+(Objects!$Y$4-$A71-1)*Objects!$X$4,0)</f>
        <v>0</v>
      </c>
      <c r="AA71">
        <f ca="1">OFFSET(Objects!$HW$6,AA$1+(Objects!$Y$4-$A71-1)*Objects!$X$4,0)</f>
        <v>0</v>
      </c>
      <c r="AB71">
        <f ca="1">OFFSET(Objects!$HW$6,AB$1+(Objects!$Y$4-$A71-1)*Objects!$X$4,0)</f>
        <v>0</v>
      </c>
      <c r="AC71">
        <f ca="1">OFFSET(Objects!$HW$6,AC$1+(Objects!$Y$4-$A71-1)*Objects!$X$4,0)</f>
        <v>0</v>
      </c>
      <c r="AD71">
        <f ca="1">OFFSET(Objects!$HW$6,AD$1+(Objects!$Y$4-$A71-1)*Objects!$X$4,0)</f>
        <v>0</v>
      </c>
      <c r="AE71">
        <f ca="1">OFFSET(Objects!$HW$6,AE$1+(Objects!$Y$4-$A71-1)*Objects!$X$4,0)</f>
        <v>0</v>
      </c>
      <c r="AF71">
        <f ca="1">OFFSET(Objects!$HW$6,AF$1+(Objects!$Y$4-$A71-1)*Objects!$X$4,0)</f>
        <v>0</v>
      </c>
      <c r="AG71">
        <f ca="1">OFFSET(Objects!$HW$6,AG$1+(Objects!$Y$4-$A71-1)*Objects!$X$4,0)</f>
        <v>0</v>
      </c>
      <c r="AH71">
        <f ca="1">OFFSET(Objects!$HW$6,AH$1+(Objects!$Y$4-$A71-1)*Objects!$X$4,0)</f>
        <v>0</v>
      </c>
      <c r="AI71">
        <f ca="1">OFFSET(Objects!$HW$6,AI$1+(Objects!$Y$4-$A71-1)*Objects!$X$4,0)</f>
        <v>0</v>
      </c>
      <c r="AJ71">
        <f ca="1">OFFSET(Objects!$HW$6,AJ$1+(Objects!$Y$4-$A71-1)*Objects!$X$4,0)</f>
        <v>0</v>
      </c>
      <c r="AK71">
        <f ca="1">OFFSET(Objects!$HW$6,AK$1+(Objects!$Y$4-$A71-1)*Objects!$X$4,0)</f>
        <v>0</v>
      </c>
      <c r="AL71">
        <f ca="1">OFFSET(Objects!$HW$6,AL$1+(Objects!$Y$4-$A71-1)*Objects!$X$4,0)</f>
        <v>0</v>
      </c>
      <c r="AM71">
        <f ca="1">OFFSET(Objects!$HW$6,AM$1+(Objects!$Y$4-$A71-1)*Objects!$X$4,0)</f>
        <v>0</v>
      </c>
      <c r="AN71">
        <f ca="1">OFFSET(Objects!$HW$6,AN$1+(Objects!$Y$4-$A71-1)*Objects!$X$4,0)</f>
        <v>0</v>
      </c>
      <c r="AO71">
        <f ca="1">OFFSET(Objects!$HW$6,AO$1+(Objects!$Y$4-$A71-1)*Objects!$X$4,0)</f>
        <v>0</v>
      </c>
      <c r="AP71">
        <f ca="1">OFFSET(Objects!$HW$6,AP$1+(Objects!$Y$4-$A71-1)*Objects!$X$4,0)</f>
        <v>0</v>
      </c>
      <c r="AQ71">
        <f ca="1">OFFSET(Objects!$HW$6,AQ$1+(Objects!$Y$4-$A71-1)*Objects!$X$4,0)</f>
        <v>0</v>
      </c>
      <c r="AR71">
        <f ca="1">OFFSET(Objects!$HW$6,AR$1+(Objects!$Y$4-$A71-1)*Objects!$X$4,0)</f>
        <v>0</v>
      </c>
      <c r="AS71">
        <f ca="1">OFFSET(Objects!$HW$6,AS$1+(Objects!$Y$4-$A71-1)*Objects!$X$4,0)</f>
        <v>0</v>
      </c>
      <c r="AT71">
        <f ca="1">OFFSET(Objects!$HW$6,AT$1+(Objects!$Y$4-$A71-1)*Objects!$X$4,0)</f>
        <v>0</v>
      </c>
      <c r="AU71">
        <f ca="1">OFFSET(Objects!$HW$6,AU$1+(Objects!$Y$4-$A71-1)*Objects!$X$4,0)</f>
        <v>0</v>
      </c>
      <c r="AV71">
        <f ca="1">OFFSET(Objects!$HW$6,AV$1+(Objects!$Y$4-$A71-1)*Objects!$X$4,0)</f>
        <v>0</v>
      </c>
      <c r="AW71">
        <f ca="1">OFFSET(Objects!$HW$6,AW$1+(Objects!$Y$4-$A71-1)*Objects!$X$4,0)</f>
        <v>0</v>
      </c>
      <c r="AX71">
        <f ca="1">OFFSET(Objects!$HW$6,AX$1+(Objects!$Y$4-$A71-1)*Objects!$X$4,0)</f>
        <v>0</v>
      </c>
      <c r="AY71">
        <f ca="1">OFFSET(Objects!$HW$6,AY$1+(Objects!$Y$4-$A71-1)*Objects!$X$4,0)</f>
        <v>0</v>
      </c>
      <c r="AZ71">
        <f ca="1">OFFSET(Objects!$HW$6,AZ$1+(Objects!$Y$4-$A71-1)*Objects!$X$4,0)</f>
        <v>0</v>
      </c>
      <c r="BA71">
        <f ca="1">OFFSET(Objects!$HW$6,BA$1+(Objects!$Y$4-$A71-1)*Objects!$X$4,0)</f>
        <v>0</v>
      </c>
      <c r="BB71">
        <f ca="1">OFFSET(Objects!$HW$6,BB$1+(Objects!$Y$4-$A71-1)*Objects!$X$4,0)</f>
        <v>0</v>
      </c>
      <c r="BC71">
        <f ca="1">OFFSET(Objects!$HW$6,BC$1+(Objects!$Y$4-$A71-1)*Objects!$X$4,0)</f>
        <v>0</v>
      </c>
      <c r="BD71">
        <f ca="1">OFFSET(Objects!$HW$6,BD$1+(Objects!$Y$4-$A71-1)*Objects!$X$4,0)</f>
        <v>0</v>
      </c>
      <c r="BE71">
        <f ca="1">OFFSET(Objects!$HW$6,BE$1+(Objects!$Y$4-$A71-1)*Objects!$X$4,0)</f>
        <v>0</v>
      </c>
      <c r="BF71">
        <f ca="1">OFFSET(Objects!$HW$6,BF$1+(Objects!$Y$4-$A71-1)*Objects!$X$4,0)</f>
        <v>0</v>
      </c>
      <c r="BG71">
        <f ca="1">OFFSET(Objects!$HW$6,BG$1+(Objects!$Y$4-$A71-1)*Objects!$X$4,0)</f>
        <v>0</v>
      </c>
      <c r="BH71">
        <f ca="1">OFFSET(Objects!$HW$6,BH$1+(Objects!$Y$4-$A71-1)*Objects!$X$4,0)</f>
        <v>0</v>
      </c>
      <c r="BI71">
        <f ca="1">OFFSET(Objects!$HW$6,BI$1+(Objects!$Y$4-$A71-1)*Objects!$X$4,0)</f>
        <v>0</v>
      </c>
      <c r="BJ71">
        <f ca="1">OFFSET(Objects!$HW$6,BJ$1+(Objects!$Y$4-$A71-1)*Objects!$X$4,0)</f>
        <v>0</v>
      </c>
      <c r="BK71">
        <f ca="1">OFFSET(Objects!$HW$6,BK$1+(Objects!$Y$4-$A71-1)*Objects!$X$4,0)</f>
        <v>0</v>
      </c>
      <c r="BL71">
        <f ca="1">OFFSET(Objects!$HW$6,BL$1+(Objects!$Y$4-$A71-1)*Objects!$X$4,0)</f>
        <v>0</v>
      </c>
      <c r="BM71">
        <f ca="1">OFFSET(Objects!$HW$6,BM$1+(Objects!$Y$4-$A71-1)*Objects!$X$4,0)</f>
        <v>0</v>
      </c>
      <c r="BN71">
        <f ca="1">OFFSET(Objects!$HW$6,BN$1+(Objects!$Y$4-$A71-1)*Objects!$X$4,0)</f>
        <v>0</v>
      </c>
      <c r="BO71">
        <f ca="1">OFFSET(Objects!$HW$6,BO$1+(Objects!$Y$4-$A71-1)*Objects!$X$4,0)</f>
        <v>0</v>
      </c>
      <c r="BP71">
        <f ca="1">OFFSET(Objects!$HW$6,BP$1+(Objects!$Y$4-$A71-1)*Objects!$X$4,0)</f>
        <v>0</v>
      </c>
      <c r="BQ71">
        <f ca="1">OFFSET(Objects!$HW$6,BQ$1+(Objects!$Y$4-$A71-1)*Objects!$X$4,0)</f>
        <v>0</v>
      </c>
      <c r="BR71">
        <f ca="1">OFFSET(Objects!$HW$6,BR$1+(Objects!$Y$4-$A71-1)*Objects!$X$4,0)</f>
        <v>0</v>
      </c>
      <c r="BS71">
        <f ca="1">OFFSET(Objects!$HW$6,BS$1+(Objects!$Y$4-$A71-1)*Objects!$X$4,0)</f>
        <v>0</v>
      </c>
      <c r="BT71">
        <f ca="1">OFFSET(Objects!$HW$6,BT$1+(Objects!$Y$4-$A71-1)*Objects!$X$4,0)</f>
        <v>0</v>
      </c>
      <c r="BU71">
        <f ca="1">OFFSET(Objects!$HW$6,BU$1+(Objects!$Y$4-$A71-1)*Objects!$X$4,0)</f>
        <v>0</v>
      </c>
      <c r="BV71">
        <f ca="1">OFFSET(Objects!$HW$6,BV$1+(Objects!$Y$4-$A71-1)*Objects!$X$4,0)</f>
        <v>0</v>
      </c>
      <c r="BW71">
        <f ca="1">OFFSET(Objects!$HW$6,BW$1+(Objects!$Y$4-$A71-1)*Objects!$X$4,0)</f>
        <v>0</v>
      </c>
      <c r="BX71">
        <f ca="1">OFFSET(Objects!$HW$6,BX$1+(Objects!$Y$4-$A71-1)*Objects!$X$4,0)</f>
        <v>0</v>
      </c>
      <c r="BY71">
        <f ca="1">OFFSET(Objects!$HW$6,BY$1+(Objects!$Y$4-$A71-1)*Objects!$X$4,0)</f>
        <v>0</v>
      </c>
      <c r="BZ71">
        <f ca="1">OFFSET(Objects!$HW$6,BZ$1+(Objects!$Y$4-$A71-1)*Objects!$X$4,0)</f>
        <v>0</v>
      </c>
      <c r="CA71">
        <f ca="1">OFFSET(Objects!$HW$6,CA$1+(Objects!$Y$4-$A71-1)*Objects!$X$4,0)</f>
        <v>0</v>
      </c>
      <c r="CB71">
        <f ca="1">OFFSET(Objects!$HW$6,CB$1+(Objects!$Y$4-$A71-1)*Objects!$X$4,0)</f>
        <v>0</v>
      </c>
      <c r="CC71">
        <f ca="1">OFFSET(Objects!$HW$6,CC$1+(Objects!$Y$4-$A71-1)*Objects!$X$4,0)</f>
        <v>0</v>
      </c>
      <c r="CD71">
        <f ca="1">OFFSET(Objects!$HW$6,CD$1+(Objects!$Y$4-$A71-1)*Objects!$X$4,0)</f>
        <v>0</v>
      </c>
      <c r="CE71">
        <f ca="1">OFFSET(Objects!$HW$6,CE$1+(Objects!$Y$4-$A71-1)*Objects!$X$4,0)</f>
        <v>0</v>
      </c>
      <c r="CF71">
        <f ca="1">OFFSET(Objects!$HW$6,CF$1+(Objects!$Y$4-$A71-1)*Objects!$X$4,0)</f>
        <v>0</v>
      </c>
      <c r="CG71">
        <f ca="1">OFFSET(Objects!$HW$6,CG$1+(Objects!$Y$4-$A71-1)*Objects!$X$4,0)</f>
        <v>0</v>
      </c>
      <c r="CH71">
        <f ca="1">OFFSET(Objects!$HW$6,CH$1+(Objects!$Y$4-$A71-1)*Objects!$X$4,0)</f>
        <v>0</v>
      </c>
      <c r="CI71">
        <f ca="1">OFFSET(Objects!$HW$6,CI$1+(Objects!$Y$4-$A71-1)*Objects!$X$4,0)</f>
        <v>0</v>
      </c>
      <c r="CJ71">
        <f ca="1">OFFSET(Objects!$HW$6,CJ$1+(Objects!$Y$4-$A71-1)*Objects!$X$4,0)</f>
        <v>0</v>
      </c>
      <c r="CK71">
        <f ca="1">OFFSET(Objects!$HW$6,CK$1+(Objects!$Y$4-$A71-1)*Objects!$X$4,0)</f>
        <v>0</v>
      </c>
      <c r="CL71">
        <f ca="1">OFFSET(Objects!$HW$6,CL$1+(Objects!$Y$4-$A71-1)*Objects!$X$4,0)</f>
        <v>0</v>
      </c>
      <c r="CM71">
        <f ca="1">OFFSET(Objects!$HW$6,CM$1+(Objects!$Y$4-$A71-1)*Objects!$X$4,0)</f>
        <v>0</v>
      </c>
      <c r="CN71">
        <f ca="1">OFFSET(Objects!$HW$6,CN$1+(Objects!$Y$4-$A71-1)*Objects!$X$4,0)</f>
        <v>0</v>
      </c>
      <c r="CO71">
        <f ca="1">OFFSET(Objects!$HW$6,CO$1+(Objects!$Y$4-$A71-1)*Objects!$X$4,0)</f>
        <v>0</v>
      </c>
      <c r="CP71">
        <f ca="1">OFFSET(Objects!$HW$6,CP$1+(Objects!$Y$4-$A71-1)*Objects!$X$4,0)</f>
        <v>0</v>
      </c>
      <c r="CQ71">
        <f ca="1">OFFSET(Objects!$HW$6,CQ$1+(Objects!$Y$4-$A71-1)*Objects!$X$4,0)</f>
        <v>0</v>
      </c>
      <c r="CR71">
        <f ca="1">OFFSET(Objects!$HW$6,CR$1+(Objects!$Y$4-$A71-1)*Objects!$X$4,0)</f>
        <v>0</v>
      </c>
      <c r="CS71">
        <f ca="1">OFFSET(Objects!$HW$6,CS$1+(Objects!$Y$4-$A71-1)*Objects!$X$4,0)</f>
        <v>0</v>
      </c>
      <c r="CT71">
        <f ca="1">OFFSET(Objects!$HW$6,CT$1+(Objects!$Y$4-$A71-1)*Objects!$X$4,0)</f>
        <v>0</v>
      </c>
      <c r="CU71">
        <f ca="1">OFFSET(Objects!$HW$6,CU$1+(Objects!$Y$4-$A71-1)*Objects!$X$4,0)</f>
        <v>0</v>
      </c>
      <c r="CV71">
        <f ca="1">OFFSET(Objects!$HW$6,CV$1+(Objects!$Y$4-$A71-1)*Objects!$X$4,0)</f>
        <v>0</v>
      </c>
      <c r="CW71">
        <f ca="1">OFFSET(Objects!$HW$6,CW$1+(Objects!$Y$4-$A71-1)*Objects!$X$4,0)</f>
        <v>0</v>
      </c>
      <c r="CX71">
        <f ca="1">OFFSET(Objects!$HW$6,CX$1+(Objects!$Y$4-$A71-1)*Objects!$X$4,0)</f>
        <v>0</v>
      </c>
      <c r="CY71">
        <f ca="1">OFFSET(Objects!$HW$6,CY$1+(Objects!$Y$4-$A71-1)*Objects!$X$4,0)</f>
        <v>0</v>
      </c>
      <c r="CZ71">
        <f ca="1">OFFSET(Objects!$HW$6,CZ$1+(Objects!$Y$4-$A71-1)*Objects!$X$4,0)</f>
        <v>0</v>
      </c>
      <c r="DA71">
        <f ca="1">OFFSET(Objects!$HW$6,DA$1+(Objects!$Y$4-$A71-1)*Objects!$X$4,0)</f>
        <v>0</v>
      </c>
      <c r="DB71">
        <f ca="1">OFFSET(Objects!$HW$6,DB$1+(Objects!$Y$4-$A71-1)*Objects!$X$4,0)</f>
        <v>0</v>
      </c>
      <c r="DC71">
        <f ca="1">OFFSET(Objects!$HW$6,DC$1+(Objects!$Y$4-$A71-1)*Objects!$X$4,0)</f>
        <v>0</v>
      </c>
      <c r="DD71">
        <f ca="1">OFFSET(Objects!$HW$6,DD$1+(Objects!$Y$4-$A71-1)*Objects!$X$4,0)</f>
        <v>0</v>
      </c>
      <c r="DE71">
        <f ca="1">OFFSET(Objects!$HW$6,DE$1+(Objects!$Y$4-$A71-1)*Objects!$X$4,0)</f>
        <v>0</v>
      </c>
      <c r="DF71">
        <f ca="1">OFFSET(Objects!$HW$6,DF$1+(Objects!$Y$4-$A71-1)*Objects!$X$4,0)</f>
        <v>0</v>
      </c>
      <c r="DG71">
        <f ca="1">OFFSET(Objects!$HW$6,DG$1+(Objects!$Y$4-$A71-1)*Objects!$X$4,0)</f>
        <v>0</v>
      </c>
      <c r="DH71">
        <f ca="1">OFFSET(Objects!$HW$6,DH$1+(Objects!$Y$4-$A71-1)*Objects!$X$4,0)</f>
        <v>0</v>
      </c>
      <c r="DI71">
        <f ca="1">OFFSET(Objects!$HW$6,DI$1+(Objects!$Y$4-$A71-1)*Objects!$X$4,0)</f>
        <v>0</v>
      </c>
      <c r="DJ71">
        <f ca="1">OFFSET(Objects!$HW$6,DJ$1+(Objects!$Y$4-$A71-1)*Objects!$X$4,0)</f>
        <v>0</v>
      </c>
      <c r="DK71">
        <f ca="1">OFFSET(Objects!$HW$6,DK$1+(Objects!$Y$4-$A71-1)*Objects!$X$4,0)</f>
        <v>0</v>
      </c>
      <c r="DL71">
        <f ca="1">OFFSET(Objects!$HW$6,DL$1+(Objects!$Y$4-$A71-1)*Objects!$X$4,0)</f>
        <v>0</v>
      </c>
      <c r="DM71">
        <f ca="1">OFFSET(Objects!$HW$6,DM$1+(Objects!$Y$4-$A71-1)*Objects!$X$4,0)</f>
        <v>0</v>
      </c>
      <c r="DN71">
        <f ca="1">OFFSET(Objects!$HW$6,DN$1+(Objects!$Y$4-$A71-1)*Objects!$X$4,0)</f>
        <v>0</v>
      </c>
      <c r="DO71">
        <f ca="1">OFFSET(Objects!$HW$6,DO$1+(Objects!$Y$4-$A71-1)*Objects!$X$4,0)</f>
        <v>0</v>
      </c>
      <c r="DP71">
        <f ca="1">OFFSET(Objects!$HW$6,DP$1+(Objects!$Y$4-$A71-1)*Objects!$X$4,0)</f>
        <v>0</v>
      </c>
      <c r="DQ71">
        <f ca="1">OFFSET(Objects!$HW$6,DQ$1+(Objects!$Y$4-$A71-1)*Objects!$X$4,0)</f>
        <v>0</v>
      </c>
      <c r="DR71">
        <f ca="1">OFFSET(Objects!$HW$6,DR$1+(Objects!$Y$4-$A71-1)*Objects!$X$4,0)</f>
        <v>0</v>
      </c>
      <c r="DS71">
        <f ca="1">OFFSET(Objects!$HW$6,DS$1+(Objects!$Y$4-$A71-1)*Objects!$X$4,0)</f>
        <v>0</v>
      </c>
      <c r="DT71">
        <f ca="1">OFFSET(Objects!$HW$6,DT$1+(Objects!$Y$4-$A71-1)*Objects!$X$4,0)</f>
        <v>0</v>
      </c>
      <c r="DU71">
        <f ca="1">OFFSET(Objects!$HW$6,DU$1+(Objects!$Y$4-$A71-1)*Objects!$X$4,0)</f>
        <v>0</v>
      </c>
      <c r="DV71">
        <f ca="1">OFFSET(Objects!$HW$6,DV$1+(Objects!$Y$4-$A71-1)*Objects!$X$4,0)</f>
        <v>0</v>
      </c>
      <c r="DW71">
        <f ca="1">OFFSET(Objects!$HW$6,DW$1+(Objects!$Y$4-$A71-1)*Objects!$X$4,0)</f>
        <v>0</v>
      </c>
      <c r="DX71">
        <f ca="1">OFFSET(Objects!$HW$6,DX$1+(Objects!$Y$4-$A71-1)*Objects!$X$4,0)</f>
        <v>0</v>
      </c>
      <c r="DY71">
        <f ca="1">OFFSET(Objects!$HW$6,DY$1+(Objects!$Y$4-$A71-1)*Objects!$X$4,0)</f>
        <v>0</v>
      </c>
      <c r="DZ71">
        <f ca="1">OFFSET(Objects!$HW$6,DZ$1+(Objects!$Y$4-$A71-1)*Objects!$X$4,0)</f>
        <v>0</v>
      </c>
      <c r="EA71">
        <f ca="1">OFFSET(Objects!$HW$6,EA$1+(Objects!$Y$4-$A71-1)*Objects!$X$4,0)</f>
        <v>0</v>
      </c>
      <c r="EB71">
        <f ca="1">OFFSET(Objects!$HW$6,EB$1+(Objects!$Y$4-$A71-1)*Objects!$X$4,0)</f>
        <v>0</v>
      </c>
      <c r="EC71">
        <f ca="1">OFFSET(Objects!$HW$6,EC$1+(Objects!$Y$4-$A71-1)*Objects!$X$4,0)</f>
        <v>0</v>
      </c>
      <c r="ED71">
        <f ca="1">OFFSET(Objects!$HW$6,ED$1+(Objects!$Y$4-$A71-1)*Objects!$X$4,0)</f>
        <v>0</v>
      </c>
      <c r="EE71">
        <f ca="1">OFFSET(Objects!$HW$6,EE$1+(Objects!$Y$4-$A71-1)*Objects!$X$4,0)</f>
        <v>0</v>
      </c>
      <c r="EF71">
        <f ca="1">OFFSET(Objects!$HW$6,EF$1+(Objects!$Y$4-$A71-1)*Objects!$X$4,0)</f>
        <v>0</v>
      </c>
      <c r="EG71">
        <f ca="1">OFFSET(Objects!$HW$6,EG$1+(Objects!$Y$4-$A71-1)*Objects!$X$4,0)</f>
        <v>0</v>
      </c>
      <c r="EH71">
        <f ca="1">OFFSET(Objects!$HW$6,EH$1+(Objects!$Y$4-$A71-1)*Objects!$X$4,0)</f>
        <v>0</v>
      </c>
      <c r="EI71">
        <f ca="1">OFFSET(Objects!$HW$6,EI$1+(Objects!$Y$4-$A71-1)*Objects!$X$4,0)</f>
        <v>0</v>
      </c>
      <c r="EJ71">
        <f ca="1">OFFSET(Objects!$HW$6,EJ$1+(Objects!$Y$4-$A71-1)*Objects!$X$4,0)</f>
        <v>0</v>
      </c>
      <c r="EK71">
        <f ca="1">OFFSET(Objects!$HW$6,EK$1+(Objects!$Y$4-$A71-1)*Objects!$X$4,0)</f>
        <v>0</v>
      </c>
      <c r="EL71">
        <f ca="1">OFFSET(Objects!$HW$6,EL$1+(Objects!$Y$4-$A71-1)*Objects!$X$4,0)</f>
        <v>0</v>
      </c>
      <c r="EM71">
        <f ca="1">OFFSET(Objects!$HW$6,EM$1+(Objects!$Y$4-$A71-1)*Objects!$X$4,0)</f>
        <v>0</v>
      </c>
      <c r="EN71">
        <f ca="1">OFFSET(Objects!$HW$6,EN$1+(Objects!$Y$4-$A71-1)*Objects!$X$4,0)</f>
        <v>0</v>
      </c>
      <c r="EO71">
        <f ca="1">OFFSET(Objects!$HW$6,EO$1+(Objects!$Y$4-$A71-1)*Objects!$X$4,0)</f>
        <v>0</v>
      </c>
      <c r="EP71">
        <f ca="1">OFFSET(Objects!$HW$6,EP$1+(Objects!$Y$4-$A71-1)*Objects!$X$4,0)</f>
        <v>0</v>
      </c>
      <c r="EQ71">
        <f ca="1">OFFSET(Objects!$HW$6,EQ$1+(Objects!$Y$4-$A71-1)*Objects!$X$4,0)</f>
        <v>0</v>
      </c>
      <c r="ER71">
        <f ca="1">OFFSET(Objects!$HW$6,ER$1+(Objects!$Y$4-$A71-1)*Objects!$X$4,0)</f>
        <v>0</v>
      </c>
      <c r="ES71">
        <f ca="1">OFFSET(Objects!$HW$6,ES$1+(Objects!$Y$4-$A71-1)*Objects!$X$4,0)</f>
        <v>0</v>
      </c>
      <c r="ET71">
        <f ca="1">OFFSET(Objects!$HW$6,ET$1+(Objects!$Y$4-$A71-1)*Objects!$X$4,0)</f>
        <v>0</v>
      </c>
      <c r="EU71">
        <f ca="1">OFFSET(Objects!$HW$6,EU$1+(Objects!$Y$4-$A71-1)*Objects!$X$4,0)</f>
        <v>0</v>
      </c>
      <c r="EV71">
        <f ca="1">OFFSET(Objects!$HW$6,EV$1+(Objects!$Y$4-$A71-1)*Objects!$X$4,0)</f>
        <v>0</v>
      </c>
      <c r="EW71">
        <f ca="1">OFFSET(Objects!$HW$6,EW$1+(Objects!$Y$4-$A71-1)*Objects!$X$4,0)</f>
        <v>0</v>
      </c>
      <c r="EX71">
        <f ca="1">OFFSET(Objects!$HW$6,EX$1+(Objects!$Y$4-$A71-1)*Objects!$X$4,0)</f>
        <v>0</v>
      </c>
      <c r="EY71">
        <f ca="1">OFFSET(Objects!$HW$6,EY$1+(Objects!$Y$4-$A71-1)*Objects!$X$4,0)</f>
        <v>0</v>
      </c>
      <c r="EZ71">
        <f ca="1">OFFSET(Objects!$HW$6,EZ$1+(Objects!$Y$4-$A71-1)*Objects!$X$4,0)</f>
        <v>0</v>
      </c>
      <c r="FA71">
        <f ca="1">OFFSET(Objects!$HW$6,FA$1+(Objects!$Y$4-$A71-1)*Objects!$X$4,0)</f>
        <v>0</v>
      </c>
      <c r="FB71">
        <f ca="1">OFFSET(Objects!$HW$6,FB$1+(Objects!$Y$4-$A71-1)*Objects!$X$4,0)</f>
        <v>0</v>
      </c>
      <c r="FC71">
        <f ca="1">OFFSET(Objects!$HW$6,FC$1+(Objects!$Y$4-$A71-1)*Objects!$X$4,0)</f>
        <v>0</v>
      </c>
      <c r="FD71">
        <f ca="1">OFFSET(Objects!$HW$6,FD$1+(Objects!$Y$4-$A71-1)*Objects!$X$4,0)</f>
        <v>0</v>
      </c>
      <c r="FE71" s="22">
        <f ca="1">OFFSET(Objects!$HW$6,FE$1+(Objects!$Y$4-$A71-1)*Objects!$X$4,0)</f>
        <v>0</v>
      </c>
    </row>
    <row r="72" spans="1:161" ht="4.5" customHeight="1" x14ac:dyDescent="0.25">
      <c r="A72">
        <v>70</v>
      </c>
      <c r="B72" s="21">
        <f ca="1">OFFSET(Objects!$HW$6,B$1+(Objects!$Y$4-$A72-1)*Objects!$X$4,0)</f>
        <v>0</v>
      </c>
      <c r="C72">
        <f ca="1">OFFSET(Objects!$HW$6,C$1+(Objects!$Y$4-$A72-1)*Objects!$X$4,0)</f>
        <v>0</v>
      </c>
      <c r="D72">
        <f ca="1">OFFSET(Objects!$HW$6,D$1+(Objects!$Y$4-$A72-1)*Objects!$X$4,0)</f>
        <v>0</v>
      </c>
      <c r="E72">
        <f ca="1">OFFSET(Objects!$HW$6,E$1+(Objects!$Y$4-$A72-1)*Objects!$X$4,0)</f>
        <v>0</v>
      </c>
      <c r="F72">
        <f ca="1">OFFSET(Objects!$HW$6,F$1+(Objects!$Y$4-$A72-1)*Objects!$X$4,0)</f>
        <v>0</v>
      </c>
      <c r="G72">
        <f ca="1">OFFSET(Objects!$HW$6,G$1+(Objects!$Y$4-$A72-1)*Objects!$X$4,0)</f>
        <v>0</v>
      </c>
      <c r="H72">
        <f ca="1">OFFSET(Objects!$HW$6,H$1+(Objects!$Y$4-$A72-1)*Objects!$X$4,0)</f>
        <v>0</v>
      </c>
      <c r="I72">
        <f ca="1">OFFSET(Objects!$HW$6,I$1+(Objects!$Y$4-$A72-1)*Objects!$X$4,0)</f>
        <v>0</v>
      </c>
      <c r="J72">
        <f ca="1">OFFSET(Objects!$HW$6,J$1+(Objects!$Y$4-$A72-1)*Objects!$X$4,0)</f>
        <v>0</v>
      </c>
      <c r="K72">
        <f ca="1">OFFSET(Objects!$HW$6,K$1+(Objects!$Y$4-$A72-1)*Objects!$X$4,0)</f>
        <v>0</v>
      </c>
      <c r="L72">
        <f ca="1">OFFSET(Objects!$HW$6,L$1+(Objects!$Y$4-$A72-1)*Objects!$X$4,0)</f>
        <v>0</v>
      </c>
      <c r="M72">
        <f ca="1">OFFSET(Objects!$HW$6,M$1+(Objects!$Y$4-$A72-1)*Objects!$X$4,0)</f>
        <v>0</v>
      </c>
      <c r="N72">
        <f ca="1">OFFSET(Objects!$HW$6,N$1+(Objects!$Y$4-$A72-1)*Objects!$X$4,0)</f>
        <v>0</v>
      </c>
      <c r="O72">
        <f ca="1">OFFSET(Objects!$HW$6,O$1+(Objects!$Y$4-$A72-1)*Objects!$X$4,0)</f>
        <v>0</v>
      </c>
      <c r="P72">
        <f ca="1">OFFSET(Objects!$HW$6,P$1+(Objects!$Y$4-$A72-1)*Objects!$X$4,0)</f>
        <v>0</v>
      </c>
      <c r="Q72">
        <f ca="1">OFFSET(Objects!$HW$6,Q$1+(Objects!$Y$4-$A72-1)*Objects!$X$4,0)</f>
        <v>0</v>
      </c>
      <c r="R72">
        <f ca="1">OFFSET(Objects!$HW$6,R$1+(Objects!$Y$4-$A72-1)*Objects!$X$4,0)</f>
        <v>0</v>
      </c>
      <c r="S72">
        <f ca="1">OFFSET(Objects!$HW$6,S$1+(Objects!$Y$4-$A72-1)*Objects!$X$4,0)</f>
        <v>0</v>
      </c>
      <c r="T72">
        <f ca="1">OFFSET(Objects!$HW$6,T$1+(Objects!$Y$4-$A72-1)*Objects!$X$4,0)</f>
        <v>0</v>
      </c>
      <c r="U72">
        <f ca="1">OFFSET(Objects!$HW$6,U$1+(Objects!$Y$4-$A72-1)*Objects!$X$4,0)</f>
        <v>0</v>
      </c>
      <c r="V72">
        <f ca="1">OFFSET(Objects!$HW$6,V$1+(Objects!$Y$4-$A72-1)*Objects!$X$4,0)</f>
        <v>0</v>
      </c>
      <c r="W72">
        <f ca="1">OFFSET(Objects!$HW$6,W$1+(Objects!$Y$4-$A72-1)*Objects!$X$4,0)</f>
        <v>0</v>
      </c>
      <c r="X72">
        <f ca="1">OFFSET(Objects!$HW$6,X$1+(Objects!$Y$4-$A72-1)*Objects!$X$4,0)</f>
        <v>0</v>
      </c>
      <c r="Y72">
        <f ca="1">OFFSET(Objects!$HW$6,Y$1+(Objects!$Y$4-$A72-1)*Objects!$X$4,0)</f>
        <v>0</v>
      </c>
      <c r="Z72">
        <f ca="1">OFFSET(Objects!$HW$6,Z$1+(Objects!$Y$4-$A72-1)*Objects!$X$4,0)</f>
        <v>0</v>
      </c>
      <c r="AA72">
        <f ca="1">OFFSET(Objects!$HW$6,AA$1+(Objects!$Y$4-$A72-1)*Objects!$X$4,0)</f>
        <v>0</v>
      </c>
      <c r="AB72">
        <f ca="1">OFFSET(Objects!$HW$6,AB$1+(Objects!$Y$4-$A72-1)*Objects!$X$4,0)</f>
        <v>0</v>
      </c>
      <c r="AC72">
        <f ca="1">OFFSET(Objects!$HW$6,AC$1+(Objects!$Y$4-$A72-1)*Objects!$X$4,0)</f>
        <v>0</v>
      </c>
      <c r="AD72">
        <f ca="1">OFFSET(Objects!$HW$6,AD$1+(Objects!$Y$4-$A72-1)*Objects!$X$4,0)</f>
        <v>0</v>
      </c>
      <c r="AE72">
        <f ca="1">OFFSET(Objects!$HW$6,AE$1+(Objects!$Y$4-$A72-1)*Objects!$X$4,0)</f>
        <v>0</v>
      </c>
      <c r="AF72">
        <f ca="1">OFFSET(Objects!$HW$6,AF$1+(Objects!$Y$4-$A72-1)*Objects!$X$4,0)</f>
        <v>0</v>
      </c>
      <c r="AG72">
        <f ca="1">OFFSET(Objects!$HW$6,AG$1+(Objects!$Y$4-$A72-1)*Objects!$X$4,0)</f>
        <v>0</v>
      </c>
      <c r="AH72">
        <f ca="1">OFFSET(Objects!$HW$6,AH$1+(Objects!$Y$4-$A72-1)*Objects!$X$4,0)</f>
        <v>0</v>
      </c>
      <c r="AI72">
        <f ca="1">OFFSET(Objects!$HW$6,AI$1+(Objects!$Y$4-$A72-1)*Objects!$X$4,0)</f>
        <v>0</v>
      </c>
      <c r="AJ72">
        <f ca="1">OFFSET(Objects!$HW$6,AJ$1+(Objects!$Y$4-$A72-1)*Objects!$X$4,0)</f>
        <v>0</v>
      </c>
      <c r="AK72">
        <f ca="1">OFFSET(Objects!$HW$6,AK$1+(Objects!$Y$4-$A72-1)*Objects!$X$4,0)</f>
        <v>0</v>
      </c>
      <c r="AL72">
        <f ca="1">OFFSET(Objects!$HW$6,AL$1+(Objects!$Y$4-$A72-1)*Objects!$X$4,0)</f>
        <v>0</v>
      </c>
      <c r="AM72">
        <f ca="1">OFFSET(Objects!$HW$6,AM$1+(Objects!$Y$4-$A72-1)*Objects!$X$4,0)</f>
        <v>0</v>
      </c>
      <c r="AN72">
        <f ca="1">OFFSET(Objects!$HW$6,AN$1+(Objects!$Y$4-$A72-1)*Objects!$X$4,0)</f>
        <v>0</v>
      </c>
      <c r="AO72">
        <f ca="1">OFFSET(Objects!$HW$6,AO$1+(Objects!$Y$4-$A72-1)*Objects!$X$4,0)</f>
        <v>0</v>
      </c>
      <c r="AP72">
        <f ca="1">OFFSET(Objects!$HW$6,AP$1+(Objects!$Y$4-$A72-1)*Objects!$X$4,0)</f>
        <v>0</v>
      </c>
      <c r="AQ72">
        <f ca="1">OFFSET(Objects!$HW$6,AQ$1+(Objects!$Y$4-$A72-1)*Objects!$X$4,0)</f>
        <v>0</v>
      </c>
      <c r="AR72">
        <f ca="1">OFFSET(Objects!$HW$6,AR$1+(Objects!$Y$4-$A72-1)*Objects!$X$4,0)</f>
        <v>0</v>
      </c>
      <c r="AS72">
        <f ca="1">OFFSET(Objects!$HW$6,AS$1+(Objects!$Y$4-$A72-1)*Objects!$X$4,0)</f>
        <v>0</v>
      </c>
      <c r="AT72">
        <f ca="1">OFFSET(Objects!$HW$6,AT$1+(Objects!$Y$4-$A72-1)*Objects!$X$4,0)</f>
        <v>0</v>
      </c>
      <c r="AU72">
        <f ca="1">OFFSET(Objects!$HW$6,AU$1+(Objects!$Y$4-$A72-1)*Objects!$X$4,0)</f>
        <v>0</v>
      </c>
      <c r="AV72">
        <f ca="1">OFFSET(Objects!$HW$6,AV$1+(Objects!$Y$4-$A72-1)*Objects!$X$4,0)</f>
        <v>0</v>
      </c>
      <c r="AW72">
        <f ca="1">OFFSET(Objects!$HW$6,AW$1+(Objects!$Y$4-$A72-1)*Objects!$X$4,0)</f>
        <v>0</v>
      </c>
      <c r="AX72">
        <f ca="1">OFFSET(Objects!$HW$6,AX$1+(Objects!$Y$4-$A72-1)*Objects!$X$4,0)</f>
        <v>0</v>
      </c>
      <c r="AY72">
        <f ca="1">OFFSET(Objects!$HW$6,AY$1+(Objects!$Y$4-$A72-1)*Objects!$X$4,0)</f>
        <v>0</v>
      </c>
      <c r="AZ72">
        <f ca="1">OFFSET(Objects!$HW$6,AZ$1+(Objects!$Y$4-$A72-1)*Objects!$X$4,0)</f>
        <v>0</v>
      </c>
      <c r="BA72">
        <f ca="1">OFFSET(Objects!$HW$6,BA$1+(Objects!$Y$4-$A72-1)*Objects!$X$4,0)</f>
        <v>0</v>
      </c>
      <c r="BB72">
        <f ca="1">OFFSET(Objects!$HW$6,BB$1+(Objects!$Y$4-$A72-1)*Objects!$X$4,0)</f>
        <v>0</v>
      </c>
      <c r="BC72">
        <f ca="1">OFFSET(Objects!$HW$6,BC$1+(Objects!$Y$4-$A72-1)*Objects!$X$4,0)</f>
        <v>0</v>
      </c>
      <c r="BD72">
        <f ca="1">OFFSET(Objects!$HW$6,BD$1+(Objects!$Y$4-$A72-1)*Objects!$X$4,0)</f>
        <v>0</v>
      </c>
      <c r="BE72">
        <f ca="1">OFFSET(Objects!$HW$6,BE$1+(Objects!$Y$4-$A72-1)*Objects!$X$4,0)</f>
        <v>0</v>
      </c>
      <c r="BF72">
        <f ca="1">OFFSET(Objects!$HW$6,BF$1+(Objects!$Y$4-$A72-1)*Objects!$X$4,0)</f>
        <v>0</v>
      </c>
      <c r="BG72">
        <f ca="1">OFFSET(Objects!$HW$6,BG$1+(Objects!$Y$4-$A72-1)*Objects!$X$4,0)</f>
        <v>0</v>
      </c>
      <c r="BH72">
        <f ca="1">OFFSET(Objects!$HW$6,BH$1+(Objects!$Y$4-$A72-1)*Objects!$X$4,0)</f>
        <v>0</v>
      </c>
      <c r="BI72">
        <f ca="1">OFFSET(Objects!$HW$6,BI$1+(Objects!$Y$4-$A72-1)*Objects!$X$4,0)</f>
        <v>0</v>
      </c>
      <c r="BJ72">
        <f ca="1">OFFSET(Objects!$HW$6,BJ$1+(Objects!$Y$4-$A72-1)*Objects!$X$4,0)</f>
        <v>0</v>
      </c>
      <c r="BK72">
        <f ca="1">OFFSET(Objects!$HW$6,BK$1+(Objects!$Y$4-$A72-1)*Objects!$X$4,0)</f>
        <v>0</v>
      </c>
      <c r="BL72">
        <f ca="1">OFFSET(Objects!$HW$6,BL$1+(Objects!$Y$4-$A72-1)*Objects!$X$4,0)</f>
        <v>0</v>
      </c>
      <c r="BM72">
        <f ca="1">OFFSET(Objects!$HW$6,BM$1+(Objects!$Y$4-$A72-1)*Objects!$X$4,0)</f>
        <v>0</v>
      </c>
      <c r="BN72">
        <f ca="1">OFFSET(Objects!$HW$6,BN$1+(Objects!$Y$4-$A72-1)*Objects!$X$4,0)</f>
        <v>0</v>
      </c>
      <c r="BO72">
        <f ca="1">OFFSET(Objects!$HW$6,BO$1+(Objects!$Y$4-$A72-1)*Objects!$X$4,0)</f>
        <v>0</v>
      </c>
      <c r="BP72">
        <f ca="1">OFFSET(Objects!$HW$6,BP$1+(Objects!$Y$4-$A72-1)*Objects!$X$4,0)</f>
        <v>0</v>
      </c>
      <c r="BQ72">
        <f ca="1">OFFSET(Objects!$HW$6,BQ$1+(Objects!$Y$4-$A72-1)*Objects!$X$4,0)</f>
        <v>0</v>
      </c>
      <c r="BR72">
        <f ca="1">OFFSET(Objects!$HW$6,BR$1+(Objects!$Y$4-$A72-1)*Objects!$X$4,0)</f>
        <v>0</v>
      </c>
      <c r="BS72">
        <f ca="1">OFFSET(Objects!$HW$6,BS$1+(Objects!$Y$4-$A72-1)*Objects!$X$4,0)</f>
        <v>0</v>
      </c>
      <c r="BT72">
        <f ca="1">OFFSET(Objects!$HW$6,BT$1+(Objects!$Y$4-$A72-1)*Objects!$X$4,0)</f>
        <v>0</v>
      </c>
      <c r="BU72">
        <f ca="1">OFFSET(Objects!$HW$6,BU$1+(Objects!$Y$4-$A72-1)*Objects!$X$4,0)</f>
        <v>0</v>
      </c>
      <c r="BV72">
        <f ca="1">OFFSET(Objects!$HW$6,BV$1+(Objects!$Y$4-$A72-1)*Objects!$X$4,0)</f>
        <v>0</v>
      </c>
      <c r="BW72">
        <f ca="1">OFFSET(Objects!$HW$6,BW$1+(Objects!$Y$4-$A72-1)*Objects!$X$4,0)</f>
        <v>0</v>
      </c>
      <c r="BX72">
        <f ca="1">OFFSET(Objects!$HW$6,BX$1+(Objects!$Y$4-$A72-1)*Objects!$X$4,0)</f>
        <v>0</v>
      </c>
      <c r="BY72">
        <f ca="1">OFFSET(Objects!$HW$6,BY$1+(Objects!$Y$4-$A72-1)*Objects!$X$4,0)</f>
        <v>0</v>
      </c>
      <c r="BZ72">
        <f ca="1">OFFSET(Objects!$HW$6,BZ$1+(Objects!$Y$4-$A72-1)*Objects!$X$4,0)</f>
        <v>0</v>
      </c>
      <c r="CA72">
        <f ca="1">OFFSET(Objects!$HW$6,CA$1+(Objects!$Y$4-$A72-1)*Objects!$X$4,0)</f>
        <v>0</v>
      </c>
      <c r="CB72">
        <f ca="1">OFFSET(Objects!$HW$6,CB$1+(Objects!$Y$4-$A72-1)*Objects!$X$4,0)</f>
        <v>0</v>
      </c>
      <c r="CC72">
        <f ca="1">OFFSET(Objects!$HW$6,CC$1+(Objects!$Y$4-$A72-1)*Objects!$X$4,0)</f>
        <v>0</v>
      </c>
      <c r="CD72">
        <f ca="1">OFFSET(Objects!$HW$6,CD$1+(Objects!$Y$4-$A72-1)*Objects!$X$4,0)</f>
        <v>0</v>
      </c>
      <c r="CE72">
        <f ca="1">OFFSET(Objects!$HW$6,CE$1+(Objects!$Y$4-$A72-1)*Objects!$X$4,0)</f>
        <v>0</v>
      </c>
      <c r="CF72">
        <f ca="1">OFFSET(Objects!$HW$6,CF$1+(Objects!$Y$4-$A72-1)*Objects!$X$4,0)</f>
        <v>0</v>
      </c>
      <c r="CG72">
        <f ca="1">OFFSET(Objects!$HW$6,CG$1+(Objects!$Y$4-$A72-1)*Objects!$X$4,0)</f>
        <v>0</v>
      </c>
      <c r="CH72">
        <f ca="1">OFFSET(Objects!$HW$6,CH$1+(Objects!$Y$4-$A72-1)*Objects!$X$4,0)</f>
        <v>0</v>
      </c>
      <c r="CI72">
        <f ca="1">OFFSET(Objects!$HW$6,CI$1+(Objects!$Y$4-$A72-1)*Objects!$X$4,0)</f>
        <v>0</v>
      </c>
      <c r="CJ72">
        <f ca="1">OFFSET(Objects!$HW$6,CJ$1+(Objects!$Y$4-$A72-1)*Objects!$X$4,0)</f>
        <v>0</v>
      </c>
      <c r="CK72">
        <f ca="1">OFFSET(Objects!$HW$6,CK$1+(Objects!$Y$4-$A72-1)*Objects!$X$4,0)</f>
        <v>0</v>
      </c>
      <c r="CL72">
        <f ca="1">OFFSET(Objects!$HW$6,CL$1+(Objects!$Y$4-$A72-1)*Objects!$X$4,0)</f>
        <v>0</v>
      </c>
      <c r="CM72">
        <f ca="1">OFFSET(Objects!$HW$6,CM$1+(Objects!$Y$4-$A72-1)*Objects!$X$4,0)</f>
        <v>0</v>
      </c>
      <c r="CN72">
        <f ca="1">OFFSET(Objects!$HW$6,CN$1+(Objects!$Y$4-$A72-1)*Objects!$X$4,0)</f>
        <v>0</v>
      </c>
      <c r="CO72">
        <f ca="1">OFFSET(Objects!$HW$6,CO$1+(Objects!$Y$4-$A72-1)*Objects!$X$4,0)</f>
        <v>0</v>
      </c>
      <c r="CP72">
        <f ca="1">OFFSET(Objects!$HW$6,CP$1+(Objects!$Y$4-$A72-1)*Objects!$X$4,0)</f>
        <v>0</v>
      </c>
      <c r="CQ72">
        <f ca="1">OFFSET(Objects!$HW$6,CQ$1+(Objects!$Y$4-$A72-1)*Objects!$X$4,0)</f>
        <v>0</v>
      </c>
      <c r="CR72">
        <f ca="1">OFFSET(Objects!$HW$6,CR$1+(Objects!$Y$4-$A72-1)*Objects!$X$4,0)</f>
        <v>0</v>
      </c>
      <c r="CS72">
        <f ca="1">OFFSET(Objects!$HW$6,CS$1+(Objects!$Y$4-$A72-1)*Objects!$X$4,0)</f>
        <v>0</v>
      </c>
      <c r="CT72">
        <f ca="1">OFFSET(Objects!$HW$6,CT$1+(Objects!$Y$4-$A72-1)*Objects!$X$4,0)</f>
        <v>0</v>
      </c>
      <c r="CU72">
        <f ca="1">OFFSET(Objects!$HW$6,CU$1+(Objects!$Y$4-$A72-1)*Objects!$X$4,0)</f>
        <v>0</v>
      </c>
      <c r="CV72">
        <f ca="1">OFFSET(Objects!$HW$6,CV$1+(Objects!$Y$4-$A72-1)*Objects!$X$4,0)</f>
        <v>0</v>
      </c>
      <c r="CW72">
        <f ca="1">OFFSET(Objects!$HW$6,CW$1+(Objects!$Y$4-$A72-1)*Objects!$X$4,0)</f>
        <v>0</v>
      </c>
      <c r="CX72">
        <f ca="1">OFFSET(Objects!$HW$6,CX$1+(Objects!$Y$4-$A72-1)*Objects!$X$4,0)</f>
        <v>0</v>
      </c>
      <c r="CY72">
        <f ca="1">OFFSET(Objects!$HW$6,CY$1+(Objects!$Y$4-$A72-1)*Objects!$X$4,0)</f>
        <v>0</v>
      </c>
      <c r="CZ72">
        <f ca="1">OFFSET(Objects!$HW$6,CZ$1+(Objects!$Y$4-$A72-1)*Objects!$X$4,0)</f>
        <v>0</v>
      </c>
      <c r="DA72">
        <f ca="1">OFFSET(Objects!$HW$6,DA$1+(Objects!$Y$4-$A72-1)*Objects!$X$4,0)</f>
        <v>0</v>
      </c>
      <c r="DB72">
        <f ca="1">OFFSET(Objects!$HW$6,DB$1+(Objects!$Y$4-$A72-1)*Objects!$X$4,0)</f>
        <v>0</v>
      </c>
      <c r="DC72">
        <f ca="1">OFFSET(Objects!$HW$6,DC$1+(Objects!$Y$4-$A72-1)*Objects!$X$4,0)</f>
        <v>0</v>
      </c>
      <c r="DD72">
        <f ca="1">OFFSET(Objects!$HW$6,DD$1+(Objects!$Y$4-$A72-1)*Objects!$X$4,0)</f>
        <v>0</v>
      </c>
      <c r="DE72">
        <f ca="1">OFFSET(Objects!$HW$6,DE$1+(Objects!$Y$4-$A72-1)*Objects!$X$4,0)</f>
        <v>0</v>
      </c>
      <c r="DF72">
        <f ca="1">OFFSET(Objects!$HW$6,DF$1+(Objects!$Y$4-$A72-1)*Objects!$X$4,0)</f>
        <v>0</v>
      </c>
      <c r="DG72">
        <f ca="1">OFFSET(Objects!$HW$6,DG$1+(Objects!$Y$4-$A72-1)*Objects!$X$4,0)</f>
        <v>0</v>
      </c>
      <c r="DH72">
        <f ca="1">OFFSET(Objects!$HW$6,DH$1+(Objects!$Y$4-$A72-1)*Objects!$X$4,0)</f>
        <v>0</v>
      </c>
      <c r="DI72">
        <f ca="1">OFFSET(Objects!$HW$6,DI$1+(Objects!$Y$4-$A72-1)*Objects!$X$4,0)</f>
        <v>0</v>
      </c>
      <c r="DJ72">
        <f ca="1">OFFSET(Objects!$HW$6,DJ$1+(Objects!$Y$4-$A72-1)*Objects!$X$4,0)</f>
        <v>0</v>
      </c>
      <c r="DK72">
        <f ca="1">OFFSET(Objects!$HW$6,DK$1+(Objects!$Y$4-$A72-1)*Objects!$X$4,0)</f>
        <v>0</v>
      </c>
      <c r="DL72">
        <f ca="1">OFFSET(Objects!$HW$6,DL$1+(Objects!$Y$4-$A72-1)*Objects!$X$4,0)</f>
        <v>0</v>
      </c>
      <c r="DM72">
        <f ca="1">OFFSET(Objects!$HW$6,DM$1+(Objects!$Y$4-$A72-1)*Objects!$X$4,0)</f>
        <v>0</v>
      </c>
      <c r="DN72">
        <f ca="1">OFFSET(Objects!$HW$6,DN$1+(Objects!$Y$4-$A72-1)*Objects!$X$4,0)</f>
        <v>0</v>
      </c>
      <c r="DO72">
        <f ca="1">OFFSET(Objects!$HW$6,DO$1+(Objects!$Y$4-$A72-1)*Objects!$X$4,0)</f>
        <v>0</v>
      </c>
      <c r="DP72">
        <f ca="1">OFFSET(Objects!$HW$6,DP$1+(Objects!$Y$4-$A72-1)*Objects!$X$4,0)</f>
        <v>0</v>
      </c>
      <c r="DQ72">
        <f ca="1">OFFSET(Objects!$HW$6,DQ$1+(Objects!$Y$4-$A72-1)*Objects!$X$4,0)</f>
        <v>0</v>
      </c>
      <c r="DR72">
        <f ca="1">OFFSET(Objects!$HW$6,DR$1+(Objects!$Y$4-$A72-1)*Objects!$X$4,0)</f>
        <v>0</v>
      </c>
      <c r="DS72">
        <f ca="1">OFFSET(Objects!$HW$6,DS$1+(Objects!$Y$4-$A72-1)*Objects!$X$4,0)</f>
        <v>0</v>
      </c>
      <c r="DT72">
        <f ca="1">OFFSET(Objects!$HW$6,DT$1+(Objects!$Y$4-$A72-1)*Objects!$X$4,0)</f>
        <v>0</v>
      </c>
      <c r="DU72">
        <f ca="1">OFFSET(Objects!$HW$6,DU$1+(Objects!$Y$4-$A72-1)*Objects!$X$4,0)</f>
        <v>0</v>
      </c>
      <c r="DV72">
        <f ca="1">OFFSET(Objects!$HW$6,DV$1+(Objects!$Y$4-$A72-1)*Objects!$X$4,0)</f>
        <v>0</v>
      </c>
      <c r="DW72">
        <f ca="1">OFFSET(Objects!$HW$6,DW$1+(Objects!$Y$4-$A72-1)*Objects!$X$4,0)</f>
        <v>0</v>
      </c>
      <c r="DX72">
        <f ca="1">OFFSET(Objects!$HW$6,DX$1+(Objects!$Y$4-$A72-1)*Objects!$X$4,0)</f>
        <v>0</v>
      </c>
      <c r="DY72">
        <f ca="1">OFFSET(Objects!$HW$6,DY$1+(Objects!$Y$4-$A72-1)*Objects!$X$4,0)</f>
        <v>0</v>
      </c>
      <c r="DZ72">
        <f ca="1">OFFSET(Objects!$HW$6,DZ$1+(Objects!$Y$4-$A72-1)*Objects!$X$4,0)</f>
        <v>0</v>
      </c>
      <c r="EA72">
        <f ca="1">OFFSET(Objects!$HW$6,EA$1+(Objects!$Y$4-$A72-1)*Objects!$X$4,0)</f>
        <v>0</v>
      </c>
      <c r="EB72">
        <f ca="1">OFFSET(Objects!$HW$6,EB$1+(Objects!$Y$4-$A72-1)*Objects!$X$4,0)</f>
        <v>0</v>
      </c>
      <c r="EC72">
        <f ca="1">OFFSET(Objects!$HW$6,EC$1+(Objects!$Y$4-$A72-1)*Objects!$X$4,0)</f>
        <v>0</v>
      </c>
      <c r="ED72">
        <f ca="1">OFFSET(Objects!$HW$6,ED$1+(Objects!$Y$4-$A72-1)*Objects!$X$4,0)</f>
        <v>0</v>
      </c>
      <c r="EE72">
        <f ca="1">OFFSET(Objects!$HW$6,EE$1+(Objects!$Y$4-$A72-1)*Objects!$X$4,0)</f>
        <v>0</v>
      </c>
      <c r="EF72">
        <f ca="1">OFFSET(Objects!$HW$6,EF$1+(Objects!$Y$4-$A72-1)*Objects!$X$4,0)</f>
        <v>0</v>
      </c>
      <c r="EG72">
        <f ca="1">OFFSET(Objects!$HW$6,EG$1+(Objects!$Y$4-$A72-1)*Objects!$X$4,0)</f>
        <v>0</v>
      </c>
      <c r="EH72">
        <f ca="1">OFFSET(Objects!$HW$6,EH$1+(Objects!$Y$4-$A72-1)*Objects!$X$4,0)</f>
        <v>0</v>
      </c>
      <c r="EI72">
        <f ca="1">OFFSET(Objects!$HW$6,EI$1+(Objects!$Y$4-$A72-1)*Objects!$X$4,0)</f>
        <v>0</v>
      </c>
      <c r="EJ72">
        <f ca="1">OFFSET(Objects!$HW$6,EJ$1+(Objects!$Y$4-$A72-1)*Objects!$X$4,0)</f>
        <v>0</v>
      </c>
      <c r="EK72">
        <f ca="1">OFFSET(Objects!$HW$6,EK$1+(Objects!$Y$4-$A72-1)*Objects!$X$4,0)</f>
        <v>0</v>
      </c>
      <c r="EL72">
        <f ca="1">OFFSET(Objects!$HW$6,EL$1+(Objects!$Y$4-$A72-1)*Objects!$X$4,0)</f>
        <v>0</v>
      </c>
      <c r="EM72">
        <f ca="1">OFFSET(Objects!$HW$6,EM$1+(Objects!$Y$4-$A72-1)*Objects!$X$4,0)</f>
        <v>0</v>
      </c>
      <c r="EN72">
        <f ca="1">OFFSET(Objects!$HW$6,EN$1+(Objects!$Y$4-$A72-1)*Objects!$X$4,0)</f>
        <v>0</v>
      </c>
      <c r="EO72">
        <f ca="1">OFFSET(Objects!$HW$6,EO$1+(Objects!$Y$4-$A72-1)*Objects!$X$4,0)</f>
        <v>0</v>
      </c>
      <c r="EP72">
        <f ca="1">OFFSET(Objects!$HW$6,EP$1+(Objects!$Y$4-$A72-1)*Objects!$X$4,0)</f>
        <v>0</v>
      </c>
      <c r="EQ72">
        <f ca="1">OFFSET(Objects!$HW$6,EQ$1+(Objects!$Y$4-$A72-1)*Objects!$X$4,0)</f>
        <v>0</v>
      </c>
      <c r="ER72">
        <f ca="1">OFFSET(Objects!$HW$6,ER$1+(Objects!$Y$4-$A72-1)*Objects!$X$4,0)</f>
        <v>0</v>
      </c>
      <c r="ES72">
        <f ca="1">OFFSET(Objects!$HW$6,ES$1+(Objects!$Y$4-$A72-1)*Objects!$X$4,0)</f>
        <v>0</v>
      </c>
      <c r="ET72">
        <f ca="1">OFFSET(Objects!$HW$6,ET$1+(Objects!$Y$4-$A72-1)*Objects!$X$4,0)</f>
        <v>0</v>
      </c>
      <c r="EU72">
        <f ca="1">OFFSET(Objects!$HW$6,EU$1+(Objects!$Y$4-$A72-1)*Objects!$X$4,0)</f>
        <v>0</v>
      </c>
      <c r="EV72">
        <f ca="1">OFFSET(Objects!$HW$6,EV$1+(Objects!$Y$4-$A72-1)*Objects!$X$4,0)</f>
        <v>0</v>
      </c>
      <c r="EW72">
        <f ca="1">OFFSET(Objects!$HW$6,EW$1+(Objects!$Y$4-$A72-1)*Objects!$X$4,0)</f>
        <v>0</v>
      </c>
      <c r="EX72">
        <f ca="1">OFFSET(Objects!$HW$6,EX$1+(Objects!$Y$4-$A72-1)*Objects!$X$4,0)</f>
        <v>0</v>
      </c>
      <c r="EY72">
        <f ca="1">OFFSET(Objects!$HW$6,EY$1+(Objects!$Y$4-$A72-1)*Objects!$X$4,0)</f>
        <v>0</v>
      </c>
      <c r="EZ72">
        <f ca="1">OFFSET(Objects!$HW$6,EZ$1+(Objects!$Y$4-$A72-1)*Objects!$X$4,0)</f>
        <v>0</v>
      </c>
      <c r="FA72">
        <f ca="1">OFFSET(Objects!$HW$6,FA$1+(Objects!$Y$4-$A72-1)*Objects!$X$4,0)</f>
        <v>0</v>
      </c>
      <c r="FB72">
        <f ca="1">OFFSET(Objects!$HW$6,FB$1+(Objects!$Y$4-$A72-1)*Objects!$X$4,0)</f>
        <v>0</v>
      </c>
      <c r="FC72">
        <f ca="1">OFFSET(Objects!$HW$6,FC$1+(Objects!$Y$4-$A72-1)*Objects!$X$4,0)</f>
        <v>0</v>
      </c>
      <c r="FD72">
        <f ca="1">OFFSET(Objects!$HW$6,FD$1+(Objects!$Y$4-$A72-1)*Objects!$X$4,0)</f>
        <v>0</v>
      </c>
      <c r="FE72" s="22">
        <f ca="1">OFFSET(Objects!$HW$6,FE$1+(Objects!$Y$4-$A72-1)*Objects!$X$4,0)</f>
        <v>0</v>
      </c>
    </row>
    <row r="73" spans="1:161" ht="4.5" customHeight="1" x14ac:dyDescent="0.25">
      <c r="A73">
        <v>71</v>
      </c>
      <c r="B73" s="21">
        <f ca="1">OFFSET(Objects!$HW$6,B$1+(Objects!$Y$4-$A73-1)*Objects!$X$4,0)</f>
        <v>0</v>
      </c>
      <c r="C73">
        <f ca="1">OFFSET(Objects!$HW$6,C$1+(Objects!$Y$4-$A73-1)*Objects!$X$4,0)</f>
        <v>0</v>
      </c>
      <c r="D73">
        <f ca="1">OFFSET(Objects!$HW$6,D$1+(Objects!$Y$4-$A73-1)*Objects!$X$4,0)</f>
        <v>0</v>
      </c>
      <c r="E73">
        <f ca="1">OFFSET(Objects!$HW$6,E$1+(Objects!$Y$4-$A73-1)*Objects!$X$4,0)</f>
        <v>0</v>
      </c>
      <c r="F73">
        <f ca="1">OFFSET(Objects!$HW$6,F$1+(Objects!$Y$4-$A73-1)*Objects!$X$4,0)</f>
        <v>0</v>
      </c>
      <c r="G73">
        <f ca="1">OFFSET(Objects!$HW$6,G$1+(Objects!$Y$4-$A73-1)*Objects!$X$4,0)</f>
        <v>0</v>
      </c>
      <c r="H73">
        <f ca="1">OFFSET(Objects!$HW$6,H$1+(Objects!$Y$4-$A73-1)*Objects!$X$4,0)</f>
        <v>0</v>
      </c>
      <c r="I73">
        <f ca="1">OFFSET(Objects!$HW$6,I$1+(Objects!$Y$4-$A73-1)*Objects!$X$4,0)</f>
        <v>0</v>
      </c>
      <c r="J73">
        <f ca="1">OFFSET(Objects!$HW$6,J$1+(Objects!$Y$4-$A73-1)*Objects!$X$4,0)</f>
        <v>0</v>
      </c>
      <c r="K73">
        <f ca="1">OFFSET(Objects!$HW$6,K$1+(Objects!$Y$4-$A73-1)*Objects!$X$4,0)</f>
        <v>0</v>
      </c>
      <c r="L73">
        <f ca="1">OFFSET(Objects!$HW$6,L$1+(Objects!$Y$4-$A73-1)*Objects!$X$4,0)</f>
        <v>0</v>
      </c>
      <c r="M73">
        <f ca="1">OFFSET(Objects!$HW$6,M$1+(Objects!$Y$4-$A73-1)*Objects!$X$4,0)</f>
        <v>0</v>
      </c>
      <c r="N73">
        <f ca="1">OFFSET(Objects!$HW$6,N$1+(Objects!$Y$4-$A73-1)*Objects!$X$4,0)</f>
        <v>0</v>
      </c>
      <c r="O73">
        <f ca="1">OFFSET(Objects!$HW$6,O$1+(Objects!$Y$4-$A73-1)*Objects!$X$4,0)</f>
        <v>0</v>
      </c>
      <c r="P73">
        <f ca="1">OFFSET(Objects!$HW$6,P$1+(Objects!$Y$4-$A73-1)*Objects!$X$4,0)</f>
        <v>0</v>
      </c>
      <c r="Q73">
        <f ca="1">OFFSET(Objects!$HW$6,Q$1+(Objects!$Y$4-$A73-1)*Objects!$X$4,0)</f>
        <v>0</v>
      </c>
      <c r="R73">
        <f ca="1">OFFSET(Objects!$HW$6,R$1+(Objects!$Y$4-$A73-1)*Objects!$X$4,0)</f>
        <v>0</v>
      </c>
      <c r="S73">
        <f ca="1">OFFSET(Objects!$HW$6,S$1+(Objects!$Y$4-$A73-1)*Objects!$X$4,0)</f>
        <v>0</v>
      </c>
      <c r="T73">
        <f ca="1">OFFSET(Objects!$HW$6,T$1+(Objects!$Y$4-$A73-1)*Objects!$X$4,0)</f>
        <v>0</v>
      </c>
      <c r="U73">
        <f ca="1">OFFSET(Objects!$HW$6,U$1+(Objects!$Y$4-$A73-1)*Objects!$X$4,0)</f>
        <v>0</v>
      </c>
      <c r="V73">
        <f ca="1">OFFSET(Objects!$HW$6,V$1+(Objects!$Y$4-$A73-1)*Objects!$X$4,0)</f>
        <v>0</v>
      </c>
      <c r="W73">
        <f ca="1">OFFSET(Objects!$HW$6,W$1+(Objects!$Y$4-$A73-1)*Objects!$X$4,0)</f>
        <v>0</v>
      </c>
      <c r="X73">
        <f ca="1">OFFSET(Objects!$HW$6,X$1+(Objects!$Y$4-$A73-1)*Objects!$X$4,0)</f>
        <v>0</v>
      </c>
      <c r="Y73">
        <f ca="1">OFFSET(Objects!$HW$6,Y$1+(Objects!$Y$4-$A73-1)*Objects!$X$4,0)</f>
        <v>0</v>
      </c>
      <c r="Z73">
        <f ca="1">OFFSET(Objects!$HW$6,Z$1+(Objects!$Y$4-$A73-1)*Objects!$X$4,0)</f>
        <v>0</v>
      </c>
      <c r="AA73">
        <f ca="1">OFFSET(Objects!$HW$6,AA$1+(Objects!$Y$4-$A73-1)*Objects!$X$4,0)</f>
        <v>0</v>
      </c>
      <c r="AB73">
        <f ca="1">OFFSET(Objects!$HW$6,AB$1+(Objects!$Y$4-$A73-1)*Objects!$X$4,0)</f>
        <v>0</v>
      </c>
      <c r="AC73">
        <f ca="1">OFFSET(Objects!$HW$6,AC$1+(Objects!$Y$4-$A73-1)*Objects!$X$4,0)</f>
        <v>0</v>
      </c>
      <c r="AD73">
        <f ca="1">OFFSET(Objects!$HW$6,AD$1+(Objects!$Y$4-$A73-1)*Objects!$X$4,0)</f>
        <v>0</v>
      </c>
      <c r="AE73">
        <f ca="1">OFFSET(Objects!$HW$6,AE$1+(Objects!$Y$4-$A73-1)*Objects!$X$4,0)</f>
        <v>0</v>
      </c>
      <c r="AF73">
        <f ca="1">OFFSET(Objects!$HW$6,AF$1+(Objects!$Y$4-$A73-1)*Objects!$X$4,0)</f>
        <v>0</v>
      </c>
      <c r="AG73">
        <f ca="1">OFFSET(Objects!$HW$6,AG$1+(Objects!$Y$4-$A73-1)*Objects!$X$4,0)</f>
        <v>0</v>
      </c>
      <c r="AH73">
        <f ca="1">OFFSET(Objects!$HW$6,AH$1+(Objects!$Y$4-$A73-1)*Objects!$X$4,0)</f>
        <v>0</v>
      </c>
      <c r="AI73">
        <f ca="1">OFFSET(Objects!$HW$6,AI$1+(Objects!$Y$4-$A73-1)*Objects!$X$4,0)</f>
        <v>0</v>
      </c>
      <c r="AJ73">
        <f ca="1">OFFSET(Objects!$HW$6,AJ$1+(Objects!$Y$4-$A73-1)*Objects!$X$4,0)</f>
        <v>0</v>
      </c>
      <c r="AK73">
        <f ca="1">OFFSET(Objects!$HW$6,AK$1+(Objects!$Y$4-$A73-1)*Objects!$X$4,0)</f>
        <v>0</v>
      </c>
      <c r="AL73">
        <f ca="1">OFFSET(Objects!$HW$6,AL$1+(Objects!$Y$4-$A73-1)*Objects!$X$4,0)</f>
        <v>0</v>
      </c>
      <c r="AM73">
        <f ca="1">OFFSET(Objects!$HW$6,AM$1+(Objects!$Y$4-$A73-1)*Objects!$X$4,0)</f>
        <v>0</v>
      </c>
      <c r="AN73">
        <f ca="1">OFFSET(Objects!$HW$6,AN$1+(Objects!$Y$4-$A73-1)*Objects!$X$4,0)</f>
        <v>0</v>
      </c>
      <c r="AO73">
        <f ca="1">OFFSET(Objects!$HW$6,AO$1+(Objects!$Y$4-$A73-1)*Objects!$X$4,0)</f>
        <v>0</v>
      </c>
      <c r="AP73">
        <f ca="1">OFFSET(Objects!$HW$6,AP$1+(Objects!$Y$4-$A73-1)*Objects!$X$4,0)</f>
        <v>0</v>
      </c>
      <c r="AQ73">
        <f ca="1">OFFSET(Objects!$HW$6,AQ$1+(Objects!$Y$4-$A73-1)*Objects!$X$4,0)</f>
        <v>0</v>
      </c>
      <c r="AR73">
        <f ca="1">OFFSET(Objects!$HW$6,AR$1+(Objects!$Y$4-$A73-1)*Objects!$X$4,0)</f>
        <v>0</v>
      </c>
      <c r="AS73">
        <f ca="1">OFFSET(Objects!$HW$6,AS$1+(Objects!$Y$4-$A73-1)*Objects!$X$4,0)</f>
        <v>0</v>
      </c>
      <c r="AT73">
        <f ca="1">OFFSET(Objects!$HW$6,AT$1+(Objects!$Y$4-$A73-1)*Objects!$X$4,0)</f>
        <v>0</v>
      </c>
      <c r="AU73">
        <f ca="1">OFFSET(Objects!$HW$6,AU$1+(Objects!$Y$4-$A73-1)*Objects!$X$4,0)</f>
        <v>0</v>
      </c>
      <c r="AV73">
        <f ca="1">OFFSET(Objects!$HW$6,AV$1+(Objects!$Y$4-$A73-1)*Objects!$X$4,0)</f>
        <v>0</v>
      </c>
      <c r="AW73">
        <f ca="1">OFFSET(Objects!$HW$6,AW$1+(Objects!$Y$4-$A73-1)*Objects!$X$4,0)</f>
        <v>0</v>
      </c>
      <c r="AX73">
        <f ca="1">OFFSET(Objects!$HW$6,AX$1+(Objects!$Y$4-$A73-1)*Objects!$X$4,0)</f>
        <v>0</v>
      </c>
      <c r="AY73">
        <f ca="1">OFFSET(Objects!$HW$6,AY$1+(Objects!$Y$4-$A73-1)*Objects!$X$4,0)</f>
        <v>0</v>
      </c>
      <c r="AZ73">
        <f ca="1">OFFSET(Objects!$HW$6,AZ$1+(Objects!$Y$4-$A73-1)*Objects!$X$4,0)</f>
        <v>0</v>
      </c>
      <c r="BA73">
        <f ca="1">OFFSET(Objects!$HW$6,BA$1+(Objects!$Y$4-$A73-1)*Objects!$X$4,0)</f>
        <v>0</v>
      </c>
      <c r="BB73">
        <f ca="1">OFFSET(Objects!$HW$6,BB$1+(Objects!$Y$4-$A73-1)*Objects!$X$4,0)</f>
        <v>0</v>
      </c>
      <c r="BC73">
        <f ca="1">OFFSET(Objects!$HW$6,BC$1+(Objects!$Y$4-$A73-1)*Objects!$X$4,0)</f>
        <v>0</v>
      </c>
      <c r="BD73">
        <f ca="1">OFFSET(Objects!$HW$6,BD$1+(Objects!$Y$4-$A73-1)*Objects!$X$4,0)</f>
        <v>0</v>
      </c>
      <c r="BE73">
        <f ca="1">OFFSET(Objects!$HW$6,BE$1+(Objects!$Y$4-$A73-1)*Objects!$X$4,0)</f>
        <v>0</v>
      </c>
      <c r="BF73">
        <f ca="1">OFFSET(Objects!$HW$6,BF$1+(Objects!$Y$4-$A73-1)*Objects!$X$4,0)</f>
        <v>0</v>
      </c>
      <c r="BG73">
        <f ca="1">OFFSET(Objects!$HW$6,BG$1+(Objects!$Y$4-$A73-1)*Objects!$X$4,0)</f>
        <v>0</v>
      </c>
      <c r="BH73">
        <f ca="1">OFFSET(Objects!$HW$6,BH$1+(Objects!$Y$4-$A73-1)*Objects!$X$4,0)</f>
        <v>0</v>
      </c>
      <c r="BI73">
        <f ca="1">OFFSET(Objects!$HW$6,BI$1+(Objects!$Y$4-$A73-1)*Objects!$X$4,0)</f>
        <v>0</v>
      </c>
      <c r="BJ73">
        <f ca="1">OFFSET(Objects!$HW$6,BJ$1+(Objects!$Y$4-$A73-1)*Objects!$X$4,0)</f>
        <v>0</v>
      </c>
      <c r="BK73">
        <f ca="1">OFFSET(Objects!$HW$6,BK$1+(Objects!$Y$4-$A73-1)*Objects!$X$4,0)</f>
        <v>0</v>
      </c>
      <c r="BL73">
        <f ca="1">OFFSET(Objects!$HW$6,BL$1+(Objects!$Y$4-$A73-1)*Objects!$X$4,0)</f>
        <v>0</v>
      </c>
      <c r="BM73">
        <f ca="1">OFFSET(Objects!$HW$6,BM$1+(Objects!$Y$4-$A73-1)*Objects!$X$4,0)</f>
        <v>0</v>
      </c>
      <c r="BN73">
        <f ca="1">OFFSET(Objects!$HW$6,BN$1+(Objects!$Y$4-$A73-1)*Objects!$X$4,0)</f>
        <v>0</v>
      </c>
      <c r="BO73">
        <f ca="1">OFFSET(Objects!$HW$6,BO$1+(Objects!$Y$4-$A73-1)*Objects!$X$4,0)</f>
        <v>0</v>
      </c>
      <c r="BP73">
        <f ca="1">OFFSET(Objects!$HW$6,BP$1+(Objects!$Y$4-$A73-1)*Objects!$X$4,0)</f>
        <v>0</v>
      </c>
      <c r="BQ73">
        <f ca="1">OFFSET(Objects!$HW$6,BQ$1+(Objects!$Y$4-$A73-1)*Objects!$X$4,0)</f>
        <v>0</v>
      </c>
      <c r="BR73">
        <f ca="1">OFFSET(Objects!$HW$6,BR$1+(Objects!$Y$4-$A73-1)*Objects!$X$4,0)</f>
        <v>0</v>
      </c>
      <c r="BS73">
        <f ca="1">OFFSET(Objects!$HW$6,BS$1+(Objects!$Y$4-$A73-1)*Objects!$X$4,0)</f>
        <v>0</v>
      </c>
      <c r="BT73">
        <f ca="1">OFFSET(Objects!$HW$6,BT$1+(Objects!$Y$4-$A73-1)*Objects!$X$4,0)</f>
        <v>0</v>
      </c>
      <c r="BU73">
        <f ca="1">OFFSET(Objects!$HW$6,BU$1+(Objects!$Y$4-$A73-1)*Objects!$X$4,0)</f>
        <v>0</v>
      </c>
      <c r="BV73">
        <f ca="1">OFFSET(Objects!$HW$6,BV$1+(Objects!$Y$4-$A73-1)*Objects!$X$4,0)</f>
        <v>0</v>
      </c>
      <c r="BW73">
        <f ca="1">OFFSET(Objects!$HW$6,BW$1+(Objects!$Y$4-$A73-1)*Objects!$X$4,0)</f>
        <v>0</v>
      </c>
      <c r="BX73">
        <f ca="1">OFFSET(Objects!$HW$6,BX$1+(Objects!$Y$4-$A73-1)*Objects!$X$4,0)</f>
        <v>0</v>
      </c>
      <c r="BY73">
        <f ca="1">OFFSET(Objects!$HW$6,BY$1+(Objects!$Y$4-$A73-1)*Objects!$X$4,0)</f>
        <v>0</v>
      </c>
      <c r="BZ73">
        <f ca="1">OFFSET(Objects!$HW$6,BZ$1+(Objects!$Y$4-$A73-1)*Objects!$X$4,0)</f>
        <v>0</v>
      </c>
      <c r="CA73">
        <f ca="1">OFFSET(Objects!$HW$6,CA$1+(Objects!$Y$4-$A73-1)*Objects!$X$4,0)</f>
        <v>0</v>
      </c>
      <c r="CB73">
        <f ca="1">OFFSET(Objects!$HW$6,CB$1+(Objects!$Y$4-$A73-1)*Objects!$X$4,0)</f>
        <v>0</v>
      </c>
      <c r="CC73">
        <f ca="1">OFFSET(Objects!$HW$6,CC$1+(Objects!$Y$4-$A73-1)*Objects!$X$4,0)</f>
        <v>0</v>
      </c>
      <c r="CD73">
        <f ca="1">OFFSET(Objects!$HW$6,CD$1+(Objects!$Y$4-$A73-1)*Objects!$X$4,0)</f>
        <v>0</v>
      </c>
      <c r="CE73">
        <f ca="1">OFFSET(Objects!$HW$6,CE$1+(Objects!$Y$4-$A73-1)*Objects!$X$4,0)</f>
        <v>0</v>
      </c>
      <c r="CF73">
        <f ca="1">OFFSET(Objects!$HW$6,CF$1+(Objects!$Y$4-$A73-1)*Objects!$X$4,0)</f>
        <v>0</v>
      </c>
      <c r="CG73">
        <f ca="1">OFFSET(Objects!$HW$6,CG$1+(Objects!$Y$4-$A73-1)*Objects!$X$4,0)</f>
        <v>0</v>
      </c>
      <c r="CH73">
        <f ca="1">OFFSET(Objects!$HW$6,CH$1+(Objects!$Y$4-$A73-1)*Objects!$X$4,0)</f>
        <v>0</v>
      </c>
      <c r="CI73">
        <f ca="1">OFFSET(Objects!$HW$6,CI$1+(Objects!$Y$4-$A73-1)*Objects!$X$4,0)</f>
        <v>0</v>
      </c>
      <c r="CJ73">
        <f ca="1">OFFSET(Objects!$HW$6,CJ$1+(Objects!$Y$4-$A73-1)*Objects!$X$4,0)</f>
        <v>0</v>
      </c>
      <c r="CK73">
        <f ca="1">OFFSET(Objects!$HW$6,CK$1+(Objects!$Y$4-$A73-1)*Objects!$X$4,0)</f>
        <v>0</v>
      </c>
      <c r="CL73">
        <f ca="1">OFFSET(Objects!$HW$6,CL$1+(Objects!$Y$4-$A73-1)*Objects!$X$4,0)</f>
        <v>0</v>
      </c>
      <c r="CM73">
        <f ca="1">OFFSET(Objects!$HW$6,CM$1+(Objects!$Y$4-$A73-1)*Objects!$X$4,0)</f>
        <v>0</v>
      </c>
      <c r="CN73">
        <f ca="1">OFFSET(Objects!$HW$6,CN$1+(Objects!$Y$4-$A73-1)*Objects!$X$4,0)</f>
        <v>0</v>
      </c>
      <c r="CO73">
        <f ca="1">OFFSET(Objects!$HW$6,CO$1+(Objects!$Y$4-$A73-1)*Objects!$X$4,0)</f>
        <v>0</v>
      </c>
      <c r="CP73">
        <f ca="1">OFFSET(Objects!$HW$6,CP$1+(Objects!$Y$4-$A73-1)*Objects!$X$4,0)</f>
        <v>0</v>
      </c>
      <c r="CQ73">
        <f ca="1">OFFSET(Objects!$HW$6,CQ$1+(Objects!$Y$4-$A73-1)*Objects!$X$4,0)</f>
        <v>0</v>
      </c>
      <c r="CR73">
        <f ca="1">OFFSET(Objects!$HW$6,CR$1+(Objects!$Y$4-$A73-1)*Objects!$X$4,0)</f>
        <v>0</v>
      </c>
      <c r="CS73">
        <f ca="1">OFFSET(Objects!$HW$6,CS$1+(Objects!$Y$4-$A73-1)*Objects!$X$4,0)</f>
        <v>0</v>
      </c>
      <c r="CT73">
        <f ca="1">OFFSET(Objects!$HW$6,CT$1+(Objects!$Y$4-$A73-1)*Objects!$X$4,0)</f>
        <v>0</v>
      </c>
      <c r="CU73">
        <f ca="1">OFFSET(Objects!$HW$6,CU$1+(Objects!$Y$4-$A73-1)*Objects!$X$4,0)</f>
        <v>0</v>
      </c>
      <c r="CV73">
        <f ca="1">OFFSET(Objects!$HW$6,CV$1+(Objects!$Y$4-$A73-1)*Objects!$X$4,0)</f>
        <v>0</v>
      </c>
      <c r="CW73">
        <f ca="1">OFFSET(Objects!$HW$6,CW$1+(Objects!$Y$4-$A73-1)*Objects!$X$4,0)</f>
        <v>0</v>
      </c>
      <c r="CX73">
        <f ca="1">OFFSET(Objects!$HW$6,CX$1+(Objects!$Y$4-$A73-1)*Objects!$X$4,0)</f>
        <v>0</v>
      </c>
      <c r="CY73">
        <f ca="1">OFFSET(Objects!$HW$6,CY$1+(Objects!$Y$4-$A73-1)*Objects!$X$4,0)</f>
        <v>0</v>
      </c>
      <c r="CZ73">
        <f ca="1">OFFSET(Objects!$HW$6,CZ$1+(Objects!$Y$4-$A73-1)*Objects!$X$4,0)</f>
        <v>0</v>
      </c>
      <c r="DA73">
        <f ca="1">OFFSET(Objects!$HW$6,DA$1+(Objects!$Y$4-$A73-1)*Objects!$X$4,0)</f>
        <v>0</v>
      </c>
      <c r="DB73">
        <f ca="1">OFFSET(Objects!$HW$6,DB$1+(Objects!$Y$4-$A73-1)*Objects!$X$4,0)</f>
        <v>0</v>
      </c>
      <c r="DC73">
        <f ca="1">OFFSET(Objects!$HW$6,DC$1+(Objects!$Y$4-$A73-1)*Objects!$X$4,0)</f>
        <v>0</v>
      </c>
      <c r="DD73">
        <f ca="1">OFFSET(Objects!$HW$6,DD$1+(Objects!$Y$4-$A73-1)*Objects!$X$4,0)</f>
        <v>0</v>
      </c>
      <c r="DE73">
        <f ca="1">OFFSET(Objects!$HW$6,DE$1+(Objects!$Y$4-$A73-1)*Objects!$X$4,0)</f>
        <v>0</v>
      </c>
      <c r="DF73">
        <f ca="1">OFFSET(Objects!$HW$6,DF$1+(Objects!$Y$4-$A73-1)*Objects!$X$4,0)</f>
        <v>0</v>
      </c>
      <c r="DG73">
        <f ca="1">OFFSET(Objects!$HW$6,DG$1+(Objects!$Y$4-$A73-1)*Objects!$X$4,0)</f>
        <v>0</v>
      </c>
      <c r="DH73">
        <f ca="1">OFFSET(Objects!$HW$6,DH$1+(Objects!$Y$4-$A73-1)*Objects!$X$4,0)</f>
        <v>0</v>
      </c>
      <c r="DI73">
        <f ca="1">OFFSET(Objects!$HW$6,DI$1+(Objects!$Y$4-$A73-1)*Objects!$X$4,0)</f>
        <v>0</v>
      </c>
      <c r="DJ73">
        <f ca="1">OFFSET(Objects!$HW$6,DJ$1+(Objects!$Y$4-$A73-1)*Objects!$X$4,0)</f>
        <v>0</v>
      </c>
      <c r="DK73">
        <f ca="1">OFFSET(Objects!$HW$6,DK$1+(Objects!$Y$4-$A73-1)*Objects!$X$4,0)</f>
        <v>0</v>
      </c>
      <c r="DL73">
        <f ca="1">OFFSET(Objects!$HW$6,DL$1+(Objects!$Y$4-$A73-1)*Objects!$X$4,0)</f>
        <v>0</v>
      </c>
      <c r="DM73">
        <f ca="1">OFFSET(Objects!$HW$6,DM$1+(Objects!$Y$4-$A73-1)*Objects!$X$4,0)</f>
        <v>0</v>
      </c>
      <c r="DN73">
        <f ca="1">OFFSET(Objects!$HW$6,DN$1+(Objects!$Y$4-$A73-1)*Objects!$X$4,0)</f>
        <v>0</v>
      </c>
      <c r="DO73">
        <f ca="1">OFFSET(Objects!$HW$6,DO$1+(Objects!$Y$4-$A73-1)*Objects!$X$4,0)</f>
        <v>0</v>
      </c>
      <c r="DP73">
        <f ca="1">OFFSET(Objects!$HW$6,DP$1+(Objects!$Y$4-$A73-1)*Objects!$X$4,0)</f>
        <v>0</v>
      </c>
      <c r="DQ73">
        <f ca="1">OFFSET(Objects!$HW$6,DQ$1+(Objects!$Y$4-$A73-1)*Objects!$X$4,0)</f>
        <v>0</v>
      </c>
      <c r="DR73">
        <f ca="1">OFFSET(Objects!$HW$6,DR$1+(Objects!$Y$4-$A73-1)*Objects!$X$4,0)</f>
        <v>0</v>
      </c>
      <c r="DS73">
        <f ca="1">OFFSET(Objects!$HW$6,DS$1+(Objects!$Y$4-$A73-1)*Objects!$X$4,0)</f>
        <v>0</v>
      </c>
      <c r="DT73">
        <f ca="1">OFFSET(Objects!$HW$6,DT$1+(Objects!$Y$4-$A73-1)*Objects!$X$4,0)</f>
        <v>0</v>
      </c>
      <c r="DU73">
        <f ca="1">OFFSET(Objects!$HW$6,DU$1+(Objects!$Y$4-$A73-1)*Objects!$X$4,0)</f>
        <v>0</v>
      </c>
      <c r="DV73">
        <f ca="1">OFFSET(Objects!$HW$6,DV$1+(Objects!$Y$4-$A73-1)*Objects!$X$4,0)</f>
        <v>0</v>
      </c>
      <c r="DW73">
        <f ca="1">OFFSET(Objects!$HW$6,DW$1+(Objects!$Y$4-$A73-1)*Objects!$X$4,0)</f>
        <v>0</v>
      </c>
      <c r="DX73">
        <f ca="1">OFFSET(Objects!$HW$6,DX$1+(Objects!$Y$4-$A73-1)*Objects!$X$4,0)</f>
        <v>0</v>
      </c>
      <c r="DY73">
        <f ca="1">OFFSET(Objects!$HW$6,DY$1+(Objects!$Y$4-$A73-1)*Objects!$X$4,0)</f>
        <v>0</v>
      </c>
      <c r="DZ73">
        <f ca="1">OFFSET(Objects!$HW$6,DZ$1+(Objects!$Y$4-$A73-1)*Objects!$X$4,0)</f>
        <v>0</v>
      </c>
      <c r="EA73">
        <f ca="1">OFFSET(Objects!$HW$6,EA$1+(Objects!$Y$4-$A73-1)*Objects!$X$4,0)</f>
        <v>0</v>
      </c>
      <c r="EB73">
        <f ca="1">OFFSET(Objects!$HW$6,EB$1+(Objects!$Y$4-$A73-1)*Objects!$X$4,0)</f>
        <v>0</v>
      </c>
      <c r="EC73">
        <f ca="1">OFFSET(Objects!$HW$6,EC$1+(Objects!$Y$4-$A73-1)*Objects!$X$4,0)</f>
        <v>0</v>
      </c>
      <c r="ED73">
        <f ca="1">OFFSET(Objects!$HW$6,ED$1+(Objects!$Y$4-$A73-1)*Objects!$X$4,0)</f>
        <v>0</v>
      </c>
      <c r="EE73">
        <f ca="1">OFFSET(Objects!$HW$6,EE$1+(Objects!$Y$4-$A73-1)*Objects!$X$4,0)</f>
        <v>0</v>
      </c>
      <c r="EF73">
        <f ca="1">OFFSET(Objects!$HW$6,EF$1+(Objects!$Y$4-$A73-1)*Objects!$X$4,0)</f>
        <v>0</v>
      </c>
      <c r="EG73">
        <f ca="1">OFFSET(Objects!$HW$6,EG$1+(Objects!$Y$4-$A73-1)*Objects!$X$4,0)</f>
        <v>0</v>
      </c>
      <c r="EH73">
        <f ca="1">OFFSET(Objects!$HW$6,EH$1+(Objects!$Y$4-$A73-1)*Objects!$X$4,0)</f>
        <v>0</v>
      </c>
      <c r="EI73">
        <f ca="1">OFFSET(Objects!$HW$6,EI$1+(Objects!$Y$4-$A73-1)*Objects!$X$4,0)</f>
        <v>0</v>
      </c>
      <c r="EJ73">
        <f ca="1">OFFSET(Objects!$HW$6,EJ$1+(Objects!$Y$4-$A73-1)*Objects!$X$4,0)</f>
        <v>0</v>
      </c>
      <c r="EK73">
        <f ca="1">OFFSET(Objects!$HW$6,EK$1+(Objects!$Y$4-$A73-1)*Objects!$X$4,0)</f>
        <v>0</v>
      </c>
      <c r="EL73">
        <f ca="1">OFFSET(Objects!$HW$6,EL$1+(Objects!$Y$4-$A73-1)*Objects!$X$4,0)</f>
        <v>0</v>
      </c>
      <c r="EM73">
        <f ca="1">OFFSET(Objects!$HW$6,EM$1+(Objects!$Y$4-$A73-1)*Objects!$X$4,0)</f>
        <v>0</v>
      </c>
      <c r="EN73">
        <f ca="1">OFFSET(Objects!$HW$6,EN$1+(Objects!$Y$4-$A73-1)*Objects!$X$4,0)</f>
        <v>0</v>
      </c>
      <c r="EO73">
        <f ca="1">OFFSET(Objects!$HW$6,EO$1+(Objects!$Y$4-$A73-1)*Objects!$X$4,0)</f>
        <v>0</v>
      </c>
      <c r="EP73">
        <f ca="1">OFFSET(Objects!$HW$6,EP$1+(Objects!$Y$4-$A73-1)*Objects!$X$4,0)</f>
        <v>0</v>
      </c>
      <c r="EQ73">
        <f ca="1">OFFSET(Objects!$HW$6,EQ$1+(Objects!$Y$4-$A73-1)*Objects!$X$4,0)</f>
        <v>0</v>
      </c>
      <c r="ER73">
        <f ca="1">OFFSET(Objects!$HW$6,ER$1+(Objects!$Y$4-$A73-1)*Objects!$X$4,0)</f>
        <v>0</v>
      </c>
      <c r="ES73">
        <f ca="1">OFFSET(Objects!$HW$6,ES$1+(Objects!$Y$4-$A73-1)*Objects!$X$4,0)</f>
        <v>0</v>
      </c>
      <c r="ET73">
        <f ca="1">OFFSET(Objects!$HW$6,ET$1+(Objects!$Y$4-$A73-1)*Objects!$X$4,0)</f>
        <v>0</v>
      </c>
      <c r="EU73">
        <f ca="1">OFFSET(Objects!$HW$6,EU$1+(Objects!$Y$4-$A73-1)*Objects!$X$4,0)</f>
        <v>0</v>
      </c>
      <c r="EV73">
        <f ca="1">OFFSET(Objects!$HW$6,EV$1+(Objects!$Y$4-$A73-1)*Objects!$X$4,0)</f>
        <v>0</v>
      </c>
      <c r="EW73">
        <f ca="1">OFFSET(Objects!$HW$6,EW$1+(Objects!$Y$4-$A73-1)*Objects!$X$4,0)</f>
        <v>0</v>
      </c>
      <c r="EX73">
        <f ca="1">OFFSET(Objects!$HW$6,EX$1+(Objects!$Y$4-$A73-1)*Objects!$X$4,0)</f>
        <v>0</v>
      </c>
      <c r="EY73">
        <f ca="1">OFFSET(Objects!$HW$6,EY$1+(Objects!$Y$4-$A73-1)*Objects!$X$4,0)</f>
        <v>0</v>
      </c>
      <c r="EZ73">
        <f ca="1">OFFSET(Objects!$HW$6,EZ$1+(Objects!$Y$4-$A73-1)*Objects!$X$4,0)</f>
        <v>0</v>
      </c>
      <c r="FA73">
        <f ca="1">OFFSET(Objects!$HW$6,FA$1+(Objects!$Y$4-$A73-1)*Objects!$X$4,0)</f>
        <v>0</v>
      </c>
      <c r="FB73">
        <f ca="1">OFFSET(Objects!$HW$6,FB$1+(Objects!$Y$4-$A73-1)*Objects!$X$4,0)</f>
        <v>0</v>
      </c>
      <c r="FC73">
        <f ca="1">OFFSET(Objects!$HW$6,FC$1+(Objects!$Y$4-$A73-1)*Objects!$X$4,0)</f>
        <v>0</v>
      </c>
      <c r="FD73">
        <f ca="1">OFFSET(Objects!$HW$6,FD$1+(Objects!$Y$4-$A73-1)*Objects!$X$4,0)</f>
        <v>0</v>
      </c>
      <c r="FE73" s="22">
        <f ca="1">OFFSET(Objects!$HW$6,FE$1+(Objects!$Y$4-$A73-1)*Objects!$X$4,0)</f>
        <v>0</v>
      </c>
    </row>
    <row r="74" spans="1:161" ht="4.5" customHeight="1" x14ac:dyDescent="0.25">
      <c r="A74">
        <v>72</v>
      </c>
      <c r="B74" s="21">
        <f ca="1">OFFSET(Objects!$HW$6,B$1+(Objects!$Y$4-$A74-1)*Objects!$X$4,0)</f>
        <v>0</v>
      </c>
      <c r="C74">
        <f ca="1">OFFSET(Objects!$HW$6,C$1+(Objects!$Y$4-$A74-1)*Objects!$X$4,0)</f>
        <v>0</v>
      </c>
      <c r="D74">
        <f ca="1">OFFSET(Objects!$HW$6,D$1+(Objects!$Y$4-$A74-1)*Objects!$X$4,0)</f>
        <v>0</v>
      </c>
      <c r="E74">
        <f ca="1">OFFSET(Objects!$HW$6,E$1+(Objects!$Y$4-$A74-1)*Objects!$X$4,0)</f>
        <v>0</v>
      </c>
      <c r="F74">
        <f ca="1">OFFSET(Objects!$HW$6,F$1+(Objects!$Y$4-$A74-1)*Objects!$X$4,0)</f>
        <v>0</v>
      </c>
      <c r="G74">
        <f ca="1">OFFSET(Objects!$HW$6,G$1+(Objects!$Y$4-$A74-1)*Objects!$X$4,0)</f>
        <v>0</v>
      </c>
      <c r="H74">
        <f ca="1">OFFSET(Objects!$HW$6,H$1+(Objects!$Y$4-$A74-1)*Objects!$X$4,0)</f>
        <v>0</v>
      </c>
      <c r="I74">
        <f ca="1">OFFSET(Objects!$HW$6,I$1+(Objects!$Y$4-$A74-1)*Objects!$X$4,0)</f>
        <v>0</v>
      </c>
      <c r="J74">
        <f ca="1">OFFSET(Objects!$HW$6,J$1+(Objects!$Y$4-$A74-1)*Objects!$X$4,0)</f>
        <v>0</v>
      </c>
      <c r="K74">
        <f ca="1">OFFSET(Objects!$HW$6,K$1+(Objects!$Y$4-$A74-1)*Objects!$X$4,0)</f>
        <v>0</v>
      </c>
      <c r="L74">
        <f ca="1">OFFSET(Objects!$HW$6,L$1+(Objects!$Y$4-$A74-1)*Objects!$X$4,0)</f>
        <v>0</v>
      </c>
      <c r="M74">
        <f ca="1">OFFSET(Objects!$HW$6,M$1+(Objects!$Y$4-$A74-1)*Objects!$X$4,0)</f>
        <v>0</v>
      </c>
      <c r="N74">
        <f ca="1">OFFSET(Objects!$HW$6,N$1+(Objects!$Y$4-$A74-1)*Objects!$X$4,0)</f>
        <v>0</v>
      </c>
      <c r="O74">
        <f ca="1">OFFSET(Objects!$HW$6,O$1+(Objects!$Y$4-$A74-1)*Objects!$X$4,0)</f>
        <v>0</v>
      </c>
      <c r="P74">
        <f ca="1">OFFSET(Objects!$HW$6,P$1+(Objects!$Y$4-$A74-1)*Objects!$X$4,0)</f>
        <v>0</v>
      </c>
      <c r="Q74">
        <f ca="1">OFFSET(Objects!$HW$6,Q$1+(Objects!$Y$4-$A74-1)*Objects!$X$4,0)</f>
        <v>0</v>
      </c>
      <c r="R74">
        <f ca="1">OFFSET(Objects!$HW$6,R$1+(Objects!$Y$4-$A74-1)*Objects!$X$4,0)</f>
        <v>0</v>
      </c>
      <c r="S74">
        <f ca="1">OFFSET(Objects!$HW$6,S$1+(Objects!$Y$4-$A74-1)*Objects!$X$4,0)</f>
        <v>0</v>
      </c>
      <c r="T74">
        <f ca="1">OFFSET(Objects!$HW$6,T$1+(Objects!$Y$4-$A74-1)*Objects!$X$4,0)</f>
        <v>0</v>
      </c>
      <c r="U74">
        <f ca="1">OFFSET(Objects!$HW$6,U$1+(Objects!$Y$4-$A74-1)*Objects!$X$4,0)</f>
        <v>0</v>
      </c>
      <c r="V74">
        <f ca="1">OFFSET(Objects!$HW$6,V$1+(Objects!$Y$4-$A74-1)*Objects!$X$4,0)</f>
        <v>0</v>
      </c>
      <c r="W74">
        <f ca="1">OFFSET(Objects!$HW$6,W$1+(Objects!$Y$4-$A74-1)*Objects!$X$4,0)</f>
        <v>0</v>
      </c>
      <c r="X74">
        <f ca="1">OFFSET(Objects!$HW$6,X$1+(Objects!$Y$4-$A74-1)*Objects!$X$4,0)</f>
        <v>0</v>
      </c>
      <c r="Y74">
        <f ca="1">OFFSET(Objects!$HW$6,Y$1+(Objects!$Y$4-$A74-1)*Objects!$X$4,0)</f>
        <v>0</v>
      </c>
      <c r="Z74">
        <f ca="1">OFFSET(Objects!$HW$6,Z$1+(Objects!$Y$4-$A74-1)*Objects!$X$4,0)</f>
        <v>0</v>
      </c>
      <c r="AA74">
        <f ca="1">OFFSET(Objects!$HW$6,AA$1+(Objects!$Y$4-$A74-1)*Objects!$X$4,0)</f>
        <v>0</v>
      </c>
      <c r="AB74">
        <f ca="1">OFFSET(Objects!$HW$6,AB$1+(Objects!$Y$4-$A74-1)*Objects!$X$4,0)</f>
        <v>0</v>
      </c>
      <c r="AC74">
        <f ca="1">OFFSET(Objects!$HW$6,AC$1+(Objects!$Y$4-$A74-1)*Objects!$X$4,0)</f>
        <v>0</v>
      </c>
      <c r="AD74">
        <f ca="1">OFFSET(Objects!$HW$6,AD$1+(Objects!$Y$4-$A74-1)*Objects!$X$4,0)</f>
        <v>0</v>
      </c>
      <c r="AE74">
        <f ca="1">OFFSET(Objects!$HW$6,AE$1+(Objects!$Y$4-$A74-1)*Objects!$X$4,0)</f>
        <v>0</v>
      </c>
      <c r="AF74">
        <f ca="1">OFFSET(Objects!$HW$6,AF$1+(Objects!$Y$4-$A74-1)*Objects!$X$4,0)</f>
        <v>0</v>
      </c>
      <c r="AG74">
        <f ca="1">OFFSET(Objects!$HW$6,AG$1+(Objects!$Y$4-$A74-1)*Objects!$X$4,0)</f>
        <v>0</v>
      </c>
      <c r="AH74">
        <f ca="1">OFFSET(Objects!$HW$6,AH$1+(Objects!$Y$4-$A74-1)*Objects!$X$4,0)</f>
        <v>0</v>
      </c>
      <c r="AI74">
        <f ca="1">OFFSET(Objects!$HW$6,AI$1+(Objects!$Y$4-$A74-1)*Objects!$X$4,0)</f>
        <v>0</v>
      </c>
      <c r="AJ74">
        <f ca="1">OFFSET(Objects!$HW$6,AJ$1+(Objects!$Y$4-$A74-1)*Objects!$X$4,0)</f>
        <v>0</v>
      </c>
      <c r="AK74">
        <f ca="1">OFFSET(Objects!$HW$6,AK$1+(Objects!$Y$4-$A74-1)*Objects!$X$4,0)</f>
        <v>0</v>
      </c>
      <c r="AL74">
        <f ca="1">OFFSET(Objects!$HW$6,AL$1+(Objects!$Y$4-$A74-1)*Objects!$X$4,0)</f>
        <v>0</v>
      </c>
      <c r="AM74">
        <f ca="1">OFFSET(Objects!$HW$6,AM$1+(Objects!$Y$4-$A74-1)*Objects!$X$4,0)</f>
        <v>0</v>
      </c>
      <c r="AN74">
        <f ca="1">OFFSET(Objects!$HW$6,AN$1+(Objects!$Y$4-$A74-1)*Objects!$X$4,0)</f>
        <v>0</v>
      </c>
      <c r="AO74">
        <f ca="1">OFFSET(Objects!$HW$6,AO$1+(Objects!$Y$4-$A74-1)*Objects!$X$4,0)</f>
        <v>0</v>
      </c>
      <c r="AP74">
        <f ca="1">OFFSET(Objects!$HW$6,AP$1+(Objects!$Y$4-$A74-1)*Objects!$X$4,0)</f>
        <v>0</v>
      </c>
      <c r="AQ74">
        <f ca="1">OFFSET(Objects!$HW$6,AQ$1+(Objects!$Y$4-$A74-1)*Objects!$X$4,0)</f>
        <v>0</v>
      </c>
      <c r="AR74">
        <f ca="1">OFFSET(Objects!$HW$6,AR$1+(Objects!$Y$4-$A74-1)*Objects!$X$4,0)</f>
        <v>0</v>
      </c>
      <c r="AS74">
        <f ca="1">OFFSET(Objects!$HW$6,AS$1+(Objects!$Y$4-$A74-1)*Objects!$X$4,0)</f>
        <v>0</v>
      </c>
      <c r="AT74">
        <f ca="1">OFFSET(Objects!$HW$6,AT$1+(Objects!$Y$4-$A74-1)*Objects!$X$4,0)</f>
        <v>0</v>
      </c>
      <c r="AU74">
        <f ca="1">OFFSET(Objects!$HW$6,AU$1+(Objects!$Y$4-$A74-1)*Objects!$X$4,0)</f>
        <v>0</v>
      </c>
      <c r="AV74">
        <f ca="1">OFFSET(Objects!$HW$6,AV$1+(Objects!$Y$4-$A74-1)*Objects!$X$4,0)</f>
        <v>0</v>
      </c>
      <c r="AW74">
        <f ca="1">OFFSET(Objects!$HW$6,AW$1+(Objects!$Y$4-$A74-1)*Objects!$X$4,0)</f>
        <v>0</v>
      </c>
      <c r="AX74">
        <f ca="1">OFFSET(Objects!$HW$6,AX$1+(Objects!$Y$4-$A74-1)*Objects!$X$4,0)</f>
        <v>0</v>
      </c>
      <c r="AY74">
        <f ca="1">OFFSET(Objects!$HW$6,AY$1+(Objects!$Y$4-$A74-1)*Objects!$X$4,0)</f>
        <v>0</v>
      </c>
      <c r="AZ74">
        <f ca="1">OFFSET(Objects!$HW$6,AZ$1+(Objects!$Y$4-$A74-1)*Objects!$X$4,0)</f>
        <v>0</v>
      </c>
      <c r="BA74">
        <f ca="1">OFFSET(Objects!$HW$6,BA$1+(Objects!$Y$4-$A74-1)*Objects!$X$4,0)</f>
        <v>0</v>
      </c>
      <c r="BB74">
        <f ca="1">OFFSET(Objects!$HW$6,BB$1+(Objects!$Y$4-$A74-1)*Objects!$X$4,0)</f>
        <v>0</v>
      </c>
      <c r="BC74">
        <f ca="1">OFFSET(Objects!$HW$6,BC$1+(Objects!$Y$4-$A74-1)*Objects!$X$4,0)</f>
        <v>0</v>
      </c>
      <c r="BD74">
        <f ca="1">OFFSET(Objects!$HW$6,BD$1+(Objects!$Y$4-$A74-1)*Objects!$X$4,0)</f>
        <v>0</v>
      </c>
      <c r="BE74">
        <f ca="1">OFFSET(Objects!$HW$6,BE$1+(Objects!$Y$4-$A74-1)*Objects!$X$4,0)</f>
        <v>0</v>
      </c>
      <c r="BF74">
        <f ca="1">OFFSET(Objects!$HW$6,BF$1+(Objects!$Y$4-$A74-1)*Objects!$X$4,0)</f>
        <v>0</v>
      </c>
      <c r="BG74">
        <f ca="1">OFFSET(Objects!$HW$6,BG$1+(Objects!$Y$4-$A74-1)*Objects!$X$4,0)</f>
        <v>0</v>
      </c>
      <c r="BH74">
        <f ca="1">OFFSET(Objects!$HW$6,BH$1+(Objects!$Y$4-$A74-1)*Objects!$X$4,0)</f>
        <v>0</v>
      </c>
      <c r="BI74">
        <f ca="1">OFFSET(Objects!$HW$6,BI$1+(Objects!$Y$4-$A74-1)*Objects!$X$4,0)</f>
        <v>0</v>
      </c>
      <c r="BJ74">
        <f ca="1">OFFSET(Objects!$HW$6,BJ$1+(Objects!$Y$4-$A74-1)*Objects!$X$4,0)</f>
        <v>0</v>
      </c>
      <c r="BK74">
        <f ca="1">OFFSET(Objects!$HW$6,BK$1+(Objects!$Y$4-$A74-1)*Objects!$X$4,0)</f>
        <v>0</v>
      </c>
      <c r="BL74">
        <f ca="1">OFFSET(Objects!$HW$6,BL$1+(Objects!$Y$4-$A74-1)*Objects!$X$4,0)</f>
        <v>0</v>
      </c>
      <c r="BM74">
        <f ca="1">OFFSET(Objects!$HW$6,BM$1+(Objects!$Y$4-$A74-1)*Objects!$X$4,0)</f>
        <v>0</v>
      </c>
      <c r="BN74">
        <f ca="1">OFFSET(Objects!$HW$6,BN$1+(Objects!$Y$4-$A74-1)*Objects!$X$4,0)</f>
        <v>0</v>
      </c>
      <c r="BO74">
        <f ca="1">OFFSET(Objects!$HW$6,BO$1+(Objects!$Y$4-$A74-1)*Objects!$X$4,0)</f>
        <v>0</v>
      </c>
      <c r="BP74">
        <f ca="1">OFFSET(Objects!$HW$6,BP$1+(Objects!$Y$4-$A74-1)*Objects!$X$4,0)</f>
        <v>0</v>
      </c>
      <c r="BQ74">
        <f ca="1">OFFSET(Objects!$HW$6,BQ$1+(Objects!$Y$4-$A74-1)*Objects!$X$4,0)</f>
        <v>0</v>
      </c>
      <c r="BR74">
        <f ca="1">OFFSET(Objects!$HW$6,BR$1+(Objects!$Y$4-$A74-1)*Objects!$X$4,0)</f>
        <v>0</v>
      </c>
      <c r="BS74">
        <f ca="1">OFFSET(Objects!$HW$6,BS$1+(Objects!$Y$4-$A74-1)*Objects!$X$4,0)</f>
        <v>0</v>
      </c>
      <c r="BT74">
        <f ca="1">OFFSET(Objects!$HW$6,BT$1+(Objects!$Y$4-$A74-1)*Objects!$X$4,0)</f>
        <v>0</v>
      </c>
      <c r="BU74">
        <f ca="1">OFFSET(Objects!$HW$6,BU$1+(Objects!$Y$4-$A74-1)*Objects!$X$4,0)</f>
        <v>0</v>
      </c>
      <c r="BV74">
        <f ca="1">OFFSET(Objects!$HW$6,BV$1+(Objects!$Y$4-$A74-1)*Objects!$X$4,0)</f>
        <v>0</v>
      </c>
      <c r="BW74">
        <f ca="1">OFFSET(Objects!$HW$6,BW$1+(Objects!$Y$4-$A74-1)*Objects!$X$4,0)</f>
        <v>0</v>
      </c>
      <c r="BX74">
        <f ca="1">OFFSET(Objects!$HW$6,BX$1+(Objects!$Y$4-$A74-1)*Objects!$X$4,0)</f>
        <v>0</v>
      </c>
      <c r="BY74">
        <f ca="1">OFFSET(Objects!$HW$6,BY$1+(Objects!$Y$4-$A74-1)*Objects!$X$4,0)</f>
        <v>0</v>
      </c>
      <c r="BZ74">
        <f ca="1">OFFSET(Objects!$HW$6,BZ$1+(Objects!$Y$4-$A74-1)*Objects!$X$4,0)</f>
        <v>0</v>
      </c>
      <c r="CA74">
        <f ca="1">OFFSET(Objects!$HW$6,CA$1+(Objects!$Y$4-$A74-1)*Objects!$X$4,0)</f>
        <v>0</v>
      </c>
      <c r="CB74">
        <f ca="1">OFFSET(Objects!$HW$6,CB$1+(Objects!$Y$4-$A74-1)*Objects!$X$4,0)</f>
        <v>0</v>
      </c>
      <c r="CC74">
        <f ca="1">OFFSET(Objects!$HW$6,CC$1+(Objects!$Y$4-$A74-1)*Objects!$X$4,0)</f>
        <v>0</v>
      </c>
      <c r="CD74">
        <f ca="1">OFFSET(Objects!$HW$6,CD$1+(Objects!$Y$4-$A74-1)*Objects!$X$4,0)</f>
        <v>0</v>
      </c>
      <c r="CE74">
        <f ca="1">OFFSET(Objects!$HW$6,CE$1+(Objects!$Y$4-$A74-1)*Objects!$X$4,0)</f>
        <v>0</v>
      </c>
      <c r="CF74">
        <f ca="1">OFFSET(Objects!$HW$6,CF$1+(Objects!$Y$4-$A74-1)*Objects!$X$4,0)</f>
        <v>0</v>
      </c>
      <c r="CG74">
        <f ca="1">OFFSET(Objects!$HW$6,CG$1+(Objects!$Y$4-$A74-1)*Objects!$X$4,0)</f>
        <v>0</v>
      </c>
      <c r="CH74">
        <f ca="1">OFFSET(Objects!$HW$6,CH$1+(Objects!$Y$4-$A74-1)*Objects!$X$4,0)</f>
        <v>0</v>
      </c>
      <c r="CI74">
        <f ca="1">OFFSET(Objects!$HW$6,CI$1+(Objects!$Y$4-$A74-1)*Objects!$X$4,0)</f>
        <v>0</v>
      </c>
      <c r="CJ74">
        <f ca="1">OFFSET(Objects!$HW$6,CJ$1+(Objects!$Y$4-$A74-1)*Objects!$X$4,0)</f>
        <v>0</v>
      </c>
      <c r="CK74">
        <f ca="1">OFFSET(Objects!$HW$6,CK$1+(Objects!$Y$4-$A74-1)*Objects!$X$4,0)</f>
        <v>0</v>
      </c>
      <c r="CL74">
        <f ca="1">OFFSET(Objects!$HW$6,CL$1+(Objects!$Y$4-$A74-1)*Objects!$X$4,0)</f>
        <v>0</v>
      </c>
      <c r="CM74">
        <f ca="1">OFFSET(Objects!$HW$6,CM$1+(Objects!$Y$4-$A74-1)*Objects!$X$4,0)</f>
        <v>0</v>
      </c>
      <c r="CN74">
        <f ca="1">OFFSET(Objects!$HW$6,CN$1+(Objects!$Y$4-$A74-1)*Objects!$X$4,0)</f>
        <v>0</v>
      </c>
      <c r="CO74">
        <f ca="1">OFFSET(Objects!$HW$6,CO$1+(Objects!$Y$4-$A74-1)*Objects!$X$4,0)</f>
        <v>0</v>
      </c>
      <c r="CP74">
        <f ca="1">OFFSET(Objects!$HW$6,CP$1+(Objects!$Y$4-$A74-1)*Objects!$X$4,0)</f>
        <v>0</v>
      </c>
      <c r="CQ74">
        <f ca="1">OFFSET(Objects!$HW$6,CQ$1+(Objects!$Y$4-$A74-1)*Objects!$X$4,0)</f>
        <v>0</v>
      </c>
      <c r="CR74">
        <f ca="1">OFFSET(Objects!$HW$6,CR$1+(Objects!$Y$4-$A74-1)*Objects!$X$4,0)</f>
        <v>0</v>
      </c>
      <c r="CS74">
        <f ca="1">OFFSET(Objects!$HW$6,CS$1+(Objects!$Y$4-$A74-1)*Objects!$X$4,0)</f>
        <v>0</v>
      </c>
      <c r="CT74">
        <f ca="1">OFFSET(Objects!$HW$6,CT$1+(Objects!$Y$4-$A74-1)*Objects!$X$4,0)</f>
        <v>0</v>
      </c>
      <c r="CU74">
        <f ca="1">OFFSET(Objects!$HW$6,CU$1+(Objects!$Y$4-$A74-1)*Objects!$X$4,0)</f>
        <v>0</v>
      </c>
      <c r="CV74">
        <f ca="1">OFFSET(Objects!$HW$6,CV$1+(Objects!$Y$4-$A74-1)*Objects!$X$4,0)</f>
        <v>0</v>
      </c>
      <c r="CW74">
        <f ca="1">OFFSET(Objects!$HW$6,CW$1+(Objects!$Y$4-$A74-1)*Objects!$X$4,0)</f>
        <v>0</v>
      </c>
      <c r="CX74">
        <f ca="1">OFFSET(Objects!$HW$6,CX$1+(Objects!$Y$4-$A74-1)*Objects!$X$4,0)</f>
        <v>0</v>
      </c>
      <c r="CY74">
        <f ca="1">OFFSET(Objects!$HW$6,CY$1+(Objects!$Y$4-$A74-1)*Objects!$X$4,0)</f>
        <v>0</v>
      </c>
      <c r="CZ74">
        <f ca="1">OFFSET(Objects!$HW$6,CZ$1+(Objects!$Y$4-$A74-1)*Objects!$X$4,0)</f>
        <v>0</v>
      </c>
      <c r="DA74">
        <f ca="1">OFFSET(Objects!$HW$6,DA$1+(Objects!$Y$4-$A74-1)*Objects!$X$4,0)</f>
        <v>0</v>
      </c>
      <c r="DB74">
        <f ca="1">OFFSET(Objects!$HW$6,DB$1+(Objects!$Y$4-$A74-1)*Objects!$X$4,0)</f>
        <v>0</v>
      </c>
      <c r="DC74">
        <f ca="1">OFFSET(Objects!$HW$6,DC$1+(Objects!$Y$4-$A74-1)*Objects!$X$4,0)</f>
        <v>0</v>
      </c>
      <c r="DD74">
        <f ca="1">OFFSET(Objects!$HW$6,DD$1+(Objects!$Y$4-$A74-1)*Objects!$X$4,0)</f>
        <v>0</v>
      </c>
      <c r="DE74">
        <f ca="1">OFFSET(Objects!$HW$6,DE$1+(Objects!$Y$4-$A74-1)*Objects!$X$4,0)</f>
        <v>0</v>
      </c>
      <c r="DF74">
        <f ca="1">OFFSET(Objects!$HW$6,DF$1+(Objects!$Y$4-$A74-1)*Objects!$X$4,0)</f>
        <v>0</v>
      </c>
      <c r="DG74">
        <f ca="1">OFFSET(Objects!$HW$6,DG$1+(Objects!$Y$4-$A74-1)*Objects!$X$4,0)</f>
        <v>0</v>
      </c>
      <c r="DH74">
        <f ca="1">OFFSET(Objects!$HW$6,DH$1+(Objects!$Y$4-$A74-1)*Objects!$X$4,0)</f>
        <v>0</v>
      </c>
      <c r="DI74">
        <f ca="1">OFFSET(Objects!$HW$6,DI$1+(Objects!$Y$4-$A74-1)*Objects!$X$4,0)</f>
        <v>0</v>
      </c>
      <c r="DJ74">
        <f ca="1">OFFSET(Objects!$HW$6,DJ$1+(Objects!$Y$4-$A74-1)*Objects!$X$4,0)</f>
        <v>0</v>
      </c>
      <c r="DK74">
        <f ca="1">OFFSET(Objects!$HW$6,DK$1+(Objects!$Y$4-$A74-1)*Objects!$X$4,0)</f>
        <v>0</v>
      </c>
      <c r="DL74">
        <f ca="1">OFFSET(Objects!$HW$6,DL$1+(Objects!$Y$4-$A74-1)*Objects!$X$4,0)</f>
        <v>0</v>
      </c>
      <c r="DM74">
        <f ca="1">OFFSET(Objects!$HW$6,DM$1+(Objects!$Y$4-$A74-1)*Objects!$X$4,0)</f>
        <v>0</v>
      </c>
      <c r="DN74">
        <f ca="1">OFFSET(Objects!$HW$6,DN$1+(Objects!$Y$4-$A74-1)*Objects!$X$4,0)</f>
        <v>0</v>
      </c>
      <c r="DO74">
        <f ca="1">OFFSET(Objects!$HW$6,DO$1+(Objects!$Y$4-$A74-1)*Objects!$X$4,0)</f>
        <v>0</v>
      </c>
      <c r="DP74">
        <f ca="1">OFFSET(Objects!$HW$6,DP$1+(Objects!$Y$4-$A74-1)*Objects!$X$4,0)</f>
        <v>0</v>
      </c>
      <c r="DQ74">
        <f ca="1">OFFSET(Objects!$HW$6,DQ$1+(Objects!$Y$4-$A74-1)*Objects!$X$4,0)</f>
        <v>0</v>
      </c>
      <c r="DR74">
        <f ca="1">OFFSET(Objects!$HW$6,DR$1+(Objects!$Y$4-$A74-1)*Objects!$X$4,0)</f>
        <v>0</v>
      </c>
      <c r="DS74">
        <f ca="1">OFFSET(Objects!$HW$6,DS$1+(Objects!$Y$4-$A74-1)*Objects!$X$4,0)</f>
        <v>0</v>
      </c>
      <c r="DT74">
        <f ca="1">OFFSET(Objects!$HW$6,DT$1+(Objects!$Y$4-$A74-1)*Objects!$X$4,0)</f>
        <v>0</v>
      </c>
      <c r="DU74">
        <f ca="1">OFFSET(Objects!$HW$6,DU$1+(Objects!$Y$4-$A74-1)*Objects!$X$4,0)</f>
        <v>0</v>
      </c>
      <c r="DV74">
        <f ca="1">OFFSET(Objects!$HW$6,DV$1+(Objects!$Y$4-$A74-1)*Objects!$X$4,0)</f>
        <v>0</v>
      </c>
      <c r="DW74">
        <f ca="1">OFFSET(Objects!$HW$6,DW$1+(Objects!$Y$4-$A74-1)*Objects!$X$4,0)</f>
        <v>0</v>
      </c>
      <c r="DX74">
        <f ca="1">OFFSET(Objects!$HW$6,DX$1+(Objects!$Y$4-$A74-1)*Objects!$X$4,0)</f>
        <v>0</v>
      </c>
      <c r="DY74">
        <f ca="1">OFFSET(Objects!$HW$6,DY$1+(Objects!$Y$4-$A74-1)*Objects!$X$4,0)</f>
        <v>0</v>
      </c>
      <c r="DZ74">
        <f ca="1">OFFSET(Objects!$HW$6,DZ$1+(Objects!$Y$4-$A74-1)*Objects!$X$4,0)</f>
        <v>0</v>
      </c>
      <c r="EA74">
        <f ca="1">OFFSET(Objects!$HW$6,EA$1+(Objects!$Y$4-$A74-1)*Objects!$X$4,0)</f>
        <v>0</v>
      </c>
      <c r="EB74">
        <f ca="1">OFFSET(Objects!$HW$6,EB$1+(Objects!$Y$4-$A74-1)*Objects!$X$4,0)</f>
        <v>0</v>
      </c>
      <c r="EC74">
        <f ca="1">OFFSET(Objects!$HW$6,EC$1+(Objects!$Y$4-$A74-1)*Objects!$X$4,0)</f>
        <v>0</v>
      </c>
      <c r="ED74">
        <f ca="1">OFFSET(Objects!$HW$6,ED$1+(Objects!$Y$4-$A74-1)*Objects!$X$4,0)</f>
        <v>0</v>
      </c>
      <c r="EE74">
        <f ca="1">OFFSET(Objects!$HW$6,EE$1+(Objects!$Y$4-$A74-1)*Objects!$X$4,0)</f>
        <v>0</v>
      </c>
      <c r="EF74">
        <f ca="1">OFFSET(Objects!$HW$6,EF$1+(Objects!$Y$4-$A74-1)*Objects!$X$4,0)</f>
        <v>0</v>
      </c>
      <c r="EG74">
        <f ca="1">OFFSET(Objects!$HW$6,EG$1+(Objects!$Y$4-$A74-1)*Objects!$X$4,0)</f>
        <v>0</v>
      </c>
      <c r="EH74">
        <f ca="1">OFFSET(Objects!$HW$6,EH$1+(Objects!$Y$4-$A74-1)*Objects!$X$4,0)</f>
        <v>0</v>
      </c>
      <c r="EI74">
        <f ca="1">OFFSET(Objects!$HW$6,EI$1+(Objects!$Y$4-$A74-1)*Objects!$X$4,0)</f>
        <v>0</v>
      </c>
      <c r="EJ74">
        <f ca="1">OFFSET(Objects!$HW$6,EJ$1+(Objects!$Y$4-$A74-1)*Objects!$X$4,0)</f>
        <v>0</v>
      </c>
      <c r="EK74">
        <f ca="1">OFFSET(Objects!$HW$6,EK$1+(Objects!$Y$4-$A74-1)*Objects!$X$4,0)</f>
        <v>0</v>
      </c>
      <c r="EL74">
        <f ca="1">OFFSET(Objects!$HW$6,EL$1+(Objects!$Y$4-$A74-1)*Objects!$X$4,0)</f>
        <v>0</v>
      </c>
      <c r="EM74">
        <f ca="1">OFFSET(Objects!$HW$6,EM$1+(Objects!$Y$4-$A74-1)*Objects!$X$4,0)</f>
        <v>0</v>
      </c>
      <c r="EN74">
        <f ca="1">OFFSET(Objects!$HW$6,EN$1+(Objects!$Y$4-$A74-1)*Objects!$X$4,0)</f>
        <v>0</v>
      </c>
      <c r="EO74">
        <f ca="1">OFFSET(Objects!$HW$6,EO$1+(Objects!$Y$4-$A74-1)*Objects!$X$4,0)</f>
        <v>0</v>
      </c>
      <c r="EP74">
        <f ca="1">OFFSET(Objects!$HW$6,EP$1+(Objects!$Y$4-$A74-1)*Objects!$X$4,0)</f>
        <v>0</v>
      </c>
      <c r="EQ74">
        <f ca="1">OFFSET(Objects!$HW$6,EQ$1+(Objects!$Y$4-$A74-1)*Objects!$X$4,0)</f>
        <v>0</v>
      </c>
      <c r="ER74">
        <f ca="1">OFFSET(Objects!$HW$6,ER$1+(Objects!$Y$4-$A74-1)*Objects!$X$4,0)</f>
        <v>0</v>
      </c>
      <c r="ES74">
        <f ca="1">OFFSET(Objects!$HW$6,ES$1+(Objects!$Y$4-$A74-1)*Objects!$X$4,0)</f>
        <v>0</v>
      </c>
      <c r="ET74">
        <f ca="1">OFFSET(Objects!$HW$6,ET$1+(Objects!$Y$4-$A74-1)*Objects!$X$4,0)</f>
        <v>0</v>
      </c>
      <c r="EU74">
        <f ca="1">OFFSET(Objects!$HW$6,EU$1+(Objects!$Y$4-$A74-1)*Objects!$X$4,0)</f>
        <v>0</v>
      </c>
      <c r="EV74">
        <f ca="1">OFFSET(Objects!$HW$6,EV$1+(Objects!$Y$4-$A74-1)*Objects!$X$4,0)</f>
        <v>0</v>
      </c>
      <c r="EW74">
        <f ca="1">OFFSET(Objects!$HW$6,EW$1+(Objects!$Y$4-$A74-1)*Objects!$X$4,0)</f>
        <v>0</v>
      </c>
      <c r="EX74">
        <f ca="1">OFFSET(Objects!$HW$6,EX$1+(Objects!$Y$4-$A74-1)*Objects!$X$4,0)</f>
        <v>0</v>
      </c>
      <c r="EY74">
        <f ca="1">OFFSET(Objects!$HW$6,EY$1+(Objects!$Y$4-$A74-1)*Objects!$X$4,0)</f>
        <v>0</v>
      </c>
      <c r="EZ74">
        <f ca="1">OFFSET(Objects!$HW$6,EZ$1+(Objects!$Y$4-$A74-1)*Objects!$X$4,0)</f>
        <v>0</v>
      </c>
      <c r="FA74">
        <f ca="1">OFFSET(Objects!$HW$6,FA$1+(Objects!$Y$4-$A74-1)*Objects!$X$4,0)</f>
        <v>0</v>
      </c>
      <c r="FB74">
        <f ca="1">OFFSET(Objects!$HW$6,FB$1+(Objects!$Y$4-$A74-1)*Objects!$X$4,0)</f>
        <v>0</v>
      </c>
      <c r="FC74">
        <f ca="1">OFFSET(Objects!$HW$6,FC$1+(Objects!$Y$4-$A74-1)*Objects!$X$4,0)</f>
        <v>0</v>
      </c>
      <c r="FD74">
        <f ca="1">OFFSET(Objects!$HW$6,FD$1+(Objects!$Y$4-$A74-1)*Objects!$X$4,0)</f>
        <v>0</v>
      </c>
      <c r="FE74" s="22">
        <f ca="1">OFFSET(Objects!$HW$6,FE$1+(Objects!$Y$4-$A74-1)*Objects!$X$4,0)</f>
        <v>0</v>
      </c>
    </row>
    <row r="75" spans="1:161" ht="4.5" customHeight="1" x14ac:dyDescent="0.25">
      <c r="A75">
        <v>73</v>
      </c>
      <c r="B75" s="21">
        <f ca="1">OFFSET(Objects!$HW$6,B$1+(Objects!$Y$4-$A75-1)*Objects!$X$4,0)</f>
        <v>0</v>
      </c>
      <c r="C75">
        <f ca="1">OFFSET(Objects!$HW$6,C$1+(Objects!$Y$4-$A75-1)*Objects!$X$4,0)</f>
        <v>0</v>
      </c>
      <c r="D75">
        <f ca="1">OFFSET(Objects!$HW$6,D$1+(Objects!$Y$4-$A75-1)*Objects!$X$4,0)</f>
        <v>0</v>
      </c>
      <c r="E75">
        <f ca="1">OFFSET(Objects!$HW$6,E$1+(Objects!$Y$4-$A75-1)*Objects!$X$4,0)</f>
        <v>0</v>
      </c>
      <c r="F75">
        <f ca="1">OFFSET(Objects!$HW$6,F$1+(Objects!$Y$4-$A75-1)*Objects!$X$4,0)</f>
        <v>0</v>
      </c>
      <c r="G75">
        <f ca="1">OFFSET(Objects!$HW$6,G$1+(Objects!$Y$4-$A75-1)*Objects!$X$4,0)</f>
        <v>0</v>
      </c>
      <c r="H75">
        <f ca="1">OFFSET(Objects!$HW$6,H$1+(Objects!$Y$4-$A75-1)*Objects!$X$4,0)</f>
        <v>0</v>
      </c>
      <c r="I75">
        <f ca="1">OFFSET(Objects!$HW$6,I$1+(Objects!$Y$4-$A75-1)*Objects!$X$4,0)</f>
        <v>0</v>
      </c>
      <c r="J75">
        <f ca="1">OFFSET(Objects!$HW$6,J$1+(Objects!$Y$4-$A75-1)*Objects!$X$4,0)</f>
        <v>0</v>
      </c>
      <c r="K75">
        <f ca="1">OFFSET(Objects!$HW$6,K$1+(Objects!$Y$4-$A75-1)*Objects!$X$4,0)</f>
        <v>0</v>
      </c>
      <c r="L75">
        <f ca="1">OFFSET(Objects!$HW$6,L$1+(Objects!$Y$4-$A75-1)*Objects!$X$4,0)</f>
        <v>0</v>
      </c>
      <c r="M75">
        <f ca="1">OFFSET(Objects!$HW$6,M$1+(Objects!$Y$4-$A75-1)*Objects!$X$4,0)</f>
        <v>0</v>
      </c>
      <c r="N75">
        <f ca="1">OFFSET(Objects!$HW$6,N$1+(Objects!$Y$4-$A75-1)*Objects!$X$4,0)</f>
        <v>0</v>
      </c>
      <c r="O75">
        <f ca="1">OFFSET(Objects!$HW$6,O$1+(Objects!$Y$4-$A75-1)*Objects!$X$4,0)</f>
        <v>0</v>
      </c>
      <c r="P75">
        <f ca="1">OFFSET(Objects!$HW$6,P$1+(Objects!$Y$4-$A75-1)*Objects!$X$4,0)</f>
        <v>0</v>
      </c>
      <c r="Q75">
        <f ca="1">OFFSET(Objects!$HW$6,Q$1+(Objects!$Y$4-$A75-1)*Objects!$X$4,0)</f>
        <v>0</v>
      </c>
      <c r="R75">
        <f ca="1">OFFSET(Objects!$HW$6,R$1+(Objects!$Y$4-$A75-1)*Objects!$X$4,0)</f>
        <v>0</v>
      </c>
      <c r="S75">
        <f ca="1">OFFSET(Objects!$HW$6,S$1+(Objects!$Y$4-$A75-1)*Objects!$X$4,0)</f>
        <v>0</v>
      </c>
      <c r="T75">
        <f ca="1">OFFSET(Objects!$HW$6,T$1+(Objects!$Y$4-$A75-1)*Objects!$X$4,0)</f>
        <v>0</v>
      </c>
      <c r="U75">
        <f ca="1">OFFSET(Objects!$HW$6,U$1+(Objects!$Y$4-$A75-1)*Objects!$X$4,0)</f>
        <v>0</v>
      </c>
      <c r="V75">
        <f ca="1">OFFSET(Objects!$HW$6,V$1+(Objects!$Y$4-$A75-1)*Objects!$X$4,0)</f>
        <v>0</v>
      </c>
      <c r="W75">
        <f ca="1">OFFSET(Objects!$HW$6,W$1+(Objects!$Y$4-$A75-1)*Objects!$X$4,0)</f>
        <v>0</v>
      </c>
      <c r="X75">
        <f ca="1">OFFSET(Objects!$HW$6,X$1+(Objects!$Y$4-$A75-1)*Objects!$X$4,0)</f>
        <v>0</v>
      </c>
      <c r="Y75">
        <f ca="1">OFFSET(Objects!$HW$6,Y$1+(Objects!$Y$4-$A75-1)*Objects!$X$4,0)</f>
        <v>0</v>
      </c>
      <c r="Z75">
        <f ca="1">OFFSET(Objects!$HW$6,Z$1+(Objects!$Y$4-$A75-1)*Objects!$X$4,0)</f>
        <v>0</v>
      </c>
      <c r="AA75">
        <f ca="1">OFFSET(Objects!$HW$6,AA$1+(Objects!$Y$4-$A75-1)*Objects!$X$4,0)</f>
        <v>0</v>
      </c>
      <c r="AB75">
        <f ca="1">OFFSET(Objects!$HW$6,AB$1+(Objects!$Y$4-$A75-1)*Objects!$X$4,0)</f>
        <v>0</v>
      </c>
      <c r="AC75">
        <f ca="1">OFFSET(Objects!$HW$6,AC$1+(Objects!$Y$4-$A75-1)*Objects!$X$4,0)</f>
        <v>0</v>
      </c>
      <c r="AD75">
        <f ca="1">OFFSET(Objects!$HW$6,AD$1+(Objects!$Y$4-$A75-1)*Objects!$X$4,0)</f>
        <v>0</v>
      </c>
      <c r="AE75">
        <f ca="1">OFFSET(Objects!$HW$6,AE$1+(Objects!$Y$4-$A75-1)*Objects!$X$4,0)</f>
        <v>0</v>
      </c>
      <c r="AF75">
        <f ca="1">OFFSET(Objects!$HW$6,AF$1+(Objects!$Y$4-$A75-1)*Objects!$X$4,0)</f>
        <v>0</v>
      </c>
      <c r="AG75">
        <f ca="1">OFFSET(Objects!$HW$6,AG$1+(Objects!$Y$4-$A75-1)*Objects!$X$4,0)</f>
        <v>0</v>
      </c>
      <c r="AH75">
        <f ca="1">OFFSET(Objects!$HW$6,AH$1+(Objects!$Y$4-$A75-1)*Objects!$X$4,0)</f>
        <v>0</v>
      </c>
      <c r="AI75">
        <f ca="1">OFFSET(Objects!$HW$6,AI$1+(Objects!$Y$4-$A75-1)*Objects!$X$4,0)</f>
        <v>0</v>
      </c>
      <c r="AJ75">
        <f ca="1">OFFSET(Objects!$HW$6,AJ$1+(Objects!$Y$4-$A75-1)*Objects!$X$4,0)</f>
        <v>0</v>
      </c>
      <c r="AK75">
        <f ca="1">OFFSET(Objects!$HW$6,AK$1+(Objects!$Y$4-$A75-1)*Objects!$X$4,0)</f>
        <v>0</v>
      </c>
      <c r="AL75">
        <f ca="1">OFFSET(Objects!$HW$6,AL$1+(Objects!$Y$4-$A75-1)*Objects!$X$4,0)</f>
        <v>0</v>
      </c>
      <c r="AM75">
        <f ca="1">OFFSET(Objects!$HW$6,AM$1+(Objects!$Y$4-$A75-1)*Objects!$X$4,0)</f>
        <v>0</v>
      </c>
      <c r="AN75">
        <f ca="1">OFFSET(Objects!$HW$6,AN$1+(Objects!$Y$4-$A75-1)*Objects!$X$4,0)</f>
        <v>0</v>
      </c>
      <c r="AO75">
        <f ca="1">OFFSET(Objects!$HW$6,AO$1+(Objects!$Y$4-$A75-1)*Objects!$X$4,0)</f>
        <v>0</v>
      </c>
      <c r="AP75">
        <f ca="1">OFFSET(Objects!$HW$6,AP$1+(Objects!$Y$4-$A75-1)*Objects!$X$4,0)</f>
        <v>0</v>
      </c>
      <c r="AQ75">
        <f ca="1">OFFSET(Objects!$HW$6,AQ$1+(Objects!$Y$4-$A75-1)*Objects!$X$4,0)</f>
        <v>0</v>
      </c>
      <c r="AR75">
        <f ca="1">OFFSET(Objects!$HW$6,AR$1+(Objects!$Y$4-$A75-1)*Objects!$X$4,0)</f>
        <v>0</v>
      </c>
      <c r="AS75">
        <f ca="1">OFFSET(Objects!$HW$6,AS$1+(Objects!$Y$4-$A75-1)*Objects!$X$4,0)</f>
        <v>0</v>
      </c>
      <c r="AT75">
        <f ca="1">OFFSET(Objects!$HW$6,AT$1+(Objects!$Y$4-$A75-1)*Objects!$X$4,0)</f>
        <v>0</v>
      </c>
      <c r="AU75">
        <f ca="1">OFFSET(Objects!$HW$6,AU$1+(Objects!$Y$4-$A75-1)*Objects!$X$4,0)</f>
        <v>0</v>
      </c>
      <c r="AV75">
        <f ca="1">OFFSET(Objects!$HW$6,AV$1+(Objects!$Y$4-$A75-1)*Objects!$X$4,0)</f>
        <v>0</v>
      </c>
      <c r="AW75">
        <f ca="1">OFFSET(Objects!$HW$6,AW$1+(Objects!$Y$4-$A75-1)*Objects!$X$4,0)</f>
        <v>0</v>
      </c>
      <c r="AX75">
        <f ca="1">OFFSET(Objects!$HW$6,AX$1+(Objects!$Y$4-$A75-1)*Objects!$X$4,0)</f>
        <v>0</v>
      </c>
      <c r="AY75">
        <f ca="1">OFFSET(Objects!$HW$6,AY$1+(Objects!$Y$4-$A75-1)*Objects!$X$4,0)</f>
        <v>0</v>
      </c>
      <c r="AZ75">
        <f ca="1">OFFSET(Objects!$HW$6,AZ$1+(Objects!$Y$4-$A75-1)*Objects!$X$4,0)</f>
        <v>0</v>
      </c>
      <c r="BA75">
        <f ca="1">OFFSET(Objects!$HW$6,BA$1+(Objects!$Y$4-$A75-1)*Objects!$X$4,0)</f>
        <v>0</v>
      </c>
      <c r="BB75">
        <f ca="1">OFFSET(Objects!$HW$6,BB$1+(Objects!$Y$4-$A75-1)*Objects!$X$4,0)</f>
        <v>0</v>
      </c>
      <c r="BC75">
        <f ca="1">OFFSET(Objects!$HW$6,BC$1+(Objects!$Y$4-$A75-1)*Objects!$X$4,0)</f>
        <v>0</v>
      </c>
      <c r="BD75">
        <f ca="1">OFFSET(Objects!$HW$6,BD$1+(Objects!$Y$4-$A75-1)*Objects!$X$4,0)</f>
        <v>0</v>
      </c>
      <c r="BE75">
        <f ca="1">OFFSET(Objects!$HW$6,BE$1+(Objects!$Y$4-$A75-1)*Objects!$X$4,0)</f>
        <v>0</v>
      </c>
      <c r="BF75">
        <f ca="1">OFFSET(Objects!$HW$6,BF$1+(Objects!$Y$4-$A75-1)*Objects!$X$4,0)</f>
        <v>0</v>
      </c>
      <c r="BG75">
        <f ca="1">OFFSET(Objects!$HW$6,BG$1+(Objects!$Y$4-$A75-1)*Objects!$X$4,0)</f>
        <v>0</v>
      </c>
      <c r="BH75">
        <f ca="1">OFFSET(Objects!$HW$6,BH$1+(Objects!$Y$4-$A75-1)*Objects!$X$4,0)</f>
        <v>0</v>
      </c>
      <c r="BI75">
        <f ca="1">OFFSET(Objects!$HW$6,BI$1+(Objects!$Y$4-$A75-1)*Objects!$X$4,0)</f>
        <v>0</v>
      </c>
      <c r="BJ75">
        <f ca="1">OFFSET(Objects!$HW$6,BJ$1+(Objects!$Y$4-$A75-1)*Objects!$X$4,0)</f>
        <v>0</v>
      </c>
      <c r="BK75">
        <f ca="1">OFFSET(Objects!$HW$6,BK$1+(Objects!$Y$4-$A75-1)*Objects!$X$4,0)</f>
        <v>0</v>
      </c>
      <c r="BL75">
        <f ca="1">OFFSET(Objects!$HW$6,BL$1+(Objects!$Y$4-$A75-1)*Objects!$X$4,0)</f>
        <v>0</v>
      </c>
      <c r="BM75">
        <f ca="1">OFFSET(Objects!$HW$6,BM$1+(Objects!$Y$4-$A75-1)*Objects!$X$4,0)</f>
        <v>0</v>
      </c>
      <c r="BN75">
        <f ca="1">OFFSET(Objects!$HW$6,BN$1+(Objects!$Y$4-$A75-1)*Objects!$X$4,0)</f>
        <v>0</v>
      </c>
      <c r="BO75">
        <f ca="1">OFFSET(Objects!$HW$6,BO$1+(Objects!$Y$4-$A75-1)*Objects!$X$4,0)</f>
        <v>0</v>
      </c>
      <c r="BP75">
        <f ca="1">OFFSET(Objects!$HW$6,BP$1+(Objects!$Y$4-$A75-1)*Objects!$X$4,0)</f>
        <v>0</v>
      </c>
      <c r="BQ75">
        <f ca="1">OFFSET(Objects!$HW$6,BQ$1+(Objects!$Y$4-$A75-1)*Objects!$X$4,0)</f>
        <v>0</v>
      </c>
      <c r="BR75">
        <f ca="1">OFFSET(Objects!$HW$6,BR$1+(Objects!$Y$4-$A75-1)*Objects!$X$4,0)</f>
        <v>0</v>
      </c>
      <c r="BS75">
        <f ca="1">OFFSET(Objects!$HW$6,BS$1+(Objects!$Y$4-$A75-1)*Objects!$X$4,0)</f>
        <v>0</v>
      </c>
      <c r="BT75">
        <f ca="1">OFFSET(Objects!$HW$6,BT$1+(Objects!$Y$4-$A75-1)*Objects!$X$4,0)</f>
        <v>0</v>
      </c>
      <c r="BU75">
        <f ca="1">OFFSET(Objects!$HW$6,BU$1+(Objects!$Y$4-$A75-1)*Objects!$X$4,0)</f>
        <v>0</v>
      </c>
      <c r="BV75">
        <f ca="1">OFFSET(Objects!$HW$6,BV$1+(Objects!$Y$4-$A75-1)*Objects!$X$4,0)</f>
        <v>0</v>
      </c>
      <c r="BW75">
        <f ca="1">OFFSET(Objects!$HW$6,BW$1+(Objects!$Y$4-$A75-1)*Objects!$X$4,0)</f>
        <v>0</v>
      </c>
      <c r="BX75">
        <f ca="1">OFFSET(Objects!$HW$6,BX$1+(Objects!$Y$4-$A75-1)*Objects!$X$4,0)</f>
        <v>0</v>
      </c>
      <c r="BY75">
        <f ca="1">OFFSET(Objects!$HW$6,BY$1+(Objects!$Y$4-$A75-1)*Objects!$X$4,0)</f>
        <v>0</v>
      </c>
      <c r="BZ75">
        <f ca="1">OFFSET(Objects!$HW$6,BZ$1+(Objects!$Y$4-$A75-1)*Objects!$X$4,0)</f>
        <v>0</v>
      </c>
      <c r="CA75">
        <f ca="1">OFFSET(Objects!$HW$6,CA$1+(Objects!$Y$4-$A75-1)*Objects!$X$4,0)</f>
        <v>0</v>
      </c>
      <c r="CB75">
        <f ca="1">OFFSET(Objects!$HW$6,CB$1+(Objects!$Y$4-$A75-1)*Objects!$X$4,0)</f>
        <v>0</v>
      </c>
      <c r="CC75">
        <f ca="1">OFFSET(Objects!$HW$6,CC$1+(Objects!$Y$4-$A75-1)*Objects!$X$4,0)</f>
        <v>0</v>
      </c>
      <c r="CD75">
        <f ca="1">OFFSET(Objects!$HW$6,CD$1+(Objects!$Y$4-$A75-1)*Objects!$X$4,0)</f>
        <v>0</v>
      </c>
      <c r="CE75">
        <f ca="1">OFFSET(Objects!$HW$6,CE$1+(Objects!$Y$4-$A75-1)*Objects!$X$4,0)</f>
        <v>0</v>
      </c>
      <c r="CF75">
        <f ca="1">OFFSET(Objects!$HW$6,CF$1+(Objects!$Y$4-$A75-1)*Objects!$X$4,0)</f>
        <v>0</v>
      </c>
      <c r="CG75">
        <f ca="1">OFFSET(Objects!$HW$6,CG$1+(Objects!$Y$4-$A75-1)*Objects!$X$4,0)</f>
        <v>0</v>
      </c>
      <c r="CH75">
        <f ca="1">OFFSET(Objects!$HW$6,CH$1+(Objects!$Y$4-$A75-1)*Objects!$X$4,0)</f>
        <v>0</v>
      </c>
      <c r="CI75">
        <f ca="1">OFFSET(Objects!$HW$6,CI$1+(Objects!$Y$4-$A75-1)*Objects!$X$4,0)</f>
        <v>0</v>
      </c>
      <c r="CJ75">
        <f ca="1">OFFSET(Objects!$HW$6,CJ$1+(Objects!$Y$4-$A75-1)*Objects!$X$4,0)</f>
        <v>0</v>
      </c>
      <c r="CK75">
        <f ca="1">OFFSET(Objects!$HW$6,CK$1+(Objects!$Y$4-$A75-1)*Objects!$X$4,0)</f>
        <v>0</v>
      </c>
      <c r="CL75">
        <f ca="1">OFFSET(Objects!$HW$6,CL$1+(Objects!$Y$4-$A75-1)*Objects!$X$4,0)</f>
        <v>0</v>
      </c>
      <c r="CM75">
        <f ca="1">OFFSET(Objects!$HW$6,CM$1+(Objects!$Y$4-$A75-1)*Objects!$X$4,0)</f>
        <v>0</v>
      </c>
      <c r="CN75">
        <f ca="1">OFFSET(Objects!$HW$6,CN$1+(Objects!$Y$4-$A75-1)*Objects!$X$4,0)</f>
        <v>0</v>
      </c>
      <c r="CO75">
        <f ca="1">OFFSET(Objects!$HW$6,CO$1+(Objects!$Y$4-$A75-1)*Objects!$X$4,0)</f>
        <v>0</v>
      </c>
      <c r="CP75">
        <f ca="1">OFFSET(Objects!$HW$6,CP$1+(Objects!$Y$4-$A75-1)*Objects!$X$4,0)</f>
        <v>0</v>
      </c>
      <c r="CQ75">
        <f ca="1">OFFSET(Objects!$HW$6,CQ$1+(Objects!$Y$4-$A75-1)*Objects!$X$4,0)</f>
        <v>0</v>
      </c>
      <c r="CR75">
        <f ca="1">OFFSET(Objects!$HW$6,CR$1+(Objects!$Y$4-$A75-1)*Objects!$X$4,0)</f>
        <v>0</v>
      </c>
      <c r="CS75">
        <f ca="1">OFFSET(Objects!$HW$6,CS$1+(Objects!$Y$4-$A75-1)*Objects!$X$4,0)</f>
        <v>0</v>
      </c>
      <c r="CT75">
        <f ca="1">OFFSET(Objects!$HW$6,CT$1+(Objects!$Y$4-$A75-1)*Objects!$X$4,0)</f>
        <v>0</v>
      </c>
      <c r="CU75">
        <f ca="1">OFFSET(Objects!$HW$6,CU$1+(Objects!$Y$4-$A75-1)*Objects!$X$4,0)</f>
        <v>0</v>
      </c>
      <c r="CV75">
        <f ca="1">OFFSET(Objects!$HW$6,CV$1+(Objects!$Y$4-$A75-1)*Objects!$X$4,0)</f>
        <v>0</v>
      </c>
      <c r="CW75">
        <f ca="1">OFFSET(Objects!$HW$6,CW$1+(Objects!$Y$4-$A75-1)*Objects!$X$4,0)</f>
        <v>0</v>
      </c>
      <c r="CX75">
        <f ca="1">OFFSET(Objects!$HW$6,CX$1+(Objects!$Y$4-$A75-1)*Objects!$X$4,0)</f>
        <v>0</v>
      </c>
      <c r="CY75">
        <f ca="1">OFFSET(Objects!$HW$6,CY$1+(Objects!$Y$4-$A75-1)*Objects!$X$4,0)</f>
        <v>0</v>
      </c>
      <c r="CZ75">
        <f ca="1">OFFSET(Objects!$HW$6,CZ$1+(Objects!$Y$4-$A75-1)*Objects!$X$4,0)</f>
        <v>0</v>
      </c>
      <c r="DA75">
        <f ca="1">OFFSET(Objects!$HW$6,DA$1+(Objects!$Y$4-$A75-1)*Objects!$X$4,0)</f>
        <v>0</v>
      </c>
      <c r="DB75">
        <f ca="1">OFFSET(Objects!$HW$6,DB$1+(Objects!$Y$4-$A75-1)*Objects!$X$4,0)</f>
        <v>0</v>
      </c>
      <c r="DC75">
        <f ca="1">OFFSET(Objects!$HW$6,DC$1+(Objects!$Y$4-$A75-1)*Objects!$X$4,0)</f>
        <v>0</v>
      </c>
      <c r="DD75">
        <f ca="1">OFFSET(Objects!$HW$6,DD$1+(Objects!$Y$4-$A75-1)*Objects!$X$4,0)</f>
        <v>0</v>
      </c>
      <c r="DE75">
        <f ca="1">OFFSET(Objects!$HW$6,DE$1+(Objects!$Y$4-$A75-1)*Objects!$X$4,0)</f>
        <v>0</v>
      </c>
      <c r="DF75">
        <f ca="1">OFFSET(Objects!$HW$6,DF$1+(Objects!$Y$4-$A75-1)*Objects!$X$4,0)</f>
        <v>0</v>
      </c>
      <c r="DG75">
        <f ca="1">OFFSET(Objects!$HW$6,DG$1+(Objects!$Y$4-$A75-1)*Objects!$X$4,0)</f>
        <v>0</v>
      </c>
      <c r="DH75">
        <f ca="1">OFFSET(Objects!$HW$6,DH$1+(Objects!$Y$4-$A75-1)*Objects!$X$4,0)</f>
        <v>0</v>
      </c>
      <c r="DI75">
        <f ca="1">OFFSET(Objects!$HW$6,DI$1+(Objects!$Y$4-$A75-1)*Objects!$X$4,0)</f>
        <v>0</v>
      </c>
      <c r="DJ75">
        <f ca="1">OFFSET(Objects!$HW$6,DJ$1+(Objects!$Y$4-$A75-1)*Objects!$X$4,0)</f>
        <v>0</v>
      </c>
      <c r="DK75">
        <f ca="1">OFFSET(Objects!$HW$6,DK$1+(Objects!$Y$4-$A75-1)*Objects!$X$4,0)</f>
        <v>0</v>
      </c>
      <c r="DL75">
        <f ca="1">OFFSET(Objects!$HW$6,DL$1+(Objects!$Y$4-$A75-1)*Objects!$X$4,0)</f>
        <v>0</v>
      </c>
      <c r="DM75">
        <f ca="1">OFFSET(Objects!$HW$6,DM$1+(Objects!$Y$4-$A75-1)*Objects!$X$4,0)</f>
        <v>0</v>
      </c>
      <c r="DN75">
        <f ca="1">OFFSET(Objects!$HW$6,DN$1+(Objects!$Y$4-$A75-1)*Objects!$X$4,0)</f>
        <v>0</v>
      </c>
      <c r="DO75">
        <f ca="1">OFFSET(Objects!$HW$6,DO$1+(Objects!$Y$4-$A75-1)*Objects!$X$4,0)</f>
        <v>0</v>
      </c>
      <c r="DP75">
        <f ca="1">OFFSET(Objects!$HW$6,DP$1+(Objects!$Y$4-$A75-1)*Objects!$X$4,0)</f>
        <v>0</v>
      </c>
      <c r="DQ75">
        <f ca="1">OFFSET(Objects!$HW$6,DQ$1+(Objects!$Y$4-$A75-1)*Objects!$X$4,0)</f>
        <v>0</v>
      </c>
      <c r="DR75">
        <f ca="1">OFFSET(Objects!$HW$6,DR$1+(Objects!$Y$4-$A75-1)*Objects!$X$4,0)</f>
        <v>0</v>
      </c>
      <c r="DS75">
        <f ca="1">OFFSET(Objects!$HW$6,DS$1+(Objects!$Y$4-$A75-1)*Objects!$X$4,0)</f>
        <v>0</v>
      </c>
      <c r="DT75">
        <f ca="1">OFFSET(Objects!$HW$6,DT$1+(Objects!$Y$4-$A75-1)*Objects!$X$4,0)</f>
        <v>0</v>
      </c>
      <c r="DU75">
        <f ca="1">OFFSET(Objects!$HW$6,DU$1+(Objects!$Y$4-$A75-1)*Objects!$X$4,0)</f>
        <v>0</v>
      </c>
      <c r="DV75">
        <f ca="1">OFFSET(Objects!$HW$6,DV$1+(Objects!$Y$4-$A75-1)*Objects!$X$4,0)</f>
        <v>0</v>
      </c>
      <c r="DW75">
        <f ca="1">OFFSET(Objects!$HW$6,DW$1+(Objects!$Y$4-$A75-1)*Objects!$X$4,0)</f>
        <v>0</v>
      </c>
      <c r="DX75">
        <f ca="1">OFFSET(Objects!$HW$6,DX$1+(Objects!$Y$4-$A75-1)*Objects!$X$4,0)</f>
        <v>0</v>
      </c>
      <c r="DY75">
        <f ca="1">OFFSET(Objects!$HW$6,DY$1+(Objects!$Y$4-$A75-1)*Objects!$X$4,0)</f>
        <v>0</v>
      </c>
      <c r="DZ75">
        <f ca="1">OFFSET(Objects!$HW$6,DZ$1+(Objects!$Y$4-$A75-1)*Objects!$X$4,0)</f>
        <v>0</v>
      </c>
      <c r="EA75">
        <f ca="1">OFFSET(Objects!$HW$6,EA$1+(Objects!$Y$4-$A75-1)*Objects!$X$4,0)</f>
        <v>0</v>
      </c>
      <c r="EB75">
        <f ca="1">OFFSET(Objects!$HW$6,EB$1+(Objects!$Y$4-$A75-1)*Objects!$X$4,0)</f>
        <v>0</v>
      </c>
      <c r="EC75">
        <f ca="1">OFFSET(Objects!$HW$6,EC$1+(Objects!$Y$4-$A75-1)*Objects!$X$4,0)</f>
        <v>0</v>
      </c>
      <c r="ED75">
        <f ca="1">OFFSET(Objects!$HW$6,ED$1+(Objects!$Y$4-$A75-1)*Objects!$X$4,0)</f>
        <v>0</v>
      </c>
      <c r="EE75">
        <f ca="1">OFFSET(Objects!$HW$6,EE$1+(Objects!$Y$4-$A75-1)*Objects!$X$4,0)</f>
        <v>0</v>
      </c>
      <c r="EF75">
        <f ca="1">OFFSET(Objects!$HW$6,EF$1+(Objects!$Y$4-$A75-1)*Objects!$X$4,0)</f>
        <v>0</v>
      </c>
      <c r="EG75">
        <f ca="1">OFFSET(Objects!$HW$6,EG$1+(Objects!$Y$4-$A75-1)*Objects!$X$4,0)</f>
        <v>0</v>
      </c>
      <c r="EH75">
        <f ca="1">OFFSET(Objects!$HW$6,EH$1+(Objects!$Y$4-$A75-1)*Objects!$X$4,0)</f>
        <v>0</v>
      </c>
      <c r="EI75">
        <f ca="1">OFFSET(Objects!$HW$6,EI$1+(Objects!$Y$4-$A75-1)*Objects!$X$4,0)</f>
        <v>0</v>
      </c>
      <c r="EJ75">
        <f ca="1">OFFSET(Objects!$HW$6,EJ$1+(Objects!$Y$4-$A75-1)*Objects!$X$4,0)</f>
        <v>0</v>
      </c>
      <c r="EK75">
        <f ca="1">OFFSET(Objects!$HW$6,EK$1+(Objects!$Y$4-$A75-1)*Objects!$X$4,0)</f>
        <v>0</v>
      </c>
      <c r="EL75">
        <f ca="1">OFFSET(Objects!$HW$6,EL$1+(Objects!$Y$4-$A75-1)*Objects!$X$4,0)</f>
        <v>0</v>
      </c>
      <c r="EM75">
        <f ca="1">OFFSET(Objects!$HW$6,EM$1+(Objects!$Y$4-$A75-1)*Objects!$X$4,0)</f>
        <v>0</v>
      </c>
      <c r="EN75">
        <f ca="1">OFFSET(Objects!$HW$6,EN$1+(Objects!$Y$4-$A75-1)*Objects!$X$4,0)</f>
        <v>0</v>
      </c>
      <c r="EO75">
        <f ca="1">OFFSET(Objects!$HW$6,EO$1+(Objects!$Y$4-$A75-1)*Objects!$X$4,0)</f>
        <v>0</v>
      </c>
      <c r="EP75">
        <f ca="1">OFFSET(Objects!$HW$6,EP$1+(Objects!$Y$4-$A75-1)*Objects!$X$4,0)</f>
        <v>0</v>
      </c>
      <c r="EQ75">
        <f ca="1">OFFSET(Objects!$HW$6,EQ$1+(Objects!$Y$4-$A75-1)*Objects!$X$4,0)</f>
        <v>0</v>
      </c>
      <c r="ER75">
        <f ca="1">OFFSET(Objects!$HW$6,ER$1+(Objects!$Y$4-$A75-1)*Objects!$X$4,0)</f>
        <v>0</v>
      </c>
      <c r="ES75">
        <f ca="1">OFFSET(Objects!$HW$6,ES$1+(Objects!$Y$4-$A75-1)*Objects!$X$4,0)</f>
        <v>0</v>
      </c>
      <c r="ET75">
        <f ca="1">OFFSET(Objects!$HW$6,ET$1+(Objects!$Y$4-$A75-1)*Objects!$X$4,0)</f>
        <v>0</v>
      </c>
      <c r="EU75">
        <f ca="1">OFFSET(Objects!$HW$6,EU$1+(Objects!$Y$4-$A75-1)*Objects!$X$4,0)</f>
        <v>0</v>
      </c>
      <c r="EV75">
        <f ca="1">OFFSET(Objects!$HW$6,EV$1+(Objects!$Y$4-$A75-1)*Objects!$X$4,0)</f>
        <v>0</v>
      </c>
      <c r="EW75">
        <f ca="1">OFFSET(Objects!$HW$6,EW$1+(Objects!$Y$4-$A75-1)*Objects!$X$4,0)</f>
        <v>0</v>
      </c>
      <c r="EX75">
        <f ca="1">OFFSET(Objects!$HW$6,EX$1+(Objects!$Y$4-$A75-1)*Objects!$X$4,0)</f>
        <v>0</v>
      </c>
      <c r="EY75">
        <f ca="1">OFFSET(Objects!$HW$6,EY$1+(Objects!$Y$4-$A75-1)*Objects!$X$4,0)</f>
        <v>0</v>
      </c>
      <c r="EZ75">
        <f ca="1">OFFSET(Objects!$HW$6,EZ$1+(Objects!$Y$4-$A75-1)*Objects!$X$4,0)</f>
        <v>0</v>
      </c>
      <c r="FA75">
        <f ca="1">OFFSET(Objects!$HW$6,FA$1+(Objects!$Y$4-$A75-1)*Objects!$X$4,0)</f>
        <v>0</v>
      </c>
      <c r="FB75">
        <f ca="1">OFFSET(Objects!$HW$6,FB$1+(Objects!$Y$4-$A75-1)*Objects!$X$4,0)</f>
        <v>0</v>
      </c>
      <c r="FC75">
        <f ca="1">OFFSET(Objects!$HW$6,FC$1+(Objects!$Y$4-$A75-1)*Objects!$X$4,0)</f>
        <v>0</v>
      </c>
      <c r="FD75">
        <f ca="1">OFFSET(Objects!$HW$6,FD$1+(Objects!$Y$4-$A75-1)*Objects!$X$4,0)</f>
        <v>0</v>
      </c>
      <c r="FE75" s="22">
        <f ca="1">OFFSET(Objects!$HW$6,FE$1+(Objects!$Y$4-$A75-1)*Objects!$X$4,0)</f>
        <v>0</v>
      </c>
    </row>
    <row r="76" spans="1:161" ht="4.5" customHeight="1" x14ac:dyDescent="0.25">
      <c r="A76">
        <v>74</v>
      </c>
      <c r="B76" s="21">
        <f ca="1">OFFSET(Objects!$HW$6,B$1+(Objects!$Y$4-$A76-1)*Objects!$X$4,0)</f>
        <v>0</v>
      </c>
      <c r="C76">
        <f ca="1">OFFSET(Objects!$HW$6,C$1+(Objects!$Y$4-$A76-1)*Objects!$X$4,0)</f>
        <v>0</v>
      </c>
      <c r="D76">
        <f ca="1">OFFSET(Objects!$HW$6,D$1+(Objects!$Y$4-$A76-1)*Objects!$X$4,0)</f>
        <v>0</v>
      </c>
      <c r="E76">
        <f ca="1">OFFSET(Objects!$HW$6,E$1+(Objects!$Y$4-$A76-1)*Objects!$X$4,0)</f>
        <v>0</v>
      </c>
      <c r="F76">
        <f ca="1">OFFSET(Objects!$HW$6,F$1+(Objects!$Y$4-$A76-1)*Objects!$X$4,0)</f>
        <v>0</v>
      </c>
      <c r="G76">
        <f ca="1">OFFSET(Objects!$HW$6,G$1+(Objects!$Y$4-$A76-1)*Objects!$X$4,0)</f>
        <v>0</v>
      </c>
      <c r="H76">
        <f ca="1">OFFSET(Objects!$HW$6,H$1+(Objects!$Y$4-$A76-1)*Objects!$X$4,0)</f>
        <v>0</v>
      </c>
      <c r="I76">
        <f ca="1">OFFSET(Objects!$HW$6,I$1+(Objects!$Y$4-$A76-1)*Objects!$X$4,0)</f>
        <v>0</v>
      </c>
      <c r="J76">
        <f ca="1">OFFSET(Objects!$HW$6,J$1+(Objects!$Y$4-$A76-1)*Objects!$X$4,0)</f>
        <v>0</v>
      </c>
      <c r="K76">
        <f ca="1">OFFSET(Objects!$HW$6,K$1+(Objects!$Y$4-$A76-1)*Objects!$X$4,0)</f>
        <v>0</v>
      </c>
      <c r="L76">
        <f ca="1">OFFSET(Objects!$HW$6,L$1+(Objects!$Y$4-$A76-1)*Objects!$X$4,0)</f>
        <v>0</v>
      </c>
      <c r="M76">
        <f ca="1">OFFSET(Objects!$HW$6,M$1+(Objects!$Y$4-$A76-1)*Objects!$X$4,0)</f>
        <v>0</v>
      </c>
      <c r="N76">
        <f ca="1">OFFSET(Objects!$HW$6,N$1+(Objects!$Y$4-$A76-1)*Objects!$X$4,0)</f>
        <v>0</v>
      </c>
      <c r="O76">
        <f ca="1">OFFSET(Objects!$HW$6,O$1+(Objects!$Y$4-$A76-1)*Objects!$X$4,0)</f>
        <v>0</v>
      </c>
      <c r="P76">
        <f ca="1">OFFSET(Objects!$HW$6,P$1+(Objects!$Y$4-$A76-1)*Objects!$X$4,0)</f>
        <v>0</v>
      </c>
      <c r="Q76">
        <f ca="1">OFFSET(Objects!$HW$6,Q$1+(Objects!$Y$4-$A76-1)*Objects!$X$4,0)</f>
        <v>0</v>
      </c>
      <c r="R76">
        <f ca="1">OFFSET(Objects!$HW$6,R$1+(Objects!$Y$4-$A76-1)*Objects!$X$4,0)</f>
        <v>0</v>
      </c>
      <c r="S76">
        <f ca="1">OFFSET(Objects!$HW$6,S$1+(Objects!$Y$4-$A76-1)*Objects!$X$4,0)</f>
        <v>0</v>
      </c>
      <c r="T76">
        <f ca="1">OFFSET(Objects!$HW$6,T$1+(Objects!$Y$4-$A76-1)*Objects!$X$4,0)</f>
        <v>0</v>
      </c>
      <c r="U76">
        <f ca="1">OFFSET(Objects!$HW$6,U$1+(Objects!$Y$4-$A76-1)*Objects!$X$4,0)</f>
        <v>0</v>
      </c>
      <c r="V76">
        <f ca="1">OFFSET(Objects!$HW$6,V$1+(Objects!$Y$4-$A76-1)*Objects!$X$4,0)</f>
        <v>0</v>
      </c>
      <c r="W76">
        <f ca="1">OFFSET(Objects!$HW$6,W$1+(Objects!$Y$4-$A76-1)*Objects!$X$4,0)</f>
        <v>0</v>
      </c>
      <c r="X76">
        <f ca="1">OFFSET(Objects!$HW$6,X$1+(Objects!$Y$4-$A76-1)*Objects!$X$4,0)</f>
        <v>0</v>
      </c>
      <c r="Y76">
        <f ca="1">OFFSET(Objects!$HW$6,Y$1+(Objects!$Y$4-$A76-1)*Objects!$X$4,0)</f>
        <v>0</v>
      </c>
      <c r="Z76">
        <f ca="1">OFFSET(Objects!$HW$6,Z$1+(Objects!$Y$4-$A76-1)*Objects!$X$4,0)</f>
        <v>0</v>
      </c>
      <c r="AA76">
        <f ca="1">OFFSET(Objects!$HW$6,AA$1+(Objects!$Y$4-$A76-1)*Objects!$X$4,0)</f>
        <v>0</v>
      </c>
      <c r="AB76">
        <f ca="1">OFFSET(Objects!$HW$6,AB$1+(Objects!$Y$4-$A76-1)*Objects!$X$4,0)</f>
        <v>0</v>
      </c>
      <c r="AC76">
        <f ca="1">OFFSET(Objects!$HW$6,AC$1+(Objects!$Y$4-$A76-1)*Objects!$X$4,0)</f>
        <v>0</v>
      </c>
      <c r="AD76">
        <f ca="1">OFFSET(Objects!$HW$6,AD$1+(Objects!$Y$4-$A76-1)*Objects!$X$4,0)</f>
        <v>0</v>
      </c>
      <c r="AE76">
        <f ca="1">OFFSET(Objects!$HW$6,AE$1+(Objects!$Y$4-$A76-1)*Objects!$X$4,0)</f>
        <v>0</v>
      </c>
      <c r="AF76">
        <f ca="1">OFFSET(Objects!$HW$6,AF$1+(Objects!$Y$4-$A76-1)*Objects!$X$4,0)</f>
        <v>0</v>
      </c>
      <c r="AG76">
        <f ca="1">OFFSET(Objects!$HW$6,AG$1+(Objects!$Y$4-$A76-1)*Objects!$X$4,0)</f>
        <v>0</v>
      </c>
      <c r="AH76">
        <f ca="1">OFFSET(Objects!$HW$6,AH$1+(Objects!$Y$4-$A76-1)*Objects!$X$4,0)</f>
        <v>0</v>
      </c>
      <c r="AI76">
        <f ca="1">OFFSET(Objects!$HW$6,AI$1+(Objects!$Y$4-$A76-1)*Objects!$X$4,0)</f>
        <v>0</v>
      </c>
      <c r="AJ76">
        <f ca="1">OFFSET(Objects!$HW$6,AJ$1+(Objects!$Y$4-$A76-1)*Objects!$X$4,0)</f>
        <v>0</v>
      </c>
      <c r="AK76">
        <f ca="1">OFFSET(Objects!$HW$6,AK$1+(Objects!$Y$4-$A76-1)*Objects!$X$4,0)</f>
        <v>0</v>
      </c>
      <c r="AL76">
        <f ca="1">OFFSET(Objects!$HW$6,AL$1+(Objects!$Y$4-$A76-1)*Objects!$X$4,0)</f>
        <v>0</v>
      </c>
      <c r="AM76">
        <f ca="1">OFFSET(Objects!$HW$6,AM$1+(Objects!$Y$4-$A76-1)*Objects!$X$4,0)</f>
        <v>0</v>
      </c>
      <c r="AN76">
        <f ca="1">OFFSET(Objects!$HW$6,AN$1+(Objects!$Y$4-$A76-1)*Objects!$X$4,0)</f>
        <v>0</v>
      </c>
      <c r="AO76">
        <f ca="1">OFFSET(Objects!$HW$6,AO$1+(Objects!$Y$4-$A76-1)*Objects!$X$4,0)</f>
        <v>0</v>
      </c>
      <c r="AP76">
        <f ca="1">OFFSET(Objects!$HW$6,AP$1+(Objects!$Y$4-$A76-1)*Objects!$X$4,0)</f>
        <v>0</v>
      </c>
      <c r="AQ76">
        <f ca="1">OFFSET(Objects!$HW$6,AQ$1+(Objects!$Y$4-$A76-1)*Objects!$X$4,0)</f>
        <v>0</v>
      </c>
      <c r="AR76">
        <f ca="1">OFFSET(Objects!$HW$6,AR$1+(Objects!$Y$4-$A76-1)*Objects!$X$4,0)</f>
        <v>0</v>
      </c>
      <c r="AS76">
        <f ca="1">OFFSET(Objects!$HW$6,AS$1+(Objects!$Y$4-$A76-1)*Objects!$X$4,0)</f>
        <v>0</v>
      </c>
      <c r="AT76">
        <f ca="1">OFFSET(Objects!$HW$6,AT$1+(Objects!$Y$4-$A76-1)*Objects!$X$4,0)</f>
        <v>0</v>
      </c>
      <c r="AU76">
        <f ca="1">OFFSET(Objects!$HW$6,AU$1+(Objects!$Y$4-$A76-1)*Objects!$X$4,0)</f>
        <v>0</v>
      </c>
      <c r="AV76">
        <f ca="1">OFFSET(Objects!$HW$6,AV$1+(Objects!$Y$4-$A76-1)*Objects!$X$4,0)</f>
        <v>0</v>
      </c>
      <c r="AW76">
        <f ca="1">OFFSET(Objects!$HW$6,AW$1+(Objects!$Y$4-$A76-1)*Objects!$X$4,0)</f>
        <v>0</v>
      </c>
      <c r="AX76">
        <f ca="1">OFFSET(Objects!$HW$6,AX$1+(Objects!$Y$4-$A76-1)*Objects!$X$4,0)</f>
        <v>0</v>
      </c>
      <c r="AY76">
        <f ca="1">OFFSET(Objects!$HW$6,AY$1+(Objects!$Y$4-$A76-1)*Objects!$X$4,0)</f>
        <v>0</v>
      </c>
      <c r="AZ76">
        <f ca="1">OFFSET(Objects!$HW$6,AZ$1+(Objects!$Y$4-$A76-1)*Objects!$X$4,0)</f>
        <v>0</v>
      </c>
      <c r="BA76">
        <f ca="1">OFFSET(Objects!$HW$6,BA$1+(Objects!$Y$4-$A76-1)*Objects!$X$4,0)</f>
        <v>0</v>
      </c>
      <c r="BB76">
        <f ca="1">OFFSET(Objects!$HW$6,BB$1+(Objects!$Y$4-$A76-1)*Objects!$X$4,0)</f>
        <v>0</v>
      </c>
      <c r="BC76">
        <f ca="1">OFFSET(Objects!$HW$6,BC$1+(Objects!$Y$4-$A76-1)*Objects!$X$4,0)</f>
        <v>0</v>
      </c>
      <c r="BD76">
        <f ca="1">OFFSET(Objects!$HW$6,BD$1+(Objects!$Y$4-$A76-1)*Objects!$X$4,0)</f>
        <v>0</v>
      </c>
      <c r="BE76">
        <f ca="1">OFFSET(Objects!$HW$6,BE$1+(Objects!$Y$4-$A76-1)*Objects!$X$4,0)</f>
        <v>0</v>
      </c>
      <c r="BF76">
        <f ca="1">OFFSET(Objects!$HW$6,BF$1+(Objects!$Y$4-$A76-1)*Objects!$X$4,0)</f>
        <v>0</v>
      </c>
      <c r="BG76">
        <f ca="1">OFFSET(Objects!$HW$6,BG$1+(Objects!$Y$4-$A76-1)*Objects!$X$4,0)</f>
        <v>0</v>
      </c>
      <c r="BH76">
        <f ca="1">OFFSET(Objects!$HW$6,BH$1+(Objects!$Y$4-$A76-1)*Objects!$X$4,0)</f>
        <v>0</v>
      </c>
      <c r="BI76">
        <f ca="1">OFFSET(Objects!$HW$6,BI$1+(Objects!$Y$4-$A76-1)*Objects!$X$4,0)</f>
        <v>0</v>
      </c>
      <c r="BJ76">
        <f ca="1">OFFSET(Objects!$HW$6,BJ$1+(Objects!$Y$4-$A76-1)*Objects!$X$4,0)</f>
        <v>0</v>
      </c>
      <c r="BK76">
        <f ca="1">OFFSET(Objects!$HW$6,BK$1+(Objects!$Y$4-$A76-1)*Objects!$X$4,0)</f>
        <v>0</v>
      </c>
      <c r="BL76">
        <f ca="1">OFFSET(Objects!$HW$6,BL$1+(Objects!$Y$4-$A76-1)*Objects!$X$4,0)</f>
        <v>0</v>
      </c>
      <c r="BM76">
        <f ca="1">OFFSET(Objects!$HW$6,BM$1+(Objects!$Y$4-$A76-1)*Objects!$X$4,0)</f>
        <v>0</v>
      </c>
      <c r="BN76">
        <f ca="1">OFFSET(Objects!$HW$6,BN$1+(Objects!$Y$4-$A76-1)*Objects!$X$4,0)</f>
        <v>0</v>
      </c>
      <c r="BO76">
        <f ca="1">OFFSET(Objects!$HW$6,BO$1+(Objects!$Y$4-$A76-1)*Objects!$X$4,0)</f>
        <v>0</v>
      </c>
      <c r="BP76">
        <f ca="1">OFFSET(Objects!$HW$6,BP$1+(Objects!$Y$4-$A76-1)*Objects!$X$4,0)</f>
        <v>0</v>
      </c>
      <c r="BQ76">
        <f ca="1">OFFSET(Objects!$HW$6,BQ$1+(Objects!$Y$4-$A76-1)*Objects!$X$4,0)</f>
        <v>0</v>
      </c>
      <c r="BR76">
        <f ca="1">OFFSET(Objects!$HW$6,BR$1+(Objects!$Y$4-$A76-1)*Objects!$X$4,0)</f>
        <v>0</v>
      </c>
      <c r="BS76">
        <f ca="1">OFFSET(Objects!$HW$6,BS$1+(Objects!$Y$4-$A76-1)*Objects!$X$4,0)</f>
        <v>0</v>
      </c>
      <c r="BT76">
        <f ca="1">OFFSET(Objects!$HW$6,BT$1+(Objects!$Y$4-$A76-1)*Objects!$X$4,0)</f>
        <v>0</v>
      </c>
      <c r="BU76">
        <f ca="1">OFFSET(Objects!$HW$6,BU$1+(Objects!$Y$4-$A76-1)*Objects!$X$4,0)</f>
        <v>0</v>
      </c>
      <c r="BV76">
        <f ca="1">OFFSET(Objects!$HW$6,BV$1+(Objects!$Y$4-$A76-1)*Objects!$X$4,0)</f>
        <v>0</v>
      </c>
      <c r="BW76">
        <f ca="1">OFFSET(Objects!$HW$6,BW$1+(Objects!$Y$4-$A76-1)*Objects!$X$4,0)</f>
        <v>0</v>
      </c>
      <c r="BX76">
        <f ca="1">OFFSET(Objects!$HW$6,BX$1+(Objects!$Y$4-$A76-1)*Objects!$X$4,0)</f>
        <v>0</v>
      </c>
      <c r="BY76">
        <f ca="1">OFFSET(Objects!$HW$6,BY$1+(Objects!$Y$4-$A76-1)*Objects!$X$4,0)</f>
        <v>0</v>
      </c>
      <c r="BZ76">
        <f ca="1">OFFSET(Objects!$HW$6,BZ$1+(Objects!$Y$4-$A76-1)*Objects!$X$4,0)</f>
        <v>0</v>
      </c>
      <c r="CA76">
        <f ca="1">OFFSET(Objects!$HW$6,CA$1+(Objects!$Y$4-$A76-1)*Objects!$X$4,0)</f>
        <v>0</v>
      </c>
      <c r="CB76">
        <f ca="1">OFFSET(Objects!$HW$6,CB$1+(Objects!$Y$4-$A76-1)*Objects!$X$4,0)</f>
        <v>0</v>
      </c>
      <c r="CC76">
        <f ca="1">OFFSET(Objects!$HW$6,CC$1+(Objects!$Y$4-$A76-1)*Objects!$X$4,0)</f>
        <v>0</v>
      </c>
      <c r="CD76">
        <f ca="1">OFFSET(Objects!$HW$6,CD$1+(Objects!$Y$4-$A76-1)*Objects!$X$4,0)</f>
        <v>0</v>
      </c>
      <c r="CE76">
        <f ca="1">OFFSET(Objects!$HW$6,CE$1+(Objects!$Y$4-$A76-1)*Objects!$X$4,0)</f>
        <v>0</v>
      </c>
      <c r="CF76">
        <f ca="1">OFFSET(Objects!$HW$6,CF$1+(Objects!$Y$4-$A76-1)*Objects!$X$4,0)</f>
        <v>0</v>
      </c>
      <c r="CG76">
        <f ca="1">OFFSET(Objects!$HW$6,CG$1+(Objects!$Y$4-$A76-1)*Objects!$X$4,0)</f>
        <v>0</v>
      </c>
      <c r="CH76">
        <f ca="1">OFFSET(Objects!$HW$6,CH$1+(Objects!$Y$4-$A76-1)*Objects!$X$4,0)</f>
        <v>0</v>
      </c>
      <c r="CI76">
        <f ca="1">OFFSET(Objects!$HW$6,CI$1+(Objects!$Y$4-$A76-1)*Objects!$X$4,0)</f>
        <v>0</v>
      </c>
      <c r="CJ76">
        <f ca="1">OFFSET(Objects!$HW$6,CJ$1+(Objects!$Y$4-$A76-1)*Objects!$X$4,0)</f>
        <v>0</v>
      </c>
      <c r="CK76">
        <f ca="1">OFFSET(Objects!$HW$6,CK$1+(Objects!$Y$4-$A76-1)*Objects!$X$4,0)</f>
        <v>0</v>
      </c>
      <c r="CL76">
        <f ca="1">OFFSET(Objects!$HW$6,CL$1+(Objects!$Y$4-$A76-1)*Objects!$X$4,0)</f>
        <v>0</v>
      </c>
      <c r="CM76">
        <f ca="1">OFFSET(Objects!$HW$6,CM$1+(Objects!$Y$4-$A76-1)*Objects!$X$4,0)</f>
        <v>0</v>
      </c>
      <c r="CN76">
        <f ca="1">OFFSET(Objects!$HW$6,CN$1+(Objects!$Y$4-$A76-1)*Objects!$X$4,0)</f>
        <v>0</v>
      </c>
      <c r="CO76">
        <f ca="1">OFFSET(Objects!$HW$6,CO$1+(Objects!$Y$4-$A76-1)*Objects!$X$4,0)</f>
        <v>0</v>
      </c>
      <c r="CP76">
        <f ca="1">OFFSET(Objects!$HW$6,CP$1+(Objects!$Y$4-$A76-1)*Objects!$X$4,0)</f>
        <v>0</v>
      </c>
      <c r="CQ76">
        <f ca="1">OFFSET(Objects!$HW$6,CQ$1+(Objects!$Y$4-$A76-1)*Objects!$X$4,0)</f>
        <v>0</v>
      </c>
      <c r="CR76">
        <f ca="1">OFFSET(Objects!$HW$6,CR$1+(Objects!$Y$4-$A76-1)*Objects!$X$4,0)</f>
        <v>0</v>
      </c>
      <c r="CS76">
        <f ca="1">OFFSET(Objects!$HW$6,CS$1+(Objects!$Y$4-$A76-1)*Objects!$X$4,0)</f>
        <v>0</v>
      </c>
      <c r="CT76">
        <f ca="1">OFFSET(Objects!$HW$6,CT$1+(Objects!$Y$4-$A76-1)*Objects!$X$4,0)</f>
        <v>0</v>
      </c>
      <c r="CU76">
        <f ca="1">OFFSET(Objects!$HW$6,CU$1+(Objects!$Y$4-$A76-1)*Objects!$X$4,0)</f>
        <v>0</v>
      </c>
      <c r="CV76">
        <f ca="1">OFFSET(Objects!$HW$6,CV$1+(Objects!$Y$4-$A76-1)*Objects!$X$4,0)</f>
        <v>0</v>
      </c>
      <c r="CW76">
        <f ca="1">OFFSET(Objects!$HW$6,CW$1+(Objects!$Y$4-$A76-1)*Objects!$X$4,0)</f>
        <v>0</v>
      </c>
      <c r="CX76">
        <f ca="1">OFFSET(Objects!$HW$6,CX$1+(Objects!$Y$4-$A76-1)*Objects!$X$4,0)</f>
        <v>0</v>
      </c>
      <c r="CY76">
        <f ca="1">OFFSET(Objects!$HW$6,CY$1+(Objects!$Y$4-$A76-1)*Objects!$X$4,0)</f>
        <v>0</v>
      </c>
      <c r="CZ76">
        <f ca="1">OFFSET(Objects!$HW$6,CZ$1+(Objects!$Y$4-$A76-1)*Objects!$X$4,0)</f>
        <v>0</v>
      </c>
      <c r="DA76">
        <f ca="1">OFFSET(Objects!$HW$6,DA$1+(Objects!$Y$4-$A76-1)*Objects!$X$4,0)</f>
        <v>0</v>
      </c>
      <c r="DB76">
        <f ca="1">OFFSET(Objects!$HW$6,DB$1+(Objects!$Y$4-$A76-1)*Objects!$X$4,0)</f>
        <v>0</v>
      </c>
      <c r="DC76">
        <f ca="1">OFFSET(Objects!$HW$6,DC$1+(Objects!$Y$4-$A76-1)*Objects!$X$4,0)</f>
        <v>0</v>
      </c>
      <c r="DD76">
        <f ca="1">OFFSET(Objects!$HW$6,DD$1+(Objects!$Y$4-$A76-1)*Objects!$X$4,0)</f>
        <v>0</v>
      </c>
      <c r="DE76">
        <f ca="1">OFFSET(Objects!$HW$6,DE$1+(Objects!$Y$4-$A76-1)*Objects!$X$4,0)</f>
        <v>0</v>
      </c>
      <c r="DF76">
        <f ca="1">OFFSET(Objects!$HW$6,DF$1+(Objects!$Y$4-$A76-1)*Objects!$X$4,0)</f>
        <v>0</v>
      </c>
      <c r="DG76">
        <f ca="1">OFFSET(Objects!$HW$6,DG$1+(Objects!$Y$4-$A76-1)*Objects!$X$4,0)</f>
        <v>0</v>
      </c>
      <c r="DH76">
        <f ca="1">OFFSET(Objects!$HW$6,DH$1+(Objects!$Y$4-$A76-1)*Objects!$X$4,0)</f>
        <v>0</v>
      </c>
      <c r="DI76">
        <f ca="1">OFFSET(Objects!$HW$6,DI$1+(Objects!$Y$4-$A76-1)*Objects!$X$4,0)</f>
        <v>0</v>
      </c>
      <c r="DJ76">
        <f ca="1">OFFSET(Objects!$HW$6,DJ$1+(Objects!$Y$4-$A76-1)*Objects!$X$4,0)</f>
        <v>0</v>
      </c>
      <c r="DK76">
        <f ca="1">OFFSET(Objects!$HW$6,DK$1+(Objects!$Y$4-$A76-1)*Objects!$X$4,0)</f>
        <v>0</v>
      </c>
      <c r="DL76">
        <f ca="1">OFFSET(Objects!$HW$6,DL$1+(Objects!$Y$4-$A76-1)*Objects!$X$4,0)</f>
        <v>0</v>
      </c>
      <c r="DM76">
        <f ca="1">OFFSET(Objects!$HW$6,DM$1+(Objects!$Y$4-$A76-1)*Objects!$X$4,0)</f>
        <v>0</v>
      </c>
      <c r="DN76">
        <f ca="1">OFFSET(Objects!$HW$6,DN$1+(Objects!$Y$4-$A76-1)*Objects!$X$4,0)</f>
        <v>0</v>
      </c>
      <c r="DO76">
        <f ca="1">OFFSET(Objects!$HW$6,DO$1+(Objects!$Y$4-$A76-1)*Objects!$X$4,0)</f>
        <v>0</v>
      </c>
      <c r="DP76">
        <f ca="1">OFFSET(Objects!$HW$6,DP$1+(Objects!$Y$4-$A76-1)*Objects!$X$4,0)</f>
        <v>0</v>
      </c>
      <c r="DQ76">
        <f ca="1">OFFSET(Objects!$HW$6,DQ$1+(Objects!$Y$4-$A76-1)*Objects!$X$4,0)</f>
        <v>0</v>
      </c>
      <c r="DR76">
        <f ca="1">OFFSET(Objects!$HW$6,DR$1+(Objects!$Y$4-$A76-1)*Objects!$X$4,0)</f>
        <v>0</v>
      </c>
      <c r="DS76">
        <f ca="1">OFFSET(Objects!$HW$6,DS$1+(Objects!$Y$4-$A76-1)*Objects!$X$4,0)</f>
        <v>0</v>
      </c>
      <c r="DT76">
        <f ca="1">OFFSET(Objects!$HW$6,DT$1+(Objects!$Y$4-$A76-1)*Objects!$X$4,0)</f>
        <v>0</v>
      </c>
      <c r="DU76">
        <f ca="1">OFFSET(Objects!$HW$6,DU$1+(Objects!$Y$4-$A76-1)*Objects!$X$4,0)</f>
        <v>0</v>
      </c>
      <c r="DV76">
        <f ca="1">OFFSET(Objects!$HW$6,DV$1+(Objects!$Y$4-$A76-1)*Objects!$X$4,0)</f>
        <v>0</v>
      </c>
      <c r="DW76">
        <f ca="1">OFFSET(Objects!$HW$6,DW$1+(Objects!$Y$4-$A76-1)*Objects!$X$4,0)</f>
        <v>0</v>
      </c>
      <c r="DX76">
        <f ca="1">OFFSET(Objects!$HW$6,DX$1+(Objects!$Y$4-$A76-1)*Objects!$X$4,0)</f>
        <v>0</v>
      </c>
      <c r="DY76">
        <f ca="1">OFFSET(Objects!$HW$6,DY$1+(Objects!$Y$4-$A76-1)*Objects!$X$4,0)</f>
        <v>0</v>
      </c>
      <c r="DZ76">
        <f ca="1">OFFSET(Objects!$HW$6,DZ$1+(Objects!$Y$4-$A76-1)*Objects!$X$4,0)</f>
        <v>0</v>
      </c>
      <c r="EA76">
        <f ca="1">OFFSET(Objects!$HW$6,EA$1+(Objects!$Y$4-$A76-1)*Objects!$X$4,0)</f>
        <v>0</v>
      </c>
      <c r="EB76">
        <f ca="1">OFFSET(Objects!$HW$6,EB$1+(Objects!$Y$4-$A76-1)*Objects!$X$4,0)</f>
        <v>0</v>
      </c>
      <c r="EC76">
        <f ca="1">OFFSET(Objects!$HW$6,EC$1+(Objects!$Y$4-$A76-1)*Objects!$X$4,0)</f>
        <v>0</v>
      </c>
      <c r="ED76">
        <f ca="1">OFFSET(Objects!$HW$6,ED$1+(Objects!$Y$4-$A76-1)*Objects!$X$4,0)</f>
        <v>0</v>
      </c>
      <c r="EE76">
        <f ca="1">OFFSET(Objects!$HW$6,EE$1+(Objects!$Y$4-$A76-1)*Objects!$X$4,0)</f>
        <v>0</v>
      </c>
      <c r="EF76">
        <f ca="1">OFFSET(Objects!$HW$6,EF$1+(Objects!$Y$4-$A76-1)*Objects!$X$4,0)</f>
        <v>0</v>
      </c>
      <c r="EG76">
        <f ca="1">OFFSET(Objects!$HW$6,EG$1+(Objects!$Y$4-$A76-1)*Objects!$X$4,0)</f>
        <v>0</v>
      </c>
      <c r="EH76">
        <f ca="1">OFFSET(Objects!$HW$6,EH$1+(Objects!$Y$4-$A76-1)*Objects!$X$4,0)</f>
        <v>0</v>
      </c>
      <c r="EI76">
        <f ca="1">OFFSET(Objects!$HW$6,EI$1+(Objects!$Y$4-$A76-1)*Objects!$X$4,0)</f>
        <v>0</v>
      </c>
      <c r="EJ76">
        <f ca="1">OFFSET(Objects!$HW$6,EJ$1+(Objects!$Y$4-$A76-1)*Objects!$X$4,0)</f>
        <v>0</v>
      </c>
      <c r="EK76">
        <f ca="1">OFFSET(Objects!$HW$6,EK$1+(Objects!$Y$4-$A76-1)*Objects!$X$4,0)</f>
        <v>0</v>
      </c>
      <c r="EL76">
        <f ca="1">OFFSET(Objects!$HW$6,EL$1+(Objects!$Y$4-$A76-1)*Objects!$X$4,0)</f>
        <v>0</v>
      </c>
      <c r="EM76">
        <f ca="1">OFFSET(Objects!$HW$6,EM$1+(Objects!$Y$4-$A76-1)*Objects!$X$4,0)</f>
        <v>0</v>
      </c>
      <c r="EN76">
        <f ca="1">OFFSET(Objects!$HW$6,EN$1+(Objects!$Y$4-$A76-1)*Objects!$X$4,0)</f>
        <v>0</v>
      </c>
      <c r="EO76">
        <f ca="1">OFFSET(Objects!$HW$6,EO$1+(Objects!$Y$4-$A76-1)*Objects!$X$4,0)</f>
        <v>0</v>
      </c>
      <c r="EP76">
        <f ca="1">OFFSET(Objects!$HW$6,EP$1+(Objects!$Y$4-$A76-1)*Objects!$X$4,0)</f>
        <v>0</v>
      </c>
      <c r="EQ76">
        <f ca="1">OFFSET(Objects!$HW$6,EQ$1+(Objects!$Y$4-$A76-1)*Objects!$X$4,0)</f>
        <v>0</v>
      </c>
      <c r="ER76">
        <f ca="1">OFFSET(Objects!$HW$6,ER$1+(Objects!$Y$4-$A76-1)*Objects!$X$4,0)</f>
        <v>0</v>
      </c>
      <c r="ES76">
        <f ca="1">OFFSET(Objects!$HW$6,ES$1+(Objects!$Y$4-$A76-1)*Objects!$X$4,0)</f>
        <v>0</v>
      </c>
      <c r="ET76">
        <f ca="1">OFFSET(Objects!$HW$6,ET$1+(Objects!$Y$4-$A76-1)*Objects!$X$4,0)</f>
        <v>0</v>
      </c>
      <c r="EU76">
        <f ca="1">OFFSET(Objects!$HW$6,EU$1+(Objects!$Y$4-$A76-1)*Objects!$X$4,0)</f>
        <v>0</v>
      </c>
      <c r="EV76">
        <f ca="1">OFFSET(Objects!$HW$6,EV$1+(Objects!$Y$4-$A76-1)*Objects!$X$4,0)</f>
        <v>0</v>
      </c>
      <c r="EW76">
        <f ca="1">OFFSET(Objects!$HW$6,EW$1+(Objects!$Y$4-$A76-1)*Objects!$X$4,0)</f>
        <v>0</v>
      </c>
      <c r="EX76">
        <f ca="1">OFFSET(Objects!$HW$6,EX$1+(Objects!$Y$4-$A76-1)*Objects!$X$4,0)</f>
        <v>0</v>
      </c>
      <c r="EY76">
        <f ca="1">OFFSET(Objects!$HW$6,EY$1+(Objects!$Y$4-$A76-1)*Objects!$X$4,0)</f>
        <v>0</v>
      </c>
      <c r="EZ76">
        <f ca="1">OFFSET(Objects!$HW$6,EZ$1+(Objects!$Y$4-$A76-1)*Objects!$X$4,0)</f>
        <v>0</v>
      </c>
      <c r="FA76">
        <f ca="1">OFFSET(Objects!$HW$6,FA$1+(Objects!$Y$4-$A76-1)*Objects!$X$4,0)</f>
        <v>0</v>
      </c>
      <c r="FB76">
        <f ca="1">OFFSET(Objects!$HW$6,FB$1+(Objects!$Y$4-$A76-1)*Objects!$X$4,0)</f>
        <v>0</v>
      </c>
      <c r="FC76">
        <f ca="1">OFFSET(Objects!$HW$6,FC$1+(Objects!$Y$4-$A76-1)*Objects!$X$4,0)</f>
        <v>0</v>
      </c>
      <c r="FD76">
        <f ca="1">OFFSET(Objects!$HW$6,FD$1+(Objects!$Y$4-$A76-1)*Objects!$X$4,0)</f>
        <v>0</v>
      </c>
      <c r="FE76" s="22">
        <f ca="1">OFFSET(Objects!$HW$6,FE$1+(Objects!$Y$4-$A76-1)*Objects!$X$4,0)</f>
        <v>0</v>
      </c>
    </row>
    <row r="77" spans="1:161" ht="4.5" customHeight="1" x14ac:dyDescent="0.25">
      <c r="A77">
        <v>75</v>
      </c>
      <c r="B77" s="21">
        <f ca="1">OFFSET(Objects!$HW$6,B$1+(Objects!$Y$4-$A77-1)*Objects!$X$4,0)</f>
        <v>0</v>
      </c>
      <c r="C77">
        <f ca="1">OFFSET(Objects!$HW$6,C$1+(Objects!$Y$4-$A77-1)*Objects!$X$4,0)</f>
        <v>0</v>
      </c>
      <c r="D77">
        <f ca="1">OFFSET(Objects!$HW$6,D$1+(Objects!$Y$4-$A77-1)*Objects!$X$4,0)</f>
        <v>0</v>
      </c>
      <c r="E77">
        <f ca="1">OFFSET(Objects!$HW$6,E$1+(Objects!$Y$4-$A77-1)*Objects!$X$4,0)</f>
        <v>0</v>
      </c>
      <c r="F77">
        <f ca="1">OFFSET(Objects!$HW$6,F$1+(Objects!$Y$4-$A77-1)*Objects!$X$4,0)</f>
        <v>0</v>
      </c>
      <c r="G77">
        <f ca="1">OFFSET(Objects!$HW$6,G$1+(Objects!$Y$4-$A77-1)*Objects!$X$4,0)</f>
        <v>0</v>
      </c>
      <c r="H77">
        <f ca="1">OFFSET(Objects!$HW$6,H$1+(Objects!$Y$4-$A77-1)*Objects!$X$4,0)</f>
        <v>0</v>
      </c>
      <c r="I77">
        <f ca="1">OFFSET(Objects!$HW$6,I$1+(Objects!$Y$4-$A77-1)*Objects!$X$4,0)</f>
        <v>0</v>
      </c>
      <c r="J77">
        <f ca="1">OFFSET(Objects!$HW$6,J$1+(Objects!$Y$4-$A77-1)*Objects!$X$4,0)</f>
        <v>0</v>
      </c>
      <c r="K77">
        <f ca="1">OFFSET(Objects!$HW$6,K$1+(Objects!$Y$4-$A77-1)*Objects!$X$4,0)</f>
        <v>0</v>
      </c>
      <c r="L77">
        <f ca="1">OFFSET(Objects!$HW$6,L$1+(Objects!$Y$4-$A77-1)*Objects!$X$4,0)</f>
        <v>0</v>
      </c>
      <c r="M77">
        <f ca="1">OFFSET(Objects!$HW$6,M$1+(Objects!$Y$4-$A77-1)*Objects!$X$4,0)</f>
        <v>0</v>
      </c>
      <c r="N77">
        <f ca="1">OFFSET(Objects!$HW$6,N$1+(Objects!$Y$4-$A77-1)*Objects!$X$4,0)</f>
        <v>0</v>
      </c>
      <c r="O77">
        <f ca="1">OFFSET(Objects!$HW$6,O$1+(Objects!$Y$4-$A77-1)*Objects!$X$4,0)</f>
        <v>0</v>
      </c>
      <c r="P77">
        <f ca="1">OFFSET(Objects!$HW$6,P$1+(Objects!$Y$4-$A77-1)*Objects!$X$4,0)</f>
        <v>0</v>
      </c>
      <c r="Q77">
        <f ca="1">OFFSET(Objects!$HW$6,Q$1+(Objects!$Y$4-$A77-1)*Objects!$X$4,0)</f>
        <v>0</v>
      </c>
      <c r="R77">
        <f ca="1">OFFSET(Objects!$HW$6,R$1+(Objects!$Y$4-$A77-1)*Objects!$X$4,0)</f>
        <v>0</v>
      </c>
      <c r="S77">
        <f ca="1">OFFSET(Objects!$HW$6,S$1+(Objects!$Y$4-$A77-1)*Objects!$X$4,0)</f>
        <v>0</v>
      </c>
      <c r="T77">
        <f ca="1">OFFSET(Objects!$HW$6,T$1+(Objects!$Y$4-$A77-1)*Objects!$X$4,0)</f>
        <v>0</v>
      </c>
      <c r="U77">
        <f ca="1">OFFSET(Objects!$HW$6,U$1+(Objects!$Y$4-$A77-1)*Objects!$X$4,0)</f>
        <v>0</v>
      </c>
      <c r="V77">
        <f ca="1">OFFSET(Objects!$HW$6,V$1+(Objects!$Y$4-$A77-1)*Objects!$X$4,0)</f>
        <v>0</v>
      </c>
      <c r="W77">
        <f ca="1">OFFSET(Objects!$HW$6,W$1+(Objects!$Y$4-$A77-1)*Objects!$X$4,0)</f>
        <v>0</v>
      </c>
      <c r="X77">
        <f ca="1">OFFSET(Objects!$HW$6,X$1+(Objects!$Y$4-$A77-1)*Objects!$X$4,0)</f>
        <v>0</v>
      </c>
      <c r="Y77">
        <f ca="1">OFFSET(Objects!$HW$6,Y$1+(Objects!$Y$4-$A77-1)*Objects!$X$4,0)</f>
        <v>0</v>
      </c>
      <c r="Z77">
        <f ca="1">OFFSET(Objects!$HW$6,Z$1+(Objects!$Y$4-$A77-1)*Objects!$X$4,0)</f>
        <v>0</v>
      </c>
      <c r="AA77">
        <f ca="1">OFFSET(Objects!$HW$6,AA$1+(Objects!$Y$4-$A77-1)*Objects!$X$4,0)</f>
        <v>0</v>
      </c>
      <c r="AB77">
        <f ca="1">OFFSET(Objects!$HW$6,AB$1+(Objects!$Y$4-$A77-1)*Objects!$X$4,0)</f>
        <v>0</v>
      </c>
      <c r="AC77">
        <f ca="1">OFFSET(Objects!$HW$6,AC$1+(Objects!$Y$4-$A77-1)*Objects!$X$4,0)</f>
        <v>0</v>
      </c>
      <c r="AD77">
        <f ca="1">OFFSET(Objects!$HW$6,AD$1+(Objects!$Y$4-$A77-1)*Objects!$X$4,0)</f>
        <v>0</v>
      </c>
      <c r="AE77">
        <f ca="1">OFFSET(Objects!$HW$6,AE$1+(Objects!$Y$4-$A77-1)*Objects!$X$4,0)</f>
        <v>0</v>
      </c>
      <c r="AF77">
        <f ca="1">OFFSET(Objects!$HW$6,AF$1+(Objects!$Y$4-$A77-1)*Objects!$X$4,0)</f>
        <v>0</v>
      </c>
      <c r="AG77">
        <f ca="1">OFFSET(Objects!$HW$6,AG$1+(Objects!$Y$4-$A77-1)*Objects!$X$4,0)</f>
        <v>0</v>
      </c>
      <c r="AH77">
        <f ca="1">OFFSET(Objects!$HW$6,AH$1+(Objects!$Y$4-$A77-1)*Objects!$X$4,0)</f>
        <v>0</v>
      </c>
      <c r="AI77">
        <f ca="1">OFFSET(Objects!$HW$6,AI$1+(Objects!$Y$4-$A77-1)*Objects!$X$4,0)</f>
        <v>0</v>
      </c>
      <c r="AJ77">
        <f ca="1">OFFSET(Objects!$HW$6,AJ$1+(Objects!$Y$4-$A77-1)*Objects!$X$4,0)</f>
        <v>0</v>
      </c>
      <c r="AK77">
        <f ca="1">OFFSET(Objects!$HW$6,AK$1+(Objects!$Y$4-$A77-1)*Objects!$X$4,0)</f>
        <v>0</v>
      </c>
      <c r="AL77">
        <f ca="1">OFFSET(Objects!$HW$6,AL$1+(Objects!$Y$4-$A77-1)*Objects!$X$4,0)</f>
        <v>0</v>
      </c>
      <c r="AM77">
        <f ca="1">OFFSET(Objects!$HW$6,AM$1+(Objects!$Y$4-$A77-1)*Objects!$X$4,0)</f>
        <v>0</v>
      </c>
      <c r="AN77">
        <f ca="1">OFFSET(Objects!$HW$6,AN$1+(Objects!$Y$4-$A77-1)*Objects!$X$4,0)</f>
        <v>0</v>
      </c>
      <c r="AO77">
        <f ca="1">OFFSET(Objects!$HW$6,AO$1+(Objects!$Y$4-$A77-1)*Objects!$X$4,0)</f>
        <v>0</v>
      </c>
      <c r="AP77">
        <f ca="1">OFFSET(Objects!$HW$6,AP$1+(Objects!$Y$4-$A77-1)*Objects!$X$4,0)</f>
        <v>0</v>
      </c>
      <c r="AQ77">
        <f ca="1">OFFSET(Objects!$HW$6,AQ$1+(Objects!$Y$4-$A77-1)*Objects!$X$4,0)</f>
        <v>0</v>
      </c>
      <c r="AR77">
        <f ca="1">OFFSET(Objects!$HW$6,AR$1+(Objects!$Y$4-$A77-1)*Objects!$X$4,0)</f>
        <v>0</v>
      </c>
      <c r="AS77">
        <f ca="1">OFFSET(Objects!$HW$6,AS$1+(Objects!$Y$4-$A77-1)*Objects!$X$4,0)</f>
        <v>0</v>
      </c>
      <c r="AT77">
        <f ca="1">OFFSET(Objects!$HW$6,AT$1+(Objects!$Y$4-$A77-1)*Objects!$X$4,0)</f>
        <v>0</v>
      </c>
      <c r="AU77">
        <f ca="1">OFFSET(Objects!$HW$6,AU$1+(Objects!$Y$4-$A77-1)*Objects!$X$4,0)</f>
        <v>0</v>
      </c>
      <c r="AV77">
        <f ca="1">OFFSET(Objects!$HW$6,AV$1+(Objects!$Y$4-$A77-1)*Objects!$X$4,0)</f>
        <v>0</v>
      </c>
      <c r="AW77">
        <f ca="1">OFFSET(Objects!$HW$6,AW$1+(Objects!$Y$4-$A77-1)*Objects!$X$4,0)</f>
        <v>0</v>
      </c>
      <c r="AX77">
        <f ca="1">OFFSET(Objects!$HW$6,AX$1+(Objects!$Y$4-$A77-1)*Objects!$X$4,0)</f>
        <v>0</v>
      </c>
      <c r="AY77">
        <f ca="1">OFFSET(Objects!$HW$6,AY$1+(Objects!$Y$4-$A77-1)*Objects!$X$4,0)</f>
        <v>0</v>
      </c>
      <c r="AZ77">
        <f ca="1">OFFSET(Objects!$HW$6,AZ$1+(Objects!$Y$4-$A77-1)*Objects!$X$4,0)</f>
        <v>0</v>
      </c>
      <c r="BA77">
        <f ca="1">OFFSET(Objects!$HW$6,BA$1+(Objects!$Y$4-$A77-1)*Objects!$X$4,0)</f>
        <v>0</v>
      </c>
      <c r="BB77">
        <f ca="1">OFFSET(Objects!$HW$6,BB$1+(Objects!$Y$4-$A77-1)*Objects!$X$4,0)</f>
        <v>0</v>
      </c>
      <c r="BC77">
        <f ca="1">OFFSET(Objects!$HW$6,BC$1+(Objects!$Y$4-$A77-1)*Objects!$X$4,0)</f>
        <v>0</v>
      </c>
      <c r="BD77">
        <f ca="1">OFFSET(Objects!$HW$6,BD$1+(Objects!$Y$4-$A77-1)*Objects!$X$4,0)</f>
        <v>0</v>
      </c>
      <c r="BE77">
        <f ca="1">OFFSET(Objects!$HW$6,BE$1+(Objects!$Y$4-$A77-1)*Objects!$X$4,0)</f>
        <v>0</v>
      </c>
      <c r="BF77">
        <f ca="1">OFFSET(Objects!$HW$6,BF$1+(Objects!$Y$4-$A77-1)*Objects!$X$4,0)</f>
        <v>0</v>
      </c>
      <c r="BG77">
        <f ca="1">OFFSET(Objects!$HW$6,BG$1+(Objects!$Y$4-$A77-1)*Objects!$X$4,0)</f>
        <v>0</v>
      </c>
      <c r="BH77">
        <f ca="1">OFFSET(Objects!$HW$6,BH$1+(Objects!$Y$4-$A77-1)*Objects!$X$4,0)</f>
        <v>0</v>
      </c>
      <c r="BI77">
        <f ca="1">OFFSET(Objects!$HW$6,BI$1+(Objects!$Y$4-$A77-1)*Objects!$X$4,0)</f>
        <v>0</v>
      </c>
      <c r="BJ77">
        <f ca="1">OFFSET(Objects!$HW$6,BJ$1+(Objects!$Y$4-$A77-1)*Objects!$X$4,0)</f>
        <v>0</v>
      </c>
      <c r="BK77">
        <f ca="1">OFFSET(Objects!$HW$6,BK$1+(Objects!$Y$4-$A77-1)*Objects!$X$4,0)</f>
        <v>0</v>
      </c>
      <c r="BL77">
        <f ca="1">OFFSET(Objects!$HW$6,BL$1+(Objects!$Y$4-$A77-1)*Objects!$X$4,0)</f>
        <v>0</v>
      </c>
      <c r="BM77">
        <f ca="1">OFFSET(Objects!$HW$6,BM$1+(Objects!$Y$4-$A77-1)*Objects!$X$4,0)</f>
        <v>0</v>
      </c>
      <c r="BN77">
        <f ca="1">OFFSET(Objects!$HW$6,BN$1+(Objects!$Y$4-$A77-1)*Objects!$X$4,0)</f>
        <v>0</v>
      </c>
      <c r="BO77">
        <f ca="1">OFFSET(Objects!$HW$6,BO$1+(Objects!$Y$4-$A77-1)*Objects!$X$4,0)</f>
        <v>0</v>
      </c>
      <c r="BP77">
        <f ca="1">OFFSET(Objects!$HW$6,BP$1+(Objects!$Y$4-$A77-1)*Objects!$X$4,0)</f>
        <v>0</v>
      </c>
      <c r="BQ77">
        <f ca="1">OFFSET(Objects!$HW$6,BQ$1+(Objects!$Y$4-$A77-1)*Objects!$X$4,0)</f>
        <v>0</v>
      </c>
      <c r="BR77">
        <f ca="1">OFFSET(Objects!$HW$6,BR$1+(Objects!$Y$4-$A77-1)*Objects!$X$4,0)</f>
        <v>0</v>
      </c>
      <c r="BS77">
        <f ca="1">OFFSET(Objects!$HW$6,BS$1+(Objects!$Y$4-$A77-1)*Objects!$X$4,0)</f>
        <v>0</v>
      </c>
      <c r="BT77">
        <f ca="1">OFFSET(Objects!$HW$6,BT$1+(Objects!$Y$4-$A77-1)*Objects!$X$4,0)</f>
        <v>0</v>
      </c>
      <c r="BU77">
        <f ca="1">OFFSET(Objects!$HW$6,BU$1+(Objects!$Y$4-$A77-1)*Objects!$X$4,0)</f>
        <v>0</v>
      </c>
      <c r="BV77">
        <f ca="1">OFFSET(Objects!$HW$6,BV$1+(Objects!$Y$4-$A77-1)*Objects!$X$4,0)</f>
        <v>0</v>
      </c>
      <c r="BW77">
        <f ca="1">OFFSET(Objects!$HW$6,BW$1+(Objects!$Y$4-$A77-1)*Objects!$X$4,0)</f>
        <v>0</v>
      </c>
      <c r="BX77">
        <f ca="1">OFFSET(Objects!$HW$6,BX$1+(Objects!$Y$4-$A77-1)*Objects!$X$4,0)</f>
        <v>0</v>
      </c>
      <c r="BY77">
        <f ca="1">OFFSET(Objects!$HW$6,BY$1+(Objects!$Y$4-$A77-1)*Objects!$X$4,0)</f>
        <v>0</v>
      </c>
      <c r="BZ77">
        <f ca="1">OFFSET(Objects!$HW$6,BZ$1+(Objects!$Y$4-$A77-1)*Objects!$X$4,0)</f>
        <v>0</v>
      </c>
      <c r="CA77">
        <f ca="1">OFFSET(Objects!$HW$6,CA$1+(Objects!$Y$4-$A77-1)*Objects!$X$4,0)</f>
        <v>0</v>
      </c>
      <c r="CB77">
        <f ca="1">OFFSET(Objects!$HW$6,CB$1+(Objects!$Y$4-$A77-1)*Objects!$X$4,0)</f>
        <v>0</v>
      </c>
      <c r="CC77">
        <f ca="1">OFFSET(Objects!$HW$6,CC$1+(Objects!$Y$4-$A77-1)*Objects!$X$4,0)</f>
        <v>0</v>
      </c>
      <c r="CD77">
        <f ca="1">OFFSET(Objects!$HW$6,CD$1+(Objects!$Y$4-$A77-1)*Objects!$X$4,0)</f>
        <v>0</v>
      </c>
      <c r="CE77">
        <f ca="1">OFFSET(Objects!$HW$6,CE$1+(Objects!$Y$4-$A77-1)*Objects!$X$4,0)</f>
        <v>0</v>
      </c>
      <c r="CF77">
        <f ca="1">OFFSET(Objects!$HW$6,CF$1+(Objects!$Y$4-$A77-1)*Objects!$X$4,0)</f>
        <v>0</v>
      </c>
      <c r="CG77">
        <f ca="1">OFFSET(Objects!$HW$6,CG$1+(Objects!$Y$4-$A77-1)*Objects!$X$4,0)</f>
        <v>0</v>
      </c>
      <c r="CH77">
        <f ca="1">OFFSET(Objects!$HW$6,CH$1+(Objects!$Y$4-$A77-1)*Objects!$X$4,0)</f>
        <v>0</v>
      </c>
      <c r="CI77">
        <f ca="1">OFFSET(Objects!$HW$6,CI$1+(Objects!$Y$4-$A77-1)*Objects!$X$4,0)</f>
        <v>0</v>
      </c>
      <c r="CJ77">
        <f ca="1">OFFSET(Objects!$HW$6,CJ$1+(Objects!$Y$4-$A77-1)*Objects!$X$4,0)</f>
        <v>0</v>
      </c>
      <c r="CK77">
        <f ca="1">OFFSET(Objects!$HW$6,CK$1+(Objects!$Y$4-$A77-1)*Objects!$X$4,0)</f>
        <v>0</v>
      </c>
      <c r="CL77">
        <f ca="1">OFFSET(Objects!$HW$6,CL$1+(Objects!$Y$4-$A77-1)*Objects!$X$4,0)</f>
        <v>0</v>
      </c>
      <c r="CM77">
        <f ca="1">OFFSET(Objects!$HW$6,CM$1+(Objects!$Y$4-$A77-1)*Objects!$X$4,0)</f>
        <v>0</v>
      </c>
      <c r="CN77">
        <f ca="1">OFFSET(Objects!$HW$6,CN$1+(Objects!$Y$4-$A77-1)*Objects!$X$4,0)</f>
        <v>0</v>
      </c>
      <c r="CO77">
        <f ca="1">OFFSET(Objects!$HW$6,CO$1+(Objects!$Y$4-$A77-1)*Objects!$X$4,0)</f>
        <v>0</v>
      </c>
      <c r="CP77">
        <f ca="1">OFFSET(Objects!$HW$6,CP$1+(Objects!$Y$4-$A77-1)*Objects!$X$4,0)</f>
        <v>0</v>
      </c>
      <c r="CQ77">
        <f ca="1">OFFSET(Objects!$HW$6,CQ$1+(Objects!$Y$4-$A77-1)*Objects!$X$4,0)</f>
        <v>0</v>
      </c>
      <c r="CR77">
        <f ca="1">OFFSET(Objects!$HW$6,CR$1+(Objects!$Y$4-$A77-1)*Objects!$X$4,0)</f>
        <v>0</v>
      </c>
      <c r="CS77">
        <f ca="1">OFFSET(Objects!$HW$6,CS$1+(Objects!$Y$4-$A77-1)*Objects!$X$4,0)</f>
        <v>0</v>
      </c>
      <c r="CT77">
        <f ca="1">OFFSET(Objects!$HW$6,CT$1+(Objects!$Y$4-$A77-1)*Objects!$X$4,0)</f>
        <v>0</v>
      </c>
      <c r="CU77">
        <f ca="1">OFFSET(Objects!$HW$6,CU$1+(Objects!$Y$4-$A77-1)*Objects!$X$4,0)</f>
        <v>0</v>
      </c>
      <c r="CV77">
        <f ca="1">OFFSET(Objects!$HW$6,CV$1+(Objects!$Y$4-$A77-1)*Objects!$X$4,0)</f>
        <v>0</v>
      </c>
      <c r="CW77">
        <f ca="1">OFFSET(Objects!$HW$6,CW$1+(Objects!$Y$4-$A77-1)*Objects!$X$4,0)</f>
        <v>0</v>
      </c>
      <c r="CX77">
        <f ca="1">OFFSET(Objects!$HW$6,CX$1+(Objects!$Y$4-$A77-1)*Objects!$X$4,0)</f>
        <v>0</v>
      </c>
      <c r="CY77">
        <f ca="1">OFFSET(Objects!$HW$6,CY$1+(Objects!$Y$4-$A77-1)*Objects!$X$4,0)</f>
        <v>0</v>
      </c>
      <c r="CZ77">
        <f ca="1">OFFSET(Objects!$HW$6,CZ$1+(Objects!$Y$4-$A77-1)*Objects!$X$4,0)</f>
        <v>0</v>
      </c>
      <c r="DA77">
        <f ca="1">OFFSET(Objects!$HW$6,DA$1+(Objects!$Y$4-$A77-1)*Objects!$X$4,0)</f>
        <v>0</v>
      </c>
      <c r="DB77">
        <f ca="1">OFFSET(Objects!$HW$6,DB$1+(Objects!$Y$4-$A77-1)*Objects!$X$4,0)</f>
        <v>0</v>
      </c>
      <c r="DC77">
        <f ca="1">OFFSET(Objects!$HW$6,DC$1+(Objects!$Y$4-$A77-1)*Objects!$X$4,0)</f>
        <v>0</v>
      </c>
      <c r="DD77">
        <f ca="1">OFFSET(Objects!$HW$6,DD$1+(Objects!$Y$4-$A77-1)*Objects!$X$4,0)</f>
        <v>0</v>
      </c>
      <c r="DE77">
        <f ca="1">OFFSET(Objects!$HW$6,DE$1+(Objects!$Y$4-$A77-1)*Objects!$X$4,0)</f>
        <v>0</v>
      </c>
      <c r="DF77">
        <f ca="1">OFFSET(Objects!$HW$6,DF$1+(Objects!$Y$4-$A77-1)*Objects!$X$4,0)</f>
        <v>0</v>
      </c>
      <c r="DG77">
        <f ca="1">OFFSET(Objects!$HW$6,DG$1+(Objects!$Y$4-$A77-1)*Objects!$X$4,0)</f>
        <v>0</v>
      </c>
      <c r="DH77">
        <f ca="1">OFFSET(Objects!$HW$6,DH$1+(Objects!$Y$4-$A77-1)*Objects!$X$4,0)</f>
        <v>0</v>
      </c>
      <c r="DI77">
        <f ca="1">OFFSET(Objects!$HW$6,DI$1+(Objects!$Y$4-$A77-1)*Objects!$X$4,0)</f>
        <v>0</v>
      </c>
      <c r="DJ77">
        <f ca="1">OFFSET(Objects!$HW$6,DJ$1+(Objects!$Y$4-$A77-1)*Objects!$X$4,0)</f>
        <v>0</v>
      </c>
      <c r="DK77">
        <f ca="1">OFFSET(Objects!$HW$6,DK$1+(Objects!$Y$4-$A77-1)*Objects!$X$4,0)</f>
        <v>0</v>
      </c>
      <c r="DL77">
        <f ca="1">OFFSET(Objects!$HW$6,DL$1+(Objects!$Y$4-$A77-1)*Objects!$X$4,0)</f>
        <v>0</v>
      </c>
      <c r="DM77">
        <f ca="1">OFFSET(Objects!$HW$6,DM$1+(Objects!$Y$4-$A77-1)*Objects!$X$4,0)</f>
        <v>0</v>
      </c>
      <c r="DN77">
        <f ca="1">OFFSET(Objects!$HW$6,DN$1+(Objects!$Y$4-$A77-1)*Objects!$X$4,0)</f>
        <v>0</v>
      </c>
      <c r="DO77">
        <f ca="1">OFFSET(Objects!$HW$6,DO$1+(Objects!$Y$4-$A77-1)*Objects!$X$4,0)</f>
        <v>0</v>
      </c>
      <c r="DP77">
        <f ca="1">OFFSET(Objects!$HW$6,DP$1+(Objects!$Y$4-$A77-1)*Objects!$X$4,0)</f>
        <v>0</v>
      </c>
      <c r="DQ77">
        <f ca="1">OFFSET(Objects!$HW$6,DQ$1+(Objects!$Y$4-$A77-1)*Objects!$X$4,0)</f>
        <v>0</v>
      </c>
      <c r="DR77">
        <f ca="1">OFFSET(Objects!$HW$6,DR$1+(Objects!$Y$4-$A77-1)*Objects!$X$4,0)</f>
        <v>0</v>
      </c>
      <c r="DS77">
        <f ca="1">OFFSET(Objects!$HW$6,DS$1+(Objects!$Y$4-$A77-1)*Objects!$X$4,0)</f>
        <v>0</v>
      </c>
      <c r="DT77">
        <f ca="1">OFFSET(Objects!$HW$6,DT$1+(Objects!$Y$4-$A77-1)*Objects!$X$4,0)</f>
        <v>0</v>
      </c>
      <c r="DU77">
        <f ca="1">OFFSET(Objects!$HW$6,DU$1+(Objects!$Y$4-$A77-1)*Objects!$X$4,0)</f>
        <v>0</v>
      </c>
      <c r="DV77">
        <f ca="1">OFFSET(Objects!$HW$6,DV$1+(Objects!$Y$4-$A77-1)*Objects!$X$4,0)</f>
        <v>0</v>
      </c>
      <c r="DW77">
        <f ca="1">OFFSET(Objects!$HW$6,DW$1+(Objects!$Y$4-$A77-1)*Objects!$X$4,0)</f>
        <v>0</v>
      </c>
      <c r="DX77">
        <f ca="1">OFFSET(Objects!$HW$6,DX$1+(Objects!$Y$4-$A77-1)*Objects!$X$4,0)</f>
        <v>0</v>
      </c>
      <c r="DY77">
        <f ca="1">OFFSET(Objects!$HW$6,DY$1+(Objects!$Y$4-$A77-1)*Objects!$X$4,0)</f>
        <v>0</v>
      </c>
      <c r="DZ77">
        <f ca="1">OFFSET(Objects!$HW$6,DZ$1+(Objects!$Y$4-$A77-1)*Objects!$X$4,0)</f>
        <v>0</v>
      </c>
      <c r="EA77">
        <f ca="1">OFFSET(Objects!$HW$6,EA$1+(Objects!$Y$4-$A77-1)*Objects!$X$4,0)</f>
        <v>0</v>
      </c>
      <c r="EB77">
        <f ca="1">OFFSET(Objects!$HW$6,EB$1+(Objects!$Y$4-$A77-1)*Objects!$X$4,0)</f>
        <v>0</v>
      </c>
      <c r="EC77">
        <f ca="1">OFFSET(Objects!$HW$6,EC$1+(Objects!$Y$4-$A77-1)*Objects!$X$4,0)</f>
        <v>0</v>
      </c>
      <c r="ED77">
        <f ca="1">OFFSET(Objects!$HW$6,ED$1+(Objects!$Y$4-$A77-1)*Objects!$X$4,0)</f>
        <v>0</v>
      </c>
      <c r="EE77">
        <f ca="1">OFFSET(Objects!$HW$6,EE$1+(Objects!$Y$4-$A77-1)*Objects!$X$4,0)</f>
        <v>0</v>
      </c>
      <c r="EF77">
        <f ca="1">OFFSET(Objects!$HW$6,EF$1+(Objects!$Y$4-$A77-1)*Objects!$X$4,0)</f>
        <v>0</v>
      </c>
      <c r="EG77">
        <f ca="1">OFFSET(Objects!$HW$6,EG$1+(Objects!$Y$4-$A77-1)*Objects!$X$4,0)</f>
        <v>0</v>
      </c>
      <c r="EH77">
        <f ca="1">OFFSET(Objects!$HW$6,EH$1+(Objects!$Y$4-$A77-1)*Objects!$X$4,0)</f>
        <v>0</v>
      </c>
      <c r="EI77">
        <f ca="1">OFFSET(Objects!$HW$6,EI$1+(Objects!$Y$4-$A77-1)*Objects!$X$4,0)</f>
        <v>0</v>
      </c>
      <c r="EJ77">
        <f ca="1">OFFSET(Objects!$HW$6,EJ$1+(Objects!$Y$4-$A77-1)*Objects!$X$4,0)</f>
        <v>0</v>
      </c>
      <c r="EK77">
        <f ca="1">OFFSET(Objects!$HW$6,EK$1+(Objects!$Y$4-$A77-1)*Objects!$X$4,0)</f>
        <v>0</v>
      </c>
      <c r="EL77">
        <f ca="1">OFFSET(Objects!$HW$6,EL$1+(Objects!$Y$4-$A77-1)*Objects!$X$4,0)</f>
        <v>0</v>
      </c>
      <c r="EM77">
        <f ca="1">OFFSET(Objects!$HW$6,EM$1+(Objects!$Y$4-$A77-1)*Objects!$X$4,0)</f>
        <v>0</v>
      </c>
      <c r="EN77">
        <f ca="1">OFFSET(Objects!$HW$6,EN$1+(Objects!$Y$4-$A77-1)*Objects!$X$4,0)</f>
        <v>0</v>
      </c>
      <c r="EO77">
        <f ca="1">OFFSET(Objects!$HW$6,EO$1+(Objects!$Y$4-$A77-1)*Objects!$X$4,0)</f>
        <v>0</v>
      </c>
      <c r="EP77">
        <f ca="1">OFFSET(Objects!$HW$6,EP$1+(Objects!$Y$4-$A77-1)*Objects!$X$4,0)</f>
        <v>0</v>
      </c>
      <c r="EQ77">
        <f ca="1">OFFSET(Objects!$HW$6,EQ$1+(Objects!$Y$4-$A77-1)*Objects!$X$4,0)</f>
        <v>0</v>
      </c>
      <c r="ER77">
        <f ca="1">OFFSET(Objects!$HW$6,ER$1+(Objects!$Y$4-$A77-1)*Objects!$X$4,0)</f>
        <v>0</v>
      </c>
      <c r="ES77">
        <f ca="1">OFFSET(Objects!$HW$6,ES$1+(Objects!$Y$4-$A77-1)*Objects!$X$4,0)</f>
        <v>0</v>
      </c>
      <c r="ET77">
        <f ca="1">OFFSET(Objects!$HW$6,ET$1+(Objects!$Y$4-$A77-1)*Objects!$X$4,0)</f>
        <v>0</v>
      </c>
      <c r="EU77">
        <f ca="1">OFFSET(Objects!$HW$6,EU$1+(Objects!$Y$4-$A77-1)*Objects!$X$4,0)</f>
        <v>0</v>
      </c>
      <c r="EV77">
        <f ca="1">OFFSET(Objects!$HW$6,EV$1+(Objects!$Y$4-$A77-1)*Objects!$X$4,0)</f>
        <v>0</v>
      </c>
      <c r="EW77">
        <f ca="1">OFFSET(Objects!$HW$6,EW$1+(Objects!$Y$4-$A77-1)*Objects!$X$4,0)</f>
        <v>0</v>
      </c>
      <c r="EX77">
        <f ca="1">OFFSET(Objects!$HW$6,EX$1+(Objects!$Y$4-$A77-1)*Objects!$X$4,0)</f>
        <v>0</v>
      </c>
      <c r="EY77">
        <f ca="1">OFFSET(Objects!$HW$6,EY$1+(Objects!$Y$4-$A77-1)*Objects!$X$4,0)</f>
        <v>0</v>
      </c>
      <c r="EZ77">
        <f ca="1">OFFSET(Objects!$HW$6,EZ$1+(Objects!$Y$4-$A77-1)*Objects!$X$4,0)</f>
        <v>0</v>
      </c>
      <c r="FA77">
        <f ca="1">OFFSET(Objects!$HW$6,FA$1+(Objects!$Y$4-$A77-1)*Objects!$X$4,0)</f>
        <v>0</v>
      </c>
      <c r="FB77">
        <f ca="1">OFFSET(Objects!$HW$6,FB$1+(Objects!$Y$4-$A77-1)*Objects!$X$4,0)</f>
        <v>0</v>
      </c>
      <c r="FC77">
        <f ca="1">OFFSET(Objects!$HW$6,FC$1+(Objects!$Y$4-$A77-1)*Objects!$X$4,0)</f>
        <v>0</v>
      </c>
      <c r="FD77">
        <f ca="1">OFFSET(Objects!$HW$6,FD$1+(Objects!$Y$4-$A77-1)*Objects!$X$4,0)</f>
        <v>0</v>
      </c>
      <c r="FE77" s="22">
        <f ca="1">OFFSET(Objects!$HW$6,FE$1+(Objects!$Y$4-$A77-1)*Objects!$X$4,0)</f>
        <v>0</v>
      </c>
    </row>
    <row r="78" spans="1:161" ht="4.5" customHeight="1" x14ac:dyDescent="0.25">
      <c r="A78">
        <v>76</v>
      </c>
      <c r="B78" s="21">
        <f ca="1">OFFSET(Objects!$HW$6,B$1+(Objects!$Y$4-$A78-1)*Objects!$X$4,0)</f>
        <v>0</v>
      </c>
      <c r="C78">
        <f ca="1">OFFSET(Objects!$HW$6,C$1+(Objects!$Y$4-$A78-1)*Objects!$X$4,0)</f>
        <v>0</v>
      </c>
      <c r="D78">
        <f ca="1">OFFSET(Objects!$HW$6,D$1+(Objects!$Y$4-$A78-1)*Objects!$X$4,0)</f>
        <v>0</v>
      </c>
      <c r="E78">
        <f ca="1">OFFSET(Objects!$HW$6,E$1+(Objects!$Y$4-$A78-1)*Objects!$X$4,0)</f>
        <v>0</v>
      </c>
      <c r="F78">
        <f ca="1">OFFSET(Objects!$HW$6,F$1+(Objects!$Y$4-$A78-1)*Objects!$X$4,0)</f>
        <v>0</v>
      </c>
      <c r="G78">
        <f ca="1">OFFSET(Objects!$HW$6,G$1+(Objects!$Y$4-$A78-1)*Objects!$X$4,0)</f>
        <v>0</v>
      </c>
      <c r="H78">
        <f ca="1">OFFSET(Objects!$HW$6,H$1+(Objects!$Y$4-$A78-1)*Objects!$X$4,0)</f>
        <v>0</v>
      </c>
      <c r="I78">
        <f ca="1">OFFSET(Objects!$HW$6,I$1+(Objects!$Y$4-$A78-1)*Objects!$X$4,0)</f>
        <v>0</v>
      </c>
      <c r="J78">
        <f ca="1">OFFSET(Objects!$HW$6,J$1+(Objects!$Y$4-$A78-1)*Objects!$X$4,0)</f>
        <v>0</v>
      </c>
      <c r="K78">
        <f ca="1">OFFSET(Objects!$HW$6,K$1+(Objects!$Y$4-$A78-1)*Objects!$X$4,0)</f>
        <v>0</v>
      </c>
      <c r="L78">
        <f ca="1">OFFSET(Objects!$HW$6,L$1+(Objects!$Y$4-$A78-1)*Objects!$X$4,0)</f>
        <v>0</v>
      </c>
      <c r="M78">
        <f ca="1">OFFSET(Objects!$HW$6,M$1+(Objects!$Y$4-$A78-1)*Objects!$X$4,0)</f>
        <v>0</v>
      </c>
      <c r="N78">
        <f ca="1">OFFSET(Objects!$HW$6,N$1+(Objects!$Y$4-$A78-1)*Objects!$X$4,0)</f>
        <v>0</v>
      </c>
      <c r="O78">
        <f ca="1">OFFSET(Objects!$HW$6,O$1+(Objects!$Y$4-$A78-1)*Objects!$X$4,0)</f>
        <v>0</v>
      </c>
      <c r="P78">
        <f ca="1">OFFSET(Objects!$HW$6,P$1+(Objects!$Y$4-$A78-1)*Objects!$X$4,0)</f>
        <v>0</v>
      </c>
      <c r="Q78">
        <f ca="1">OFFSET(Objects!$HW$6,Q$1+(Objects!$Y$4-$A78-1)*Objects!$X$4,0)</f>
        <v>0</v>
      </c>
      <c r="R78">
        <f ca="1">OFFSET(Objects!$HW$6,R$1+(Objects!$Y$4-$A78-1)*Objects!$X$4,0)</f>
        <v>0</v>
      </c>
      <c r="S78">
        <f ca="1">OFFSET(Objects!$HW$6,S$1+(Objects!$Y$4-$A78-1)*Objects!$X$4,0)</f>
        <v>0</v>
      </c>
      <c r="T78">
        <f ca="1">OFFSET(Objects!$HW$6,T$1+(Objects!$Y$4-$A78-1)*Objects!$X$4,0)</f>
        <v>0</v>
      </c>
      <c r="U78">
        <f ca="1">OFFSET(Objects!$HW$6,U$1+(Objects!$Y$4-$A78-1)*Objects!$X$4,0)</f>
        <v>0</v>
      </c>
      <c r="V78">
        <f ca="1">OFFSET(Objects!$HW$6,V$1+(Objects!$Y$4-$A78-1)*Objects!$X$4,0)</f>
        <v>0</v>
      </c>
      <c r="W78">
        <f ca="1">OFFSET(Objects!$HW$6,W$1+(Objects!$Y$4-$A78-1)*Objects!$X$4,0)</f>
        <v>0</v>
      </c>
      <c r="X78">
        <f ca="1">OFFSET(Objects!$HW$6,X$1+(Objects!$Y$4-$A78-1)*Objects!$X$4,0)</f>
        <v>0</v>
      </c>
      <c r="Y78">
        <f ca="1">OFFSET(Objects!$HW$6,Y$1+(Objects!$Y$4-$A78-1)*Objects!$X$4,0)</f>
        <v>0</v>
      </c>
      <c r="Z78">
        <f ca="1">OFFSET(Objects!$HW$6,Z$1+(Objects!$Y$4-$A78-1)*Objects!$X$4,0)</f>
        <v>0</v>
      </c>
      <c r="AA78">
        <f ca="1">OFFSET(Objects!$HW$6,AA$1+(Objects!$Y$4-$A78-1)*Objects!$X$4,0)</f>
        <v>0</v>
      </c>
      <c r="AB78">
        <f ca="1">OFFSET(Objects!$HW$6,AB$1+(Objects!$Y$4-$A78-1)*Objects!$X$4,0)</f>
        <v>0</v>
      </c>
      <c r="AC78">
        <f ca="1">OFFSET(Objects!$HW$6,AC$1+(Objects!$Y$4-$A78-1)*Objects!$X$4,0)</f>
        <v>0</v>
      </c>
      <c r="AD78">
        <f ca="1">OFFSET(Objects!$HW$6,AD$1+(Objects!$Y$4-$A78-1)*Objects!$X$4,0)</f>
        <v>0</v>
      </c>
      <c r="AE78">
        <f ca="1">OFFSET(Objects!$HW$6,AE$1+(Objects!$Y$4-$A78-1)*Objects!$X$4,0)</f>
        <v>0</v>
      </c>
      <c r="AF78">
        <f ca="1">OFFSET(Objects!$HW$6,AF$1+(Objects!$Y$4-$A78-1)*Objects!$X$4,0)</f>
        <v>0</v>
      </c>
      <c r="AG78">
        <f ca="1">OFFSET(Objects!$HW$6,AG$1+(Objects!$Y$4-$A78-1)*Objects!$X$4,0)</f>
        <v>0</v>
      </c>
      <c r="AH78">
        <f ca="1">OFFSET(Objects!$HW$6,AH$1+(Objects!$Y$4-$A78-1)*Objects!$X$4,0)</f>
        <v>0</v>
      </c>
      <c r="AI78">
        <f ca="1">OFFSET(Objects!$HW$6,AI$1+(Objects!$Y$4-$A78-1)*Objects!$X$4,0)</f>
        <v>0</v>
      </c>
      <c r="AJ78">
        <f ca="1">OFFSET(Objects!$HW$6,AJ$1+(Objects!$Y$4-$A78-1)*Objects!$X$4,0)</f>
        <v>0</v>
      </c>
      <c r="AK78">
        <f ca="1">OFFSET(Objects!$HW$6,AK$1+(Objects!$Y$4-$A78-1)*Objects!$X$4,0)</f>
        <v>0</v>
      </c>
      <c r="AL78">
        <f ca="1">OFFSET(Objects!$HW$6,AL$1+(Objects!$Y$4-$A78-1)*Objects!$X$4,0)</f>
        <v>0</v>
      </c>
      <c r="AM78">
        <f ca="1">OFFSET(Objects!$HW$6,AM$1+(Objects!$Y$4-$A78-1)*Objects!$X$4,0)</f>
        <v>0</v>
      </c>
      <c r="AN78">
        <f ca="1">OFFSET(Objects!$HW$6,AN$1+(Objects!$Y$4-$A78-1)*Objects!$X$4,0)</f>
        <v>0</v>
      </c>
      <c r="AO78">
        <f ca="1">OFFSET(Objects!$HW$6,AO$1+(Objects!$Y$4-$A78-1)*Objects!$X$4,0)</f>
        <v>0</v>
      </c>
      <c r="AP78">
        <f ca="1">OFFSET(Objects!$HW$6,AP$1+(Objects!$Y$4-$A78-1)*Objects!$X$4,0)</f>
        <v>0</v>
      </c>
      <c r="AQ78">
        <f ca="1">OFFSET(Objects!$HW$6,AQ$1+(Objects!$Y$4-$A78-1)*Objects!$X$4,0)</f>
        <v>0</v>
      </c>
      <c r="AR78">
        <f ca="1">OFFSET(Objects!$HW$6,AR$1+(Objects!$Y$4-$A78-1)*Objects!$X$4,0)</f>
        <v>0</v>
      </c>
      <c r="AS78">
        <f ca="1">OFFSET(Objects!$HW$6,AS$1+(Objects!$Y$4-$A78-1)*Objects!$X$4,0)</f>
        <v>0</v>
      </c>
      <c r="AT78">
        <f ca="1">OFFSET(Objects!$HW$6,AT$1+(Objects!$Y$4-$A78-1)*Objects!$X$4,0)</f>
        <v>0</v>
      </c>
      <c r="AU78">
        <f ca="1">OFFSET(Objects!$HW$6,AU$1+(Objects!$Y$4-$A78-1)*Objects!$X$4,0)</f>
        <v>0</v>
      </c>
      <c r="AV78">
        <f ca="1">OFFSET(Objects!$HW$6,AV$1+(Objects!$Y$4-$A78-1)*Objects!$X$4,0)</f>
        <v>0</v>
      </c>
      <c r="AW78">
        <f ca="1">OFFSET(Objects!$HW$6,AW$1+(Objects!$Y$4-$A78-1)*Objects!$X$4,0)</f>
        <v>0</v>
      </c>
      <c r="AX78">
        <f ca="1">OFFSET(Objects!$HW$6,AX$1+(Objects!$Y$4-$A78-1)*Objects!$X$4,0)</f>
        <v>0</v>
      </c>
      <c r="AY78">
        <f ca="1">OFFSET(Objects!$HW$6,AY$1+(Objects!$Y$4-$A78-1)*Objects!$X$4,0)</f>
        <v>0</v>
      </c>
      <c r="AZ78">
        <f ca="1">OFFSET(Objects!$HW$6,AZ$1+(Objects!$Y$4-$A78-1)*Objects!$X$4,0)</f>
        <v>0</v>
      </c>
      <c r="BA78">
        <f ca="1">OFFSET(Objects!$HW$6,BA$1+(Objects!$Y$4-$A78-1)*Objects!$X$4,0)</f>
        <v>0</v>
      </c>
      <c r="BB78">
        <f ca="1">OFFSET(Objects!$HW$6,BB$1+(Objects!$Y$4-$A78-1)*Objects!$X$4,0)</f>
        <v>0</v>
      </c>
      <c r="BC78">
        <f ca="1">OFFSET(Objects!$HW$6,BC$1+(Objects!$Y$4-$A78-1)*Objects!$X$4,0)</f>
        <v>0</v>
      </c>
      <c r="BD78">
        <f ca="1">OFFSET(Objects!$HW$6,BD$1+(Objects!$Y$4-$A78-1)*Objects!$X$4,0)</f>
        <v>0</v>
      </c>
      <c r="BE78">
        <f ca="1">OFFSET(Objects!$HW$6,BE$1+(Objects!$Y$4-$A78-1)*Objects!$X$4,0)</f>
        <v>0</v>
      </c>
      <c r="BF78">
        <f ca="1">OFFSET(Objects!$HW$6,BF$1+(Objects!$Y$4-$A78-1)*Objects!$X$4,0)</f>
        <v>0</v>
      </c>
      <c r="BG78">
        <f ca="1">OFFSET(Objects!$HW$6,BG$1+(Objects!$Y$4-$A78-1)*Objects!$X$4,0)</f>
        <v>0</v>
      </c>
      <c r="BH78">
        <f ca="1">OFFSET(Objects!$HW$6,BH$1+(Objects!$Y$4-$A78-1)*Objects!$X$4,0)</f>
        <v>0</v>
      </c>
      <c r="BI78">
        <f ca="1">OFFSET(Objects!$HW$6,BI$1+(Objects!$Y$4-$A78-1)*Objects!$X$4,0)</f>
        <v>0</v>
      </c>
      <c r="BJ78">
        <f ca="1">OFFSET(Objects!$HW$6,BJ$1+(Objects!$Y$4-$A78-1)*Objects!$X$4,0)</f>
        <v>0</v>
      </c>
      <c r="BK78">
        <f ca="1">OFFSET(Objects!$HW$6,BK$1+(Objects!$Y$4-$A78-1)*Objects!$X$4,0)</f>
        <v>0</v>
      </c>
      <c r="BL78">
        <f ca="1">OFFSET(Objects!$HW$6,BL$1+(Objects!$Y$4-$A78-1)*Objects!$X$4,0)</f>
        <v>0</v>
      </c>
      <c r="BM78">
        <f ca="1">OFFSET(Objects!$HW$6,BM$1+(Objects!$Y$4-$A78-1)*Objects!$X$4,0)</f>
        <v>0</v>
      </c>
      <c r="BN78">
        <f ca="1">OFFSET(Objects!$HW$6,BN$1+(Objects!$Y$4-$A78-1)*Objects!$X$4,0)</f>
        <v>0</v>
      </c>
      <c r="BO78">
        <f ca="1">OFFSET(Objects!$HW$6,BO$1+(Objects!$Y$4-$A78-1)*Objects!$X$4,0)</f>
        <v>0</v>
      </c>
      <c r="BP78">
        <f ca="1">OFFSET(Objects!$HW$6,BP$1+(Objects!$Y$4-$A78-1)*Objects!$X$4,0)</f>
        <v>0</v>
      </c>
      <c r="BQ78">
        <f ca="1">OFFSET(Objects!$HW$6,BQ$1+(Objects!$Y$4-$A78-1)*Objects!$X$4,0)</f>
        <v>0</v>
      </c>
      <c r="BR78">
        <f ca="1">OFFSET(Objects!$HW$6,BR$1+(Objects!$Y$4-$A78-1)*Objects!$X$4,0)</f>
        <v>0</v>
      </c>
      <c r="BS78">
        <f ca="1">OFFSET(Objects!$HW$6,BS$1+(Objects!$Y$4-$A78-1)*Objects!$X$4,0)</f>
        <v>0</v>
      </c>
      <c r="BT78">
        <f ca="1">OFFSET(Objects!$HW$6,BT$1+(Objects!$Y$4-$A78-1)*Objects!$X$4,0)</f>
        <v>0</v>
      </c>
      <c r="BU78">
        <f ca="1">OFFSET(Objects!$HW$6,BU$1+(Objects!$Y$4-$A78-1)*Objects!$X$4,0)</f>
        <v>0</v>
      </c>
      <c r="BV78">
        <f ca="1">OFFSET(Objects!$HW$6,BV$1+(Objects!$Y$4-$A78-1)*Objects!$X$4,0)</f>
        <v>0</v>
      </c>
      <c r="BW78">
        <f ca="1">OFFSET(Objects!$HW$6,BW$1+(Objects!$Y$4-$A78-1)*Objects!$X$4,0)</f>
        <v>0</v>
      </c>
      <c r="BX78">
        <f ca="1">OFFSET(Objects!$HW$6,BX$1+(Objects!$Y$4-$A78-1)*Objects!$X$4,0)</f>
        <v>0</v>
      </c>
      <c r="BY78">
        <f ca="1">OFFSET(Objects!$HW$6,BY$1+(Objects!$Y$4-$A78-1)*Objects!$X$4,0)</f>
        <v>0</v>
      </c>
      <c r="BZ78">
        <f ca="1">OFFSET(Objects!$HW$6,BZ$1+(Objects!$Y$4-$A78-1)*Objects!$X$4,0)</f>
        <v>0</v>
      </c>
      <c r="CA78">
        <f ca="1">OFFSET(Objects!$HW$6,CA$1+(Objects!$Y$4-$A78-1)*Objects!$X$4,0)</f>
        <v>0</v>
      </c>
      <c r="CB78">
        <f ca="1">OFFSET(Objects!$HW$6,CB$1+(Objects!$Y$4-$A78-1)*Objects!$X$4,0)</f>
        <v>0</v>
      </c>
      <c r="CC78">
        <f ca="1">OFFSET(Objects!$HW$6,CC$1+(Objects!$Y$4-$A78-1)*Objects!$X$4,0)</f>
        <v>0</v>
      </c>
      <c r="CD78">
        <f ca="1">OFFSET(Objects!$HW$6,CD$1+(Objects!$Y$4-$A78-1)*Objects!$X$4,0)</f>
        <v>0</v>
      </c>
      <c r="CE78">
        <f ca="1">OFFSET(Objects!$HW$6,CE$1+(Objects!$Y$4-$A78-1)*Objects!$X$4,0)</f>
        <v>0</v>
      </c>
      <c r="CF78">
        <f ca="1">OFFSET(Objects!$HW$6,CF$1+(Objects!$Y$4-$A78-1)*Objects!$X$4,0)</f>
        <v>0</v>
      </c>
      <c r="CG78">
        <f ca="1">OFFSET(Objects!$HW$6,CG$1+(Objects!$Y$4-$A78-1)*Objects!$X$4,0)</f>
        <v>0</v>
      </c>
      <c r="CH78">
        <f ca="1">OFFSET(Objects!$HW$6,CH$1+(Objects!$Y$4-$A78-1)*Objects!$X$4,0)</f>
        <v>0</v>
      </c>
      <c r="CI78">
        <f ca="1">OFFSET(Objects!$HW$6,CI$1+(Objects!$Y$4-$A78-1)*Objects!$X$4,0)</f>
        <v>0</v>
      </c>
      <c r="CJ78">
        <f ca="1">OFFSET(Objects!$HW$6,CJ$1+(Objects!$Y$4-$A78-1)*Objects!$X$4,0)</f>
        <v>0</v>
      </c>
      <c r="CK78">
        <f ca="1">OFFSET(Objects!$HW$6,CK$1+(Objects!$Y$4-$A78-1)*Objects!$X$4,0)</f>
        <v>0</v>
      </c>
      <c r="CL78">
        <f ca="1">OFFSET(Objects!$HW$6,CL$1+(Objects!$Y$4-$A78-1)*Objects!$X$4,0)</f>
        <v>0</v>
      </c>
      <c r="CM78">
        <f ca="1">OFFSET(Objects!$HW$6,CM$1+(Objects!$Y$4-$A78-1)*Objects!$X$4,0)</f>
        <v>0</v>
      </c>
      <c r="CN78">
        <f ca="1">OFFSET(Objects!$HW$6,CN$1+(Objects!$Y$4-$A78-1)*Objects!$X$4,0)</f>
        <v>0</v>
      </c>
      <c r="CO78">
        <f ca="1">OFFSET(Objects!$HW$6,CO$1+(Objects!$Y$4-$A78-1)*Objects!$X$4,0)</f>
        <v>0</v>
      </c>
      <c r="CP78">
        <f ca="1">OFFSET(Objects!$HW$6,CP$1+(Objects!$Y$4-$A78-1)*Objects!$X$4,0)</f>
        <v>0</v>
      </c>
      <c r="CQ78">
        <f ca="1">OFFSET(Objects!$HW$6,CQ$1+(Objects!$Y$4-$A78-1)*Objects!$X$4,0)</f>
        <v>0</v>
      </c>
      <c r="CR78">
        <f ca="1">OFFSET(Objects!$HW$6,CR$1+(Objects!$Y$4-$A78-1)*Objects!$X$4,0)</f>
        <v>0</v>
      </c>
      <c r="CS78">
        <f ca="1">OFFSET(Objects!$HW$6,CS$1+(Objects!$Y$4-$A78-1)*Objects!$X$4,0)</f>
        <v>0</v>
      </c>
      <c r="CT78">
        <f ca="1">OFFSET(Objects!$HW$6,CT$1+(Objects!$Y$4-$A78-1)*Objects!$X$4,0)</f>
        <v>0</v>
      </c>
      <c r="CU78">
        <f ca="1">OFFSET(Objects!$HW$6,CU$1+(Objects!$Y$4-$A78-1)*Objects!$X$4,0)</f>
        <v>0</v>
      </c>
      <c r="CV78">
        <f ca="1">OFFSET(Objects!$HW$6,CV$1+(Objects!$Y$4-$A78-1)*Objects!$X$4,0)</f>
        <v>0</v>
      </c>
      <c r="CW78">
        <f ca="1">OFFSET(Objects!$HW$6,CW$1+(Objects!$Y$4-$A78-1)*Objects!$X$4,0)</f>
        <v>0</v>
      </c>
      <c r="CX78">
        <f ca="1">OFFSET(Objects!$HW$6,CX$1+(Objects!$Y$4-$A78-1)*Objects!$X$4,0)</f>
        <v>0</v>
      </c>
      <c r="CY78">
        <f ca="1">OFFSET(Objects!$HW$6,CY$1+(Objects!$Y$4-$A78-1)*Objects!$X$4,0)</f>
        <v>0</v>
      </c>
      <c r="CZ78">
        <f ca="1">OFFSET(Objects!$HW$6,CZ$1+(Objects!$Y$4-$A78-1)*Objects!$X$4,0)</f>
        <v>0</v>
      </c>
      <c r="DA78">
        <f ca="1">OFFSET(Objects!$HW$6,DA$1+(Objects!$Y$4-$A78-1)*Objects!$X$4,0)</f>
        <v>0</v>
      </c>
      <c r="DB78">
        <f ca="1">OFFSET(Objects!$HW$6,DB$1+(Objects!$Y$4-$A78-1)*Objects!$X$4,0)</f>
        <v>0</v>
      </c>
      <c r="DC78">
        <f ca="1">OFFSET(Objects!$HW$6,DC$1+(Objects!$Y$4-$A78-1)*Objects!$X$4,0)</f>
        <v>0</v>
      </c>
      <c r="DD78">
        <f ca="1">OFFSET(Objects!$HW$6,DD$1+(Objects!$Y$4-$A78-1)*Objects!$X$4,0)</f>
        <v>0</v>
      </c>
      <c r="DE78">
        <f ca="1">OFFSET(Objects!$HW$6,DE$1+(Objects!$Y$4-$A78-1)*Objects!$X$4,0)</f>
        <v>0</v>
      </c>
      <c r="DF78">
        <f ca="1">OFFSET(Objects!$HW$6,DF$1+(Objects!$Y$4-$A78-1)*Objects!$X$4,0)</f>
        <v>0</v>
      </c>
      <c r="DG78">
        <f ca="1">OFFSET(Objects!$HW$6,DG$1+(Objects!$Y$4-$A78-1)*Objects!$X$4,0)</f>
        <v>0</v>
      </c>
      <c r="DH78">
        <f ca="1">OFFSET(Objects!$HW$6,DH$1+(Objects!$Y$4-$A78-1)*Objects!$X$4,0)</f>
        <v>0</v>
      </c>
      <c r="DI78">
        <f ca="1">OFFSET(Objects!$HW$6,DI$1+(Objects!$Y$4-$A78-1)*Objects!$X$4,0)</f>
        <v>0</v>
      </c>
      <c r="DJ78">
        <f ca="1">OFFSET(Objects!$HW$6,DJ$1+(Objects!$Y$4-$A78-1)*Objects!$X$4,0)</f>
        <v>0</v>
      </c>
      <c r="DK78">
        <f ca="1">OFFSET(Objects!$HW$6,DK$1+(Objects!$Y$4-$A78-1)*Objects!$X$4,0)</f>
        <v>0</v>
      </c>
      <c r="DL78">
        <f ca="1">OFFSET(Objects!$HW$6,DL$1+(Objects!$Y$4-$A78-1)*Objects!$X$4,0)</f>
        <v>0</v>
      </c>
      <c r="DM78">
        <f ca="1">OFFSET(Objects!$HW$6,DM$1+(Objects!$Y$4-$A78-1)*Objects!$X$4,0)</f>
        <v>0</v>
      </c>
      <c r="DN78">
        <f ca="1">OFFSET(Objects!$HW$6,DN$1+(Objects!$Y$4-$A78-1)*Objects!$X$4,0)</f>
        <v>0</v>
      </c>
      <c r="DO78">
        <f ca="1">OFFSET(Objects!$HW$6,DO$1+(Objects!$Y$4-$A78-1)*Objects!$X$4,0)</f>
        <v>0</v>
      </c>
      <c r="DP78">
        <f ca="1">OFFSET(Objects!$HW$6,DP$1+(Objects!$Y$4-$A78-1)*Objects!$X$4,0)</f>
        <v>0</v>
      </c>
      <c r="DQ78">
        <f ca="1">OFFSET(Objects!$HW$6,DQ$1+(Objects!$Y$4-$A78-1)*Objects!$X$4,0)</f>
        <v>0</v>
      </c>
      <c r="DR78">
        <f ca="1">OFFSET(Objects!$HW$6,DR$1+(Objects!$Y$4-$A78-1)*Objects!$X$4,0)</f>
        <v>0</v>
      </c>
      <c r="DS78">
        <f ca="1">OFFSET(Objects!$HW$6,DS$1+(Objects!$Y$4-$A78-1)*Objects!$X$4,0)</f>
        <v>0</v>
      </c>
      <c r="DT78">
        <f ca="1">OFFSET(Objects!$HW$6,DT$1+(Objects!$Y$4-$A78-1)*Objects!$X$4,0)</f>
        <v>0</v>
      </c>
      <c r="DU78">
        <f ca="1">OFFSET(Objects!$HW$6,DU$1+(Objects!$Y$4-$A78-1)*Objects!$X$4,0)</f>
        <v>0</v>
      </c>
      <c r="DV78">
        <f ca="1">OFFSET(Objects!$HW$6,DV$1+(Objects!$Y$4-$A78-1)*Objects!$X$4,0)</f>
        <v>0</v>
      </c>
      <c r="DW78">
        <f ca="1">OFFSET(Objects!$HW$6,DW$1+(Objects!$Y$4-$A78-1)*Objects!$X$4,0)</f>
        <v>0</v>
      </c>
      <c r="DX78">
        <f ca="1">OFFSET(Objects!$HW$6,DX$1+(Objects!$Y$4-$A78-1)*Objects!$X$4,0)</f>
        <v>0</v>
      </c>
      <c r="DY78">
        <f ca="1">OFFSET(Objects!$HW$6,DY$1+(Objects!$Y$4-$A78-1)*Objects!$X$4,0)</f>
        <v>0</v>
      </c>
      <c r="DZ78">
        <f ca="1">OFFSET(Objects!$HW$6,DZ$1+(Objects!$Y$4-$A78-1)*Objects!$X$4,0)</f>
        <v>0</v>
      </c>
      <c r="EA78">
        <f ca="1">OFFSET(Objects!$HW$6,EA$1+(Objects!$Y$4-$A78-1)*Objects!$X$4,0)</f>
        <v>0</v>
      </c>
      <c r="EB78">
        <f ca="1">OFFSET(Objects!$HW$6,EB$1+(Objects!$Y$4-$A78-1)*Objects!$X$4,0)</f>
        <v>0</v>
      </c>
      <c r="EC78">
        <f ca="1">OFFSET(Objects!$HW$6,EC$1+(Objects!$Y$4-$A78-1)*Objects!$X$4,0)</f>
        <v>0</v>
      </c>
      <c r="ED78">
        <f ca="1">OFFSET(Objects!$HW$6,ED$1+(Objects!$Y$4-$A78-1)*Objects!$X$4,0)</f>
        <v>0</v>
      </c>
      <c r="EE78">
        <f ca="1">OFFSET(Objects!$HW$6,EE$1+(Objects!$Y$4-$A78-1)*Objects!$X$4,0)</f>
        <v>0</v>
      </c>
      <c r="EF78">
        <f ca="1">OFFSET(Objects!$HW$6,EF$1+(Objects!$Y$4-$A78-1)*Objects!$X$4,0)</f>
        <v>0</v>
      </c>
      <c r="EG78">
        <f ca="1">OFFSET(Objects!$HW$6,EG$1+(Objects!$Y$4-$A78-1)*Objects!$X$4,0)</f>
        <v>0</v>
      </c>
      <c r="EH78">
        <f ca="1">OFFSET(Objects!$HW$6,EH$1+(Objects!$Y$4-$A78-1)*Objects!$X$4,0)</f>
        <v>0</v>
      </c>
      <c r="EI78">
        <f ca="1">OFFSET(Objects!$HW$6,EI$1+(Objects!$Y$4-$A78-1)*Objects!$X$4,0)</f>
        <v>0</v>
      </c>
      <c r="EJ78">
        <f ca="1">OFFSET(Objects!$HW$6,EJ$1+(Objects!$Y$4-$A78-1)*Objects!$X$4,0)</f>
        <v>0</v>
      </c>
      <c r="EK78">
        <f ca="1">OFFSET(Objects!$HW$6,EK$1+(Objects!$Y$4-$A78-1)*Objects!$X$4,0)</f>
        <v>0</v>
      </c>
      <c r="EL78">
        <f ca="1">OFFSET(Objects!$HW$6,EL$1+(Objects!$Y$4-$A78-1)*Objects!$X$4,0)</f>
        <v>0</v>
      </c>
      <c r="EM78">
        <f ca="1">OFFSET(Objects!$HW$6,EM$1+(Objects!$Y$4-$A78-1)*Objects!$X$4,0)</f>
        <v>0</v>
      </c>
      <c r="EN78">
        <f ca="1">OFFSET(Objects!$HW$6,EN$1+(Objects!$Y$4-$A78-1)*Objects!$X$4,0)</f>
        <v>0</v>
      </c>
      <c r="EO78">
        <f ca="1">OFFSET(Objects!$HW$6,EO$1+(Objects!$Y$4-$A78-1)*Objects!$X$4,0)</f>
        <v>0</v>
      </c>
      <c r="EP78">
        <f ca="1">OFFSET(Objects!$HW$6,EP$1+(Objects!$Y$4-$A78-1)*Objects!$X$4,0)</f>
        <v>0</v>
      </c>
      <c r="EQ78">
        <f ca="1">OFFSET(Objects!$HW$6,EQ$1+(Objects!$Y$4-$A78-1)*Objects!$X$4,0)</f>
        <v>0</v>
      </c>
      <c r="ER78">
        <f ca="1">OFFSET(Objects!$HW$6,ER$1+(Objects!$Y$4-$A78-1)*Objects!$X$4,0)</f>
        <v>0</v>
      </c>
      <c r="ES78">
        <f ca="1">OFFSET(Objects!$HW$6,ES$1+(Objects!$Y$4-$A78-1)*Objects!$X$4,0)</f>
        <v>0</v>
      </c>
      <c r="ET78">
        <f ca="1">OFFSET(Objects!$HW$6,ET$1+(Objects!$Y$4-$A78-1)*Objects!$X$4,0)</f>
        <v>0</v>
      </c>
      <c r="EU78">
        <f ca="1">OFFSET(Objects!$HW$6,EU$1+(Objects!$Y$4-$A78-1)*Objects!$X$4,0)</f>
        <v>0</v>
      </c>
      <c r="EV78">
        <f ca="1">OFFSET(Objects!$HW$6,EV$1+(Objects!$Y$4-$A78-1)*Objects!$X$4,0)</f>
        <v>0</v>
      </c>
      <c r="EW78">
        <f ca="1">OFFSET(Objects!$HW$6,EW$1+(Objects!$Y$4-$A78-1)*Objects!$X$4,0)</f>
        <v>0</v>
      </c>
      <c r="EX78">
        <f ca="1">OFFSET(Objects!$HW$6,EX$1+(Objects!$Y$4-$A78-1)*Objects!$X$4,0)</f>
        <v>0</v>
      </c>
      <c r="EY78">
        <f ca="1">OFFSET(Objects!$HW$6,EY$1+(Objects!$Y$4-$A78-1)*Objects!$X$4,0)</f>
        <v>0</v>
      </c>
      <c r="EZ78">
        <f ca="1">OFFSET(Objects!$HW$6,EZ$1+(Objects!$Y$4-$A78-1)*Objects!$X$4,0)</f>
        <v>0</v>
      </c>
      <c r="FA78">
        <f ca="1">OFFSET(Objects!$HW$6,FA$1+(Objects!$Y$4-$A78-1)*Objects!$X$4,0)</f>
        <v>0</v>
      </c>
      <c r="FB78">
        <f ca="1">OFFSET(Objects!$HW$6,FB$1+(Objects!$Y$4-$A78-1)*Objects!$X$4,0)</f>
        <v>0</v>
      </c>
      <c r="FC78">
        <f ca="1">OFFSET(Objects!$HW$6,FC$1+(Objects!$Y$4-$A78-1)*Objects!$X$4,0)</f>
        <v>0</v>
      </c>
      <c r="FD78">
        <f ca="1">OFFSET(Objects!$HW$6,FD$1+(Objects!$Y$4-$A78-1)*Objects!$X$4,0)</f>
        <v>0</v>
      </c>
      <c r="FE78" s="22">
        <f ca="1">OFFSET(Objects!$HW$6,FE$1+(Objects!$Y$4-$A78-1)*Objects!$X$4,0)</f>
        <v>0</v>
      </c>
    </row>
    <row r="79" spans="1:161" ht="4.5" customHeight="1" x14ac:dyDescent="0.25">
      <c r="A79">
        <v>77</v>
      </c>
      <c r="B79" s="21">
        <f ca="1">OFFSET(Objects!$HW$6,B$1+(Objects!$Y$4-$A79-1)*Objects!$X$4,0)</f>
        <v>0</v>
      </c>
      <c r="C79">
        <f ca="1">OFFSET(Objects!$HW$6,C$1+(Objects!$Y$4-$A79-1)*Objects!$X$4,0)</f>
        <v>0</v>
      </c>
      <c r="D79">
        <f ca="1">OFFSET(Objects!$HW$6,D$1+(Objects!$Y$4-$A79-1)*Objects!$X$4,0)</f>
        <v>0</v>
      </c>
      <c r="E79">
        <f ca="1">OFFSET(Objects!$HW$6,E$1+(Objects!$Y$4-$A79-1)*Objects!$X$4,0)</f>
        <v>0</v>
      </c>
      <c r="F79">
        <f ca="1">OFFSET(Objects!$HW$6,F$1+(Objects!$Y$4-$A79-1)*Objects!$X$4,0)</f>
        <v>0</v>
      </c>
      <c r="G79">
        <f ca="1">OFFSET(Objects!$HW$6,G$1+(Objects!$Y$4-$A79-1)*Objects!$X$4,0)</f>
        <v>0</v>
      </c>
      <c r="H79">
        <f ca="1">OFFSET(Objects!$HW$6,H$1+(Objects!$Y$4-$A79-1)*Objects!$X$4,0)</f>
        <v>0</v>
      </c>
      <c r="I79">
        <f ca="1">OFFSET(Objects!$HW$6,I$1+(Objects!$Y$4-$A79-1)*Objects!$X$4,0)</f>
        <v>0</v>
      </c>
      <c r="J79">
        <f ca="1">OFFSET(Objects!$HW$6,J$1+(Objects!$Y$4-$A79-1)*Objects!$X$4,0)</f>
        <v>0</v>
      </c>
      <c r="K79">
        <f ca="1">OFFSET(Objects!$HW$6,K$1+(Objects!$Y$4-$A79-1)*Objects!$X$4,0)</f>
        <v>0</v>
      </c>
      <c r="L79">
        <f ca="1">OFFSET(Objects!$HW$6,L$1+(Objects!$Y$4-$A79-1)*Objects!$X$4,0)</f>
        <v>0</v>
      </c>
      <c r="M79">
        <f ca="1">OFFSET(Objects!$HW$6,M$1+(Objects!$Y$4-$A79-1)*Objects!$X$4,0)</f>
        <v>0</v>
      </c>
      <c r="N79">
        <f ca="1">OFFSET(Objects!$HW$6,N$1+(Objects!$Y$4-$A79-1)*Objects!$X$4,0)</f>
        <v>0</v>
      </c>
      <c r="O79">
        <f ca="1">OFFSET(Objects!$HW$6,O$1+(Objects!$Y$4-$A79-1)*Objects!$X$4,0)</f>
        <v>0</v>
      </c>
      <c r="P79">
        <f ca="1">OFFSET(Objects!$HW$6,P$1+(Objects!$Y$4-$A79-1)*Objects!$X$4,0)</f>
        <v>0</v>
      </c>
      <c r="Q79">
        <f ca="1">OFFSET(Objects!$HW$6,Q$1+(Objects!$Y$4-$A79-1)*Objects!$X$4,0)</f>
        <v>0</v>
      </c>
      <c r="R79">
        <f ca="1">OFFSET(Objects!$HW$6,R$1+(Objects!$Y$4-$A79-1)*Objects!$X$4,0)</f>
        <v>0</v>
      </c>
      <c r="S79">
        <f ca="1">OFFSET(Objects!$HW$6,S$1+(Objects!$Y$4-$A79-1)*Objects!$X$4,0)</f>
        <v>0</v>
      </c>
      <c r="T79">
        <f ca="1">OFFSET(Objects!$HW$6,T$1+(Objects!$Y$4-$A79-1)*Objects!$X$4,0)</f>
        <v>0</v>
      </c>
      <c r="U79">
        <f ca="1">OFFSET(Objects!$HW$6,U$1+(Objects!$Y$4-$A79-1)*Objects!$X$4,0)</f>
        <v>0</v>
      </c>
      <c r="V79">
        <f ca="1">OFFSET(Objects!$HW$6,V$1+(Objects!$Y$4-$A79-1)*Objects!$X$4,0)</f>
        <v>0</v>
      </c>
      <c r="W79">
        <f ca="1">OFFSET(Objects!$HW$6,W$1+(Objects!$Y$4-$A79-1)*Objects!$X$4,0)</f>
        <v>0</v>
      </c>
      <c r="X79">
        <f ca="1">OFFSET(Objects!$HW$6,X$1+(Objects!$Y$4-$A79-1)*Objects!$X$4,0)</f>
        <v>0</v>
      </c>
      <c r="Y79">
        <f ca="1">OFFSET(Objects!$HW$6,Y$1+(Objects!$Y$4-$A79-1)*Objects!$X$4,0)</f>
        <v>0</v>
      </c>
      <c r="Z79">
        <f ca="1">OFFSET(Objects!$HW$6,Z$1+(Objects!$Y$4-$A79-1)*Objects!$X$4,0)</f>
        <v>0</v>
      </c>
      <c r="AA79">
        <f ca="1">OFFSET(Objects!$HW$6,AA$1+(Objects!$Y$4-$A79-1)*Objects!$X$4,0)</f>
        <v>0</v>
      </c>
      <c r="AB79">
        <f ca="1">OFFSET(Objects!$HW$6,AB$1+(Objects!$Y$4-$A79-1)*Objects!$X$4,0)</f>
        <v>0</v>
      </c>
      <c r="AC79">
        <f ca="1">OFFSET(Objects!$HW$6,AC$1+(Objects!$Y$4-$A79-1)*Objects!$X$4,0)</f>
        <v>0</v>
      </c>
      <c r="AD79">
        <f ca="1">OFFSET(Objects!$HW$6,AD$1+(Objects!$Y$4-$A79-1)*Objects!$X$4,0)</f>
        <v>0</v>
      </c>
      <c r="AE79">
        <f ca="1">OFFSET(Objects!$HW$6,AE$1+(Objects!$Y$4-$A79-1)*Objects!$X$4,0)</f>
        <v>0</v>
      </c>
      <c r="AF79">
        <f ca="1">OFFSET(Objects!$HW$6,AF$1+(Objects!$Y$4-$A79-1)*Objects!$X$4,0)</f>
        <v>0</v>
      </c>
      <c r="AG79">
        <f ca="1">OFFSET(Objects!$HW$6,AG$1+(Objects!$Y$4-$A79-1)*Objects!$X$4,0)</f>
        <v>0</v>
      </c>
      <c r="AH79">
        <f ca="1">OFFSET(Objects!$HW$6,AH$1+(Objects!$Y$4-$A79-1)*Objects!$X$4,0)</f>
        <v>0</v>
      </c>
      <c r="AI79">
        <f ca="1">OFFSET(Objects!$HW$6,AI$1+(Objects!$Y$4-$A79-1)*Objects!$X$4,0)</f>
        <v>0</v>
      </c>
      <c r="AJ79">
        <f ca="1">OFFSET(Objects!$HW$6,AJ$1+(Objects!$Y$4-$A79-1)*Objects!$X$4,0)</f>
        <v>0</v>
      </c>
      <c r="AK79">
        <f ca="1">OFFSET(Objects!$HW$6,AK$1+(Objects!$Y$4-$A79-1)*Objects!$X$4,0)</f>
        <v>0</v>
      </c>
      <c r="AL79">
        <f ca="1">OFFSET(Objects!$HW$6,AL$1+(Objects!$Y$4-$A79-1)*Objects!$X$4,0)</f>
        <v>0</v>
      </c>
      <c r="AM79">
        <f ca="1">OFFSET(Objects!$HW$6,AM$1+(Objects!$Y$4-$A79-1)*Objects!$X$4,0)</f>
        <v>0</v>
      </c>
      <c r="AN79">
        <f ca="1">OFFSET(Objects!$HW$6,AN$1+(Objects!$Y$4-$A79-1)*Objects!$X$4,0)</f>
        <v>0</v>
      </c>
      <c r="AO79">
        <f ca="1">OFFSET(Objects!$HW$6,AO$1+(Objects!$Y$4-$A79-1)*Objects!$X$4,0)</f>
        <v>0</v>
      </c>
      <c r="AP79">
        <f ca="1">OFFSET(Objects!$HW$6,AP$1+(Objects!$Y$4-$A79-1)*Objects!$X$4,0)</f>
        <v>0</v>
      </c>
      <c r="AQ79">
        <f ca="1">OFFSET(Objects!$HW$6,AQ$1+(Objects!$Y$4-$A79-1)*Objects!$X$4,0)</f>
        <v>0</v>
      </c>
      <c r="AR79">
        <f ca="1">OFFSET(Objects!$HW$6,AR$1+(Objects!$Y$4-$A79-1)*Objects!$X$4,0)</f>
        <v>0</v>
      </c>
      <c r="AS79">
        <f ca="1">OFFSET(Objects!$HW$6,AS$1+(Objects!$Y$4-$A79-1)*Objects!$X$4,0)</f>
        <v>0</v>
      </c>
      <c r="AT79">
        <f ca="1">OFFSET(Objects!$HW$6,AT$1+(Objects!$Y$4-$A79-1)*Objects!$X$4,0)</f>
        <v>0</v>
      </c>
      <c r="AU79">
        <f ca="1">OFFSET(Objects!$HW$6,AU$1+(Objects!$Y$4-$A79-1)*Objects!$X$4,0)</f>
        <v>0</v>
      </c>
      <c r="AV79">
        <f ca="1">OFFSET(Objects!$HW$6,AV$1+(Objects!$Y$4-$A79-1)*Objects!$X$4,0)</f>
        <v>0</v>
      </c>
      <c r="AW79">
        <f ca="1">OFFSET(Objects!$HW$6,AW$1+(Objects!$Y$4-$A79-1)*Objects!$X$4,0)</f>
        <v>0</v>
      </c>
      <c r="AX79">
        <f ca="1">OFFSET(Objects!$HW$6,AX$1+(Objects!$Y$4-$A79-1)*Objects!$X$4,0)</f>
        <v>0</v>
      </c>
      <c r="AY79">
        <f ca="1">OFFSET(Objects!$HW$6,AY$1+(Objects!$Y$4-$A79-1)*Objects!$X$4,0)</f>
        <v>0</v>
      </c>
      <c r="AZ79">
        <f ca="1">OFFSET(Objects!$HW$6,AZ$1+(Objects!$Y$4-$A79-1)*Objects!$X$4,0)</f>
        <v>0</v>
      </c>
      <c r="BA79">
        <f ca="1">OFFSET(Objects!$HW$6,BA$1+(Objects!$Y$4-$A79-1)*Objects!$X$4,0)</f>
        <v>0</v>
      </c>
      <c r="BB79">
        <f ca="1">OFFSET(Objects!$HW$6,BB$1+(Objects!$Y$4-$A79-1)*Objects!$X$4,0)</f>
        <v>0</v>
      </c>
      <c r="BC79">
        <f ca="1">OFFSET(Objects!$HW$6,BC$1+(Objects!$Y$4-$A79-1)*Objects!$X$4,0)</f>
        <v>0</v>
      </c>
      <c r="BD79">
        <f ca="1">OFFSET(Objects!$HW$6,BD$1+(Objects!$Y$4-$A79-1)*Objects!$X$4,0)</f>
        <v>0</v>
      </c>
      <c r="BE79">
        <f ca="1">OFFSET(Objects!$HW$6,BE$1+(Objects!$Y$4-$A79-1)*Objects!$X$4,0)</f>
        <v>0</v>
      </c>
      <c r="BF79">
        <f ca="1">OFFSET(Objects!$HW$6,BF$1+(Objects!$Y$4-$A79-1)*Objects!$X$4,0)</f>
        <v>0</v>
      </c>
      <c r="BG79">
        <f ca="1">OFFSET(Objects!$HW$6,BG$1+(Objects!$Y$4-$A79-1)*Objects!$X$4,0)</f>
        <v>0</v>
      </c>
      <c r="BH79">
        <f ca="1">OFFSET(Objects!$HW$6,BH$1+(Objects!$Y$4-$A79-1)*Objects!$X$4,0)</f>
        <v>0</v>
      </c>
      <c r="BI79">
        <f ca="1">OFFSET(Objects!$HW$6,BI$1+(Objects!$Y$4-$A79-1)*Objects!$X$4,0)</f>
        <v>0</v>
      </c>
      <c r="BJ79">
        <f ca="1">OFFSET(Objects!$HW$6,BJ$1+(Objects!$Y$4-$A79-1)*Objects!$X$4,0)</f>
        <v>0</v>
      </c>
      <c r="BK79">
        <f ca="1">OFFSET(Objects!$HW$6,BK$1+(Objects!$Y$4-$A79-1)*Objects!$X$4,0)</f>
        <v>0</v>
      </c>
      <c r="BL79">
        <f ca="1">OFFSET(Objects!$HW$6,BL$1+(Objects!$Y$4-$A79-1)*Objects!$X$4,0)</f>
        <v>0</v>
      </c>
      <c r="BM79">
        <f ca="1">OFFSET(Objects!$HW$6,BM$1+(Objects!$Y$4-$A79-1)*Objects!$X$4,0)</f>
        <v>0</v>
      </c>
      <c r="BN79">
        <f ca="1">OFFSET(Objects!$HW$6,BN$1+(Objects!$Y$4-$A79-1)*Objects!$X$4,0)</f>
        <v>0</v>
      </c>
      <c r="BO79">
        <f ca="1">OFFSET(Objects!$HW$6,BO$1+(Objects!$Y$4-$A79-1)*Objects!$X$4,0)</f>
        <v>0</v>
      </c>
      <c r="BP79">
        <f ca="1">OFFSET(Objects!$HW$6,BP$1+(Objects!$Y$4-$A79-1)*Objects!$X$4,0)</f>
        <v>0</v>
      </c>
      <c r="BQ79">
        <f ca="1">OFFSET(Objects!$HW$6,BQ$1+(Objects!$Y$4-$A79-1)*Objects!$X$4,0)</f>
        <v>0</v>
      </c>
      <c r="BR79">
        <f ca="1">OFFSET(Objects!$HW$6,BR$1+(Objects!$Y$4-$A79-1)*Objects!$X$4,0)</f>
        <v>0</v>
      </c>
      <c r="BS79">
        <f ca="1">OFFSET(Objects!$HW$6,BS$1+(Objects!$Y$4-$A79-1)*Objects!$X$4,0)</f>
        <v>0</v>
      </c>
      <c r="BT79">
        <f ca="1">OFFSET(Objects!$HW$6,BT$1+(Objects!$Y$4-$A79-1)*Objects!$X$4,0)</f>
        <v>0</v>
      </c>
      <c r="BU79">
        <f ca="1">OFFSET(Objects!$HW$6,BU$1+(Objects!$Y$4-$A79-1)*Objects!$X$4,0)</f>
        <v>0</v>
      </c>
      <c r="BV79">
        <f ca="1">OFFSET(Objects!$HW$6,BV$1+(Objects!$Y$4-$A79-1)*Objects!$X$4,0)</f>
        <v>0</v>
      </c>
      <c r="BW79">
        <f ca="1">OFFSET(Objects!$HW$6,BW$1+(Objects!$Y$4-$A79-1)*Objects!$X$4,0)</f>
        <v>0</v>
      </c>
      <c r="BX79">
        <f ca="1">OFFSET(Objects!$HW$6,BX$1+(Objects!$Y$4-$A79-1)*Objects!$X$4,0)</f>
        <v>0</v>
      </c>
      <c r="BY79">
        <f ca="1">OFFSET(Objects!$HW$6,BY$1+(Objects!$Y$4-$A79-1)*Objects!$X$4,0)</f>
        <v>0</v>
      </c>
      <c r="BZ79">
        <f ca="1">OFFSET(Objects!$HW$6,BZ$1+(Objects!$Y$4-$A79-1)*Objects!$X$4,0)</f>
        <v>0</v>
      </c>
      <c r="CA79">
        <f ca="1">OFFSET(Objects!$HW$6,CA$1+(Objects!$Y$4-$A79-1)*Objects!$X$4,0)</f>
        <v>0</v>
      </c>
      <c r="CB79">
        <f ca="1">OFFSET(Objects!$HW$6,CB$1+(Objects!$Y$4-$A79-1)*Objects!$X$4,0)</f>
        <v>0</v>
      </c>
      <c r="CC79">
        <f ca="1">OFFSET(Objects!$HW$6,CC$1+(Objects!$Y$4-$A79-1)*Objects!$X$4,0)</f>
        <v>0</v>
      </c>
      <c r="CD79">
        <f ca="1">OFFSET(Objects!$HW$6,CD$1+(Objects!$Y$4-$A79-1)*Objects!$X$4,0)</f>
        <v>0</v>
      </c>
      <c r="CE79">
        <f ca="1">OFFSET(Objects!$HW$6,CE$1+(Objects!$Y$4-$A79-1)*Objects!$X$4,0)</f>
        <v>0</v>
      </c>
      <c r="CF79">
        <f ca="1">OFFSET(Objects!$HW$6,CF$1+(Objects!$Y$4-$A79-1)*Objects!$X$4,0)</f>
        <v>0</v>
      </c>
      <c r="CG79">
        <f ca="1">OFFSET(Objects!$HW$6,CG$1+(Objects!$Y$4-$A79-1)*Objects!$X$4,0)</f>
        <v>0</v>
      </c>
      <c r="CH79">
        <f ca="1">OFFSET(Objects!$HW$6,CH$1+(Objects!$Y$4-$A79-1)*Objects!$X$4,0)</f>
        <v>0</v>
      </c>
      <c r="CI79">
        <f ca="1">OFFSET(Objects!$HW$6,CI$1+(Objects!$Y$4-$A79-1)*Objects!$X$4,0)</f>
        <v>0</v>
      </c>
      <c r="CJ79">
        <f ca="1">OFFSET(Objects!$HW$6,CJ$1+(Objects!$Y$4-$A79-1)*Objects!$X$4,0)</f>
        <v>0</v>
      </c>
      <c r="CK79">
        <f ca="1">OFFSET(Objects!$HW$6,CK$1+(Objects!$Y$4-$A79-1)*Objects!$X$4,0)</f>
        <v>0</v>
      </c>
      <c r="CL79">
        <f ca="1">OFFSET(Objects!$HW$6,CL$1+(Objects!$Y$4-$A79-1)*Objects!$X$4,0)</f>
        <v>0</v>
      </c>
      <c r="CM79">
        <f ca="1">OFFSET(Objects!$HW$6,CM$1+(Objects!$Y$4-$A79-1)*Objects!$X$4,0)</f>
        <v>0</v>
      </c>
      <c r="CN79">
        <f ca="1">OFFSET(Objects!$HW$6,CN$1+(Objects!$Y$4-$A79-1)*Objects!$X$4,0)</f>
        <v>0</v>
      </c>
      <c r="CO79">
        <f ca="1">OFFSET(Objects!$HW$6,CO$1+(Objects!$Y$4-$A79-1)*Objects!$X$4,0)</f>
        <v>0</v>
      </c>
      <c r="CP79">
        <f ca="1">OFFSET(Objects!$HW$6,CP$1+(Objects!$Y$4-$A79-1)*Objects!$X$4,0)</f>
        <v>0</v>
      </c>
      <c r="CQ79">
        <f ca="1">OFFSET(Objects!$HW$6,CQ$1+(Objects!$Y$4-$A79-1)*Objects!$X$4,0)</f>
        <v>0</v>
      </c>
      <c r="CR79">
        <f ca="1">OFFSET(Objects!$HW$6,CR$1+(Objects!$Y$4-$A79-1)*Objects!$X$4,0)</f>
        <v>0</v>
      </c>
      <c r="CS79">
        <f ca="1">OFFSET(Objects!$HW$6,CS$1+(Objects!$Y$4-$A79-1)*Objects!$X$4,0)</f>
        <v>0</v>
      </c>
      <c r="CT79">
        <f ca="1">OFFSET(Objects!$HW$6,CT$1+(Objects!$Y$4-$A79-1)*Objects!$X$4,0)</f>
        <v>0</v>
      </c>
      <c r="CU79">
        <f ca="1">OFFSET(Objects!$HW$6,CU$1+(Objects!$Y$4-$A79-1)*Objects!$X$4,0)</f>
        <v>0</v>
      </c>
      <c r="CV79">
        <f ca="1">OFFSET(Objects!$HW$6,CV$1+(Objects!$Y$4-$A79-1)*Objects!$X$4,0)</f>
        <v>0</v>
      </c>
      <c r="CW79">
        <f ca="1">OFFSET(Objects!$HW$6,CW$1+(Objects!$Y$4-$A79-1)*Objects!$X$4,0)</f>
        <v>0</v>
      </c>
      <c r="CX79">
        <f ca="1">OFFSET(Objects!$HW$6,CX$1+(Objects!$Y$4-$A79-1)*Objects!$X$4,0)</f>
        <v>0</v>
      </c>
      <c r="CY79">
        <f ca="1">OFFSET(Objects!$HW$6,CY$1+(Objects!$Y$4-$A79-1)*Objects!$X$4,0)</f>
        <v>0</v>
      </c>
      <c r="CZ79">
        <f ca="1">OFFSET(Objects!$HW$6,CZ$1+(Objects!$Y$4-$A79-1)*Objects!$X$4,0)</f>
        <v>0</v>
      </c>
      <c r="DA79">
        <f ca="1">OFFSET(Objects!$HW$6,DA$1+(Objects!$Y$4-$A79-1)*Objects!$X$4,0)</f>
        <v>0</v>
      </c>
      <c r="DB79">
        <f ca="1">OFFSET(Objects!$HW$6,DB$1+(Objects!$Y$4-$A79-1)*Objects!$X$4,0)</f>
        <v>0</v>
      </c>
      <c r="DC79">
        <f ca="1">OFFSET(Objects!$HW$6,DC$1+(Objects!$Y$4-$A79-1)*Objects!$X$4,0)</f>
        <v>0</v>
      </c>
      <c r="DD79">
        <f ca="1">OFFSET(Objects!$HW$6,DD$1+(Objects!$Y$4-$A79-1)*Objects!$X$4,0)</f>
        <v>0</v>
      </c>
      <c r="DE79">
        <f ca="1">OFFSET(Objects!$HW$6,DE$1+(Objects!$Y$4-$A79-1)*Objects!$X$4,0)</f>
        <v>0</v>
      </c>
      <c r="DF79">
        <f ca="1">OFFSET(Objects!$HW$6,DF$1+(Objects!$Y$4-$A79-1)*Objects!$X$4,0)</f>
        <v>0</v>
      </c>
      <c r="DG79">
        <f ca="1">OFFSET(Objects!$HW$6,DG$1+(Objects!$Y$4-$A79-1)*Objects!$X$4,0)</f>
        <v>0</v>
      </c>
      <c r="DH79">
        <f ca="1">OFFSET(Objects!$HW$6,DH$1+(Objects!$Y$4-$A79-1)*Objects!$X$4,0)</f>
        <v>0</v>
      </c>
      <c r="DI79">
        <f ca="1">OFFSET(Objects!$HW$6,DI$1+(Objects!$Y$4-$A79-1)*Objects!$X$4,0)</f>
        <v>0</v>
      </c>
      <c r="DJ79">
        <f ca="1">OFFSET(Objects!$HW$6,DJ$1+(Objects!$Y$4-$A79-1)*Objects!$X$4,0)</f>
        <v>0</v>
      </c>
      <c r="DK79">
        <f ca="1">OFFSET(Objects!$HW$6,DK$1+(Objects!$Y$4-$A79-1)*Objects!$X$4,0)</f>
        <v>0</v>
      </c>
      <c r="DL79">
        <f ca="1">OFFSET(Objects!$HW$6,DL$1+(Objects!$Y$4-$A79-1)*Objects!$X$4,0)</f>
        <v>0</v>
      </c>
      <c r="DM79">
        <f ca="1">OFFSET(Objects!$HW$6,DM$1+(Objects!$Y$4-$A79-1)*Objects!$X$4,0)</f>
        <v>0</v>
      </c>
      <c r="DN79">
        <f ca="1">OFFSET(Objects!$HW$6,DN$1+(Objects!$Y$4-$A79-1)*Objects!$X$4,0)</f>
        <v>0</v>
      </c>
      <c r="DO79">
        <f ca="1">OFFSET(Objects!$HW$6,DO$1+(Objects!$Y$4-$A79-1)*Objects!$X$4,0)</f>
        <v>0</v>
      </c>
      <c r="DP79">
        <f ca="1">OFFSET(Objects!$HW$6,DP$1+(Objects!$Y$4-$A79-1)*Objects!$X$4,0)</f>
        <v>0</v>
      </c>
      <c r="DQ79">
        <f ca="1">OFFSET(Objects!$HW$6,DQ$1+(Objects!$Y$4-$A79-1)*Objects!$X$4,0)</f>
        <v>0</v>
      </c>
      <c r="DR79">
        <f ca="1">OFFSET(Objects!$HW$6,DR$1+(Objects!$Y$4-$A79-1)*Objects!$X$4,0)</f>
        <v>0</v>
      </c>
      <c r="DS79">
        <f ca="1">OFFSET(Objects!$HW$6,DS$1+(Objects!$Y$4-$A79-1)*Objects!$X$4,0)</f>
        <v>0</v>
      </c>
      <c r="DT79">
        <f ca="1">OFFSET(Objects!$HW$6,DT$1+(Objects!$Y$4-$A79-1)*Objects!$X$4,0)</f>
        <v>0</v>
      </c>
      <c r="DU79">
        <f ca="1">OFFSET(Objects!$HW$6,DU$1+(Objects!$Y$4-$A79-1)*Objects!$X$4,0)</f>
        <v>0</v>
      </c>
      <c r="DV79">
        <f ca="1">OFFSET(Objects!$HW$6,DV$1+(Objects!$Y$4-$A79-1)*Objects!$X$4,0)</f>
        <v>0</v>
      </c>
      <c r="DW79">
        <f ca="1">OFFSET(Objects!$HW$6,DW$1+(Objects!$Y$4-$A79-1)*Objects!$X$4,0)</f>
        <v>0</v>
      </c>
      <c r="DX79">
        <f ca="1">OFFSET(Objects!$HW$6,DX$1+(Objects!$Y$4-$A79-1)*Objects!$X$4,0)</f>
        <v>0</v>
      </c>
      <c r="DY79">
        <f ca="1">OFFSET(Objects!$HW$6,DY$1+(Objects!$Y$4-$A79-1)*Objects!$X$4,0)</f>
        <v>0</v>
      </c>
      <c r="DZ79">
        <f ca="1">OFFSET(Objects!$HW$6,DZ$1+(Objects!$Y$4-$A79-1)*Objects!$X$4,0)</f>
        <v>0</v>
      </c>
      <c r="EA79">
        <f ca="1">OFFSET(Objects!$HW$6,EA$1+(Objects!$Y$4-$A79-1)*Objects!$X$4,0)</f>
        <v>0</v>
      </c>
      <c r="EB79">
        <f ca="1">OFFSET(Objects!$HW$6,EB$1+(Objects!$Y$4-$A79-1)*Objects!$X$4,0)</f>
        <v>0</v>
      </c>
      <c r="EC79">
        <f ca="1">OFFSET(Objects!$HW$6,EC$1+(Objects!$Y$4-$A79-1)*Objects!$X$4,0)</f>
        <v>0</v>
      </c>
      <c r="ED79">
        <f ca="1">OFFSET(Objects!$HW$6,ED$1+(Objects!$Y$4-$A79-1)*Objects!$X$4,0)</f>
        <v>0</v>
      </c>
      <c r="EE79">
        <f ca="1">OFFSET(Objects!$HW$6,EE$1+(Objects!$Y$4-$A79-1)*Objects!$X$4,0)</f>
        <v>0</v>
      </c>
      <c r="EF79">
        <f ca="1">OFFSET(Objects!$HW$6,EF$1+(Objects!$Y$4-$A79-1)*Objects!$X$4,0)</f>
        <v>0</v>
      </c>
      <c r="EG79">
        <f ca="1">OFFSET(Objects!$HW$6,EG$1+(Objects!$Y$4-$A79-1)*Objects!$X$4,0)</f>
        <v>0</v>
      </c>
      <c r="EH79">
        <f ca="1">OFFSET(Objects!$HW$6,EH$1+(Objects!$Y$4-$A79-1)*Objects!$X$4,0)</f>
        <v>0</v>
      </c>
      <c r="EI79">
        <f ca="1">OFFSET(Objects!$HW$6,EI$1+(Objects!$Y$4-$A79-1)*Objects!$X$4,0)</f>
        <v>0</v>
      </c>
      <c r="EJ79">
        <f ca="1">OFFSET(Objects!$HW$6,EJ$1+(Objects!$Y$4-$A79-1)*Objects!$X$4,0)</f>
        <v>0</v>
      </c>
      <c r="EK79">
        <f ca="1">OFFSET(Objects!$HW$6,EK$1+(Objects!$Y$4-$A79-1)*Objects!$X$4,0)</f>
        <v>0</v>
      </c>
      <c r="EL79">
        <f ca="1">OFFSET(Objects!$HW$6,EL$1+(Objects!$Y$4-$A79-1)*Objects!$X$4,0)</f>
        <v>0</v>
      </c>
      <c r="EM79">
        <f ca="1">OFFSET(Objects!$HW$6,EM$1+(Objects!$Y$4-$A79-1)*Objects!$X$4,0)</f>
        <v>0</v>
      </c>
      <c r="EN79">
        <f ca="1">OFFSET(Objects!$HW$6,EN$1+(Objects!$Y$4-$A79-1)*Objects!$X$4,0)</f>
        <v>0</v>
      </c>
      <c r="EO79">
        <f ca="1">OFFSET(Objects!$HW$6,EO$1+(Objects!$Y$4-$A79-1)*Objects!$X$4,0)</f>
        <v>0</v>
      </c>
      <c r="EP79">
        <f ca="1">OFFSET(Objects!$HW$6,EP$1+(Objects!$Y$4-$A79-1)*Objects!$X$4,0)</f>
        <v>0</v>
      </c>
      <c r="EQ79">
        <f ca="1">OFFSET(Objects!$HW$6,EQ$1+(Objects!$Y$4-$A79-1)*Objects!$X$4,0)</f>
        <v>0</v>
      </c>
      <c r="ER79">
        <f ca="1">OFFSET(Objects!$HW$6,ER$1+(Objects!$Y$4-$A79-1)*Objects!$X$4,0)</f>
        <v>0</v>
      </c>
      <c r="ES79">
        <f ca="1">OFFSET(Objects!$HW$6,ES$1+(Objects!$Y$4-$A79-1)*Objects!$X$4,0)</f>
        <v>0</v>
      </c>
      <c r="ET79">
        <f ca="1">OFFSET(Objects!$HW$6,ET$1+(Objects!$Y$4-$A79-1)*Objects!$X$4,0)</f>
        <v>0</v>
      </c>
      <c r="EU79">
        <f ca="1">OFFSET(Objects!$HW$6,EU$1+(Objects!$Y$4-$A79-1)*Objects!$X$4,0)</f>
        <v>0</v>
      </c>
      <c r="EV79">
        <f ca="1">OFFSET(Objects!$HW$6,EV$1+(Objects!$Y$4-$A79-1)*Objects!$X$4,0)</f>
        <v>0</v>
      </c>
      <c r="EW79">
        <f ca="1">OFFSET(Objects!$HW$6,EW$1+(Objects!$Y$4-$A79-1)*Objects!$X$4,0)</f>
        <v>0</v>
      </c>
      <c r="EX79">
        <f ca="1">OFFSET(Objects!$HW$6,EX$1+(Objects!$Y$4-$A79-1)*Objects!$X$4,0)</f>
        <v>0</v>
      </c>
      <c r="EY79">
        <f ca="1">OFFSET(Objects!$HW$6,EY$1+(Objects!$Y$4-$A79-1)*Objects!$X$4,0)</f>
        <v>0</v>
      </c>
      <c r="EZ79">
        <f ca="1">OFFSET(Objects!$HW$6,EZ$1+(Objects!$Y$4-$A79-1)*Objects!$X$4,0)</f>
        <v>0</v>
      </c>
      <c r="FA79">
        <f ca="1">OFFSET(Objects!$HW$6,FA$1+(Objects!$Y$4-$A79-1)*Objects!$X$4,0)</f>
        <v>0</v>
      </c>
      <c r="FB79">
        <f ca="1">OFFSET(Objects!$HW$6,FB$1+(Objects!$Y$4-$A79-1)*Objects!$X$4,0)</f>
        <v>0</v>
      </c>
      <c r="FC79">
        <f ca="1">OFFSET(Objects!$HW$6,FC$1+(Objects!$Y$4-$A79-1)*Objects!$X$4,0)</f>
        <v>0</v>
      </c>
      <c r="FD79">
        <f ca="1">OFFSET(Objects!$HW$6,FD$1+(Objects!$Y$4-$A79-1)*Objects!$X$4,0)</f>
        <v>0</v>
      </c>
      <c r="FE79" s="22">
        <f ca="1">OFFSET(Objects!$HW$6,FE$1+(Objects!$Y$4-$A79-1)*Objects!$X$4,0)</f>
        <v>0</v>
      </c>
    </row>
    <row r="80" spans="1:161" ht="4.5" customHeight="1" x14ac:dyDescent="0.25">
      <c r="A80">
        <v>78</v>
      </c>
      <c r="B80" s="21">
        <f ca="1">OFFSET(Objects!$HW$6,B$1+(Objects!$Y$4-$A80-1)*Objects!$X$4,0)</f>
        <v>0</v>
      </c>
      <c r="C80">
        <f ca="1">OFFSET(Objects!$HW$6,C$1+(Objects!$Y$4-$A80-1)*Objects!$X$4,0)</f>
        <v>0</v>
      </c>
      <c r="D80">
        <f ca="1">OFFSET(Objects!$HW$6,D$1+(Objects!$Y$4-$A80-1)*Objects!$X$4,0)</f>
        <v>0</v>
      </c>
      <c r="E80">
        <f ca="1">OFFSET(Objects!$HW$6,E$1+(Objects!$Y$4-$A80-1)*Objects!$X$4,0)</f>
        <v>0</v>
      </c>
      <c r="F80">
        <f ca="1">OFFSET(Objects!$HW$6,F$1+(Objects!$Y$4-$A80-1)*Objects!$X$4,0)</f>
        <v>0</v>
      </c>
      <c r="G80">
        <f ca="1">OFFSET(Objects!$HW$6,G$1+(Objects!$Y$4-$A80-1)*Objects!$X$4,0)</f>
        <v>0</v>
      </c>
      <c r="H80">
        <f ca="1">OFFSET(Objects!$HW$6,H$1+(Objects!$Y$4-$A80-1)*Objects!$X$4,0)</f>
        <v>0</v>
      </c>
      <c r="I80">
        <f ca="1">OFFSET(Objects!$HW$6,I$1+(Objects!$Y$4-$A80-1)*Objects!$X$4,0)</f>
        <v>0</v>
      </c>
      <c r="J80">
        <f ca="1">OFFSET(Objects!$HW$6,J$1+(Objects!$Y$4-$A80-1)*Objects!$X$4,0)</f>
        <v>0</v>
      </c>
      <c r="K80">
        <f ca="1">OFFSET(Objects!$HW$6,K$1+(Objects!$Y$4-$A80-1)*Objects!$X$4,0)</f>
        <v>0</v>
      </c>
      <c r="L80">
        <f ca="1">OFFSET(Objects!$HW$6,L$1+(Objects!$Y$4-$A80-1)*Objects!$X$4,0)</f>
        <v>0</v>
      </c>
      <c r="M80">
        <f ca="1">OFFSET(Objects!$HW$6,M$1+(Objects!$Y$4-$A80-1)*Objects!$X$4,0)</f>
        <v>0</v>
      </c>
      <c r="N80">
        <f ca="1">OFFSET(Objects!$HW$6,N$1+(Objects!$Y$4-$A80-1)*Objects!$X$4,0)</f>
        <v>0</v>
      </c>
      <c r="O80">
        <f ca="1">OFFSET(Objects!$HW$6,O$1+(Objects!$Y$4-$A80-1)*Objects!$X$4,0)</f>
        <v>0</v>
      </c>
      <c r="P80">
        <f ca="1">OFFSET(Objects!$HW$6,P$1+(Objects!$Y$4-$A80-1)*Objects!$X$4,0)</f>
        <v>0</v>
      </c>
      <c r="Q80">
        <f ca="1">OFFSET(Objects!$HW$6,Q$1+(Objects!$Y$4-$A80-1)*Objects!$X$4,0)</f>
        <v>0</v>
      </c>
      <c r="R80">
        <f ca="1">OFFSET(Objects!$HW$6,R$1+(Objects!$Y$4-$A80-1)*Objects!$X$4,0)</f>
        <v>0</v>
      </c>
      <c r="S80">
        <f ca="1">OFFSET(Objects!$HW$6,S$1+(Objects!$Y$4-$A80-1)*Objects!$X$4,0)</f>
        <v>0</v>
      </c>
      <c r="T80">
        <f ca="1">OFFSET(Objects!$HW$6,T$1+(Objects!$Y$4-$A80-1)*Objects!$X$4,0)</f>
        <v>0</v>
      </c>
      <c r="U80">
        <f ca="1">OFFSET(Objects!$HW$6,U$1+(Objects!$Y$4-$A80-1)*Objects!$X$4,0)</f>
        <v>0</v>
      </c>
      <c r="V80">
        <f ca="1">OFFSET(Objects!$HW$6,V$1+(Objects!$Y$4-$A80-1)*Objects!$X$4,0)</f>
        <v>0</v>
      </c>
      <c r="W80">
        <f ca="1">OFFSET(Objects!$HW$6,W$1+(Objects!$Y$4-$A80-1)*Objects!$X$4,0)</f>
        <v>0</v>
      </c>
      <c r="X80">
        <f ca="1">OFFSET(Objects!$HW$6,X$1+(Objects!$Y$4-$A80-1)*Objects!$X$4,0)</f>
        <v>0</v>
      </c>
      <c r="Y80">
        <f ca="1">OFFSET(Objects!$HW$6,Y$1+(Objects!$Y$4-$A80-1)*Objects!$X$4,0)</f>
        <v>0</v>
      </c>
      <c r="Z80">
        <f ca="1">OFFSET(Objects!$HW$6,Z$1+(Objects!$Y$4-$A80-1)*Objects!$X$4,0)</f>
        <v>0</v>
      </c>
      <c r="AA80">
        <f ca="1">OFFSET(Objects!$HW$6,AA$1+(Objects!$Y$4-$A80-1)*Objects!$X$4,0)</f>
        <v>0</v>
      </c>
      <c r="AB80">
        <f ca="1">OFFSET(Objects!$HW$6,AB$1+(Objects!$Y$4-$A80-1)*Objects!$X$4,0)</f>
        <v>0</v>
      </c>
      <c r="AC80">
        <f ca="1">OFFSET(Objects!$HW$6,AC$1+(Objects!$Y$4-$A80-1)*Objects!$X$4,0)</f>
        <v>0</v>
      </c>
      <c r="AD80">
        <f ca="1">OFFSET(Objects!$HW$6,AD$1+(Objects!$Y$4-$A80-1)*Objects!$X$4,0)</f>
        <v>0</v>
      </c>
      <c r="AE80">
        <f ca="1">OFFSET(Objects!$HW$6,AE$1+(Objects!$Y$4-$A80-1)*Objects!$X$4,0)</f>
        <v>0</v>
      </c>
      <c r="AF80">
        <f ca="1">OFFSET(Objects!$HW$6,AF$1+(Objects!$Y$4-$A80-1)*Objects!$X$4,0)</f>
        <v>0</v>
      </c>
      <c r="AG80">
        <f ca="1">OFFSET(Objects!$HW$6,AG$1+(Objects!$Y$4-$A80-1)*Objects!$X$4,0)</f>
        <v>0</v>
      </c>
      <c r="AH80">
        <f ca="1">OFFSET(Objects!$HW$6,AH$1+(Objects!$Y$4-$A80-1)*Objects!$X$4,0)</f>
        <v>0</v>
      </c>
      <c r="AI80">
        <f ca="1">OFFSET(Objects!$HW$6,AI$1+(Objects!$Y$4-$A80-1)*Objects!$X$4,0)</f>
        <v>0</v>
      </c>
      <c r="AJ80">
        <f ca="1">OFFSET(Objects!$HW$6,AJ$1+(Objects!$Y$4-$A80-1)*Objects!$X$4,0)</f>
        <v>0</v>
      </c>
      <c r="AK80">
        <f ca="1">OFFSET(Objects!$HW$6,AK$1+(Objects!$Y$4-$A80-1)*Objects!$X$4,0)</f>
        <v>0</v>
      </c>
      <c r="AL80">
        <f ca="1">OFFSET(Objects!$HW$6,AL$1+(Objects!$Y$4-$A80-1)*Objects!$X$4,0)</f>
        <v>0</v>
      </c>
      <c r="AM80">
        <f ca="1">OFFSET(Objects!$HW$6,AM$1+(Objects!$Y$4-$A80-1)*Objects!$X$4,0)</f>
        <v>0</v>
      </c>
      <c r="AN80">
        <f ca="1">OFFSET(Objects!$HW$6,AN$1+(Objects!$Y$4-$A80-1)*Objects!$X$4,0)</f>
        <v>0</v>
      </c>
      <c r="AO80">
        <f ca="1">OFFSET(Objects!$HW$6,AO$1+(Objects!$Y$4-$A80-1)*Objects!$X$4,0)</f>
        <v>0</v>
      </c>
      <c r="AP80">
        <f ca="1">OFFSET(Objects!$HW$6,AP$1+(Objects!$Y$4-$A80-1)*Objects!$X$4,0)</f>
        <v>0</v>
      </c>
      <c r="AQ80">
        <f ca="1">OFFSET(Objects!$HW$6,AQ$1+(Objects!$Y$4-$A80-1)*Objects!$X$4,0)</f>
        <v>0</v>
      </c>
      <c r="AR80">
        <f ca="1">OFFSET(Objects!$HW$6,AR$1+(Objects!$Y$4-$A80-1)*Objects!$X$4,0)</f>
        <v>0</v>
      </c>
      <c r="AS80">
        <f ca="1">OFFSET(Objects!$HW$6,AS$1+(Objects!$Y$4-$A80-1)*Objects!$X$4,0)</f>
        <v>0</v>
      </c>
      <c r="AT80">
        <f ca="1">OFFSET(Objects!$HW$6,AT$1+(Objects!$Y$4-$A80-1)*Objects!$X$4,0)</f>
        <v>0</v>
      </c>
      <c r="AU80">
        <f ca="1">OFFSET(Objects!$HW$6,AU$1+(Objects!$Y$4-$A80-1)*Objects!$X$4,0)</f>
        <v>0</v>
      </c>
      <c r="AV80">
        <f ca="1">OFFSET(Objects!$HW$6,AV$1+(Objects!$Y$4-$A80-1)*Objects!$X$4,0)</f>
        <v>0</v>
      </c>
      <c r="AW80">
        <f ca="1">OFFSET(Objects!$HW$6,AW$1+(Objects!$Y$4-$A80-1)*Objects!$X$4,0)</f>
        <v>0</v>
      </c>
      <c r="AX80">
        <f ca="1">OFFSET(Objects!$HW$6,AX$1+(Objects!$Y$4-$A80-1)*Objects!$X$4,0)</f>
        <v>0</v>
      </c>
      <c r="AY80">
        <f ca="1">OFFSET(Objects!$HW$6,AY$1+(Objects!$Y$4-$A80-1)*Objects!$X$4,0)</f>
        <v>0</v>
      </c>
      <c r="AZ80">
        <f ca="1">OFFSET(Objects!$HW$6,AZ$1+(Objects!$Y$4-$A80-1)*Objects!$X$4,0)</f>
        <v>0</v>
      </c>
      <c r="BA80">
        <f ca="1">OFFSET(Objects!$HW$6,BA$1+(Objects!$Y$4-$A80-1)*Objects!$X$4,0)</f>
        <v>0</v>
      </c>
      <c r="BB80">
        <f ca="1">OFFSET(Objects!$HW$6,BB$1+(Objects!$Y$4-$A80-1)*Objects!$X$4,0)</f>
        <v>0</v>
      </c>
      <c r="BC80">
        <f ca="1">OFFSET(Objects!$HW$6,BC$1+(Objects!$Y$4-$A80-1)*Objects!$X$4,0)</f>
        <v>0</v>
      </c>
      <c r="BD80">
        <f ca="1">OFFSET(Objects!$HW$6,BD$1+(Objects!$Y$4-$A80-1)*Objects!$X$4,0)</f>
        <v>0</v>
      </c>
      <c r="BE80">
        <f ca="1">OFFSET(Objects!$HW$6,BE$1+(Objects!$Y$4-$A80-1)*Objects!$X$4,0)</f>
        <v>0</v>
      </c>
      <c r="BF80">
        <f ca="1">OFFSET(Objects!$HW$6,BF$1+(Objects!$Y$4-$A80-1)*Objects!$X$4,0)</f>
        <v>0</v>
      </c>
      <c r="BG80">
        <f ca="1">OFFSET(Objects!$HW$6,BG$1+(Objects!$Y$4-$A80-1)*Objects!$X$4,0)</f>
        <v>0</v>
      </c>
      <c r="BH80">
        <f ca="1">OFFSET(Objects!$HW$6,BH$1+(Objects!$Y$4-$A80-1)*Objects!$X$4,0)</f>
        <v>0</v>
      </c>
      <c r="BI80">
        <f ca="1">OFFSET(Objects!$HW$6,BI$1+(Objects!$Y$4-$A80-1)*Objects!$X$4,0)</f>
        <v>0</v>
      </c>
      <c r="BJ80">
        <f ca="1">OFFSET(Objects!$HW$6,BJ$1+(Objects!$Y$4-$A80-1)*Objects!$X$4,0)</f>
        <v>0</v>
      </c>
      <c r="BK80">
        <f ca="1">OFFSET(Objects!$HW$6,BK$1+(Objects!$Y$4-$A80-1)*Objects!$X$4,0)</f>
        <v>0</v>
      </c>
      <c r="BL80">
        <f ca="1">OFFSET(Objects!$HW$6,BL$1+(Objects!$Y$4-$A80-1)*Objects!$X$4,0)</f>
        <v>0</v>
      </c>
      <c r="BM80">
        <f ca="1">OFFSET(Objects!$HW$6,BM$1+(Objects!$Y$4-$A80-1)*Objects!$X$4,0)</f>
        <v>0</v>
      </c>
      <c r="BN80">
        <f ca="1">OFFSET(Objects!$HW$6,BN$1+(Objects!$Y$4-$A80-1)*Objects!$X$4,0)</f>
        <v>0</v>
      </c>
      <c r="BO80">
        <f ca="1">OFFSET(Objects!$HW$6,BO$1+(Objects!$Y$4-$A80-1)*Objects!$X$4,0)</f>
        <v>0</v>
      </c>
      <c r="BP80">
        <f ca="1">OFFSET(Objects!$HW$6,BP$1+(Objects!$Y$4-$A80-1)*Objects!$X$4,0)</f>
        <v>0</v>
      </c>
      <c r="BQ80">
        <f ca="1">OFFSET(Objects!$HW$6,BQ$1+(Objects!$Y$4-$A80-1)*Objects!$X$4,0)</f>
        <v>0</v>
      </c>
      <c r="BR80">
        <f ca="1">OFFSET(Objects!$HW$6,BR$1+(Objects!$Y$4-$A80-1)*Objects!$X$4,0)</f>
        <v>0</v>
      </c>
      <c r="BS80">
        <f ca="1">OFFSET(Objects!$HW$6,BS$1+(Objects!$Y$4-$A80-1)*Objects!$X$4,0)</f>
        <v>0</v>
      </c>
      <c r="BT80">
        <f ca="1">OFFSET(Objects!$HW$6,BT$1+(Objects!$Y$4-$A80-1)*Objects!$X$4,0)</f>
        <v>0</v>
      </c>
      <c r="BU80">
        <f ca="1">OFFSET(Objects!$HW$6,BU$1+(Objects!$Y$4-$A80-1)*Objects!$X$4,0)</f>
        <v>0</v>
      </c>
      <c r="BV80">
        <f ca="1">OFFSET(Objects!$HW$6,BV$1+(Objects!$Y$4-$A80-1)*Objects!$X$4,0)</f>
        <v>0</v>
      </c>
      <c r="BW80">
        <f ca="1">OFFSET(Objects!$HW$6,BW$1+(Objects!$Y$4-$A80-1)*Objects!$X$4,0)</f>
        <v>0</v>
      </c>
      <c r="BX80">
        <f ca="1">OFFSET(Objects!$HW$6,BX$1+(Objects!$Y$4-$A80-1)*Objects!$X$4,0)</f>
        <v>0</v>
      </c>
      <c r="BY80">
        <f ca="1">OFFSET(Objects!$HW$6,BY$1+(Objects!$Y$4-$A80-1)*Objects!$X$4,0)</f>
        <v>0</v>
      </c>
      <c r="BZ80">
        <f ca="1">OFFSET(Objects!$HW$6,BZ$1+(Objects!$Y$4-$A80-1)*Objects!$X$4,0)</f>
        <v>0</v>
      </c>
      <c r="CA80">
        <f ca="1">OFFSET(Objects!$HW$6,CA$1+(Objects!$Y$4-$A80-1)*Objects!$X$4,0)</f>
        <v>0</v>
      </c>
      <c r="CB80">
        <f ca="1">OFFSET(Objects!$HW$6,CB$1+(Objects!$Y$4-$A80-1)*Objects!$X$4,0)</f>
        <v>0</v>
      </c>
      <c r="CC80">
        <f ca="1">OFFSET(Objects!$HW$6,CC$1+(Objects!$Y$4-$A80-1)*Objects!$X$4,0)</f>
        <v>0</v>
      </c>
      <c r="CD80">
        <f ca="1">OFFSET(Objects!$HW$6,CD$1+(Objects!$Y$4-$A80-1)*Objects!$X$4,0)</f>
        <v>0</v>
      </c>
      <c r="CE80">
        <f ca="1">OFFSET(Objects!$HW$6,CE$1+(Objects!$Y$4-$A80-1)*Objects!$X$4,0)</f>
        <v>0</v>
      </c>
      <c r="CF80">
        <f ca="1">OFFSET(Objects!$HW$6,CF$1+(Objects!$Y$4-$A80-1)*Objects!$X$4,0)</f>
        <v>0</v>
      </c>
      <c r="CG80">
        <f ca="1">OFFSET(Objects!$HW$6,CG$1+(Objects!$Y$4-$A80-1)*Objects!$X$4,0)</f>
        <v>0</v>
      </c>
      <c r="CH80">
        <f ca="1">OFFSET(Objects!$HW$6,CH$1+(Objects!$Y$4-$A80-1)*Objects!$X$4,0)</f>
        <v>0</v>
      </c>
      <c r="CI80">
        <f ca="1">OFFSET(Objects!$HW$6,CI$1+(Objects!$Y$4-$A80-1)*Objects!$X$4,0)</f>
        <v>0</v>
      </c>
      <c r="CJ80">
        <f ca="1">OFFSET(Objects!$HW$6,CJ$1+(Objects!$Y$4-$A80-1)*Objects!$X$4,0)</f>
        <v>0</v>
      </c>
      <c r="CK80">
        <f ca="1">OFFSET(Objects!$HW$6,CK$1+(Objects!$Y$4-$A80-1)*Objects!$X$4,0)</f>
        <v>0</v>
      </c>
      <c r="CL80">
        <f ca="1">OFFSET(Objects!$HW$6,CL$1+(Objects!$Y$4-$A80-1)*Objects!$X$4,0)</f>
        <v>0</v>
      </c>
      <c r="CM80">
        <f ca="1">OFFSET(Objects!$HW$6,CM$1+(Objects!$Y$4-$A80-1)*Objects!$X$4,0)</f>
        <v>0</v>
      </c>
      <c r="CN80">
        <f ca="1">OFFSET(Objects!$HW$6,CN$1+(Objects!$Y$4-$A80-1)*Objects!$X$4,0)</f>
        <v>0</v>
      </c>
      <c r="CO80">
        <f ca="1">OFFSET(Objects!$HW$6,CO$1+(Objects!$Y$4-$A80-1)*Objects!$X$4,0)</f>
        <v>0</v>
      </c>
      <c r="CP80">
        <f ca="1">OFFSET(Objects!$HW$6,CP$1+(Objects!$Y$4-$A80-1)*Objects!$X$4,0)</f>
        <v>0</v>
      </c>
      <c r="CQ80">
        <f ca="1">OFFSET(Objects!$HW$6,CQ$1+(Objects!$Y$4-$A80-1)*Objects!$X$4,0)</f>
        <v>0</v>
      </c>
      <c r="CR80">
        <f ca="1">OFFSET(Objects!$HW$6,CR$1+(Objects!$Y$4-$A80-1)*Objects!$X$4,0)</f>
        <v>0</v>
      </c>
      <c r="CS80">
        <f ca="1">OFFSET(Objects!$HW$6,CS$1+(Objects!$Y$4-$A80-1)*Objects!$X$4,0)</f>
        <v>0</v>
      </c>
      <c r="CT80">
        <f ca="1">OFFSET(Objects!$HW$6,CT$1+(Objects!$Y$4-$A80-1)*Objects!$X$4,0)</f>
        <v>0</v>
      </c>
      <c r="CU80">
        <f ca="1">OFFSET(Objects!$HW$6,CU$1+(Objects!$Y$4-$A80-1)*Objects!$X$4,0)</f>
        <v>0</v>
      </c>
      <c r="CV80">
        <f ca="1">OFFSET(Objects!$HW$6,CV$1+(Objects!$Y$4-$A80-1)*Objects!$X$4,0)</f>
        <v>0</v>
      </c>
      <c r="CW80">
        <f ca="1">OFFSET(Objects!$HW$6,CW$1+(Objects!$Y$4-$A80-1)*Objects!$X$4,0)</f>
        <v>0</v>
      </c>
      <c r="CX80">
        <f ca="1">OFFSET(Objects!$HW$6,CX$1+(Objects!$Y$4-$A80-1)*Objects!$X$4,0)</f>
        <v>0</v>
      </c>
      <c r="CY80">
        <f ca="1">OFFSET(Objects!$HW$6,CY$1+(Objects!$Y$4-$A80-1)*Objects!$X$4,0)</f>
        <v>0</v>
      </c>
      <c r="CZ80">
        <f ca="1">OFFSET(Objects!$HW$6,CZ$1+(Objects!$Y$4-$A80-1)*Objects!$X$4,0)</f>
        <v>0</v>
      </c>
      <c r="DA80">
        <f ca="1">OFFSET(Objects!$HW$6,DA$1+(Objects!$Y$4-$A80-1)*Objects!$X$4,0)</f>
        <v>0</v>
      </c>
      <c r="DB80">
        <f ca="1">OFFSET(Objects!$HW$6,DB$1+(Objects!$Y$4-$A80-1)*Objects!$X$4,0)</f>
        <v>0</v>
      </c>
      <c r="DC80">
        <f ca="1">OFFSET(Objects!$HW$6,DC$1+(Objects!$Y$4-$A80-1)*Objects!$X$4,0)</f>
        <v>0</v>
      </c>
      <c r="DD80">
        <f ca="1">OFFSET(Objects!$HW$6,DD$1+(Objects!$Y$4-$A80-1)*Objects!$X$4,0)</f>
        <v>0</v>
      </c>
      <c r="DE80">
        <f ca="1">OFFSET(Objects!$HW$6,DE$1+(Objects!$Y$4-$A80-1)*Objects!$X$4,0)</f>
        <v>0</v>
      </c>
      <c r="DF80">
        <f ca="1">OFFSET(Objects!$HW$6,DF$1+(Objects!$Y$4-$A80-1)*Objects!$X$4,0)</f>
        <v>0</v>
      </c>
      <c r="DG80">
        <f ca="1">OFFSET(Objects!$HW$6,DG$1+(Objects!$Y$4-$A80-1)*Objects!$X$4,0)</f>
        <v>0</v>
      </c>
      <c r="DH80">
        <f ca="1">OFFSET(Objects!$HW$6,DH$1+(Objects!$Y$4-$A80-1)*Objects!$X$4,0)</f>
        <v>0</v>
      </c>
      <c r="DI80">
        <f ca="1">OFFSET(Objects!$HW$6,DI$1+(Objects!$Y$4-$A80-1)*Objects!$X$4,0)</f>
        <v>0</v>
      </c>
      <c r="DJ80">
        <f ca="1">OFFSET(Objects!$HW$6,DJ$1+(Objects!$Y$4-$A80-1)*Objects!$X$4,0)</f>
        <v>0</v>
      </c>
      <c r="DK80">
        <f ca="1">OFFSET(Objects!$HW$6,DK$1+(Objects!$Y$4-$A80-1)*Objects!$X$4,0)</f>
        <v>0</v>
      </c>
      <c r="DL80">
        <f ca="1">OFFSET(Objects!$HW$6,DL$1+(Objects!$Y$4-$A80-1)*Objects!$X$4,0)</f>
        <v>0</v>
      </c>
      <c r="DM80">
        <f ca="1">OFFSET(Objects!$HW$6,DM$1+(Objects!$Y$4-$A80-1)*Objects!$X$4,0)</f>
        <v>0</v>
      </c>
      <c r="DN80">
        <f ca="1">OFFSET(Objects!$HW$6,DN$1+(Objects!$Y$4-$A80-1)*Objects!$X$4,0)</f>
        <v>0</v>
      </c>
      <c r="DO80">
        <f ca="1">OFFSET(Objects!$HW$6,DO$1+(Objects!$Y$4-$A80-1)*Objects!$X$4,0)</f>
        <v>0</v>
      </c>
      <c r="DP80">
        <f ca="1">OFFSET(Objects!$HW$6,DP$1+(Objects!$Y$4-$A80-1)*Objects!$X$4,0)</f>
        <v>0</v>
      </c>
      <c r="DQ80">
        <f ca="1">OFFSET(Objects!$HW$6,DQ$1+(Objects!$Y$4-$A80-1)*Objects!$X$4,0)</f>
        <v>0</v>
      </c>
      <c r="DR80">
        <f ca="1">OFFSET(Objects!$HW$6,DR$1+(Objects!$Y$4-$A80-1)*Objects!$X$4,0)</f>
        <v>0</v>
      </c>
      <c r="DS80">
        <f ca="1">OFFSET(Objects!$HW$6,DS$1+(Objects!$Y$4-$A80-1)*Objects!$X$4,0)</f>
        <v>0</v>
      </c>
      <c r="DT80">
        <f ca="1">OFFSET(Objects!$HW$6,DT$1+(Objects!$Y$4-$A80-1)*Objects!$X$4,0)</f>
        <v>0</v>
      </c>
      <c r="DU80">
        <f ca="1">OFFSET(Objects!$HW$6,DU$1+(Objects!$Y$4-$A80-1)*Objects!$X$4,0)</f>
        <v>0</v>
      </c>
      <c r="DV80">
        <f ca="1">OFFSET(Objects!$HW$6,DV$1+(Objects!$Y$4-$A80-1)*Objects!$X$4,0)</f>
        <v>0</v>
      </c>
      <c r="DW80">
        <f ca="1">OFFSET(Objects!$HW$6,DW$1+(Objects!$Y$4-$A80-1)*Objects!$X$4,0)</f>
        <v>0</v>
      </c>
      <c r="DX80">
        <f ca="1">OFFSET(Objects!$HW$6,DX$1+(Objects!$Y$4-$A80-1)*Objects!$X$4,0)</f>
        <v>0</v>
      </c>
      <c r="DY80">
        <f ca="1">OFFSET(Objects!$HW$6,DY$1+(Objects!$Y$4-$A80-1)*Objects!$X$4,0)</f>
        <v>0</v>
      </c>
      <c r="DZ80">
        <f ca="1">OFFSET(Objects!$HW$6,DZ$1+(Objects!$Y$4-$A80-1)*Objects!$X$4,0)</f>
        <v>0</v>
      </c>
      <c r="EA80">
        <f ca="1">OFFSET(Objects!$HW$6,EA$1+(Objects!$Y$4-$A80-1)*Objects!$X$4,0)</f>
        <v>0</v>
      </c>
      <c r="EB80">
        <f ca="1">OFFSET(Objects!$HW$6,EB$1+(Objects!$Y$4-$A80-1)*Objects!$X$4,0)</f>
        <v>0</v>
      </c>
      <c r="EC80">
        <f ca="1">OFFSET(Objects!$HW$6,EC$1+(Objects!$Y$4-$A80-1)*Objects!$X$4,0)</f>
        <v>0</v>
      </c>
      <c r="ED80">
        <f ca="1">OFFSET(Objects!$HW$6,ED$1+(Objects!$Y$4-$A80-1)*Objects!$X$4,0)</f>
        <v>0</v>
      </c>
      <c r="EE80">
        <f ca="1">OFFSET(Objects!$HW$6,EE$1+(Objects!$Y$4-$A80-1)*Objects!$X$4,0)</f>
        <v>0</v>
      </c>
      <c r="EF80">
        <f ca="1">OFFSET(Objects!$HW$6,EF$1+(Objects!$Y$4-$A80-1)*Objects!$X$4,0)</f>
        <v>0</v>
      </c>
      <c r="EG80">
        <f ca="1">OFFSET(Objects!$HW$6,EG$1+(Objects!$Y$4-$A80-1)*Objects!$X$4,0)</f>
        <v>0</v>
      </c>
      <c r="EH80">
        <f ca="1">OFFSET(Objects!$HW$6,EH$1+(Objects!$Y$4-$A80-1)*Objects!$X$4,0)</f>
        <v>0</v>
      </c>
      <c r="EI80">
        <f ca="1">OFFSET(Objects!$HW$6,EI$1+(Objects!$Y$4-$A80-1)*Objects!$X$4,0)</f>
        <v>0</v>
      </c>
      <c r="EJ80">
        <f ca="1">OFFSET(Objects!$HW$6,EJ$1+(Objects!$Y$4-$A80-1)*Objects!$X$4,0)</f>
        <v>0</v>
      </c>
      <c r="EK80">
        <f ca="1">OFFSET(Objects!$HW$6,EK$1+(Objects!$Y$4-$A80-1)*Objects!$X$4,0)</f>
        <v>0</v>
      </c>
      <c r="EL80">
        <f ca="1">OFFSET(Objects!$HW$6,EL$1+(Objects!$Y$4-$A80-1)*Objects!$X$4,0)</f>
        <v>0</v>
      </c>
      <c r="EM80">
        <f ca="1">OFFSET(Objects!$HW$6,EM$1+(Objects!$Y$4-$A80-1)*Objects!$X$4,0)</f>
        <v>0</v>
      </c>
      <c r="EN80">
        <f ca="1">OFFSET(Objects!$HW$6,EN$1+(Objects!$Y$4-$A80-1)*Objects!$X$4,0)</f>
        <v>0</v>
      </c>
      <c r="EO80">
        <f ca="1">OFFSET(Objects!$HW$6,EO$1+(Objects!$Y$4-$A80-1)*Objects!$X$4,0)</f>
        <v>0</v>
      </c>
      <c r="EP80">
        <f ca="1">OFFSET(Objects!$HW$6,EP$1+(Objects!$Y$4-$A80-1)*Objects!$X$4,0)</f>
        <v>0</v>
      </c>
      <c r="EQ80">
        <f ca="1">OFFSET(Objects!$HW$6,EQ$1+(Objects!$Y$4-$A80-1)*Objects!$X$4,0)</f>
        <v>0</v>
      </c>
      <c r="ER80">
        <f ca="1">OFFSET(Objects!$HW$6,ER$1+(Objects!$Y$4-$A80-1)*Objects!$X$4,0)</f>
        <v>0</v>
      </c>
      <c r="ES80">
        <f ca="1">OFFSET(Objects!$HW$6,ES$1+(Objects!$Y$4-$A80-1)*Objects!$X$4,0)</f>
        <v>0</v>
      </c>
      <c r="ET80">
        <f ca="1">OFFSET(Objects!$HW$6,ET$1+(Objects!$Y$4-$A80-1)*Objects!$X$4,0)</f>
        <v>0</v>
      </c>
      <c r="EU80">
        <f ca="1">OFFSET(Objects!$HW$6,EU$1+(Objects!$Y$4-$A80-1)*Objects!$X$4,0)</f>
        <v>0</v>
      </c>
      <c r="EV80">
        <f ca="1">OFFSET(Objects!$HW$6,EV$1+(Objects!$Y$4-$A80-1)*Objects!$X$4,0)</f>
        <v>0</v>
      </c>
      <c r="EW80">
        <f ca="1">OFFSET(Objects!$HW$6,EW$1+(Objects!$Y$4-$A80-1)*Objects!$X$4,0)</f>
        <v>0</v>
      </c>
      <c r="EX80">
        <f ca="1">OFFSET(Objects!$HW$6,EX$1+(Objects!$Y$4-$A80-1)*Objects!$X$4,0)</f>
        <v>0</v>
      </c>
      <c r="EY80">
        <f ca="1">OFFSET(Objects!$HW$6,EY$1+(Objects!$Y$4-$A80-1)*Objects!$X$4,0)</f>
        <v>0</v>
      </c>
      <c r="EZ80">
        <f ca="1">OFFSET(Objects!$HW$6,EZ$1+(Objects!$Y$4-$A80-1)*Objects!$X$4,0)</f>
        <v>0</v>
      </c>
      <c r="FA80">
        <f ca="1">OFFSET(Objects!$HW$6,FA$1+(Objects!$Y$4-$A80-1)*Objects!$X$4,0)</f>
        <v>0</v>
      </c>
      <c r="FB80">
        <f ca="1">OFFSET(Objects!$HW$6,FB$1+(Objects!$Y$4-$A80-1)*Objects!$X$4,0)</f>
        <v>0</v>
      </c>
      <c r="FC80">
        <f ca="1">OFFSET(Objects!$HW$6,FC$1+(Objects!$Y$4-$A80-1)*Objects!$X$4,0)</f>
        <v>0</v>
      </c>
      <c r="FD80">
        <f ca="1">OFFSET(Objects!$HW$6,FD$1+(Objects!$Y$4-$A80-1)*Objects!$X$4,0)</f>
        <v>0</v>
      </c>
      <c r="FE80" s="22">
        <f ca="1">OFFSET(Objects!$HW$6,FE$1+(Objects!$Y$4-$A80-1)*Objects!$X$4,0)</f>
        <v>0</v>
      </c>
    </row>
    <row r="81" spans="1:200" ht="4.5" customHeight="1" x14ac:dyDescent="0.25">
      <c r="A81">
        <v>79</v>
      </c>
      <c r="B81" s="21">
        <f ca="1">OFFSET(Objects!$HW$6,B$1+(Objects!$Y$4-$A81-1)*Objects!$X$4,0)</f>
        <v>0</v>
      </c>
      <c r="C81">
        <f ca="1">OFFSET(Objects!$HW$6,C$1+(Objects!$Y$4-$A81-1)*Objects!$X$4,0)</f>
        <v>0</v>
      </c>
      <c r="D81">
        <f ca="1">OFFSET(Objects!$HW$6,D$1+(Objects!$Y$4-$A81-1)*Objects!$X$4,0)</f>
        <v>0</v>
      </c>
      <c r="E81">
        <f ca="1">OFFSET(Objects!$HW$6,E$1+(Objects!$Y$4-$A81-1)*Objects!$X$4,0)</f>
        <v>0</v>
      </c>
      <c r="F81">
        <f ca="1">OFFSET(Objects!$HW$6,F$1+(Objects!$Y$4-$A81-1)*Objects!$X$4,0)</f>
        <v>0</v>
      </c>
      <c r="G81">
        <f ca="1">OFFSET(Objects!$HW$6,G$1+(Objects!$Y$4-$A81-1)*Objects!$X$4,0)</f>
        <v>0</v>
      </c>
      <c r="H81">
        <f ca="1">OFFSET(Objects!$HW$6,H$1+(Objects!$Y$4-$A81-1)*Objects!$X$4,0)</f>
        <v>0</v>
      </c>
      <c r="I81">
        <f ca="1">OFFSET(Objects!$HW$6,I$1+(Objects!$Y$4-$A81-1)*Objects!$X$4,0)</f>
        <v>0</v>
      </c>
      <c r="J81">
        <f ca="1">OFFSET(Objects!$HW$6,J$1+(Objects!$Y$4-$A81-1)*Objects!$X$4,0)</f>
        <v>0</v>
      </c>
      <c r="K81">
        <f ca="1">OFFSET(Objects!$HW$6,K$1+(Objects!$Y$4-$A81-1)*Objects!$X$4,0)</f>
        <v>0</v>
      </c>
      <c r="L81">
        <f ca="1">OFFSET(Objects!$HW$6,L$1+(Objects!$Y$4-$A81-1)*Objects!$X$4,0)</f>
        <v>0</v>
      </c>
      <c r="M81">
        <f ca="1">OFFSET(Objects!$HW$6,M$1+(Objects!$Y$4-$A81-1)*Objects!$X$4,0)</f>
        <v>0</v>
      </c>
      <c r="N81">
        <f ca="1">OFFSET(Objects!$HW$6,N$1+(Objects!$Y$4-$A81-1)*Objects!$X$4,0)</f>
        <v>0</v>
      </c>
      <c r="O81">
        <f ca="1">OFFSET(Objects!$HW$6,O$1+(Objects!$Y$4-$A81-1)*Objects!$X$4,0)</f>
        <v>0</v>
      </c>
      <c r="P81">
        <f ca="1">OFFSET(Objects!$HW$6,P$1+(Objects!$Y$4-$A81-1)*Objects!$X$4,0)</f>
        <v>0</v>
      </c>
      <c r="Q81">
        <f ca="1">OFFSET(Objects!$HW$6,Q$1+(Objects!$Y$4-$A81-1)*Objects!$X$4,0)</f>
        <v>0</v>
      </c>
      <c r="R81">
        <f ca="1">OFFSET(Objects!$HW$6,R$1+(Objects!$Y$4-$A81-1)*Objects!$X$4,0)</f>
        <v>0</v>
      </c>
      <c r="S81">
        <f ca="1">OFFSET(Objects!$HW$6,S$1+(Objects!$Y$4-$A81-1)*Objects!$X$4,0)</f>
        <v>0</v>
      </c>
      <c r="T81">
        <f ca="1">OFFSET(Objects!$HW$6,T$1+(Objects!$Y$4-$A81-1)*Objects!$X$4,0)</f>
        <v>0</v>
      </c>
      <c r="U81">
        <f ca="1">OFFSET(Objects!$HW$6,U$1+(Objects!$Y$4-$A81-1)*Objects!$X$4,0)</f>
        <v>0</v>
      </c>
      <c r="V81">
        <f ca="1">OFFSET(Objects!$HW$6,V$1+(Objects!$Y$4-$A81-1)*Objects!$X$4,0)</f>
        <v>0</v>
      </c>
      <c r="W81">
        <f ca="1">OFFSET(Objects!$HW$6,W$1+(Objects!$Y$4-$A81-1)*Objects!$X$4,0)</f>
        <v>0</v>
      </c>
      <c r="X81">
        <f ca="1">OFFSET(Objects!$HW$6,X$1+(Objects!$Y$4-$A81-1)*Objects!$X$4,0)</f>
        <v>0</v>
      </c>
      <c r="Y81">
        <f ca="1">OFFSET(Objects!$HW$6,Y$1+(Objects!$Y$4-$A81-1)*Objects!$X$4,0)</f>
        <v>0</v>
      </c>
      <c r="Z81">
        <f ca="1">OFFSET(Objects!$HW$6,Z$1+(Objects!$Y$4-$A81-1)*Objects!$X$4,0)</f>
        <v>0</v>
      </c>
      <c r="AA81">
        <f ca="1">OFFSET(Objects!$HW$6,AA$1+(Objects!$Y$4-$A81-1)*Objects!$X$4,0)</f>
        <v>0</v>
      </c>
      <c r="AB81">
        <f ca="1">OFFSET(Objects!$HW$6,AB$1+(Objects!$Y$4-$A81-1)*Objects!$X$4,0)</f>
        <v>0</v>
      </c>
      <c r="AC81">
        <f ca="1">OFFSET(Objects!$HW$6,AC$1+(Objects!$Y$4-$A81-1)*Objects!$X$4,0)</f>
        <v>0</v>
      </c>
      <c r="AD81">
        <f ca="1">OFFSET(Objects!$HW$6,AD$1+(Objects!$Y$4-$A81-1)*Objects!$X$4,0)</f>
        <v>0</v>
      </c>
      <c r="AE81">
        <f ca="1">OFFSET(Objects!$HW$6,AE$1+(Objects!$Y$4-$A81-1)*Objects!$X$4,0)</f>
        <v>0</v>
      </c>
      <c r="AF81">
        <f ca="1">OFFSET(Objects!$HW$6,AF$1+(Objects!$Y$4-$A81-1)*Objects!$X$4,0)</f>
        <v>0</v>
      </c>
      <c r="AG81">
        <f ca="1">OFFSET(Objects!$HW$6,AG$1+(Objects!$Y$4-$A81-1)*Objects!$X$4,0)</f>
        <v>0</v>
      </c>
      <c r="AH81">
        <f ca="1">OFFSET(Objects!$HW$6,AH$1+(Objects!$Y$4-$A81-1)*Objects!$X$4,0)</f>
        <v>0</v>
      </c>
      <c r="AI81">
        <f ca="1">OFFSET(Objects!$HW$6,AI$1+(Objects!$Y$4-$A81-1)*Objects!$X$4,0)</f>
        <v>0</v>
      </c>
      <c r="AJ81">
        <f ca="1">OFFSET(Objects!$HW$6,AJ$1+(Objects!$Y$4-$A81-1)*Objects!$X$4,0)</f>
        <v>0</v>
      </c>
      <c r="AK81">
        <f ca="1">OFFSET(Objects!$HW$6,AK$1+(Objects!$Y$4-$A81-1)*Objects!$X$4,0)</f>
        <v>0</v>
      </c>
      <c r="AL81">
        <f ca="1">OFFSET(Objects!$HW$6,AL$1+(Objects!$Y$4-$A81-1)*Objects!$X$4,0)</f>
        <v>0</v>
      </c>
      <c r="AM81">
        <f ca="1">OFFSET(Objects!$HW$6,AM$1+(Objects!$Y$4-$A81-1)*Objects!$X$4,0)</f>
        <v>0</v>
      </c>
      <c r="AN81">
        <f ca="1">OFFSET(Objects!$HW$6,AN$1+(Objects!$Y$4-$A81-1)*Objects!$X$4,0)</f>
        <v>0</v>
      </c>
      <c r="AO81">
        <f ca="1">OFFSET(Objects!$HW$6,AO$1+(Objects!$Y$4-$A81-1)*Objects!$X$4,0)</f>
        <v>0</v>
      </c>
      <c r="AP81">
        <f ca="1">OFFSET(Objects!$HW$6,AP$1+(Objects!$Y$4-$A81-1)*Objects!$X$4,0)</f>
        <v>0</v>
      </c>
      <c r="AQ81">
        <f ca="1">OFFSET(Objects!$HW$6,AQ$1+(Objects!$Y$4-$A81-1)*Objects!$X$4,0)</f>
        <v>0</v>
      </c>
      <c r="AR81">
        <f ca="1">OFFSET(Objects!$HW$6,AR$1+(Objects!$Y$4-$A81-1)*Objects!$X$4,0)</f>
        <v>0</v>
      </c>
      <c r="AS81">
        <f ca="1">OFFSET(Objects!$HW$6,AS$1+(Objects!$Y$4-$A81-1)*Objects!$X$4,0)</f>
        <v>0</v>
      </c>
      <c r="AT81">
        <f ca="1">OFFSET(Objects!$HW$6,AT$1+(Objects!$Y$4-$A81-1)*Objects!$X$4,0)</f>
        <v>0</v>
      </c>
      <c r="AU81">
        <f ca="1">OFFSET(Objects!$HW$6,AU$1+(Objects!$Y$4-$A81-1)*Objects!$X$4,0)</f>
        <v>0</v>
      </c>
      <c r="AV81">
        <f ca="1">OFFSET(Objects!$HW$6,AV$1+(Objects!$Y$4-$A81-1)*Objects!$X$4,0)</f>
        <v>0</v>
      </c>
      <c r="AW81">
        <f ca="1">OFFSET(Objects!$HW$6,AW$1+(Objects!$Y$4-$A81-1)*Objects!$X$4,0)</f>
        <v>0</v>
      </c>
      <c r="AX81">
        <f ca="1">OFFSET(Objects!$HW$6,AX$1+(Objects!$Y$4-$A81-1)*Objects!$X$4,0)</f>
        <v>0</v>
      </c>
      <c r="AY81">
        <f ca="1">OFFSET(Objects!$HW$6,AY$1+(Objects!$Y$4-$A81-1)*Objects!$X$4,0)</f>
        <v>0</v>
      </c>
      <c r="AZ81">
        <f ca="1">OFFSET(Objects!$HW$6,AZ$1+(Objects!$Y$4-$A81-1)*Objects!$X$4,0)</f>
        <v>0</v>
      </c>
      <c r="BA81">
        <f ca="1">OFFSET(Objects!$HW$6,BA$1+(Objects!$Y$4-$A81-1)*Objects!$X$4,0)</f>
        <v>0</v>
      </c>
      <c r="BB81">
        <f ca="1">OFFSET(Objects!$HW$6,BB$1+(Objects!$Y$4-$A81-1)*Objects!$X$4,0)</f>
        <v>0</v>
      </c>
      <c r="BC81">
        <f ca="1">OFFSET(Objects!$HW$6,BC$1+(Objects!$Y$4-$A81-1)*Objects!$X$4,0)</f>
        <v>0</v>
      </c>
      <c r="BD81">
        <f ca="1">OFFSET(Objects!$HW$6,BD$1+(Objects!$Y$4-$A81-1)*Objects!$X$4,0)</f>
        <v>0</v>
      </c>
      <c r="BE81">
        <f ca="1">OFFSET(Objects!$HW$6,BE$1+(Objects!$Y$4-$A81-1)*Objects!$X$4,0)</f>
        <v>0</v>
      </c>
      <c r="BF81">
        <f ca="1">OFFSET(Objects!$HW$6,BF$1+(Objects!$Y$4-$A81-1)*Objects!$X$4,0)</f>
        <v>0</v>
      </c>
      <c r="BG81">
        <f ca="1">OFFSET(Objects!$HW$6,BG$1+(Objects!$Y$4-$A81-1)*Objects!$X$4,0)</f>
        <v>0</v>
      </c>
      <c r="BH81">
        <f ca="1">OFFSET(Objects!$HW$6,BH$1+(Objects!$Y$4-$A81-1)*Objects!$X$4,0)</f>
        <v>0</v>
      </c>
      <c r="BI81">
        <f ca="1">OFFSET(Objects!$HW$6,BI$1+(Objects!$Y$4-$A81-1)*Objects!$X$4,0)</f>
        <v>0</v>
      </c>
      <c r="BJ81">
        <f ca="1">OFFSET(Objects!$HW$6,BJ$1+(Objects!$Y$4-$A81-1)*Objects!$X$4,0)</f>
        <v>0</v>
      </c>
      <c r="BK81">
        <f ca="1">OFFSET(Objects!$HW$6,BK$1+(Objects!$Y$4-$A81-1)*Objects!$X$4,0)</f>
        <v>0</v>
      </c>
      <c r="BL81">
        <f ca="1">OFFSET(Objects!$HW$6,BL$1+(Objects!$Y$4-$A81-1)*Objects!$X$4,0)</f>
        <v>0</v>
      </c>
      <c r="BM81">
        <f ca="1">OFFSET(Objects!$HW$6,BM$1+(Objects!$Y$4-$A81-1)*Objects!$X$4,0)</f>
        <v>0</v>
      </c>
      <c r="BN81">
        <f ca="1">OFFSET(Objects!$HW$6,BN$1+(Objects!$Y$4-$A81-1)*Objects!$X$4,0)</f>
        <v>0</v>
      </c>
      <c r="BO81">
        <f ca="1">OFFSET(Objects!$HW$6,BO$1+(Objects!$Y$4-$A81-1)*Objects!$X$4,0)</f>
        <v>0</v>
      </c>
      <c r="BP81">
        <f ca="1">OFFSET(Objects!$HW$6,BP$1+(Objects!$Y$4-$A81-1)*Objects!$X$4,0)</f>
        <v>0</v>
      </c>
      <c r="BQ81">
        <f ca="1">OFFSET(Objects!$HW$6,BQ$1+(Objects!$Y$4-$A81-1)*Objects!$X$4,0)</f>
        <v>0</v>
      </c>
      <c r="BR81">
        <f ca="1">OFFSET(Objects!$HW$6,BR$1+(Objects!$Y$4-$A81-1)*Objects!$X$4,0)</f>
        <v>0</v>
      </c>
      <c r="BS81">
        <f ca="1">OFFSET(Objects!$HW$6,BS$1+(Objects!$Y$4-$A81-1)*Objects!$X$4,0)</f>
        <v>0</v>
      </c>
      <c r="BT81">
        <f ca="1">OFFSET(Objects!$HW$6,BT$1+(Objects!$Y$4-$A81-1)*Objects!$X$4,0)</f>
        <v>0</v>
      </c>
      <c r="BU81">
        <f ca="1">OFFSET(Objects!$HW$6,BU$1+(Objects!$Y$4-$A81-1)*Objects!$X$4,0)</f>
        <v>0</v>
      </c>
      <c r="BV81">
        <f ca="1">OFFSET(Objects!$HW$6,BV$1+(Objects!$Y$4-$A81-1)*Objects!$X$4,0)</f>
        <v>0</v>
      </c>
      <c r="BW81">
        <f ca="1">OFFSET(Objects!$HW$6,BW$1+(Objects!$Y$4-$A81-1)*Objects!$X$4,0)</f>
        <v>0</v>
      </c>
      <c r="BX81">
        <f ca="1">OFFSET(Objects!$HW$6,BX$1+(Objects!$Y$4-$A81-1)*Objects!$X$4,0)</f>
        <v>0</v>
      </c>
      <c r="BY81">
        <f ca="1">OFFSET(Objects!$HW$6,BY$1+(Objects!$Y$4-$A81-1)*Objects!$X$4,0)</f>
        <v>0</v>
      </c>
      <c r="BZ81">
        <f ca="1">OFFSET(Objects!$HW$6,BZ$1+(Objects!$Y$4-$A81-1)*Objects!$X$4,0)</f>
        <v>0</v>
      </c>
      <c r="CA81">
        <f ca="1">OFFSET(Objects!$HW$6,CA$1+(Objects!$Y$4-$A81-1)*Objects!$X$4,0)</f>
        <v>0</v>
      </c>
      <c r="CB81">
        <f ca="1">OFFSET(Objects!$HW$6,CB$1+(Objects!$Y$4-$A81-1)*Objects!$X$4,0)</f>
        <v>0</v>
      </c>
      <c r="CC81">
        <f ca="1">OFFSET(Objects!$HW$6,CC$1+(Objects!$Y$4-$A81-1)*Objects!$X$4,0)</f>
        <v>0</v>
      </c>
      <c r="CD81">
        <f ca="1">OFFSET(Objects!$HW$6,CD$1+(Objects!$Y$4-$A81-1)*Objects!$X$4,0)</f>
        <v>0</v>
      </c>
      <c r="CE81">
        <f ca="1">OFFSET(Objects!$HW$6,CE$1+(Objects!$Y$4-$A81-1)*Objects!$X$4,0)</f>
        <v>0</v>
      </c>
      <c r="CF81">
        <f ca="1">OFFSET(Objects!$HW$6,CF$1+(Objects!$Y$4-$A81-1)*Objects!$X$4,0)</f>
        <v>0</v>
      </c>
      <c r="CG81">
        <f ca="1">OFFSET(Objects!$HW$6,CG$1+(Objects!$Y$4-$A81-1)*Objects!$X$4,0)</f>
        <v>0</v>
      </c>
      <c r="CH81">
        <f ca="1">OFFSET(Objects!$HW$6,CH$1+(Objects!$Y$4-$A81-1)*Objects!$X$4,0)</f>
        <v>0</v>
      </c>
      <c r="CI81">
        <f ca="1">OFFSET(Objects!$HW$6,CI$1+(Objects!$Y$4-$A81-1)*Objects!$X$4,0)</f>
        <v>0</v>
      </c>
      <c r="CJ81">
        <f ca="1">OFFSET(Objects!$HW$6,CJ$1+(Objects!$Y$4-$A81-1)*Objects!$X$4,0)</f>
        <v>0</v>
      </c>
      <c r="CK81">
        <f ca="1">OFFSET(Objects!$HW$6,CK$1+(Objects!$Y$4-$A81-1)*Objects!$X$4,0)</f>
        <v>0</v>
      </c>
      <c r="CL81">
        <f ca="1">OFFSET(Objects!$HW$6,CL$1+(Objects!$Y$4-$A81-1)*Objects!$X$4,0)</f>
        <v>0</v>
      </c>
      <c r="CM81">
        <f ca="1">OFFSET(Objects!$HW$6,CM$1+(Objects!$Y$4-$A81-1)*Objects!$X$4,0)</f>
        <v>0</v>
      </c>
      <c r="CN81">
        <f ca="1">OFFSET(Objects!$HW$6,CN$1+(Objects!$Y$4-$A81-1)*Objects!$X$4,0)</f>
        <v>0</v>
      </c>
      <c r="CO81">
        <f ca="1">OFFSET(Objects!$HW$6,CO$1+(Objects!$Y$4-$A81-1)*Objects!$X$4,0)</f>
        <v>0</v>
      </c>
      <c r="CP81">
        <f ca="1">OFFSET(Objects!$HW$6,CP$1+(Objects!$Y$4-$A81-1)*Objects!$X$4,0)</f>
        <v>0</v>
      </c>
      <c r="CQ81">
        <f ca="1">OFFSET(Objects!$HW$6,CQ$1+(Objects!$Y$4-$A81-1)*Objects!$X$4,0)</f>
        <v>0</v>
      </c>
      <c r="CR81">
        <f ca="1">OFFSET(Objects!$HW$6,CR$1+(Objects!$Y$4-$A81-1)*Objects!$X$4,0)</f>
        <v>0</v>
      </c>
      <c r="CS81">
        <f ca="1">OFFSET(Objects!$HW$6,CS$1+(Objects!$Y$4-$A81-1)*Objects!$X$4,0)</f>
        <v>0</v>
      </c>
      <c r="CT81">
        <f ca="1">OFFSET(Objects!$HW$6,CT$1+(Objects!$Y$4-$A81-1)*Objects!$X$4,0)</f>
        <v>0</v>
      </c>
      <c r="CU81">
        <f ca="1">OFFSET(Objects!$HW$6,CU$1+(Objects!$Y$4-$A81-1)*Objects!$X$4,0)</f>
        <v>0</v>
      </c>
      <c r="CV81">
        <f ca="1">OFFSET(Objects!$HW$6,CV$1+(Objects!$Y$4-$A81-1)*Objects!$X$4,0)</f>
        <v>0</v>
      </c>
      <c r="CW81">
        <f ca="1">OFFSET(Objects!$HW$6,CW$1+(Objects!$Y$4-$A81-1)*Objects!$X$4,0)</f>
        <v>0</v>
      </c>
      <c r="CX81">
        <f ca="1">OFFSET(Objects!$HW$6,CX$1+(Objects!$Y$4-$A81-1)*Objects!$X$4,0)</f>
        <v>0</v>
      </c>
      <c r="CY81">
        <f ca="1">OFFSET(Objects!$HW$6,CY$1+(Objects!$Y$4-$A81-1)*Objects!$X$4,0)</f>
        <v>0</v>
      </c>
      <c r="CZ81">
        <f ca="1">OFFSET(Objects!$HW$6,CZ$1+(Objects!$Y$4-$A81-1)*Objects!$X$4,0)</f>
        <v>0</v>
      </c>
      <c r="DA81">
        <f ca="1">OFFSET(Objects!$HW$6,DA$1+(Objects!$Y$4-$A81-1)*Objects!$X$4,0)</f>
        <v>0</v>
      </c>
      <c r="DB81">
        <f ca="1">OFFSET(Objects!$HW$6,DB$1+(Objects!$Y$4-$A81-1)*Objects!$X$4,0)</f>
        <v>0</v>
      </c>
      <c r="DC81">
        <f ca="1">OFFSET(Objects!$HW$6,DC$1+(Objects!$Y$4-$A81-1)*Objects!$X$4,0)</f>
        <v>0</v>
      </c>
      <c r="DD81">
        <f ca="1">OFFSET(Objects!$HW$6,DD$1+(Objects!$Y$4-$A81-1)*Objects!$X$4,0)</f>
        <v>0</v>
      </c>
      <c r="DE81">
        <f ca="1">OFFSET(Objects!$HW$6,DE$1+(Objects!$Y$4-$A81-1)*Objects!$X$4,0)</f>
        <v>0</v>
      </c>
      <c r="DF81">
        <f ca="1">OFFSET(Objects!$HW$6,DF$1+(Objects!$Y$4-$A81-1)*Objects!$X$4,0)</f>
        <v>0</v>
      </c>
      <c r="DG81">
        <f ca="1">OFFSET(Objects!$HW$6,DG$1+(Objects!$Y$4-$A81-1)*Objects!$X$4,0)</f>
        <v>0</v>
      </c>
      <c r="DH81">
        <f ca="1">OFFSET(Objects!$HW$6,DH$1+(Objects!$Y$4-$A81-1)*Objects!$X$4,0)</f>
        <v>0</v>
      </c>
      <c r="DI81">
        <f ca="1">OFFSET(Objects!$HW$6,DI$1+(Objects!$Y$4-$A81-1)*Objects!$X$4,0)</f>
        <v>0</v>
      </c>
      <c r="DJ81">
        <f ca="1">OFFSET(Objects!$HW$6,DJ$1+(Objects!$Y$4-$A81-1)*Objects!$X$4,0)</f>
        <v>0</v>
      </c>
      <c r="DK81">
        <f ca="1">OFFSET(Objects!$HW$6,DK$1+(Objects!$Y$4-$A81-1)*Objects!$X$4,0)</f>
        <v>0</v>
      </c>
      <c r="DL81">
        <f ca="1">OFFSET(Objects!$HW$6,DL$1+(Objects!$Y$4-$A81-1)*Objects!$X$4,0)</f>
        <v>0</v>
      </c>
      <c r="DM81">
        <f ca="1">OFFSET(Objects!$HW$6,DM$1+(Objects!$Y$4-$A81-1)*Objects!$X$4,0)</f>
        <v>0</v>
      </c>
      <c r="DN81">
        <f ca="1">OFFSET(Objects!$HW$6,DN$1+(Objects!$Y$4-$A81-1)*Objects!$X$4,0)</f>
        <v>0</v>
      </c>
      <c r="DO81">
        <f ca="1">OFFSET(Objects!$HW$6,DO$1+(Objects!$Y$4-$A81-1)*Objects!$X$4,0)</f>
        <v>0</v>
      </c>
      <c r="DP81">
        <f ca="1">OFFSET(Objects!$HW$6,DP$1+(Objects!$Y$4-$A81-1)*Objects!$X$4,0)</f>
        <v>0</v>
      </c>
      <c r="DQ81">
        <f ca="1">OFFSET(Objects!$HW$6,DQ$1+(Objects!$Y$4-$A81-1)*Objects!$X$4,0)</f>
        <v>0</v>
      </c>
      <c r="DR81">
        <f ca="1">OFFSET(Objects!$HW$6,DR$1+(Objects!$Y$4-$A81-1)*Objects!$X$4,0)</f>
        <v>0</v>
      </c>
      <c r="DS81">
        <f ca="1">OFFSET(Objects!$HW$6,DS$1+(Objects!$Y$4-$A81-1)*Objects!$X$4,0)</f>
        <v>0</v>
      </c>
      <c r="DT81">
        <f ca="1">OFFSET(Objects!$HW$6,DT$1+(Objects!$Y$4-$A81-1)*Objects!$X$4,0)</f>
        <v>0</v>
      </c>
      <c r="DU81">
        <f ca="1">OFFSET(Objects!$HW$6,DU$1+(Objects!$Y$4-$A81-1)*Objects!$X$4,0)</f>
        <v>0</v>
      </c>
      <c r="DV81">
        <f ca="1">OFFSET(Objects!$HW$6,DV$1+(Objects!$Y$4-$A81-1)*Objects!$X$4,0)</f>
        <v>0</v>
      </c>
      <c r="DW81">
        <f ca="1">OFFSET(Objects!$HW$6,DW$1+(Objects!$Y$4-$A81-1)*Objects!$X$4,0)</f>
        <v>0</v>
      </c>
      <c r="DX81">
        <f ca="1">OFFSET(Objects!$HW$6,DX$1+(Objects!$Y$4-$A81-1)*Objects!$X$4,0)</f>
        <v>0</v>
      </c>
      <c r="DY81">
        <f ca="1">OFFSET(Objects!$HW$6,DY$1+(Objects!$Y$4-$A81-1)*Objects!$X$4,0)</f>
        <v>0</v>
      </c>
      <c r="DZ81">
        <f ca="1">OFFSET(Objects!$HW$6,DZ$1+(Objects!$Y$4-$A81-1)*Objects!$X$4,0)</f>
        <v>0</v>
      </c>
      <c r="EA81">
        <f ca="1">OFFSET(Objects!$HW$6,EA$1+(Objects!$Y$4-$A81-1)*Objects!$X$4,0)</f>
        <v>0</v>
      </c>
      <c r="EB81">
        <f ca="1">OFFSET(Objects!$HW$6,EB$1+(Objects!$Y$4-$A81-1)*Objects!$X$4,0)</f>
        <v>0</v>
      </c>
      <c r="EC81">
        <f ca="1">OFFSET(Objects!$HW$6,EC$1+(Objects!$Y$4-$A81-1)*Objects!$X$4,0)</f>
        <v>0</v>
      </c>
      <c r="ED81">
        <f ca="1">OFFSET(Objects!$HW$6,ED$1+(Objects!$Y$4-$A81-1)*Objects!$X$4,0)</f>
        <v>0</v>
      </c>
      <c r="EE81">
        <f ca="1">OFFSET(Objects!$HW$6,EE$1+(Objects!$Y$4-$A81-1)*Objects!$X$4,0)</f>
        <v>0</v>
      </c>
      <c r="EF81">
        <f ca="1">OFFSET(Objects!$HW$6,EF$1+(Objects!$Y$4-$A81-1)*Objects!$X$4,0)</f>
        <v>0</v>
      </c>
      <c r="EG81">
        <f ca="1">OFFSET(Objects!$HW$6,EG$1+(Objects!$Y$4-$A81-1)*Objects!$X$4,0)</f>
        <v>0</v>
      </c>
      <c r="EH81">
        <f ca="1">OFFSET(Objects!$HW$6,EH$1+(Objects!$Y$4-$A81-1)*Objects!$X$4,0)</f>
        <v>0</v>
      </c>
      <c r="EI81">
        <f ca="1">OFFSET(Objects!$HW$6,EI$1+(Objects!$Y$4-$A81-1)*Objects!$X$4,0)</f>
        <v>0</v>
      </c>
      <c r="EJ81">
        <f ca="1">OFFSET(Objects!$HW$6,EJ$1+(Objects!$Y$4-$A81-1)*Objects!$X$4,0)</f>
        <v>0</v>
      </c>
      <c r="EK81">
        <f ca="1">OFFSET(Objects!$HW$6,EK$1+(Objects!$Y$4-$A81-1)*Objects!$X$4,0)</f>
        <v>0</v>
      </c>
      <c r="EL81">
        <f ca="1">OFFSET(Objects!$HW$6,EL$1+(Objects!$Y$4-$A81-1)*Objects!$X$4,0)</f>
        <v>0</v>
      </c>
      <c r="EM81">
        <f ca="1">OFFSET(Objects!$HW$6,EM$1+(Objects!$Y$4-$A81-1)*Objects!$X$4,0)</f>
        <v>0</v>
      </c>
      <c r="EN81">
        <f ca="1">OFFSET(Objects!$HW$6,EN$1+(Objects!$Y$4-$A81-1)*Objects!$X$4,0)</f>
        <v>0</v>
      </c>
      <c r="EO81">
        <f ca="1">OFFSET(Objects!$HW$6,EO$1+(Objects!$Y$4-$A81-1)*Objects!$X$4,0)</f>
        <v>0</v>
      </c>
      <c r="EP81">
        <f ca="1">OFFSET(Objects!$HW$6,EP$1+(Objects!$Y$4-$A81-1)*Objects!$X$4,0)</f>
        <v>0</v>
      </c>
      <c r="EQ81">
        <f ca="1">OFFSET(Objects!$HW$6,EQ$1+(Objects!$Y$4-$A81-1)*Objects!$X$4,0)</f>
        <v>0</v>
      </c>
      <c r="ER81">
        <f ca="1">OFFSET(Objects!$HW$6,ER$1+(Objects!$Y$4-$A81-1)*Objects!$X$4,0)</f>
        <v>0</v>
      </c>
      <c r="ES81">
        <f ca="1">OFFSET(Objects!$HW$6,ES$1+(Objects!$Y$4-$A81-1)*Objects!$X$4,0)</f>
        <v>0</v>
      </c>
      <c r="ET81">
        <f ca="1">OFFSET(Objects!$HW$6,ET$1+(Objects!$Y$4-$A81-1)*Objects!$X$4,0)</f>
        <v>0</v>
      </c>
      <c r="EU81">
        <f ca="1">OFFSET(Objects!$HW$6,EU$1+(Objects!$Y$4-$A81-1)*Objects!$X$4,0)</f>
        <v>0</v>
      </c>
      <c r="EV81">
        <f ca="1">OFFSET(Objects!$HW$6,EV$1+(Objects!$Y$4-$A81-1)*Objects!$X$4,0)</f>
        <v>0</v>
      </c>
      <c r="EW81">
        <f ca="1">OFFSET(Objects!$HW$6,EW$1+(Objects!$Y$4-$A81-1)*Objects!$X$4,0)</f>
        <v>0</v>
      </c>
      <c r="EX81">
        <f ca="1">OFFSET(Objects!$HW$6,EX$1+(Objects!$Y$4-$A81-1)*Objects!$X$4,0)</f>
        <v>0</v>
      </c>
      <c r="EY81">
        <f ca="1">OFFSET(Objects!$HW$6,EY$1+(Objects!$Y$4-$A81-1)*Objects!$X$4,0)</f>
        <v>0</v>
      </c>
      <c r="EZ81">
        <f ca="1">OFFSET(Objects!$HW$6,EZ$1+(Objects!$Y$4-$A81-1)*Objects!$X$4,0)</f>
        <v>0</v>
      </c>
      <c r="FA81">
        <f ca="1">OFFSET(Objects!$HW$6,FA$1+(Objects!$Y$4-$A81-1)*Objects!$X$4,0)</f>
        <v>0</v>
      </c>
      <c r="FB81">
        <f ca="1">OFFSET(Objects!$HW$6,FB$1+(Objects!$Y$4-$A81-1)*Objects!$X$4,0)</f>
        <v>0</v>
      </c>
      <c r="FC81">
        <f ca="1">OFFSET(Objects!$HW$6,FC$1+(Objects!$Y$4-$A81-1)*Objects!$X$4,0)</f>
        <v>0</v>
      </c>
      <c r="FD81">
        <f ca="1">OFFSET(Objects!$HW$6,FD$1+(Objects!$Y$4-$A81-1)*Objects!$X$4,0)</f>
        <v>0</v>
      </c>
      <c r="FE81" s="22">
        <f ca="1">OFFSET(Objects!$HW$6,FE$1+(Objects!$Y$4-$A81-1)*Objects!$X$4,0)</f>
        <v>0</v>
      </c>
    </row>
    <row r="82" spans="1:200" ht="4.5" customHeight="1" x14ac:dyDescent="0.25">
      <c r="A82">
        <v>80</v>
      </c>
      <c r="B82" s="21">
        <f ca="1">OFFSET(Objects!$HW$6,B$1+(Objects!$Y$4-$A82-1)*Objects!$X$4,0)</f>
        <v>0</v>
      </c>
      <c r="C82">
        <f ca="1">OFFSET(Objects!$HW$6,C$1+(Objects!$Y$4-$A82-1)*Objects!$X$4,0)</f>
        <v>0</v>
      </c>
      <c r="D82">
        <f ca="1">OFFSET(Objects!$HW$6,D$1+(Objects!$Y$4-$A82-1)*Objects!$X$4,0)</f>
        <v>0</v>
      </c>
      <c r="E82">
        <f ca="1">OFFSET(Objects!$HW$6,E$1+(Objects!$Y$4-$A82-1)*Objects!$X$4,0)</f>
        <v>0</v>
      </c>
      <c r="F82">
        <f ca="1">OFFSET(Objects!$HW$6,F$1+(Objects!$Y$4-$A82-1)*Objects!$X$4,0)</f>
        <v>0</v>
      </c>
      <c r="G82">
        <f ca="1">OFFSET(Objects!$HW$6,G$1+(Objects!$Y$4-$A82-1)*Objects!$X$4,0)</f>
        <v>0</v>
      </c>
      <c r="H82">
        <f ca="1">OFFSET(Objects!$HW$6,H$1+(Objects!$Y$4-$A82-1)*Objects!$X$4,0)</f>
        <v>0</v>
      </c>
      <c r="I82">
        <f ca="1">OFFSET(Objects!$HW$6,I$1+(Objects!$Y$4-$A82-1)*Objects!$X$4,0)</f>
        <v>0</v>
      </c>
      <c r="J82">
        <f ca="1">OFFSET(Objects!$HW$6,J$1+(Objects!$Y$4-$A82-1)*Objects!$X$4,0)</f>
        <v>0</v>
      </c>
      <c r="K82">
        <f ca="1">OFFSET(Objects!$HW$6,K$1+(Objects!$Y$4-$A82-1)*Objects!$X$4,0)</f>
        <v>0</v>
      </c>
      <c r="L82">
        <f ca="1">OFFSET(Objects!$HW$6,L$1+(Objects!$Y$4-$A82-1)*Objects!$X$4,0)</f>
        <v>0</v>
      </c>
      <c r="M82">
        <f ca="1">OFFSET(Objects!$HW$6,M$1+(Objects!$Y$4-$A82-1)*Objects!$X$4,0)</f>
        <v>0</v>
      </c>
      <c r="N82">
        <f ca="1">OFFSET(Objects!$HW$6,N$1+(Objects!$Y$4-$A82-1)*Objects!$X$4,0)</f>
        <v>0</v>
      </c>
      <c r="O82">
        <f ca="1">OFFSET(Objects!$HW$6,O$1+(Objects!$Y$4-$A82-1)*Objects!$X$4,0)</f>
        <v>0</v>
      </c>
      <c r="P82">
        <f ca="1">OFFSET(Objects!$HW$6,P$1+(Objects!$Y$4-$A82-1)*Objects!$X$4,0)</f>
        <v>0</v>
      </c>
      <c r="Q82">
        <f ca="1">OFFSET(Objects!$HW$6,Q$1+(Objects!$Y$4-$A82-1)*Objects!$X$4,0)</f>
        <v>0</v>
      </c>
      <c r="R82">
        <f ca="1">OFFSET(Objects!$HW$6,R$1+(Objects!$Y$4-$A82-1)*Objects!$X$4,0)</f>
        <v>0</v>
      </c>
      <c r="S82">
        <f ca="1">OFFSET(Objects!$HW$6,S$1+(Objects!$Y$4-$A82-1)*Objects!$X$4,0)</f>
        <v>0</v>
      </c>
      <c r="T82">
        <f ca="1">OFFSET(Objects!$HW$6,T$1+(Objects!$Y$4-$A82-1)*Objects!$X$4,0)</f>
        <v>0</v>
      </c>
      <c r="U82">
        <f ca="1">OFFSET(Objects!$HW$6,U$1+(Objects!$Y$4-$A82-1)*Objects!$X$4,0)</f>
        <v>0</v>
      </c>
      <c r="V82">
        <f ca="1">OFFSET(Objects!$HW$6,V$1+(Objects!$Y$4-$A82-1)*Objects!$X$4,0)</f>
        <v>0</v>
      </c>
      <c r="W82">
        <f ca="1">OFFSET(Objects!$HW$6,W$1+(Objects!$Y$4-$A82-1)*Objects!$X$4,0)</f>
        <v>0</v>
      </c>
      <c r="X82">
        <f ca="1">OFFSET(Objects!$HW$6,X$1+(Objects!$Y$4-$A82-1)*Objects!$X$4,0)</f>
        <v>0</v>
      </c>
      <c r="Y82">
        <f ca="1">OFFSET(Objects!$HW$6,Y$1+(Objects!$Y$4-$A82-1)*Objects!$X$4,0)</f>
        <v>0</v>
      </c>
      <c r="Z82">
        <f ca="1">OFFSET(Objects!$HW$6,Z$1+(Objects!$Y$4-$A82-1)*Objects!$X$4,0)</f>
        <v>0</v>
      </c>
      <c r="AA82">
        <f ca="1">OFFSET(Objects!$HW$6,AA$1+(Objects!$Y$4-$A82-1)*Objects!$X$4,0)</f>
        <v>0</v>
      </c>
      <c r="AB82">
        <f ca="1">OFFSET(Objects!$HW$6,AB$1+(Objects!$Y$4-$A82-1)*Objects!$X$4,0)</f>
        <v>0</v>
      </c>
      <c r="AC82">
        <f ca="1">OFFSET(Objects!$HW$6,AC$1+(Objects!$Y$4-$A82-1)*Objects!$X$4,0)</f>
        <v>0</v>
      </c>
      <c r="AD82">
        <f ca="1">OFFSET(Objects!$HW$6,AD$1+(Objects!$Y$4-$A82-1)*Objects!$X$4,0)</f>
        <v>0</v>
      </c>
      <c r="AE82">
        <f ca="1">OFFSET(Objects!$HW$6,AE$1+(Objects!$Y$4-$A82-1)*Objects!$X$4,0)</f>
        <v>0</v>
      </c>
      <c r="AF82">
        <f ca="1">OFFSET(Objects!$HW$6,AF$1+(Objects!$Y$4-$A82-1)*Objects!$X$4,0)</f>
        <v>0</v>
      </c>
      <c r="AG82">
        <f ca="1">OFFSET(Objects!$HW$6,AG$1+(Objects!$Y$4-$A82-1)*Objects!$X$4,0)</f>
        <v>0</v>
      </c>
      <c r="AH82">
        <f ca="1">OFFSET(Objects!$HW$6,AH$1+(Objects!$Y$4-$A82-1)*Objects!$X$4,0)</f>
        <v>0</v>
      </c>
      <c r="AI82">
        <f ca="1">OFFSET(Objects!$HW$6,AI$1+(Objects!$Y$4-$A82-1)*Objects!$X$4,0)</f>
        <v>0</v>
      </c>
      <c r="AJ82">
        <f ca="1">OFFSET(Objects!$HW$6,AJ$1+(Objects!$Y$4-$A82-1)*Objects!$X$4,0)</f>
        <v>0</v>
      </c>
      <c r="AK82">
        <f ca="1">OFFSET(Objects!$HW$6,AK$1+(Objects!$Y$4-$A82-1)*Objects!$X$4,0)</f>
        <v>0</v>
      </c>
      <c r="AL82">
        <f ca="1">OFFSET(Objects!$HW$6,AL$1+(Objects!$Y$4-$A82-1)*Objects!$X$4,0)</f>
        <v>0</v>
      </c>
      <c r="AM82">
        <f ca="1">OFFSET(Objects!$HW$6,AM$1+(Objects!$Y$4-$A82-1)*Objects!$X$4,0)</f>
        <v>0</v>
      </c>
      <c r="AN82">
        <f ca="1">OFFSET(Objects!$HW$6,AN$1+(Objects!$Y$4-$A82-1)*Objects!$X$4,0)</f>
        <v>0</v>
      </c>
      <c r="AO82">
        <f ca="1">OFFSET(Objects!$HW$6,AO$1+(Objects!$Y$4-$A82-1)*Objects!$X$4,0)</f>
        <v>0</v>
      </c>
      <c r="AP82">
        <f ca="1">OFFSET(Objects!$HW$6,AP$1+(Objects!$Y$4-$A82-1)*Objects!$X$4,0)</f>
        <v>0</v>
      </c>
      <c r="AQ82">
        <f ca="1">OFFSET(Objects!$HW$6,AQ$1+(Objects!$Y$4-$A82-1)*Objects!$X$4,0)</f>
        <v>0</v>
      </c>
      <c r="AR82">
        <f ca="1">OFFSET(Objects!$HW$6,AR$1+(Objects!$Y$4-$A82-1)*Objects!$X$4,0)</f>
        <v>0</v>
      </c>
      <c r="AS82">
        <f ca="1">OFFSET(Objects!$HW$6,AS$1+(Objects!$Y$4-$A82-1)*Objects!$X$4,0)</f>
        <v>0</v>
      </c>
      <c r="AT82">
        <f ca="1">OFFSET(Objects!$HW$6,AT$1+(Objects!$Y$4-$A82-1)*Objects!$X$4,0)</f>
        <v>0</v>
      </c>
      <c r="AU82">
        <f ca="1">OFFSET(Objects!$HW$6,AU$1+(Objects!$Y$4-$A82-1)*Objects!$X$4,0)</f>
        <v>0</v>
      </c>
      <c r="AV82">
        <f ca="1">OFFSET(Objects!$HW$6,AV$1+(Objects!$Y$4-$A82-1)*Objects!$X$4,0)</f>
        <v>0</v>
      </c>
      <c r="AW82">
        <f ca="1">OFFSET(Objects!$HW$6,AW$1+(Objects!$Y$4-$A82-1)*Objects!$X$4,0)</f>
        <v>0</v>
      </c>
      <c r="AX82">
        <f ca="1">OFFSET(Objects!$HW$6,AX$1+(Objects!$Y$4-$A82-1)*Objects!$X$4,0)</f>
        <v>0</v>
      </c>
      <c r="AY82">
        <f ca="1">OFFSET(Objects!$HW$6,AY$1+(Objects!$Y$4-$A82-1)*Objects!$X$4,0)</f>
        <v>0</v>
      </c>
      <c r="AZ82">
        <f ca="1">OFFSET(Objects!$HW$6,AZ$1+(Objects!$Y$4-$A82-1)*Objects!$X$4,0)</f>
        <v>0</v>
      </c>
      <c r="BA82">
        <f ca="1">OFFSET(Objects!$HW$6,BA$1+(Objects!$Y$4-$A82-1)*Objects!$X$4,0)</f>
        <v>0</v>
      </c>
      <c r="BB82">
        <f ca="1">OFFSET(Objects!$HW$6,BB$1+(Objects!$Y$4-$A82-1)*Objects!$X$4,0)</f>
        <v>0</v>
      </c>
      <c r="BC82">
        <f ca="1">OFFSET(Objects!$HW$6,BC$1+(Objects!$Y$4-$A82-1)*Objects!$X$4,0)</f>
        <v>0</v>
      </c>
      <c r="BD82">
        <f ca="1">OFFSET(Objects!$HW$6,BD$1+(Objects!$Y$4-$A82-1)*Objects!$X$4,0)</f>
        <v>0</v>
      </c>
      <c r="BE82">
        <f ca="1">OFFSET(Objects!$HW$6,BE$1+(Objects!$Y$4-$A82-1)*Objects!$X$4,0)</f>
        <v>0</v>
      </c>
      <c r="BF82">
        <f ca="1">OFFSET(Objects!$HW$6,BF$1+(Objects!$Y$4-$A82-1)*Objects!$X$4,0)</f>
        <v>0</v>
      </c>
      <c r="BG82">
        <f ca="1">OFFSET(Objects!$HW$6,BG$1+(Objects!$Y$4-$A82-1)*Objects!$X$4,0)</f>
        <v>0</v>
      </c>
      <c r="BH82">
        <f ca="1">OFFSET(Objects!$HW$6,BH$1+(Objects!$Y$4-$A82-1)*Objects!$X$4,0)</f>
        <v>0</v>
      </c>
      <c r="BI82">
        <f ca="1">OFFSET(Objects!$HW$6,BI$1+(Objects!$Y$4-$A82-1)*Objects!$X$4,0)</f>
        <v>0</v>
      </c>
      <c r="BJ82">
        <f ca="1">OFFSET(Objects!$HW$6,BJ$1+(Objects!$Y$4-$A82-1)*Objects!$X$4,0)</f>
        <v>0</v>
      </c>
      <c r="BK82">
        <f ca="1">OFFSET(Objects!$HW$6,BK$1+(Objects!$Y$4-$A82-1)*Objects!$X$4,0)</f>
        <v>0</v>
      </c>
      <c r="BL82">
        <f ca="1">OFFSET(Objects!$HW$6,BL$1+(Objects!$Y$4-$A82-1)*Objects!$X$4,0)</f>
        <v>0</v>
      </c>
      <c r="BM82">
        <f ca="1">OFFSET(Objects!$HW$6,BM$1+(Objects!$Y$4-$A82-1)*Objects!$X$4,0)</f>
        <v>0</v>
      </c>
      <c r="BN82">
        <f ca="1">OFFSET(Objects!$HW$6,BN$1+(Objects!$Y$4-$A82-1)*Objects!$X$4,0)</f>
        <v>0</v>
      </c>
      <c r="BO82">
        <f ca="1">OFFSET(Objects!$HW$6,BO$1+(Objects!$Y$4-$A82-1)*Objects!$X$4,0)</f>
        <v>0</v>
      </c>
      <c r="BP82">
        <f ca="1">OFFSET(Objects!$HW$6,BP$1+(Objects!$Y$4-$A82-1)*Objects!$X$4,0)</f>
        <v>0</v>
      </c>
      <c r="BQ82">
        <f ca="1">OFFSET(Objects!$HW$6,BQ$1+(Objects!$Y$4-$A82-1)*Objects!$X$4,0)</f>
        <v>0</v>
      </c>
      <c r="BR82">
        <f ca="1">OFFSET(Objects!$HW$6,BR$1+(Objects!$Y$4-$A82-1)*Objects!$X$4,0)</f>
        <v>0</v>
      </c>
      <c r="BS82">
        <f ca="1">OFFSET(Objects!$HW$6,BS$1+(Objects!$Y$4-$A82-1)*Objects!$X$4,0)</f>
        <v>0</v>
      </c>
      <c r="BT82">
        <f ca="1">OFFSET(Objects!$HW$6,BT$1+(Objects!$Y$4-$A82-1)*Objects!$X$4,0)</f>
        <v>0</v>
      </c>
      <c r="BU82">
        <f ca="1">OFFSET(Objects!$HW$6,BU$1+(Objects!$Y$4-$A82-1)*Objects!$X$4,0)</f>
        <v>0</v>
      </c>
      <c r="BV82">
        <f ca="1">OFFSET(Objects!$HW$6,BV$1+(Objects!$Y$4-$A82-1)*Objects!$X$4,0)</f>
        <v>0</v>
      </c>
      <c r="BW82">
        <f ca="1">OFFSET(Objects!$HW$6,BW$1+(Objects!$Y$4-$A82-1)*Objects!$X$4,0)</f>
        <v>0</v>
      </c>
      <c r="BX82">
        <f ca="1">OFFSET(Objects!$HW$6,BX$1+(Objects!$Y$4-$A82-1)*Objects!$X$4,0)</f>
        <v>0</v>
      </c>
      <c r="BY82">
        <f ca="1">OFFSET(Objects!$HW$6,BY$1+(Objects!$Y$4-$A82-1)*Objects!$X$4,0)</f>
        <v>0</v>
      </c>
      <c r="BZ82">
        <f ca="1">OFFSET(Objects!$HW$6,BZ$1+(Objects!$Y$4-$A82-1)*Objects!$X$4,0)</f>
        <v>0</v>
      </c>
      <c r="CA82">
        <f ca="1">OFFSET(Objects!$HW$6,CA$1+(Objects!$Y$4-$A82-1)*Objects!$X$4,0)</f>
        <v>0</v>
      </c>
      <c r="CB82">
        <f ca="1">OFFSET(Objects!$HW$6,CB$1+(Objects!$Y$4-$A82-1)*Objects!$X$4,0)</f>
        <v>0</v>
      </c>
      <c r="CC82">
        <f ca="1">OFFSET(Objects!$HW$6,CC$1+(Objects!$Y$4-$A82-1)*Objects!$X$4,0)</f>
        <v>0</v>
      </c>
      <c r="CD82">
        <f ca="1">OFFSET(Objects!$HW$6,CD$1+(Objects!$Y$4-$A82-1)*Objects!$X$4,0)</f>
        <v>0</v>
      </c>
      <c r="CE82">
        <f ca="1">OFFSET(Objects!$HW$6,CE$1+(Objects!$Y$4-$A82-1)*Objects!$X$4,0)</f>
        <v>0</v>
      </c>
      <c r="CF82">
        <f ca="1">OFFSET(Objects!$HW$6,CF$1+(Objects!$Y$4-$A82-1)*Objects!$X$4,0)</f>
        <v>0</v>
      </c>
      <c r="CG82">
        <f ca="1">OFFSET(Objects!$HW$6,CG$1+(Objects!$Y$4-$A82-1)*Objects!$X$4,0)</f>
        <v>0</v>
      </c>
      <c r="CH82">
        <f ca="1">OFFSET(Objects!$HW$6,CH$1+(Objects!$Y$4-$A82-1)*Objects!$X$4,0)</f>
        <v>0</v>
      </c>
      <c r="CI82">
        <f ca="1">OFFSET(Objects!$HW$6,CI$1+(Objects!$Y$4-$A82-1)*Objects!$X$4,0)</f>
        <v>0</v>
      </c>
      <c r="CJ82">
        <f ca="1">OFFSET(Objects!$HW$6,CJ$1+(Objects!$Y$4-$A82-1)*Objects!$X$4,0)</f>
        <v>0</v>
      </c>
      <c r="CK82">
        <f ca="1">OFFSET(Objects!$HW$6,CK$1+(Objects!$Y$4-$A82-1)*Objects!$X$4,0)</f>
        <v>0</v>
      </c>
      <c r="CL82">
        <f ca="1">OFFSET(Objects!$HW$6,CL$1+(Objects!$Y$4-$A82-1)*Objects!$X$4,0)</f>
        <v>0</v>
      </c>
      <c r="CM82">
        <f ca="1">OFFSET(Objects!$HW$6,CM$1+(Objects!$Y$4-$A82-1)*Objects!$X$4,0)</f>
        <v>0</v>
      </c>
      <c r="CN82">
        <f ca="1">OFFSET(Objects!$HW$6,CN$1+(Objects!$Y$4-$A82-1)*Objects!$X$4,0)</f>
        <v>0</v>
      </c>
      <c r="CO82">
        <f ca="1">OFFSET(Objects!$HW$6,CO$1+(Objects!$Y$4-$A82-1)*Objects!$X$4,0)</f>
        <v>0</v>
      </c>
      <c r="CP82">
        <f ca="1">OFFSET(Objects!$HW$6,CP$1+(Objects!$Y$4-$A82-1)*Objects!$X$4,0)</f>
        <v>0</v>
      </c>
      <c r="CQ82">
        <f ca="1">OFFSET(Objects!$HW$6,CQ$1+(Objects!$Y$4-$A82-1)*Objects!$X$4,0)</f>
        <v>0</v>
      </c>
      <c r="CR82">
        <f ca="1">OFFSET(Objects!$HW$6,CR$1+(Objects!$Y$4-$A82-1)*Objects!$X$4,0)</f>
        <v>0</v>
      </c>
      <c r="CS82">
        <f ca="1">OFFSET(Objects!$HW$6,CS$1+(Objects!$Y$4-$A82-1)*Objects!$X$4,0)</f>
        <v>0</v>
      </c>
      <c r="CT82">
        <f ca="1">OFFSET(Objects!$HW$6,CT$1+(Objects!$Y$4-$A82-1)*Objects!$X$4,0)</f>
        <v>0</v>
      </c>
      <c r="CU82">
        <f ca="1">OFFSET(Objects!$HW$6,CU$1+(Objects!$Y$4-$A82-1)*Objects!$X$4,0)</f>
        <v>0</v>
      </c>
      <c r="CV82">
        <f ca="1">OFFSET(Objects!$HW$6,CV$1+(Objects!$Y$4-$A82-1)*Objects!$X$4,0)</f>
        <v>0</v>
      </c>
      <c r="CW82">
        <f ca="1">OFFSET(Objects!$HW$6,CW$1+(Objects!$Y$4-$A82-1)*Objects!$X$4,0)</f>
        <v>0</v>
      </c>
      <c r="CX82">
        <f ca="1">OFFSET(Objects!$HW$6,CX$1+(Objects!$Y$4-$A82-1)*Objects!$X$4,0)</f>
        <v>0</v>
      </c>
      <c r="CY82">
        <f ca="1">OFFSET(Objects!$HW$6,CY$1+(Objects!$Y$4-$A82-1)*Objects!$X$4,0)</f>
        <v>0</v>
      </c>
      <c r="CZ82">
        <f ca="1">OFFSET(Objects!$HW$6,CZ$1+(Objects!$Y$4-$A82-1)*Objects!$X$4,0)</f>
        <v>0</v>
      </c>
      <c r="DA82">
        <f ca="1">OFFSET(Objects!$HW$6,DA$1+(Objects!$Y$4-$A82-1)*Objects!$X$4,0)</f>
        <v>0</v>
      </c>
      <c r="DB82">
        <f ca="1">OFFSET(Objects!$HW$6,DB$1+(Objects!$Y$4-$A82-1)*Objects!$X$4,0)</f>
        <v>0</v>
      </c>
      <c r="DC82">
        <f ca="1">OFFSET(Objects!$HW$6,DC$1+(Objects!$Y$4-$A82-1)*Objects!$X$4,0)</f>
        <v>0</v>
      </c>
      <c r="DD82">
        <f ca="1">OFFSET(Objects!$HW$6,DD$1+(Objects!$Y$4-$A82-1)*Objects!$X$4,0)</f>
        <v>0</v>
      </c>
      <c r="DE82">
        <f ca="1">OFFSET(Objects!$HW$6,DE$1+(Objects!$Y$4-$A82-1)*Objects!$X$4,0)</f>
        <v>0</v>
      </c>
      <c r="DF82">
        <f ca="1">OFFSET(Objects!$HW$6,DF$1+(Objects!$Y$4-$A82-1)*Objects!$X$4,0)</f>
        <v>0</v>
      </c>
      <c r="DG82">
        <f ca="1">OFFSET(Objects!$HW$6,DG$1+(Objects!$Y$4-$A82-1)*Objects!$X$4,0)</f>
        <v>0</v>
      </c>
      <c r="DH82">
        <f ca="1">OFFSET(Objects!$HW$6,DH$1+(Objects!$Y$4-$A82-1)*Objects!$X$4,0)</f>
        <v>0</v>
      </c>
      <c r="DI82">
        <f ca="1">OFFSET(Objects!$HW$6,DI$1+(Objects!$Y$4-$A82-1)*Objects!$X$4,0)</f>
        <v>0</v>
      </c>
      <c r="DJ82">
        <f ca="1">OFFSET(Objects!$HW$6,DJ$1+(Objects!$Y$4-$A82-1)*Objects!$X$4,0)</f>
        <v>0</v>
      </c>
      <c r="DK82">
        <f ca="1">OFFSET(Objects!$HW$6,DK$1+(Objects!$Y$4-$A82-1)*Objects!$X$4,0)</f>
        <v>0</v>
      </c>
      <c r="DL82">
        <f ca="1">OFFSET(Objects!$HW$6,DL$1+(Objects!$Y$4-$A82-1)*Objects!$X$4,0)</f>
        <v>0</v>
      </c>
      <c r="DM82">
        <f ca="1">OFFSET(Objects!$HW$6,DM$1+(Objects!$Y$4-$A82-1)*Objects!$X$4,0)</f>
        <v>0</v>
      </c>
      <c r="DN82">
        <f ca="1">OFFSET(Objects!$HW$6,DN$1+(Objects!$Y$4-$A82-1)*Objects!$X$4,0)</f>
        <v>0</v>
      </c>
      <c r="DO82">
        <f ca="1">OFFSET(Objects!$HW$6,DO$1+(Objects!$Y$4-$A82-1)*Objects!$X$4,0)</f>
        <v>0</v>
      </c>
      <c r="DP82">
        <f ca="1">OFFSET(Objects!$HW$6,DP$1+(Objects!$Y$4-$A82-1)*Objects!$X$4,0)</f>
        <v>0</v>
      </c>
      <c r="DQ82">
        <f ca="1">OFFSET(Objects!$HW$6,DQ$1+(Objects!$Y$4-$A82-1)*Objects!$X$4,0)</f>
        <v>0</v>
      </c>
      <c r="DR82">
        <f ca="1">OFFSET(Objects!$HW$6,DR$1+(Objects!$Y$4-$A82-1)*Objects!$X$4,0)</f>
        <v>0</v>
      </c>
      <c r="DS82">
        <f ca="1">OFFSET(Objects!$HW$6,DS$1+(Objects!$Y$4-$A82-1)*Objects!$X$4,0)</f>
        <v>0</v>
      </c>
      <c r="DT82">
        <f ca="1">OFFSET(Objects!$HW$6,DT$1+(Objects!$Y$4-$A82-1)*Objects!$X$4,0)</f>
        <v>0</v>
      </c>
      <c r="DU82">
        <f ca="1">OFFSET(Objects!$HW$6,DU$1+(Objects!$Y$4-$A82-1)*Objects!$X$4,0)</f>
        <v>0</v>
      </c>
      <c r="DV82">
        <f ca="1">OFFSET(Objects!$HW$6,DV$1+(Objects!$Y$4-$A82-1)*Objects!$X$4,0)</f>
        <v>0</v>
      </c>
      <c r="DW82">
        <f ca="1">OFFSET(Objects!$HW$6,DW$1+(Objects!$Y$4-$A82-1)*Objects!$X$4,0)</f>
        <v>0</v>
      </c>
      <c r="DX82">
        <f ca="1">OFFSET(Objects!$HW$6,DX$1+(Objects!$Y$4-$A82-1)*Objects!$X$4,0)</f>
        <v>0</v>
      </c>
      <c r="DY82">
        <f ca="1">OFFSET(Objects!$HW$6,DY$1+(Objects!$Y$4-$A82-1)*Objects!$X$4,0)</f>
        <v>0</v>
      </c>
      <c r="DZ82">
        <f ca="1">OFFSET(Objects!$HW$6,DZ$1+(Objects!$Y$4-$A82-1)*Objects!$X$4,0)</f>
        <v>0</v>
      </c>
      <c r="EA82">
        <f ca="1">OFFSET(Objects!$HW$6,EA$1+(Objects!$Y$4-$A82-1)*Objects!$X$4,0)</f>
        <v>0</v>
      </c>
      <c r="EB82">
        <f ca="1">OFFSET(Objects!$HW$6,EB$1+(Objects!$Y$4-$A82-1)*Objects!$X$4,0)</f>
        <v>0</v>
      </c>
      <c r="EC82">
        <f ca="1">OFFSET(Objects!$HW$6,EC$1+(Objects!$Y$4-$A82-1)*Objects!$X$4,0)</f>
        <v>0</v>
      </c>
      <c r="ED82">
        <f ca="1">OFFSET(Objects!$HW$6,ED$1+(Objects!$Y$4-$A82-1)*Objects!$X$4,0)</f>
        <v>0</v>
      </c>
      <c r="EE82">
        <f ca="1">OFFSET(Objects!$HW$6,EE$1+(Objects!$Y$4-$A82-1)*Objects!$X$4,0)</f>
        <v>0</v>
      </c>
      <c r="EF82">
        <f ca="1">OFFSET(Objects!$HW$6,EF$1+(Objects!$Y$4-$A82-1)*Objects!$X$4,0)</f>
        <v>0</v>
      </c>
      <c r="EG82">
        <f ca="1">OFFSET(Objects!$HW$6,EG$1+(Objects!$Y$4-$A82-1)*Objects!$X$4,0)</f>
        <v>0</v>
      </c>
      <c r="EH82">
        <f ca="1">OFFSET(Objects!$HW$6,EH$1+(Objects!$Y$4-$A82-1)*Objects!$X$4,0)</f>
        <v>0</v>
      </c>
      <c r="EI82">
        <f ca="1">OFFSET(Objects!$HW$6,EI$1+(Objects!$Y$4-$A82-1)*Objects!$X$4,0)</f>
        <v>0</v>
      </c>
      <c r="EJ82">
        <f ca="1">OFFSET(Objects!$HW$6,EJ$1+(Objects!$Y$4-$A82-1)*Objects!$X$4,0)</f>
        <v>0</v>
      </c>
      <c r="EK82">
        <f ca="1">OFFSET(Objects!$HW$6,EK$1+(Objects!$Y$4-$A82-1)*Objects!$X$4,0)</f>
        <v>0</v>
      </c>
      <c r="EL82">
        <f ca="1">OFFSET(Objects!$HW$6,EL$1+(Objects!$Y$4-$A82-1)*Objects!$X$4,0)</f>
        <v>0</v>
      </c>
      <c r="EM82">
        <f ca="1">OFFSET(Objects!$HW$6,EM$1+(Objects!$Y$4-$A82-1)*Objects!$X$4,0)</f>
        <v>0</v>
      </c>
      <c r="EN82">
        <f ca="1">OFFSET(Objects!$HW$6,EN$1+(Objects!$Y$4-$A82-1)*Objects!$X$4,0)</f>
        <v>0</v>
      </c>
      <c r="EO82">
        <f ca="1">OFFSET(Objects!$HW$6,EO$1+(Objects!$Y$4-$A82-1)*Objects!$X$4,0)</f>
        <v>0</v>
      </c>
      <c r="EP82">
        <f ca="1">OFFSET(Objects!$HW$6,EP$1+(Objects!$Y$4-$A82-1)*Objects!$X$4,0)</f>
        <v>0</v>
      </c>
      <c r="EQ82">
        <f ca="1">OFFSET(Objects!$HW$6,EQ$1+(Objects!$Y$4-$A82-1)*Objects!$X$4,0)</f>
        <v>0</v>
      </c>
      <c r="ER82">
        <f ca="1">OFFSET(Objects!$HW$6,ER$1+(Objects!$Y$4-$A82-1)*Objects!$X$4,0)</f>
        <v>0</v>
      </c>
      <c r="ES82">
        <f ca="1">OFFSET(Objects!$HW$6,ES$1+(Objects!$Y$4-$A82-1)*Objects!$X$4,0)</f>
        <v>0</v>
      </c>
      <c r="ET82">
        <f ca="1">OFFSET(Objects!$HW$6,ET$1+(Objects!$Y$4-$A82-1)*Objects!$X$4,0)</f>
        <v>0</v>
      </c>
      <c r="EU82">
        <f ca="1">OFFSET(Objects!$HW$6,EU$1+(Objects!$Y$4-$A82-1)*Objects!$X$4,0)</f>
        <v>0</v>
      </c>
      <c r="EV82">
        <f ca="1">OFFSET(Objects!$HW$6,EV$1+(Objects!$Y$4-$A82-1)*Objects!$X$4,0)</f>
        <v>0</v>
      </c>
      <c r="EW82">
        <f ca="1">OFFSET(Objects!$HW$6,EW$1+(Objects!$Y$4-$A82-1)*Objects!$X$4,0)</f>
        <v>0</v>
      </c>
      <c r="EX82">
        <f ca="1">OFFSET(Objects!$HW$6,EX$1+(Objects!$Y$4-$A82-1)*Objects!$X$4,0)</f>
        <v>0</v>
      </c>
      <c r="EY82">
        <f ca="1">OFFSET(Objects!$HW$6,EY$1+(Objects!$Y$4-$A82-1)*Objects!$X$4,0)</f>
        <v>0</v>
      </c>
      <c r="EZ82">
        <f ca="1">OFFSET(Objects!$HW$6,EZ$1+(Objects!$Y$4-$A82-1)*Objects!$X$4,0)</f>
        <v>0</v>
      </c>
      <c r="FA82">
        <f ca="1">OFFSET(Objects!$HW$6,FA$1+(Objects!$Y$4-$A82-1)*Objects!$X$4,0)</f>
        <v>0</v>
      </c>
      <c r="FB82">
        <f ca="1">OFFSET(Objects!$HW$6,FB$1+(Objects!$Y$4-$A82-1)*Objects!$X$4,0)</f>
        <v>0</v>
      </c>
      <c r="FC82">
        <f ca="1">OFFSET(Objects!$HW$6,FC$1+(Objects!$Y$4-$A82-1)*Objects!$X$4,0)</f>
        <v>0</v>
      </c>
      <c r="FD82">
        <f ca="1">OFFSET(Objects!$HW$6,FD$1+(Objects!$Y$4-$A82-1)*Objects!$X$4,0)</f>
        <v>0</v>
      </c>
      <c r="FE82" s="22">
        <f ca="1">OFFSET(Objects!$HW$6,FE$1+(Objects!$Y$4-$A82-1)*Objects!$X$4,0)</f>
        <v>0</v>
      </c>
    </row>
    <row r="83" spans="1:200" ht="4.5" customHeight="1" x14ac:dyDescent="0.25">
      <c r="A83">
        <v>81</v>
      </c>
      <c r="B83" s="21">
        <f ca="1">OFFSET(Objects!$HW$6,B$1+(Objects!$Y$4-$A83-1)*Objects!$X$4,0)</f>
        <v>0</v>
      </c>
      <c r="C83">
        <f ca="1">OFFSET(Objects!$HW$6,C$1+(Objects!$Y$4-$A83-1)*Objects!$X$4,0)</f>
        <v>0</v>
      </c>
      <c r="D83">
        <f ca="1">OFFSET(Objects!$HW$6,D$1+(Objects!$Y$4-$A83-1)*Objects!$X$4,0)</f>
        <v>0</v>
      </c>
      <c r="E83">
        <f ca="1">OFFSET(Objects!$HW$6,E$1+(Objects!$Y$4-$A83-1)*Objects!$X$4,0)</f>
        <v>0</v>
      </c>
      <c r="F83">
        <f ca="1">OFFSET(Objects!$HW$6,F$1+(Objects!$Y$4-$A83-1)*Objects!$X$4,0)</f>
        <v>0</v>
      </c>
      <c r="G83">
        <f ca="1">OFFSET(Objects!$HW$6,G$1+(Objects!$Y$4-$A83-1)*Objects!$X$4,0)</f>
        <v>0</v>
      </c>
      <c r="H83">
        <f ca="1">OFFSET(Objects!$HW$6,H$1+(Objects!$Y$4-$A83-1)*Objects!$X$4,0)</f>
        <v>0</v>
      </c>
      <c r="I83">
        <f ca="1">OFFSET(Objects!$HW$6,I$1+(Objects!$Y$4-$A83-1)*Objects!$X$4,0)</f>
        <v>0</v>
      </c>
      <c r="J83">
        <f ca="1">OFFSET(Objects!$HW$6,J$1+(Objects!$Y$4-$A83-1)*Objects!$X$4,0)</f>
        <v>0</v>
      </c>
      <c r="K83">
        <f ca="1">OFFSET(Objects!$HW$6,K$1+(Objects!$Y$4-$A83-1)*Objects!$X$4,0)</f>
        <v>0</v>
      </c>
      <c r="L83">
        <f ca="1">OFFSET(Objects!$HW$6,L$1+(Objects!$Y$4-$A83-1)*Objects!$X$4,0)</f>
        <v>0</v>
      </c>
      <c r="M83">
        <f ca="1">OFFSET(Objects!$HW$6,M$1+(Objects!$Y$4-$A83-1)*Objects!$X$4,0)</f>
        <v>0</v>
      </c>
      <c r="N83">
        <f ca="1">OFFSET(Objects!$HW$6,N$1+(Objects!$Y$4-$A83-1)*Objects!$X$4,0)</f>
        <v>0</v>
      </c>
      <c r="O83">
        <f ca="1">OFFSET(Objects!$HW$6,O$1+(Objects!$Y$4-$A83-1)*Objects!$X$4,0)</f>
        <v>0</v>
      </c>
      <c r="P83">
        <f ca="1">OFFSET(Objects!$HW$6,P$1+(Objects!$Y$4-$A83-1)*Objects!$X$4,0)</f>
        <v>0</v>
      </c>
      <c r="Q83">
        <f ca="1">OFFSET(Objects!$HW$6,Q$1+(Objects!$Y$4-$A83-1)*Objects!$X$4,0)</f>
        <v>0</v>
      </c>
      <c r="R83">
        <f ca="1">OFFSET(Objects!$HW$6,R$1+(Objects!$Y$4-$A83-1)*Objects!$X$4,0)</f>
        <v>0</v>
      </c>
      <c r="S83">
        <f ca="1">OFFSET(Objects!$HW$6,S$1+(Objects!$Y$4-$A83-1)*Objects!$X$4,0)</f>
        <v>0</v>
      </c>
      <c r="T83">
        <f ca="1">OFFSET(Objects!$HW$6,T$1+(Objects!$Y$4-$A83-1)*Objects!$X$4,0)</f>
        <v>0</v>
      </c>
      <c r="U83">
        <f ca="1">OFFSET(Objects!$HW$6,U$1+(Objects!$Y$4-$A83-1)*Objects!$X$4,0)</f>
        <v>0</v>
      </c>
      <c r="V83">
        <f ca="1">OFFSET(Objects!$HW$6,V$1+(Objects!$Y$4-$A83-1)*Objects!$X$4,0)</f>
        <v>0</v>
      </c>
      <c r="W83">
        <f ca="1">OFFSET(Objects!$HW$6,W$1+(Objects!$Y$4-$A83-1)*Objects!$X$4,0)</f>
        <v>0</v>
      </c>
      <c r="X83">
        <f ca="1">OFFSET(Objects!$HW$6,X$1+(Objects!$Y$4-$A83-1)*Objects!$X$4,0)</f>
        <v>0</v>
      </c>
      <c r="Y83">
        <f ca="1">OFFSET(Objects!$HW$6,Y$1+(Objects!$Y$4-$A83-1)*Objects!$X$4,0)</f>
        <v>0</v>
      </c>
      <c r="Z83">
        <f ca="1">OFFSET(Objects!$HW$6,Z$1+(Objects!$Y$4-$A83-1)*Objects!$X$4,0)</f>
        <v>0</v>
      </c>
      <c r="AA83">
        <f ca="1">OFFSET(Objects!$HW$6,AA$1+(Objects!$Y$4-$A83-1)*Objects!$X$4,0)</f>
        <v>0</v>
      </c>
      <c r="AB83">
        <f ca="1">OFFSET(Objects!$HW$6,AB$1+(Objects!$Y$4-$A83-1)*Objects!$X$4,0)</f>
        <v>0</v>
      </c>
      <c r="AC83">
        <f ca="1">OFFSET(Objects!$HW$6,AC$1+(Objects!$Y$4-$A83-1)*Objects!$X$4,0)</f>
        <v>0</v>
      </c>
      <c r="AD83">
        <f ca="1">OFFSET(Objects!$HW$6,AD$1+(Objects!$Y$4-$A83-1)*Objects!$X$4,0)</f>
        <v>0</v>
      </c>
      <c r="AE83">
        <f ca="1">OFFSET(Objects!$HW$6,AE$1+(Objects!$Y$4-$A83-1)*Objects!$X$4,0)</f>
        <v>0</v>
      </c>
      <c r="AF83">
        <f ca="1">OFFSET(Objects!$HW$6,AF$1+(Objects!$Y$4-$A83-1)*Objects!$X$4,0)</f>
        <v>0</v>
      </c>
      <c r="AG83">
        <f ca="1">OFFSET(Objects!$HW$6,AG$1+(Objects!$Y$4-$A83-1)*Objects!$X$4,0)</f>
        <v>0</v>
      </c>
      <c r="AH83">
        <f ca="1">OFFSET(Objects!$HW$6,AH$1+(Objects!$Y$4-$A83-1)*Objects!$X$4,0)</f>
        <v>0</v>
      </c>
      <c r="AI83">
        <f ca="1">OFFSET(Objects!$HW$6,AI$1+(Objects!$Y$4-$A83-1)*Objects!$X$4,0)</f>
        <v>0</v>
      </c>
      <c r="AJ83">
        <f ca="1">OFFSET(Objects!$HW$6,AJ$1+(Objects!$Y$4-$A83-1)*Objects!$X$4,0)</f>
        <v>0</v>
      </c>
      <c r="AK83">
        <f ca="1">OFFSET(Objects!$HW$6,AK$1+(Objects!$Y$4-$A83-1)*Objects!$X$4,0)</f>
        <v>0</v>
      </c>
      <c r="AL83">
        <f ca="1">OFFSET(Objects!$HW$6,AL$1+(Objects!$Y$4-$A83-1)*Objects!$X$4,0)</f>
        <v>0</v>
      </c>
      <c r="AM83">
        <f ca="1">OFFSET(Objects!$HW$6,AM$1+(Objects!$Y$4-$A83-1)*Objects!$X$4,0)</f>
        <v>0</v>
      </c>
      <c r="AN83">
        <f ca="1">OFFSET(Objects!$HW$6,AN$1+(Objects!$Y$4-$A83-1)*Objects!$X$4,0)</f>
        <v>0</v>
      </c>
      <c r="AO83">
        <f ca="1">OFFSET(Objects!$HW$6,AO$1+(Objects!$Y$4-$A83-1)*Objects!$X$4,0)</f>
        <v>0</v>
      </c>
      <c r="AP83">
        <f ca="1">OFFSET(Objects!$HW$6,AP$1+(Objects!$Y$4-$A83-1)*Objects!$X$4,0)</f>
        <v>0</v>
      </c>
      <c r="AQ83">
        <f ca="1">OFFSET(Objects!$HW$6,AQ$1+(Objects!$Y$4-$A83-1)*Objects!$X$4,0)</f>
        <v>0</v>
      </c>
      <c r="AR83">
        <f ca="1">OFFSET(Objects!$HW$6,AR$1+(Objects!$Y$4-$A83-1)*Objects!$X$4,0)</f>
        <v>0</v>
      </c>
      <c r="AS83">
        <f ca="1">OFFSET(Objects!$HW$6,AS$1+(Objects!$Y$4-$A83-1)*Objects!$X$4,0)</f>
        <v>0</v>
      </c>
      <c r="AT83">
        <f ca="1">OFFSET(Objects!$HW$6,AT$1+(Objects!$Y$4-$A83-1)*Objects!$X$4,0)</f>
        <v>0</v>
      </c>
      <c r="AU83">
        <f ca="1">OFFSET(Objects!$HW$6,AU$1+(Objects!$Y$4-$A83-1)*Objects!$X$4,0)</f>
        <v>0</v>
      </c>
      <c r="AV83">
        <f ca="1">OFFSET(Objects!$HW$6,AV$1+(Objects!$Y$4-$A83-1)*Objects!$X$4,0)</f>
        <v>0</v>
      </c>
      <c r="AW83">
        <f ca="1">OFFSET(Objects!$HW$6,AW$1+(Objects!$Y$4-$A83-1)*Objects!$X$4,0)</f>
        <v>0</v>
      </c>
      <c r="AX83">
        <f ca="1">OFFSET(Objects!$HW$6,AX$1+(Objects!$Y$4-$A83-1)*Objects!$X$4,0)</f>
        <v>0</v>
      </c>
      <c r="AY83">
        <f ca="1">OFFSET(Objects!$HW$6,AY$1+(Objects!$Y$4-$A83-1)*Objects!$X$4,0)</f>
        <v>0</v>
      </c>
      <c r="AZ83">
        <f ca="1">OFFSET(Objects!$HW$6,AZ$1+(Objects!$Y$4-$A83-1)*Objects!$X$4,0)</f>
        <v>0</v>
      </c>
      <c r="BA83">
        <f ca="1">OFFSET(Objects!$HW$6,BA$1+(Objects!$Y$4-$A83-1)*Objects!$X$4,0)</f>
        <v>0</v>
      </c>
      <c r="BB83">
        <f ca="1">OFFSET(Objects!$HW$6,BB$1+(Objects!$Y$4-$A83-1)*Objects!$X$4,0)</f>
        <v>0</v>
      </c>
      <c r="BC83">
        <f ca="1">OFFSET(Objects!$HW$6,BC$1+(Objects!$Y$4-$A83-1)*Objects!$X$4,0)</f>
        <v>0</v>
      </c>
      <c r="BD83">
        <f ca="1">OFFSET(Objects!$HW$6,BD$1+(Objects!$Y$4-$A83-1)*Objects!$X$4,0)</f>
        <v>0</v>
      </c>
      <c r="BE83">
        <f ca="1">OFFSET(Objects!$HW$6,BE$1+(Objects!$Y$4-$A83-1)*Objects!$X$4,0)</f>
        <v>0</v>
      </c>
      <c r="BF83">
        <f ca="1">OFFSET(Objects!$HW$6,BF$1+(Objects!$Y$4-$A83-1)*Objects!$X$4,0)</f>
        <v>0</v>
      </c>
      <c r="BG83">
        <f ca="1">OFFSET(Objects!$HW$6,BG$1+(Objects!$Y$4-$A83-1)*Objects!$X$4,0)</f>
        <v>0</v>
      </c>
      <c r="BH83">
        <f ca="1">OFFSET(Objects!$HW$6,BH$1+(Objects!$Y$4-$A83-1)*Objects!$X$4,0)</f>
        <v>0</v>
      </c>
      <c r="BI83">
        <f ca="1">OFFSET(Objects!$HW$6,BI$1+(Objects!$Y$4-$A83-1)*Objects!$X$4,0)</f>
        <v>0</v>
      </c>
      <c r="BJ83">
        <f ca="1">OFFSET(Objects!$HW$6,BJ$1+(Objects!$Y$4-$A83-1)*Objects!$X$4,0)</f>
        <v>0</v>
      </c>
      <c r="BK83">
        <f ca="1">OFFSET(Objects!$HW$6,BK$1+(Objects!$Y$4-$A83-1)*Objects!$X$4,0)</f>
        <v>0</v>
      </c>
      <c r="BL83">
        <f ca="1">OFFSET(Objects!$HW$6,BL$1+(Objects!$Y$4-$A83-1)*Objects!$X$4,0)</f>
        <v>0</v>
      </c>
      <c r="BM83">
        <f ca="1">OFFSET(Objects!$HW$6,BM$1+(Objects!$Y$4-$A83-1)*Objects!$X$4,0)</f>
        <v>0</v>
      </c>
      <c r="BN83">
        <f ca="1">OFFSET(Objects!$HW$6,BN$1+(Objects!$Y$4-$A83-1)*Objects!$X$4,0)</f>
        <v>0</v>
      </c>
      <c r="BO83">
        <f ca="1">OFFSET(Objects!$HW$6,BO$1+(Objects!$Y$4-$A83-1)*Objects!$X$4,0)</f>
        <v>0</v>
      </c>
      <c r="BP83">
        <f ca="1">OFFSET(Objects!$HW$6,BP$1+(Objects!$Y$4-$A83-1)*Objects!$X$4,0)</f>
        <v>0</v>
      </c>
      <c r="BQ83">
        <f ca="1">OFFSET(Objects!$HW$6,BQ$1+(Objects!$Y$4-$A83-1)*Objects!$X$4,0)</f>
        <v>0</v>
      </c>
      <c r="BR83">
        <f ca="1">OFFSET(Objects!$HW$6,BR$1+(Objects!$Y$4-$A83-1)*Objects!$X$4,0)</f>
        <v>0</v>
      </c>
      <c r="BS83">
        <f ca="1">OFFSET(Objects!$HW$6,BS$1+(Objects!$Y$4-$A83-1)*Objects!$X$4,0)</f>
        <v>0</v>
      </c>
      <c r="BT83">
        <f ca="1">OFFSET(Objects!$HW$6,BT$1+(Objects!$Y$4-$A83-1)*Objects!$X$4,0)</f>
        <v>0</v>
      </c>
      <c r="BU83">
        <f ca="1">OFFSET(Objects!$HW$6,BU$1+(Objects!$Y$4-$A83-1)*Objects!$X$4,0)</f>
        <v>0</v>
      </c>
      <c r="BV83">
        <f ca="1">OFFSET(Objects!$HW$6,BV$1+(Objects!$Y$4-$A83-1)*Objects!$X$4,0)</f>
        <v>0</v>
      </c>
      <c r="BW83">
        <f ca="1">OFFSET(Objects!$HW$6,BW$1+(Objects!$Y$4-$A83-1)*Objects!$X$4,0)</f>
        <v>0</v>
      </c>
      <c r="BX83">
        <f ca="1">OFFSET(Objects!$HW$6,BX$1+(Objects!$Y$4-$A83-1)*Objects!$X$4,0)</f>
        <v>0</v>
      </c>
      <c r="BY83">
        <f ca="1">OFFSET(Objects!$HW$6,BY$1+(Objects!$Y$4-$A83-1)*Objects!$X$4,0)</f>
        <v>0</v>
      </c>
      <c r="BZ83">
        <f ca="1">OFFSET(Objects!$HW$6,BZ$1+(Objects!$Y$4-$A83-1)*Objects!$X$4,0)</f>
        <v>0</v>
      </c>
      <c r="CA83">
        <f ca="1">OFFSET(Objects!$HW$6,CA$1+(Objects!$Y$4-$A83-1)*Objects!$X$4,0)</f>
        <v>0</v>
      </c>
      <c r="CB83">
        <f ca="1">OFFSET(Objects!$HW$6,CB$1+(Objects!$Y$4-$A83-1)*Objects!$X$4,0)</f>
        <v>0</v>
      </c>
      <c r="CC83">
        <f ca="1">OFFSET(Objects!$HW$6,CC$1+(Objects!$Y$4-$A83-1)*Objects!$X$4,0)</f>
        <v>0</v>
      </c>
      <c r="CD83">
        <f ca="1">OFFSET(Objects!$HW$6,CD$1+(Objects!$Y$4-$A83-1)*Objects!$X$4,0)</f>
        <v>0</v>
      </c>
      <c r="CE83">
        <f ca="1">OFFSET(Objects!$HW$6,CE$1+(Objects!$Y$4-$A83-1)*Objects!$X$4,0)</f>
        <v>0</v>
      </c>
      <c r="CF83">
        <f ca="1">OFFSET(Objects!$HW$6,CF$1+(Objects!$Y$4-$A83-1)*Objects!$X$4,0)</f>
        <v>0</v>
      </c>
      <c r="CG83">
        <f ca="1">OFFSET(Objects!$HW$6,CG$1+(Objects!$Y$4-$A83-1)*Objects!$X$4,0)</f>
        <v>0</v>
      </c>
      <c r="CH83">
        <f ca="1">OFFSET(Objects!$HW$6,CH$1+(Objects!$Y$4-$A83-1)*Objects!$X$4,0)</f>
        <v>0</v>
      </c>
      <c r="CI83">
        <f ca="1">OFFSET(Objects!$HW$6,CI$1+(Objects!$Y$4-$A83-1)*Objects!$X$4,0)</f>
        <v>0</v>
      </c>
      <c r="CJ83">
        <f ca="1">OFFSET(Objects!$HW$6,CJ$1+(Objects!$Y$4-$A83-1)*Objects!$X$4,0)</f>
        <v>0</v>
      </c>
      <c r="CK83">
        <f ca="1">OFFSET(Objects!$HW$6,CK$1+(Objects!$Y$4-$A83-1)*Objects!$X$4,0)</f>
        <v>0</v>
      </c>
      <c r="CL83">
        <f ca="1">OFFSET(Objects!$HW$6,CL$1+(Objects!$Y$4-$A83-1)*Objects!$X$4,0)</f>
        <v>0</v>
      </c>
      <c r="CM83">
        <f ca="1">OFFSET(Objects!$HW$6,CM$1+(Objects!$Y$4-$A83-1)*Objects!$X$4,0)</f>
        <v>0</v>
      </c>
      <c r="CN83">
        <f ca="1">OFFSET(Objects!$HW$6,CN$1+(Objects!$Y$4-$A83-1)*Objects!$X$4,0)</f>
        <v>0</v>
      </c>
      <c r="CO83">
        <f ca="1">OFFSET(Objects!$HW$6,CO$1+(Objects!$Y$4-$A83-1)*Objects!$X$4,0)</f>
        <v>0</v>
      </c>
      <c r="CP83">
        <f ca="1">OFFSET(Objects!$HW$6,CP$1+(Objects!$Y$4-$A83-1)*Objects!$X$4,0)</f>
        <v>0</v>
      </c>
      <c r="CQ83">
        <f ca="1">OFFSET(Objects!$HW$6,CQ$1+(Objects!$Y$4-$A83-1)*Objects!$X$4,0)</f>
        <v>0</v>
      </c>
      <c r="CR83">
        <f ca="1">OFFSET(Objects!$HW$6,CR$1+(Objects!$Y$4-$A83-1)*Objects!$X$4,0)</f>
        <v>0</v>
      </c>
      <c r="CS83">
        <f ca="1">OFFSET(Objects!$HW$6,CS$1+(Objects!$Y$4-$A83-1)*Objects!$X$4,0)</f>
        <v>0</v>
      </c>
      <c r="CT83">
        <f ca="1">OFFSET(Objects!$HW$6,CT$1+(Objects!$Y$4-$A83-1)*Objects!$X$4,0)</f>
        <v>0</v>
      </c>
      <c r="CU83">
        <f ca="1">OFFSET(Objects!$HW$6,CU$1+(Objects!$Y$4-$A83-1)*Objects!$X$4,0)</f>
        <v>0</v>
      </c>
      <c r="CV83">
        <f ca="1">OFFSET(Objects!$HW$6,CV$1+(Objects!$Y$4-$A83-1)*Objects!$X$4,0)</f>
        <v>0</v>
      </c>
      <c r="CW83">
        <f ca="1">OFFSET(Objects!$HW$6,CW$1+(Objects!$Y$4-$A83-1)*Objects!$X$4,0)</f>
        <v>0</v>
      </c>
      <c r="CX83">
        <f ca="1">OFFSET(Objects!$HW$6,CX$1+(Objects!$Y$4-$A83-1)*Objects!$X$4,0)</f>
        <v>0</v>
      </c>
      <c r="CY83">
        <f ca="1">OFFSET(Objects!$HW$6,CY$1+(Objects!$Y$4-$A83-1)*Objects!$X$4,0)</f>
        <v>0</v>
      </c>
      <c r="CZ83">
        <f ca="1">OFFSET(Objects!$HW$6,CZ$1+(Objects!$Y$4-$A83-1)*Objects!$X$4,0)</f>
        <v>0</v>
      </c>
      <c r="DA83">
        <f ca="1">OFFSET(Objects!$HW$6,DA$1+(Objects!$Y$4-$A83-1)*Objects!$X$4,0)</f>
        <v>0</v>
      </c>
      <c r="DB83">
        <f ca="1">OFFSET(Objects!$HW$6,DB$1+(Objects!$Y$4-$A83-1)*Objects!$X$4,0)</f>
        <v>0</v>
      </c>
      <c r="DC83">
        <f ca="1">OFFSET(Objects!$HW$6,DC$1+(Objects!$Y$4-$A83-1)*Objects!$X$4,0)</f>
        <v>0</v>
      </c>
      <c r="DD83">
        <f ca="1">OFFSET(Objects!$HW$6,DD$1+(Objects!$Y$4-$A83-1)*Objects!$X$4,0)</f>
        <v>0</v>
      </c>
      <c r="DE83">
        <f ca="1">OFFSET(Objects!$HW$6,DE$1+(Objects!$Y$4-$A83-1)*Objects!$X$4,0)</f>
        <v>0</v>
      </c>
      <c r="DF83">
        <f ca="1">OFFSET(Objects!$HW$6,DF$1+(Objects!$Y$4-$A83-1)*Objects!$X$4,0)</f>
        <v>0</v>
      </c>
      <c r="DG83">
        <f ca="1">OFFSET(Objects!$HW$6,DG$1+(Objects!$Y$4-$A83-1)*Objects!$X$4,0)</f>
        <v>0</v>
      </c>
      <c r="DH83">
        <f ca="1">OFFSET(Objects!$HW$6,DH$1+(Objects!$Y$4-$A83-1)*Objects!$X$4,0)</f>
        <v>0</v>
      </c>
      <c r="DI83">
        <f ca="1">OFFSET(Objects!$HW$6,DI$1+(Objects!$Y$4-$A83-1)*Objects!$X$4,0)</f>
        <v>0</v>
      </c>
      <c r="DJ83">
        <f ca="1">OFFSET(Objects!$HW$6,DJ$1+(Objects!$Y$4-$A83-1)*Objects!$X$4,0)</f>
        <v>0</v>
      </c>
      <c r="DK83">
        <f ca="1">OFFSET(Objects!$HW$6,DK$1+(Objects!$Y$4-$A83-1)*Objects!$X$4,0)</f>
        <v>0</v>
      </c>
      <c r="DL83">
        <f ca="1">OFFSET(Objects!$HW$6,DL$1+(Objects!$Y$4-$A83-1)*Objects!$X$4,0)</f>
        <v>0</v>
      </c>
      <c r="DM83">
        <f ca="1">OFFSET(Objects!$HW$6,DM$1+(Objects!$Y$4-$A83-1)*Objects!$X$4,0)</f>
        <v>0</v>
      </c>
      <c r="DN83">
        <f ca="1">OFFSET(Objects!$HW$6,DN$1+(Objects!$Y$4-$A83-1)*Objects!$X$4,0)</f>
        <v>0</v>
      </c>
      <c r="DO83">
        <f ca="1">OFFSET(Objects!$HW$6,DO$1+(Objects!$Y$4-$A83-1)*Objects!$X$4,0)</f>
        <v>0</v>
      </c>
      <c r="DP83">
        <f ca="1">OFFSET(Objects!$HW$6,DP$1+(Objects!$Y$4-$A83-1)*Objects!$X$4,0)</f>
        <v>0</v>
      </c>
      <c r="DQ83">
        <f ca="1">OFFSET(Objects!$HW$6,DQ$1+(Objects!$Y$4-$A83-1)*Objects!$X$4,0)</f>
        <v>0</v>
      </c>
      <c r="DR83">
        <f ca="1">OFFSET(Objects!$HW$6,DR$1+(Objects!$Y$4-$A83-1)*Objects!$X$4,0)</f>
        <v>0</v>
      </c>
      <c r="DS83">
        <f ca="1">OFFSET(Objects!$HW$6,DS$1+(Objects!$Y$4-$A83-1)*Objects!$X$4,0)</f>
        <v>0</v>
      </c>
      <c r="DT83">
        <f ca="1">OFFSET(Objects!$HW$6,DT$1+(Objects!$Y$4-$A83-1)*Objects!$X$4,0)</f>
        <v>0</v>
      </c>
      <c r="DU83">
        <f ca="1">OFFSET(Objects!$HW$6,DU$1+(Objects!$Y$4-$A83-1)*Objects!$X$4,0)</f>
        <v>0</v>
      </c>
      <c r="DV83">
        <f ca="1">OFFSET(Objects!$HW$6,DV$1+(Objects!$Y$4-$A83-1)*Objects!$X$4,0)</f>
        <v>0</v>
      </c>
      <c r="DW83">
        <f ca="1">OFFSET(Objects!$HW$6,DW$1+(Objects!$Y$4-$A83-1)*Objects!$X$4,0)</f>
        <v>0</v>
      </c>
      <c r="DX83">
        <f ca="1">OFFSET(Objects!$HW$6,DX$1+(Objects!$Y$4-$A83-1)*Objects!$X$4,0)</f>
        <v>0</v>
      </c>
      <c r="DY83">
        <f ca="1">OFFSET(Objects!$HW$6,DY$1+(Objects!$Y$4-$A83-1)*Objects!$X$4,0)</f>
        <v>0</v>
      </c>
      <c r="DZ83">
        <f ca="1">OFFSET(Objects!$HW$6,DZ$1+(Objects!$Y$4-$A83-1)*Objects!$X$4,0)</f>
        <v>0</v>
      </c>
      <c r="EA83">
        <f ca="1">OFFSET(Objects!$HW$6,EA$1+(Objects!$Y$4-$A83-1)*Objects!$X$4,0)</f>
        <v>0</v>
      </c>
      <c r="EB83">
        <f ca="1">OFFSET(Objects!$HW$6,EB$1+(Objects!$Y$4-$A83-1)*Objects!$X$4,0)</f>
        <v>0</v>
      </c>
      <c r="EC83">
        <f ca="1">OFFSET(Objects!$HW$6,EC$1+(Objects!$Y$4-$A83-1)*Objects!$X$4,0)</f>
        <v>0</v>
      </c>
      <c r="ED83">
        <f ca="1">OFFSET(Objects!$HW$6,ED$1+(Objects!$Y$4-$A83-1)*Objects!$X$4,0)</f>
        <v>0</v>
      </c>
      <c r="EE83">
        <f ca="1">OFFSET(Objects!$HW$6,EE$1+(Objects!$Y$4-$A83-1)*Objects!$X$4,0)</f>
        <v>0</v>
      </c>
      <c r="EF83">
        <f ca="1">OFFSET(Objects!$HW$6,EF$1+(Objects!$Y$4-$A83-1)*Objects!$X$4,0)</f>
        <v>0</v>
      </c>
      <c r="EG83">
        <f ca="1">OFFSET(Objects!$HW$6,EG$1+(Objects!$Y$4-$A83-1)*Objects!$X$4,0)</f>
        <v>0</v>
      </c>
      <c r="EH83">
        <f ca="1">OFFSET(Objects!$HW$6,EH$1+(Objects!$Y$4-$A83-1)*Objects!$X$4,0)</f>
        <v>0</v>
      </c>
      <c r="EI83">
        <f ca="1">OFFSET(Objects!$HW$6,EI$1+(Objects!$Y$4-$A83-1)*Objects!$X$4,0)</f>
        <v>0</v>
      </c>
      <c r="EJ83">
        <f ca="1">OFFSET(Objects!$HW$6,EJ$1+(Objects!$Y$4-$A83-1)*Objects!$X$4,0)</f>
        <v>0</v>
      </c>
      <c r="EK83">
        <f ca="1">OFFSET(Objects!$HW$6,EK$1+(Objects!$Y$4-$A83-1)*Objects!$X$4,0)</f>
        <v>0</v>
      </c>
      <c r="EL83">
        <f ca="1">OFFSET(Objects!$HW$6,EL$1+(Objects!$Y$4-$A83-1)*Objects!$X$4,0)</f>
        <v>0</v>
      </c>
      <c r="EM83">
        <f ca="1">OFFSET(Objects!$HW$6,EM$1+(Objects!$Y$4-$A83-1)*Objects!$X$4,0)</f>
        <v>0</v>
      </c>
      <c r="EN83">
        <f ca="1">OFFSET(Objects!$HW$6,EN$1+(Objects!$Y$4-$A83-1)*Objects!$X$4,0)</f>
        <v>0</v>
      </c>
      <c r="EO83">
        <f ca="1">OFFSET(Objects!$HW$6,EO$1+(Objects!$Y$4-$A83-1)*Objects!$X$4,0)</f>
        <v>0</v>
      </c>
      <c r="EP83">
        <f ca="1">OFFSET(Objects!$HW$6,EP$1+(Objects!$Y$4-$A83-1)*Objects!$X$4,0)</f>
        <v>0</v>
      </c>
      <c r="EQ83">
        <f ca="1">OFFSET(Objects!$HW$6,EQ$1+(Objects!$Y$4-$A83-1)*Objects!$X$4,0)</f>
        <v>0</v>
      </c>
      <c r="ER83">
        <f ca="1">OFFSET(Objects!$HW$6,ER$1+(Objects!$Y$4-$A83-1)*Objects!$X$4,0)</f>
        <v>0</v>
      </c>
      <c r="ES83">
        <f ca="1">OFFSET(Objects!$HW$6,ES$1+(Objects!$Y$4-$A83-1)*Objects!$X$4,0)</f>
        <v>0</v>
      </c>
      <c r="ET83">
        <f ca="1">OFFSET(Objects!$HW$6,ET$1+(Objects!$Y$4-$A83-1)*Objects!$X$4,0)</f>
        <v>0</v>
      </c>
      <c r="EU83">
        <f ca="1">OFFSET(Objects!$HW$6,EU$1+(Objects!$Y$4-$A83-1)*Objects!$X$4,0)</f>
        <v>0</v>
      </c>
      <c r="EV83">
        <f ca="1">OFFSET(Objects!$HW$6,EV$1+(Objects!$Y$4-$A83-1)*Objects!$X$4,0)</f>
        <v>0</v>
      </c>
      <c r="EW83">
        <f ca="1">OFFSET(Objects!$HW$6,EW$1+(Objects!$Y$4-$A83-1)*Objects!$X$4,0)</f>
        <v>0</v>
      </c>
      <c r="EX83">
        <f ca="1">OFFSET(Objects!$HW$6,EX$1+(Objects!$Y$4-$A83-1)*Objects!$X$4,0)</f>
        <v>0</v>
      </c>
      <c r="EY83">
        <f ca="1">OFFSET(Objects!$HW$6,EY$1+(Objects!$Y$4-$A83-1)*Objects!$X$4,0)</f>
        <v>0</v>
      </c>
      <c r="EZ83">
        <f ca="1">OFFSET(Objects!$HW$6,EZ$1+(Objects!$Y$4-$A83-1)*Objects!$X$4,0)</f>
        <v>0</v>
      </c>
      <c r="FA83">
        <f ca="1">OFFSET(Objects!$HW$6,FA$1+(Objects!$Y$4-$A83-1)*Objects!$X$4,0)</f>
        <v>0</v>
      </c>
      <c r="FB83">
        <f ca="1">OFFSET(Objects!$HW$6,FB$1+(Objects!$Y$4-$A83-1)*Objects!$X$4,0)</f>
        <v>0</v>
      </c>
      <c r="FC83">
        <f ca="1">OFFSET(Objects!$HW$6,FC$1+(Objects!$Y$4-$A83-1)*Objects!$X$4,0)</f>
        <v>0</v>
      </c>
      <c r="FD83">
        <f ca="1">OFFSET(Objects!$HW$6,FD$1+(Objects!$Y$4-$A83-1)*Objects!$X$4,0)</f>
        <v>0</v>
      </c>
      <c r="FE83" s="22">
        <f ca="1">OFFSET(Objects!$HW$6,FE$1+(Objects!$Y$4-$A83-1)*Objects!$X$4,0)</f>
        <v>0</v>
      </c>
    </row>
    <row r="84" spans="1:200" ht="4.5" customHeight="1" x14ac:dyDescent="0.25">
      <c r="A84">
        <v>82</v>
      </c>
      <c r="B84" s="21">
        <f ca="1">OFFSET(Objects!$HW$6,B$1+(Objects!$Y$4-$A84-1)*Objects!$X$4,0)</f>
        <v>0</v>
      </c>
      <c r="C84">
        <f ca="1">OFFSET(Objects!$HW$6,C$1+(Objects!$Y$4-$A84-1)*Objects!$X$4,0)</f>
        <v>0</v>
      </c>
      <c r="D84">
        <f ca="1">OFFSET(Objects!$HW$6,D$1+(Objects!$Y$4-$A84-1)*Objects!$X$4,0)</f>
        <v>0</v>
      </c>
      <c r="E84">
        <f ca="1">OFFSET(Objects!$HW$6,E$1+(Objects!$Y$4-$A84-1)*Objects!$X$4,0)</f>
        <v>0</v>
      </c>
      <c r="F84">
        <f ca="1">OFFSET(Objects!$HW$6,F$1+(Objects!$Y$4-$A84-1)*Objects!$X$4,0)</f>
        <v>0</v>
      </c>
      <c r="G84">
        <f ca="1">OFFSET(Objects!$HW$6,G$1+(Objects!$Y$4-$A84-1)*Objects!$X$4,0)</f>
        <v>0</v>
      </c>
      <c r="H84">
        <f ca="1">OFFSET(Objects!$HW$6,H$1+(Objects!$Y$4-$A84-1)*Objects!$X$4,0)</f>
        <v>0</v>
      </c>
      <c r="I84">
        <f ca="1">OFFSET(Objects!$HW$6,I$1+(Objects!$Y$4-$A84-1)*Objects!$X$4,0)</f>
        <v>0</v>
      </c>
      <c r="J84">
        <f ca="1">OFFSET(Objects!$HW$6,J$1+(Objects!$Y$4-$A84-1)*Objects!$X$4,0)</f>
        <v>0</v>
      </c>
      <c r="K84">
        <f ca="1">OFFSET(Objects!$HW$6,K$1+(Objects!$Y$4-$A84-1)*Objects!$X$4,0)</f>
        <v>0</v>
      </c>
      <c r="L84">
        <f ca="1">OFFSET(Objects!$HW$6,L$1+(Objects!$Y$4-$A84-1)*Objects!$X$4,0)</f>
        <v>0</v>
      </c>
      <c r="M84">
        <f ca="1">OFFSET(Objects!$HW$6,M$1+(Objects!$Y$4-$A84-1)*Objects!$X$4,0)</f>
        <v>0</v>
      </c>
      <c r="N84">
        <f ca="1">OFFSET(Objects!$HW$6,N$1+(Objects!$Y$4-$A84-1)*Objects!$X$4,0)</f>
        <v>0</v>
      </c>
      <c r="O84">
        <f ca="1">OFFSET(Objects!$HW$6,O$1+(Objects!$Y$4-$A84-1)*Objects!$X$4,0)</f>
        <v>0</v>
      </c>
      <c r="P84">
        <f ca="1">OFFSET(Objects!$HW$6,P$1+(Objects!$Y$4-$A84-1)*Objects!$X$4,0)</f>
        <v>0</v>
      </c>
      <c r="Q84">
        <f ca="1">OFFSET(Objects!$HW$6,Q$1+(Objects!$Y$4-$A84-1)*Objects!$X$4,0)</f>
        <v>0</v>
      </c>
      <c r="R84">
        <f ca="1">OFFSET(Objects!$HW$6,R$1+(Objects!$Y$4-$A84-1)*Objects!$X$4,0)</f>
        <v>0</v>
      </c>
      <c r="S84">
        <f ca="1">OFFSET(Objects!$HW$6,S$1+(Objects!$Y$4-$A84-1)*Objects!$X$4,0)</f>
        <v>0</v>
      </c>
      <c r="T84">
        <f ca="1">OFFSET(Objects!$HW$6,T$1+(Objects!$Y$4-$A84-1)*Objects!$X$4,0)</f>
        <v>0</v>
      </c>
      <c r="U84">
        <f ca="1">OFFSET(Objects!$HW$6,U$1+(Objects!$Y$4-$A84-1)*Objects!$X$4,0)</f>
        <v>0</v>
      </c>
      <c r="V84">
        <f ca="1">OFFSET(Objects!$HW$6,V$1+(Objects!$Y$4-$A84-1)*Objects!$X$4,0)</f>
        <v>0</v>
      </c>
      <c r="W84">
        <f ca="1">OFFSET(Objects!$HW$6,W$1+(Objects!$Y$4-$A84-1)*Objects!$X$4,0)</f>
        <v>0</v>
      </c>
      <c r="X84">
        <f ca="1">OFFSET(Objects!$HW$6,X$1+(Objects!$Y$4-$A84-1)*Objects!$X$4,0)</f>
        <v>0</v>
      </c>
      <c r="Y84">
        <f ca="1">OFFSET(Objects!$HW$6,Y$1+(Objects!$Y$4-$A84-1)*Objects!$X$4,0)</f>
        <v>0</v>
      </c>
      <c r="Z84">
        <f ca="1">OFFSET(Objects!$HW$6,Z$1+(Objects!$Y$4-$A84-1)*Objects!$X$4,0)</f>
        <v>0</v>
      </c>
      <c r="AA84">
        <f ca="1">OFFSET(Objects!$HW$6,AA$1+(Objects!$Y$4-$A84-1)*Objects!$X$4,0)</f>
        <v>0</v>
      </c>
      <c r="AB84">
        <f ca="1">OFFSET(Objects!$HW$6,AB$1+(Objects!$Y$4-$A84-1)*Objects!$X$4,0)</f>
        <v>0</v>
      </c>
      <c r="AC84">
        <f ca="1">OFFSET(Objects!$HW$6,AC$1+(Objects!$Y$4-$A84-1)*Objects!$X$4,0)</f>
        <v>0</v>
      </c>
      <c r="AD84">
        <f ca="1">OFFSET(Objects!$HW$6,AD$1+(Objects!$Y$4-$A84-1)*Objects!$X$4,0)</f>
        <v>0</v>
      </c>
      <c r="AE84">
        <f ca="1">OFFSET(Objects!$HW$6,AE$1+(Objects!$Y$4-$A84-1)*Objects!$X$4,0)</f>
        <v>0</v>
      </c>
      <c r="AF84">
        <f ca="1">OFFSET(Objects!$HW$6,AF$1+(Objects!$Y$4-$A84-1)*Objects!$X$4,0)</f>
        <v>0</v>
      </c>
      <c r="AG84">
        <f ca="1">OFFSET(Objects!$HW$6,AG$1+(Objects!$Y$4-$A84-1)*Objects!$X$4,0)</f>
        <v>0</v>
      </c>
      <c r="AH84">
        <f ca="1">OFFSET(Objects!$HW$6,AH$1+(Objects!$Y$4-$A84-1)*Objects!$X$4,0)</f>
        <v>0</v>
      </c>
      <c r="AI84">
        <f ca="1">OFFSET(Objects!$HW$6,AI$1+(Objects!$Y$4-$A84-1)*Objects!$X$4,0)</f>
        <v>0</v>
      </c>
      <c r="AJ84">
        <f ca="1">OFFSET(Objects!$HW$6,AJ$1+(Objects!$Y$4-$A84-1)*Objects!$X$4,0)</f>
        <v>0</v>
      </c>
      <c r="AK84">
        <f ca="1">OFFSET(Objects!$HW$6,AK$1+(Objects!$Y$4-$A84-1)*Objects!$X$4,0)</f>
        <v>0</v>
      </c>
      <c r="AL84">
        <f ca="1">OFFSET(Objects!$HW$6,AL$1+(Objects!$Y$4-$A84-1)*Objects!$X$4,0)</f>
        <v>0</v>
      </c>
      <c r="AM84">
        <f ca="1">OFFSET(Objects!$HW$6,AM$1+(Objects!$Y$4-$A84-1)*Objects!$X$4,0)</f>
        <v>0</v>
      </c>
      <c r="AN84">
        <f ca="1">OFFSET(Objects!$HW$6,AN$1+(Objects!$Y$4-$A84-1)*Objects!$X$4,0)</f>
        <v>0</v>
      </c>
      <c r="AO84">
        <f ca="1">OFFSET(Objects!$HW$6,AO$1+(Objects!$Y$4-$A84-1)*Objects!$X$4,0)</f>
        <v>0</v>
      </c>
      <c r="AP84">
        <f ca="1">OFFSET(Objects!$HW$6,AP$1+(Objects!$Y$4-$A84-1)*Objects!$X$4,0)</f>
        <v>0</v>
      </c>
      <c r="AQ84">
        <f ca="1">OFFSET(Objects!$HW$6,AQ$1+(Objects!$Y$4-$A84-1)*Objects!$X$4,0)</f>
        <v>0</v>
      </c>
      <c r="AR84">
        <f ca="1">OFFSET(Objects!$HW$6,AR$1+(Objects!$Y$4-$A84-1)*Objects!$X$4,0)</f>
        <v>0</v>
      </c>
      <c r="AS84">
        <f ca="1">OFFSET(Objects!$HW$6,AS$1+(Objects!$Y$4-$A84-1)*Objects!$X$4,0)</f>
        <v>0</v>
      </c>
      <c r="AT84">
        <f ca="1">OFFSET(Objects!$HW$6,AT$1+(Objects!$Y$4-$A84-1)*Objects!$X$4,0)</f>
        <v>0</v>
      </c>
      <c r="AU84">
        <f ca="1">OFFSET(Objects!$HW$6,AU$1+(Objects!$Y$4-$A84-1)*Objects!$X$4,0)</f>
        <v>0</v>
      </c>
      <c r="AV84">
        <f ca="1">OFFSET(Objects!$HW$6,AV$1+(Objects!$Y$4-$A84-1)*Objects!$X$4,0)</f>
        <v>0</v>
      </c>
      <c r="AW84">
        <f ca="1">OFFSET(Objects!$HW$6,AW$1+(Objects!$Y$4-$A84-1)*Objects!$X$4,0)</f>
        <v>0</v>
      </c>
      <c r="AX84">
        <f ca="1">OFFSET(Objects!$HW$6,AX$1+(Objects!$Y$4-$A84-1)*Objects!$X$4,0)</f>
        <v>0</v>
      </c>
      <c r="AY84">
        <f ca="1">OFFSET(Objects!$HW$6,AY$1+(Objects!$Y$4-$A84-1)*Objects!$X$4,0)</f>
        <v>0</v>
      </c>
      <c r="AZ84">
        <f ca="1">OFFSET(Objects!$HW$6,AZ$1+(Objects!$Y$4-$A84-1)*Objects!$X$4,0)</f>
        <v>0</v>
      </c>
      <c r="BA84">
        <f ca="1">OFFSET(Objects!$HW$6,BA$1+(Objects!$Y$4-$A84-1)*Objects!$X$4,0)</f>
        <v>0</v>
      </c>
      <c r="BB84">
        <f ca="1">OFFSET(Objects!$HW$6,BB$1+(Objects!$Y$4-$A84-1)*Objects!$X$4,0)</f>
        <v>0</v>
      </c>
      <c r="BC84">
        <f ca="1">OFFSET(Objects!$HW$6,BC$1+(Objects!$Y$4-$A84-1)*Objects!$X$4,0)</f>
        <v>0</v>
      </c>
      <c r="BD84">
        <f ca="1">OFFSET(Objects!$HW$6,BD$1+(Objects!$Y$4-$A84-1)*Objects!$X$4,0)</f>
        <v>0</v>
      </c>
      <c r="BE84">
        <f ca="1">OFFSET(Objects!$HW$6,BE$1+(Objects!$Y$4-$A84-1)*Objects!$X$4,0)</f>
        <v>0</v>
      </c>
      <c r="BF84">
        <f ca="1">OFFSET(Objects!$HW$6,BF$1+(Objects!$Y$4-$A84-1)*Objects!$X$4,0)</f>
        <v>0</v>
      </c>
      <c r="BG84">
        <f ca="1">OFFSET(Objects!$HW$6,BG$1+(Objects!$Y$4-$A84-1)*Objects!$X$4,0)</f>
        <v>0</v>
      </c>
      <c r="BH84">
        <f ca="1">OFFSET(Objects!$HW$6,BH$1+(Objects!$Y$4-$A84-1)*Objects!$X$4,0)</f>
        <v>0</v>
      </c>
      <c r="BI84">
        <f ca="1">OFFSET(Objects!$HW$6,BI$1+(Objects!$Y$4-$A84-1)*Objects!$X$4,0)</f>
        <v>0</v>
      </c>
      <c r="BJ84">
        <f ca="1">OFFSET(Objects!$HW$6,BJ$1+(Objects!$Y$4-$A84-1)*Objects!$X$4,0)</f>
        <v>0</v>
      </c>
      <c r="BK84">
        <f ca="1">OFFSET(Objects!$HW$6,BK$1+(Objects!$Y$4-$A84-1)*Objects!$X$4,0)</f>
        <v>0</v>
      </c>
      <c r="BL84">
        <f ca="1">OFFSET(Objects!$HW$6,BL$1+(Objects!$Y$4-$A84-1)*Objects!$X$4,0)</f>
        <v>0</v>
      </c>
      <c r="BM84">
        <f ca="1">OFFSET(Objects!$HW$6,BM$1+(Objects!$Y$4-$A84-1)*Objects!$X$4,0)</f>
        <v>0</v>
      </c>
      <c r="BN84">
        <f ca="1">OFFSET(Objects!$HW$6,BN$1+(Objects!$Y$4-$A84-1)*Objects!$X$4,0)</f>
        <v>0</v>
      </c>
      <c r="BO84">
        <f ca="1">OFFSET(Objects!$HW$6,BO$1+(Objects!$Y$4-$A84-1)*Objects!$X$4,0)</f>
        <v>0</v>
      </c>
      <c r="BP84">
        <f ca="1">OFFSET(Objects!$HW$6,BP$1+(Objects!$Y$4-$A84-1)*Objects!$X$4,0)</f>
        <v>0</v>
      </c>
      <c r="BQ84">
        <f ca="1">OFFSET(Objects!$HW$6,BQ$1+(Objects!$Y$4-$A84-1)*Objects!$X$4,0)</f>
        <v>0</v>
      </c>
      <c r="BR84">
        <f ca="1">OFFSET(Objects!$HW$6,BR$1+(Objects!$Y$4-$A84-1)*Objects!$X$4,0)</f>
        <v>0</v>
      </c>
      <c r="BS84">
        <f ca="1">OFFSET(Objects!$HW$6,BS$1+(Objects!$Y$4-$A84-1)*Objects!$X$4,0)</f>
        <v>0</v>
      </c>
      <c r="BT84">
        <f ca="1">OFFSET(Objects!$HW$6,BT$1+(Objects!$Y$4-$A84-1)*Objects!$X$4,0)</f>
        <v>0</v>
      </c>
      <c r="BU84">
        <f ca="1">OFFSET(Objects!$HW$6,BU$1+(Objects!$Y$4-$A84-1)*Objects!$X$4,0)</f>
        <v>0</v>
      </c>
      <c r="BV84">
        <f ca="1">OFFSET(Objects!$HW$6,BV$1+(Objects!$Y$4-$A84-1)*Objects!$X$4,0)</f>
        <v>0</v>
      </c>
      <c r="BW84">
        <f ca="1">OFFSET(Objects!$HW$6,BW$1+(Objects!$Y$4-$A84-1)*Objects!$X$4,0)</f>
        <v>0</v>
      </c>
      <c r="BX84">
        <f ca="1">OFFSET(Objects!$HW$6,BX$1+(Objects!$Y$4-$A84-1)*Objects!$X$4,0)</f>
        <v>0</v>
      </c>
      <c r="BY84">
        <f ca="1">OFFSET(Objects!$HW$6,BY$1+(Objects!$Y$4-$A84-1)*Objects!$X$4,0)</f>
        <v>0</v>
      </c>
      <c r="BZ84">
        <f ca="1">OFFSET(Objects!$HW$6,BZ$1+(Objects!$Y$4-$A84-1)*Objects!$X$4,0)</f>
        <v>0</v>
      </c>
      <c r="CA84">
        <f ca="1">OFFSET(Objects!$HW$6,CA$1+(Objects!$Y$4-$A84-1)*Objects!$X$4,0)</f>
        <v>0</v>
      </c>
      <c r="CB84">
        <f ca="1">OFFSET(Objects!$HW$6,CB$1+(Objects!$Y$4-$A84-1)*Objects!$X$4,0)</f>
        <v>0</v>
      </c>
      <c r="CC84">
        <f ca="1">OFFSET(Objects!$HW$6,CC$1+(Objects!$Y$4-$A84-1)*Objects!$X$4,0)</f>
        <v>0</v>
      </c>
      <c r="CD84">
        <f ca="1">OFFSET(Objects!$HW$6,CD$1+(Objects!$Y$4-$A84-1)*Objects!$X$4,0)</f>
        <v>0</v>
      </c>
      <c r="CE84">
        <f ca="1">OFFSET(Objects!$HW$6,CE$1+(Objects!$Y$4-$A84-1)*Objects!$X$4,0)</f>
        <v>0</v>
      </c>
      <c r="CF84">
        <f ca="1">OFFSET(Objects!$HW$6,CF$1+(Objects!$Y$4-$A84-1)*Objects!$X$4,0)</f>
        <v>0</v>
      </c>
      <c r="CG84">
        <f ca="1">OFFSET(Objects!$HW$6,CG$1+(Objects!$Y$4-$A84-1)*Objects!$X$4,0)</f>
        <v>0</v>
      </c>
      <c r="CH84">
        <f ca="1">OFFSET(Objects!$HW$6,CH$1+(Objects!$Y$4-$A84-1)*Objects!$X$4,0)</f>
        <v>0</v>
      </c>
      <c r="CI84">
        <f ca="1">OFFSET(Objects!$HW$6,CI$1+(Objects!$Y$4-$A84-1)*Objects!$X$4,0)</f>
        <v>0</v>
      </c>
      <c r="CJ84">
        <f ca="1">OFFSET(Objects!$HW$6,CJ$1+(Objects!$Y$4-$A84-1)*Objects!$X$4,0)</f>
        <v>0</v>
      </c>
      <c r="CK84">
        <f ca="1">OFFSET(Objects!$HW$6,CK$1+(Objects!$Y$4-$A84-1)*Objects!$X$4,0)</f>
        <v>0</v>
      </c>
      <c r="CL84">
        <f ca="1">OFFSET(Objects!$HW$6,CL$1+(Objects!$Y$4-$A84-1)*Objects!$X$4,0)</f>
        <v>0</v>
      </c>
      <c r="CM84">
        <f ca="1">OFFSET(Objects!$HW$6,CM$1+(Objects!$Y$4-$A84-1)*Objects!$X$4,0)</f>
        <v>0</v>
      </c>
      <c r="CN84">
        <f ca="1">OFFSET(Objects!$HW$6,CN$1+(Objects!$Y$4-$A84-1)*Objects!$X$4,0)</f>
        <v>0</v>
      </c>
      <c r="CO84">
        <f ca="1">OFFSET(Objects!$HW$6,CO$1+(Objects!$Y$4-$A84-1)*Objects!$X$4,0)</f>
        <v>0</v>
      </c>
      <c r="CP84">
        <f ca="1">OFFSET(Objects!$HW$6,CP$1+(Objects!$Y$4-$A84-1)*Objects!$X$4,0)</f>
        <v>0</v>
      </c>
      <c r="CQ84">
        <f ca="1">OFFSET(Objects!$HW$6,CQ$1+(Objects!$Y$4-$A84-1)*Objects!$X$4,0)</f>
        <v>0</v>
      </c>
      <c r="CR84">
        <f ca="1">OFFSET(Objects!$HW$6,CR$1+(Objects!$Y$4-$A84-1)*Objects!$X$4,0)</f>
        <v>0</v>
      </c>
      <c r="CS84">
        <f ca="1">OFFSET(Objects!$HW$6,CS$1+(Objects!$Y$4-$A84-1)*Objects!$X$4,0)</f>
        <v>0</v>
      </c>
      <c r="CT84">
        <f ca="1">OFFSET(Objects!$HW$6,CT$1+(Objects!$Y$4-$A84-1)*Objects!$X$4,0)</f>
        <v>0</v>
      </c>
      <c r="CU84">
        <f ca="1">OFFSET(Objects!$HW$6,CU$1+(Objects!$Y$4-$A84-1)*Objects!$X$4,0)</f>
        <v>0</v>
      </c>
      <c r="CV84">
        <f ca="1">OFFSET(Objects!$HW$6,CV$1+(Objects!$Y$4-$A84-1)*Objects!$X$4,0)</f>
        <v>0</v>
      </c>
      <c r="CW84">
        <f ca="1">OFFSET(Objects!$HW$6,CW$1+(Objects!$Y$4-$A84-1)*Objects!$X$4,0)</f>
        <v>0</v>
      </c>
      <c r="CX84">
        <f ca="1">OFFSET(Objects!$HW$6,CX$1+(Objects!$Y$4-$A84-1)*Objects!$X$4,0)</f>
        <v>0</v>
      </c>
      <c r="CY84">
        <f ca="1">OFFSET(Objects!$HW$6,CY$1+(Objects!$Y$4-$A84-1)*Objects!$X$4,0)</f>
        <v>0</v>
      </c>
      <c r="CZ84">
        <f ca="1">OFFSET(Objects!$HW$6,CZ$1+(Objects!$Y$4-$A84-1)*Objects!$X$4,0)</f>
        <v>0</v>
      </c>
      <c r="DA84">
        <f ca="1">OFFSET(Objects!$HW$6,DA$1+(Objects!$Y$4-$A84-1)*Objects!$X$4,0)</f>
        <v>0</v>
      </c>
      <c r="DB84">
        <f ca="1">OFFSET(Objects!$HW$6,DB$1+(Objects!$Y$4-$A84-1)*Objects!$X$4,0)</f>
        <v>0</v>
      </c>
      <c r="DC84">
        <f ca="1">OFFSET(Objects!$HW$6,DC$1+(Objects!$Y$4-$A84-1)*Objects!$X$4,0)</f>
        <v>0</v>
      </c>
      <c r="DD84">
        <f ca="1">OFFSET(Objects!$HW$6,DD$1+(Objects!$Y$4-$A84-1)*Objects!$X$4,0)</f>
        <v>0</v>
      </c>
      <c r="DE84">
        <f ca="1">OFFSET(Objects!$HW$6,DE$1+(Objects!$Y$4-$A84-1)*Objects!$X$4,0)</f>
        <v>0</v>
      </c>
      <c r="DF84">
        <f ca="1">OFFSET(Objects!$HW$6,DF$1+(Objects!$Y$4-$A84-1)*Objects!$X$4,0)</f>
        <v>0</v>
      </c>
      <c r="DG84">
        <f ca="1">OFFSET(Objects!$HW$6,DG$1+(Objects!$Y$4-$A84-1)*Objects!$X$4,0)</f>
        <v>0</v>
      </c>
      <c r="DH84">
        <f ca="1">OFFSET(Objects!$HW$6,DH$1+(Objects!$Y$4-$A84-1)*Objects!$X$4,0)</f>
        <v>0</v>
      </c>
      <c r="DI84">
        <f ca="1">OFFSET(Objects!$HW$6,DI$1+(Objects!$Y$4-$A84-1)*Objects!$X$4,0)</f>
        <v>0</v>
      </c>
      <c r="DJ84">
        <f ca="1">OFFSET(Objects!$HW$6,DJ$1+(Objects!$Y$4-$A84-1)*Objects!$X$4,0)</f>
        <v>0</v>
      </c>
      <c r="DK84">
        <f ca="1">OFFSET(Objects!$HW$6,DK$1+(Objects!$Y$4-$A84-1)*Objects!$X$4,0)</f>
        <v>0</v>
      </c>
      <c r="DL84">
        <f ca="1">OFFSET(Objects!$HW$6,DL$1+(Objects!$Y$4-$A84-1)*Objects!$X$4,0)</f>
        <v>0</v>
      </c>
      <c r="DM84">
        <f ca="1">OFFSET(Objects!$HW$6,DM$1+(Objects!$Y$4-$A84-1)*Objects!$X$4,0)</f>
        <v>0</v>
      </c>
      <c r="DN84">
        <f ca="1">OFFSET(Objects!$HW$6,DN$1+(Objects!$Y$4-$A84-1)*Objects!$X$4,0)</f>
        <v>0</v>
      </c>
      <c r="DO84">
        <f ca="1">OFFSET(Objects!$HW$6,DO$1+(Objects!$Y$4-$A84-1)*Objects!$X$4,0)</f>
        <v>0</v>
      </c>
      <c r="DP84">
        <f ca="1">OFFSET(Objects!$HW$6,DP$1+(Objects!$Y$4-$A84-1)*Objects!$X$4,0)</f>
        <v>0</v>
      </c>
      <c r="DQ84">
        <f ca="1">OFFSET(Objects!$HW$6,DQ$1+(Objects!$Y$4-$A84-1)*Objects!$X$4,0)</f>
        <v>0</v>
      </c>
      <c r="DR84">
        <f ca="1">OFFSET(Objects!$HW$6,DR$1+(Objects!$Y$4-$A84-1)*Objects!$X$4,0)</f>
        <v>0</v>
      </c>
      <c r="DS84">
        <f ca="1">OFFSET(Objects!$HW$6,DS$1+(Objects!$Y$4-$A84-1)*Objects!$X$4,0)</f>
        <v>0</v>
      </c>
      <c r="DT84">
        <f ca="1">OFFSET(Objects!$HW$6,DT$1+(Objects!$Y$4-$A84-1)*Objects!$X$4,0)</f>
        <v>0</v>
      </c>
      <c r="DU84">
        <f ca="1">OFFSET(Objects!$HW$6,DU$1+(Objects!$Y$4-$A84-1)*Objects!$X$4,0)</f>
        <v>0</v>
      </c>
      <c r="DV84">
        <f ca="1">OFFSET(Objects!$HW$6,DV$1+(Objects!$Y$4-$A84-1)*Objects!$X$4,0)</f>
        <v>0</v>
      </c>
      <c r="DW84">
        <f ca="1">OFFSET(Objects!$HW$6,DW$1+(Objects!$Y$4-$A84-1)*Objects!$X$4,0)</f>
        <v>0</v>
      </c>
      <c r="DX84">
        <f ca="1">OFFSET(Objects!$HW$6,DX$1+(Objects!$Y$4-$A84-1)*Objects!$X$4,0)</f>
        <v>0</v>
      </c>
      <c r="DY84">
        <f ca="1">OFFSET(Objects!$HW$6,DY$1+(Objects!$Y$4-$A84-1)*Objects!$X$4,0)</f>
        <v>0</v>
      </c>
      <c r="DZ84">
        <f ca="1">OFFSET(Objects!$HW$6,DZ$1+(Objects!$Y$4-$A84-1)*Objects!$X$4,0)</f>
        <v>0</v>
      </c>
      <c r="EA84">
        <f ca="1">OFFSET(Objects!$HW$6,EA$1+(Objects!$Y$4-$A84-1)*Objects!$X$4,0)</f>
        <v>0</v>
      </c>
      <c r="EB84">
        <f ca="1">OFFSET(Objects!$HW$6,EB$1+(Objects!$Y$4-$A84-1)*Objects!$X$4,0)</f>
        <v>0</v>
      </c>
      <c r="EC84">
        <f ca="1">OFFSET(Objects!$HW$6,EC$1+(Objects!$Y$4-$A84-1)*Objects!$X$4,0)</f>
        <v>0</v>
      </c>
      <c r="ED84">
        <f ca="1">OFFSET(Objects!$HW$6,ED$1+(Objects!$Y$4-$A84-1)*Objects!$X$4,0)</f>
        <v>0</v>
      </c>
      <c r="EE84">
        <f ca="1">OFFSET(Objects!$HW$6,EE$1+(Objects!$Y$4-$A84-1)*Objects!$X$4,0)</f>
        <v>0</v>
      </c>
      <c r="EF84">
        <f ca="1">OFFSET(Objects!$HW$6,EF$1+(Objects!$Y$4-$A84-1)*Objects!$X$4,0)</f>
        <v>0</v>
      </c>
      <c r="EG84">
        <f ca="1">OFFSET(Objects!$HW$6,EG$1+(Objects!$Y$4-$A84-1)*Objects!$X$4,0)</f>
        <v>0</v>
      </c>
      <c r="EH84">
        <f ca="1">OFFSET(Objects!$HW$6,EH$1+(Objects!$Y$4-$A84-1)*Objects!$X$4,0)</f>
        <v>0</v>
      </c>
      <c r="EI84">
        <f ca="1">OFFSET(Objects!$HW$6,EI$1+(Objects!$Y$4-$A84-1)*Objects!$X$4,0)</f>
        <v>0</v>
      </c>
      <c r="EJ84">
        <f ca="1">OFFSET(Objects!$HW$6,EJ$1+(Objects!$Y$4-$A84-1)*Objects!$X$4,0)</f>
        <v>0</v>
      </c>
      <c r="EK84">
        <f ca="1">OFFSET(Objects!$HW$6,EK$1+(Objects!$Y$4-$A84-1)*Objects!$X$4,0)</f>
        <v>0</v>
      </c>
      <c r="EL84">
        <f ca="1">OFFSET(Objects!$HW$6,EL$1+(Objects!$Y$4-$A84-1)*Objects!$X$4,0)</f>
        <v>0</v>
      </c>
      <c r="EM84">
        <f ca="1">OFFSET(Objects!$HW$6,EM$1+(Objects!$Y$4-$A84-1)*Objects!$X$4,0)</f>
        <v>0</v>
      </c>
      <c r="EN84">
        <f ca="1">OFFSET(Objects!$HW$6,EN$1+(Objects!$Y$4-$A84-1)*Objects!$X$4,0)</f>
        <v>0</v>
      </c>
      <c r="EO84">
        <f ca="1">OFFSET(Objects!$HW$6,EO$1+(Objects!$Y$4-$A84-1)*Objects!$X$4,0)</f>
        <v>0</v>
      </c>
      <c r="EP84">
        <f ca="1">OFFSET(Objects!$HW$6,EP$1+(Objects!$Y$4-$A84-1)*Objects!$X$4,0)</f>
        <v>0</v>
      </c>
      <c r="EQ84">
        <f ca="1">OFFSET(Objects!$HW$6,EQ$1+(Objects!$Y$4-$A84-1)*Objects!$X$4,0)</f>
        <v>0</v>
      </c>
      <c r="ER84">
        <f ca="1">OFFSET(Objects!$HW$6,ER$1+(Objects!$Y$4-$A84-1)*Objects!$X$4,0)</f>
        <v>0</v>
      </c>
      <c r="ES84">
        <f ca="1">OFFSET(Objects!$HW$6,ES$1+(Objects!$Y$4-$A84-1)*Objects!$X$4,0)</f>
        <v>0</v>
      </c>
      <c r="ET84">
        <f ca="1">OFFSET(Objects!$HW$6,ET$1+(Objects!$Y$4-$A84-1)*Objects!$X$4,0)</f>
        <v>0</v>
      </c>
      <c r="EU84">
        <f ca="1">OFFSET(Objects!$HW$6,EU$1+(Objects!$Y$4-$A84-1)*Objects!$X$4,0)</f>
        <v>0</v>
      </c>
      <c r="EV84">
        <f ca="1">OFFSET(Objects!$HW$6,EV$1+(Objects!$Y$4-$A84-1)*Objects!$X$4,0)</f>
        <v>0</v>
      </c>
      <c r="EW84">
        <f ca="1">OFFSET(Objects!$HW$6,EW$1+(Objects!$Y$4-$A84-1)*Objects!$X$4,0)</f>
        <v>0</v>
      </c>
      <c r="EX84">
        <f ca="1">OFFSET(Objects!$HW$6,EX$1+(Objects!$Y$4-$A84-1)*Objects!$X$4,0)</f>
        <v>0</v>
      </c>
      <c r="EY84">
        <f ca="1">OFFSET(Objects!$HW$6,EY$1+(Objects!$Y$4-$A84-1)*Objects!$X$4,0)</f>
        <v>0</v>
      </c>
      <c r="EZ84">
        <f ca="1">OFFSET(Objects!$HW$6,EZ$1+(Objects!$Y$4-$A84-1)*Objects!$X$4,0)</f>
        <v>0</v>
      </c>
      <c r="FA84">
        <f ca="1">OFFSET(Objects!$HW$6,FA$1+(Objects!$Y$4-$A84-1)*Objects!$X$4,0)</f>
        <v>0</v>
      </c>
      <c r="FB84">
        <f ca="1">OFFSET(Objects!$HW$6,FB$1+(Objects!$Y$4-$A84-1)*Objects!$X$4,0)</f>
        <v>0</v>
      </c>
      <c r="FC84">
        <f ca="1">OFFSET(Objects!$HW$6,FC$1+(Objects!$Y$4-$A84-1)*Objects!$X$4,0)</f>
        <v>0</v>
      </c>
      <c r="FD84">
        <f ca="1">OFFSET(Objects!$HW$6,FD$1+(Objects!$Y$4-$A84-1)*Objects!$X$4,0)</f>
        <v>0</v>
      </c>
      <c r="FE84" s="22">
        <f ca="1">OFFSET(Objects!$HW$6,FE$1+(Objects!$Y$4-$A84-1)*Objects!$X$4,0)</f>
        <v>0</v>
      </c>
    </row>
    <row r="85" spans="1:200" ht="4.5" customHeight="1" x14ac:dyDescent="0.25">
      <c r="A85">
        <v>83</v>
      </c>
      <c r="B85" s="21">
        <f ca="1">OFFSET(Objects!$HW$6,B$1+(Objects!$Y$4-$A85-1)*Objects!$X$4,0)</f>
        <v>0</v>
      </c>
      <c r="C85">
        <f ca="1">OFFSET(Objects!$HW$6,C$1+(Objects!$Y$4-$A85-1)*Objects!$X$4,0)</f>
        <v>0</v>
      </c>
      <c r="D85">
        <f ca="1">OFFSET(Objects!$HW$6,D$1+(Objects!$Y$4-$A85-1)*Objects!$X$4,0)</f>
        <v>0</v>
      </c>
      <c r="E85">
        <f ca="1">OFFSET(Objects!$HW$6,E$1+(Objects!$Y$4-$A85-1)*Objects!$X$4,0)</f>
        <v>0</v>
      </c>
      <c r="F85">
        <f ca="1">OFFSET(Objects!$HW$6,F$1+(Objects!$Y$4-$A85-1)*Objects!$X$4,0)</f>
        <v>0</v>
      </c>
      <c r="G85">
        <f ca="1">OFFSET(Objects!$HW$6,G$1+(Objects!$Y$4-$A85-1)*Objects!$X$4,0)</f>
        <v>0</v>
      </c>
      <c r="H85">
        <f ca="1">OFFSET(Objects!$HW$6,H$1+(Objects!$Y$4-$A85-1)*Objects!$X$4,0)</f>
        <v>0</v>
      </c>
      <c r="I85">
        <f ca="1">OFFSET(Objects!$HW$6,I$1+(Objects!$Y$4-$A85-1)*Objects!$X$4,0)</f>
        <v>0</v>
      </c>
      <c r="J85">
        <f ca="1">OFFSET(Objects!$HW$6,J$1+(Objects!$Y$4-$A85-1)*Objects!$X$4,0)</f>
        <v>0</v>
      </c>
      <c r="K85">
        <f ca="1">OFFSET(Objects!$HW$6,K$1+(Objects!$Y$4-$A85-1)*Objects!$X$4,0)</f>
        <v>0</v>
      </c>
      <c r="L85">
        <f ca="1">OFFSET(Objects!$HW$6,L$1+(Objects!$Y$4-$A85-1)*Objects!$X$4,0)</f>
        <v>0</v>
      </c>
      <c r="M85">
        <f ca="1">OFFSET(Objects!$HW$6,M$1+(Objects!$Y$4-$A85-1)*Objects!$X$4,0)</f>
        <v>0</v>
      </c>
      <c r="N85">
        <f ca="1">OFFSET(Objects!$HW$6,N$1+(Objects!$Y$4-$A85-1)*Objects!$X$4,0)</f>
        <v>0</v>
      </c>
      <c r="O85">
        <f ca="1">OFFSET(Objects!$HW$6,O$1+(Objects!$Y$4-$A85-1)*Objects!$X$4,0)</f>
        <v>0</v>
      </c>
      <c r="P85">
        <f ca="1">OFFSET(Objects!$HW$6,P$1+(Objects!$Y$4-$A85-1)*Objects!$X$4,0)</f>
        <v>0</v>
      </c>
      <c r="Q85">
        <f ca="1">OFFSET(Objects!$HW$6,Q$1+(Objects!$Y$4-$A85-1)*Objects!$X$4,0)</f>
        <v>0</v>
      </c>
      <c r="R85">
        <f ca="1">OFFSET(Objects!$HW$6,R$1+(Objects!$Y$4-$A85-1)*Objects!$X$4,0)</f>
        <v>0</v>
      </c>
      <c r="S85">
        <f ca="1">OFFSET(Objects!$HW$6,S$1+(Objects!$Y$4-$A85-1)*Objects!$X$4,0)</f>
        <v>0</v>
      </c>
      <c r="T85">
        <f ca="1">OFFSET(Objects!$HW$6,T$1+(Objects!$Y$4-$A85-1)*Objects!$X$4,0)</f>
        <v>0</v>
      </c>
      <c r="U85">
        <f ca="1">OFFSET(Objects!$HW$6,U$1+(Objects!$Y$4-$A85-1)*Objects!$X$4,0)</f>
        <v>0</v>
      </c>
      <c r="V85">
        <f ca="1">OFFSET(Objects!$HW$6,V$1+(Objects!$Y$4-$A85-1)*Objects!$X$4,0)</f>
        <v>0</v>
      </c>
      <c r="W85">
        <f ca="1">OFFSET(Objects!$HW$6,W$1+(Objects!$Y$4-$A85-1)*Objects!$X$4,0)</f>
        <v>0</v>
      </c>
      <c r="X85">
        <f ca="1">OFFSET(Objects!$HW$6,X$1+(Objects!$Y$4-$A85-1)*Objects!$X$4,0)</f>
        <v>0</v>
      </c>
      <c r="Y85">
        <f ca="1">OFFSET(Objects!$HW$6,Y$1+(Objects!$Y$4-$A85-1)*Objects!$X$4,0)</f>
        <v>0</v>
      </c>
      <c r="Z85">
        <f ca="1">OFFSET(Objects!$HW$6,Z$1+(Objects!$Y$4-$A85-1)*Objects!$X$4,0)</f>
        <v>0</v>
      </c>
      <c r="AA85">
        <f ca="1">OFFSET(Objects!$HW$6,AA$1+(Objects!$Y$4-$A85-1)*Objects!$X$4,0)</f>
        <v>0</v>
      </c>
      <c r="AB85">
        <f ca="1">OFFSET(Objects!$HW$6,AB$1+(Objects!$Y$4-$A85-1)*Objects!$X$4,0)</f>
        <v>0</v>
      </c>
      <c r="AC85">
        <f ca="1">OFFSET(Objects!$HW$6,AC$1+(Objects!$Y$4-$A85-1)*Objects!$X$4,0)</f>
        <v>0</v>
      </c>
      <c r="AD85">
        <f ca="1">OFFSET(Objects!$HW$6,AD$1+(Objects!$Y$4-$A85-1)*Objects!$X$4,0)</f>
        <v>0</v>
      </c>
      <c r="AE85">
        <f ca="1">OFFSET(Objects!$HW$6,AE$1+(Objects!$Y$4-$A85-1)*Objects!$X$4,0)</f>
        <v>0</v>
      </c>
      <c r="AF85">
        <f ca="1">OFFSET(Objects!$HW$6,AF$1+(Objects!$Y$4-$A85-1)*Objects!$X$4,0)</f>
        <v>0</v>
      </c>
      <c r="AG85">
        <f ca="1">OFFSET(Objects!$HW$6,AG$1+(Objects!$Y$4-$A85-1)*Objects!$X$4,0)</f>
        <v>0</v>
      </c>
      <c r="AH85">
        <f ca="1">OFFSET(Objects!$HW$6,AH$1+(Objects!$Y$4-$A85-1)*Objects!$X$4,0)</f>
        <v>0</v>
      </c>
      <c r="AI85">
        <f ca="1">OFFSET(Objects!$HW$6,AI$1+(Objects!$Y$4-$A85-1)*Objects!$X$4,0)</f>
        <v>0</v>
      </c>
      <c r="AJ85">
        <f ca="1">OFFSET(Objects!$HW$6,AJ$1+(Objects!$Y$4-$A85-1)*Objects!$X$4,0)</f>
        <v>0</v>
      </c>
      <c r="AK85">
        <f ca="1">OFFSET(Objects!$HW$6,AK$1+(Objects!$Y$4-$A85-1)*Objects!$X$4,0)</f>
        <v>0</v>
      </c>
      <c r="AL85">
        <f ca="1">OFFSET(Objects!$HW$6,AL$1+(Objects!$Y$4-$A85-1)*Objects!$X$4,0)</f>
        <v>0</v>
      </c>
      <c r="AM85">
        <f ca="1">OFFSET(Objects!$HW$6,AM$1+(Objects!$Y$4-$A85-1)*Objects!$X$4,0)</f>
        <v>0</v>
      </c>
      <c r="AN85">
        <f ca="1">OFFSET(Objects!$HW$6,AN$1+(Objects!$Y$4-$A85-1)*Objects!$X$4,0)</f>
        <v>0</v>
      </c>
      <c r="AO85">
        <f ca="1">OFFSET(Objects!$HW$6,AO$1+(Objects!$Y$4-$A85-1)*Objects!$X$4,0)</f>
        <v>0</v>
      </c>
      <c r="AP85">
        <f ca="1">OFFSET(Objects!$HW$6,AP$1+(Objects!$Y$4-$A85-1)*Objects!$X$4,0)</f>
        <v>0</v>
      </c>
      <c r="AQ85">
        <f ca="1">OFFSET(Objects!$HW$6,AQ$1+(Objects!$Y$4-$A85-1)*Objects!$X$4,0)</f>
        <v>0</v>
      </c>
      <c r="AR85">
        <f ca="1">OFFSET(Objects!$HW$6,AR$1+(Objects!$Y$4-$A85-1)*Objects!$X$4,0)</f>
        <v>0</v>
      </c>
      <c r="AS85">
        <f ca="1">OFFSET(Objects!$HW$6,AS$1+(Objects!$Y$4-$A85-1)*Objects!$X$4,0)</f>
        <v>0</v>
      </c>
      <c r="AT85">
        <f ca="1">OFFSET(Objects!$HW$6,AT$1+(Objects!$Y$4-$A85-1)*Objects!$X$4,0)</f>
        <v>0</v>
      </c>
      <c r="AU85">
        <f ca="1">OFFSET(Objects!$HW$6,AU$1+(Objects!$Y$4-$A85-1)*Objects!$X$4,0)</f>
        <v>0</v>
      </c>
      <c r="AV85">
        <f ca="1">OFFSET(Objects!$HW$6,AV$1+(Objects!$Y$4-$A85-1)*Objects!$X$4,0)</f>
        <v>0</v>
      </c>
      <c r="AW85">
        <f ca="1">OFFSET(Objects!$HW$6,AW$1+(Objects!$Y$4-$A85-1)*Objects!$X$4,0)</f>
        <v>0</v>
      </c>
      <c r="AX85">
        <f ca="1">OFFSET(Objects!$HW$6,AX$1+(Objects!$Y$4-$A85-1)*Objects!$X$4,0)</f>
        <v>0</v>
      </c>
      <c r="AY85">
        <f ca="1">OFFSET(Objects!$HW$6,AY$1+(Objects!$Y$4-$A85-1)*Objects!$X$4,0)</f>
        <v>0</v>
      </c>
      <c r="AZ85">
        <f ca="1">OFFSET(Objects!$HW$6,AZ$1+(Objects!$Y$4-$A85-1)*Objects!$X$4,0)</f>
        <v>0</v>
      </c>
      <c r="BA85">
        <f ca="1">OFFSET(Objects!$HW$6,BA$1+(Objects!$Y$4-$A85-1)*Objects!$X$4,0)</f>
        <v>0</v>
      </c>
      <c r="BB85">
        <f ca="1">OFFSET(Objects!$HW$6,BB$1+(Objects!$Y$4-$A85-1)*Objects!$X$4,0)</f>
        <v>0</v>
      </c>
      <c r="BC85">
        <f ca="1">OFFSET(Objects!$HW$6,BC$1+(Objects!$Y$4-$A85-1)*Objects!$X$4,0)</f>
        <v>0</v>
      </c>
      <c r="BD85">
        <f ca="1">OFFSET(Objects!$HW$6,BD$1+(Objects!$Y$4-$A85-1)*Objects!$X$4,0)</f>
        <v>0</v>
      </c>
      <c r="BE85">
        <f ca="1">OFFSET(Objects!$HW$6,BE$1+(Objects!$Y$4-$A85-1)*Objects!$X$4,0)</f>
        <v>0</v>
      </c>
      <c r="BF85">
        <f ca="1">OFFSET(Objects!$HW$6,BF$1+(Objects!$Y$4-$A85-1)*Objects!$X$4,0)</f>
        <v>0</v>
      </c>
      <c r="BG85">
        <f ca="1">OFFSET(Objects!$HW$6,BG$1+(Objects!$Y$4-$A85-1)*Objects!$X$4,0)</f>
        <v>0</v>
      </c>
      <c r="BH85">
        <f ca="1">OFFSET(Objects!$HW$6,BH$1+(Objects!$Y$4-$A85-1)*Objects!$X$4,0)</f>
        <v>0</v>
      </c>
      <c r="BI85">
        <f ca="1">OFFSET(Objects!$HW$6,BI$1+(Objects!$Y$4-$A85-1)*Objects!$X$4,0)</f>
        <v>0</v>
      </c>
      <c r="BJ85">
        <f ca="1">OFFSET(Objects!$HW$6,BJ$1+(Objects!$Y$4-$A85-1)*Objects!$X$4,0)</f>
        <v>0</v>
      </c>
      <c r="BK85">
        <f ca="1">OFFSET(Objects!$HW$6,BK$1+(Objects!$Y$4-$A85-1)*Objects!$X$4,0)</f>
        <v>0</v>
      </c>
      <c r="BL85">
        <f ca="1">OFFSET(Objects!$HW$6,BL$1+(Objects!$Y$4-$A85-1)*Objects!$X$4,0)</f>
        <v>0</v>
      </c>
      <c r="BM85">
        <f ca="1">OFFSET(Objects!$HW$6,BM$1+(Objects!$Y$4-$A85-1)*Objects!$X$4,0)</f>
        <v>0</v>
      </c>
      <c r="BN85">
        <f ca="1">OFFSET(Objects!$HW$6,BN$1+(Objects!$Y$4-$A85-1)*Objects!$X$4,0)</f>
        <v>0</v>
      </c>
      <c r="BO85">
        <f ca="1">OFFSET(Objects!$HW$6,BO$1+(Objects!$Y$4-$A85-1)*Objects!$X$4,0)</f>
        <v>0</v>
      </c>
      <c r="BP85">
        <f ca="1">OFFSET(Objects!$HW$6,BP$1+(Objects!$Y$4-$A85-1)*Objects!$X$4,0)</f>
        <v>0</v>
      </c>
      <c r="BQ85">
        <f ca="1">OFFSET(Objects!$HW$6,BQ$1+(Objects!$Y$4-$A85-1)*Objects!$X$4,0)</f>
        <v>0</v>
      </c>
      <c r="BR85">
        <f ca="1">OFFSET(Objects!$HW$6,BR$1+(Objects!$Y$4-$A85-1)*Objects!$X$4,0)</f>
        <v>0</v>
      </c>
      <c r="BS85">
        <f ca="1">OFFSET(Objects!$HW$6,BS$1+(Objects!$Y$4-$A85-1)*Objects!$X$4,0)</f>
        <v>0</v>
      </c>
      <c r="BT85">
        <f ca="1">OFFSET(Objects!$HW$6,BT$1+(Objects!$Y$4-$A85-1)*Objects!$X$4,0)</f>
        <v>0</v>
      </c>
      <c r="BU85">
        <f ca="1">OFFSET(Objects!$HW$6,BU$1+(Objects!$Y$4-$A85-1)*Objects!$X$4,0)</f>
        <v>0</v>
      </c>
      <c r="BV85">
        <f ca="1">OFFSET(Objects!$HW$6,BV$1+(Objects!$Y$4-$A85-1)*Objects!$X$4,0)</f>
        <v>0</v>
      </c>
      <c r="BW85">
        <f ca="1">OFFSET(Objects!$HW$6,BW$1+(Objects!$Y$4-$A85-1)*Objects!$X$4,0)</f>
        <v>0</v>
      </c>
      <c r="BX85">
        <f ca="1">OFFSET(Objects!$HW$6,BX$1+(Objects!$Y$4-$A85-1)*Objects!$X$4,0)</f>
        <v>0</v>
      </c>
      <c r="BY85">
        <f ca="1">OFFSET(Objects!$HW$6,BY$1+(Objects!$Y$4-$A85-1)*Objects!$X$4,0)</f>
        <v>0</v>
      </c>
      <c r="BZ85">
        <f ca="1">OFFSET(Objects!$HW$6,BZ$1+(Objects!$Y$4-$A85-1)*Objects!$X$4,0)</f>
        <v>0</v>
      </c>
      <c r="CA85">
        <f ca="1">OFFSET(Objects!$HW$6,CA$1+(Objects!$Y$4-$A85-1)*Objects!$X$4,0)</f>
        <v>0</v>
      </c>
      <c r="CB85">
        <f ca="1">OFFSET(Objects!$HW$6,CB$1+(Objects!$Y$4-$A85-1)*Objects!$X$4,0)</f>
        <v>0</v>
      </c>
      <c r="CC85">
        <f ca="1">OFFSET(Objects!$HW$6,CC$1+(Objects!$Y$4-$A85-1)*Objects!$X$4,0)</f>
        <v>0</v>
      </c>
      <c r="CD85">
        <f ca="1">OFFSET(Objects!$HW$6,CD$1+(Objects!$Y$4-$A85-1)*Objects!$X$4,0)</f>
        <v>0</v>
      </c>
      <c r="CE85">
        <f ca="1">OFFSET(Objects!$HW$6,CE$1+(Objects!$Y$4-$A85-1)*Objects!$X$4,0)</f>
        <v>0</v>
      </c>
      <c r="CF85">
        <f ca="1">OFFSET(Objects!$HW$6,CF$1+(Objects!$Y$4-$A85-1)*Objects!$X$4,0)</f>
        <v>0</v>
      </c>
      <c r="CG85">
        <f ca="1">OFFSET(Objects!$HW$6,CG$1+(Objects!$Y$4-$A85-1)*Objects!$X$4,0)</f>
        <v>0</v>
      </c>
      <c r="CH85">
        <f ca="1">OFFSET(Objects!$HW$6,CH$1+(Objects!$Y$4-$A85-1)*Objects!$X$4,0)</f>
        <v>0</v>
      </c>
      <c r="CI85">
        <f ca="1">OFFSET(Objects!$HW$6,CI$1+(Objects!$Y$4-$A85-1)*Objects!$X$4,0)</f>
        <v>0</v>
      </c>
      <c r="CJ85">
        <f ca="1">OFFSET(Objects!$HW$6,CJ$1+(Objects!$Y$4-$A85-1)*Objects!$X$4,0)</f>
        <v>0</v>
      </c>
      <c r="CK85">
        <f ca="1">OFFSET(Objects!$HW$6,CK$1+(Objects!$Y$4-$A85-1)*Objects!$X$4,0)</f>
        <v>0</v>
      </c>
      <c r="CL85">
        <f ca="1">OFFSET(Objects!$HW$6,CL$1+(Objects!$Y$4-$A85-1)*Objects!$X$4,0)</f>
        <v>0</v>
      </c>
      <c r="CM85">
        <f ca="1">OFFSET(Objects!$HW$6,CM$1+(Objects!$Y$4-$A85-1)*Objects!$X$4,0)</f>
        <v>0</v>
      </c>
      <c r="CN85">
        <f ca="1">OFFSET(Objects!$HW$6,CN$1+(Objects!$Y$4-$A85-1)*Objects!$X$4,0)</f>
        <v>0</v>
      </c>
      <c r="CO85">
        <f ca="1">OFFSET(Objects!$HW$6,CO$1+(Objects!$Y$4-$A85-1)*Objects!$X$4,0)</f>
        <v>0</v>
      </c>
      <c r="CP85">
        <f ca="1">OFFSET(Objects!$HW$6,CP$1+(Objects!$Y$4-$A85-1)*Objects!$X$4,0)</f>
        <v>0</v>
      </c>
      <c r="CQ85">
        <f ca="1">OFFSET(Objects!$HW$6,CQ$1+(Objects!$Y$4-$A85-1)*Objects!$X$4,0)</f>
        <v>0</v>
      </c>
      <c r="CR85">
        <f ca="1">OFFSET(Objects!$HW$6,CR$1+(Objects!$Y$4-$A85-1)*Objects!$X$4,0)</f>
        <v>0</v>
      </c>
      <c r="CS85">
        <f ca="1">OFFSET(Objects!$HW$6,CS$1+(Objects!$Y$4-$A85-1)*Objects!$X$4,0)</f>
        <v>0</v>
      </c>
      <c r="CT85">
        <f ca="1">OFFSET(Objects!$HW$6,CT$1+(Objects!$Y$4-$A85-1)*Objects!$X$4,0)</f>
        <v>0</v>
      </c>
      <c r="CU85">
        <f ca="1">OFFSET(Objects!$HW$6,CU$1+(Objects!$Y$4-$A85-1)*Objects!$X$4,0)</f>
        <v>0</v>
      </c>
      <c r="CV85">
        <f ca="1">OFFSET(Objects!$HW$6,CV$1+(Objects!$Y$4-$A85-1)*Objects!$X$4,0)</f>
        <v>0</v>
      </c>
      <c r="CW85">
        <f ca="1">OFFSET(Objects!$HW$6,CW$1+(Objects!$Y$4-$A85-1)*Objects!$X$4,0)</f>
        <v>0</v>
      </c>
      <c r="CX85">
        <f ca="1">OFFSET(Objects!$HW$6,CX$1+(Objects!$Y$4-$A85-1)*Objects!$X$4,0)</f>
        <v>0</v>
      </c>
      <c r="CY85">
        <f ca="1">OFFSET(Objects!$HW$6,CY$1+(Objects!$Y$4-$A85-1)*Objects!$X$4,0)</f>
        <v>0</v>
      </c>
      <c r="CZ85">
        <f ca="1">OFFSET(Objects!$HW$6,CZ$1+(Objects!$Y$4-$A85-1)*Objects!$X$4,0)</f>
        <v>0</v>
      </c>
      <c r="DA85">
        <f ca="1">OFFSET(Objects!$HW$6,DA$1+(Objects!$Y$4-$A85-1)*Objects!$X$4,0)</f>
        <v>0</v>
      </c>
      <c r="DB85">
        <f ca="1">OFFSET(Objects!$HW$6,DB$1+(Objects!$Y$4-$A85-1)*Objects!$X$4,0)</f>
        <v>0</v>
      </c>
      <c r="DC85">
        <f ca="1">OFFSET(Objects!$HW$6,DC$1+(Objects!$Y$4-$A85-1)*Objects!$X$4,0)</f>
        <v>0</v>
      </c>
      <c r="DD85">
        <f ca="1">OFFSET(Objects!$HW$6,DD$1+(Objects!$Y$4-$A85-1)*Objects!$X$4,0)</f>
        <v>0</v>
      </c>
      <c r="DE85">
        <f ca="1">OFFSET(Objects!$HW$6,DE$1+(Objects!$Y$4-$A85-1)*Objects!$X$4,0)</f>
        <v>0</v>
      </c>
      <c r="DF85">
        <f ca="1">OFFSET(Objects!$HW$6,DF$1+(Objects!$Y$4-$A85-1)*Objects!$X$4,0)</f>
        <v>0</v>
      </c>
      <c r="DG85">
        <f ca="1">OFFSET(Objects!$HW$6,DG$1+(Objects!$Y$4-$A85-1)*Objects!$X$4,0)</f>
        <v>0</v>
      </c>
      <c r="DH85">
        <f ca="1">OFFSET(Objects!$HW$6,DH$1+(Objects!$Y$4-$A85-1)*Objects!$X$4,0)</f>
        <v>0</v>
      </c>
      <c r="DI85">
        <f ca="1">OFFSET(Objects!$HW$6,DI$1+(Objects!$Y$4-$A85-1)*Objects!$X$4,0)</f>
        <v>0</v>
      </c>
      <c r="DJ85">
        <f ca="1">OFFSET(Objects!$HW$6,DJ$1+(Objects!$Y$4-$A85-1)*Objects!$X$4,0)</f>
        <v>0</v>
      </c>
      <c r="DK85">
        <f ca="1">OFFSET(Objects!$HW$6,DK$1+(Objects!$Y$4-$A85-1)*Objects!$X$4,0)</f>
        <v>0</v>
      </c>
      <c r="DL85">
        <f ca="1">OFFSET(Objects!$HW$6,DL$1+(Objects!$Y$4-$A85-1)*Objects!$X$4,0)</f>
        <v>0</v>
      </c>
      <c r="DM85">
        <f ca="1">OFFSET(Objects!$HW$6,DM$1+(Objects!$Y$4-$A85-1)*Objects!$X$4,0)</f>
        <v>0</v>
      </c>
      <c r="DN85">
        <f ca="1">OFFSET(Objects!$HW$6,DN$1+(Objects!$Y$4-$A85-1)*Objects!$X$4,0)</f>
        <v>0</v>
      </c>
      <c r="DO85">
        <f ca="1">OFFSET(Objects!$HW$6,DO$1+(Objects!$Y$4-$A85-1)*Objects!$X$4,0)</f>
        <v>0</v>
      </c>
      <c r="DP85">
        <f ca="1">OFFSET(Objects!$HW$6,DP$1+(Objects!$Y$4-$A85-1)*Objects!$X$4,0)</f>
        <v>0</v>
      </c>
      <c r="DQ85">
        <f ca="1">OFFSET(Objects!$HW$6,DQ$1+(Objects!$Y$4-$A85-1)*Objects!$X$4,0)</f>
        <v>0</v>
      </c>
      <c r="DR85">
        <f ca="1">OFFSET(Objects!$HW$6,DR$1+(Objects!$Y$4-$A85-1)*Objects!$X$4,0)</f>
        <v>0</v>
      </c>
      <c r="DS85">
        <f ca="1">OFFSET(Objects!$HW$6,DS$1+(Objects!$Y$4-$A85-1)*Objects!$X$4,0)</f>
        <v>0</v>
      </c>
      <c r="DT85">
        <f ca="1">OFFSET(Objects!$HW$6,DT$1+(Objects!$Y$4-$A85-1)*Objects!$X$4,0)</f>
        <v>0</v>
      </c>
      <c r="DU85">
        <f ca="1">OFFSET(Objects!$HW$6,DU$1+(Objects!$Y$4-$A85-1)*Objects!$X$4,0)</f>
        <v>0</v>
      </c>
      <c r="DV85">
        <f ca="1">OFFSET(Objects!$HW$6,DV$1+(Objects!$Y$4-$A85-1)*Objects!$X$4,0)</f>
        <v>0</v>
      </c>
      <c r="DW85">
        <f ca="1">OFFSET(Objects!$HW$6,DW$1+(Objects!$Y$4-$A85-1)*Objects!$X$4,0)</f>
        <v>0</v>
      </c>
      <c r="DX85">
        <f ca="1">OFFSET(Objects!$HW$6,DX$1+(Objects!$Y$4-$A85-1)*Objects!$X$4,0)</f>
        <v>0</v>
      </c>
      <c r="DY85">
        <f ca="1">OFFSET(Objects!$HW$6,DY$1+(Objects!$Y$4-$A85-1)*Objects!$X$4,0)</f>
        <v>0</v>
      </c>
      <c r="DZ85">
        <f ca="1">OFFSET(Objects!$HW$6,DZ$1+(Objects!$Y$4-$A85-1)*Objects!$X$4,0)</f>
        <v>0</v>
      </c>
      <c r="EA85">
        <f ca="1">OFFSET(Objects!$HW$6,EA$1+(Objects!$Y$4-$A85-1)*Objects!$X$4,0)</f>
        <v>0</v>
      </c>
      <c r="EB85">
        <f ca="1">OFFSET(Objects!$HW$6,EB$1+(Objects!$Y$4-$A85-1)*Objects!$X$4,0)</f>
        <v>0</v>
      </c>
      <c r="EC85">
        <f ca="1">OFFSET(Objects!$HW$6,EC$1+(Objects!$Y$4-$A85-1)*Objects!$X$4,0)</f>
        <v>0</v>
      </c>
      <c r="ED85">
        <f ca="1">OFFSET(Objects!$HW$6,ED$1+(Objects!$Y$4-$A85-1)*Objects!$X$4,0)</f>
        <v>0</v>
      </c>
      <c r="EE85">
        <f ca="1">OFFSET(Objects!$HW$6,EE$1+(Objects!$Y$4-$A85-1)*Objects!$X$4,0)</f>
        <v>0</v>
      </c>
      <c r="EF85">
        <f ca="1">OFFSET(Objects!$HW$6,EF$1+(Objects!$Y$4-$A85-1)*Objects!$X$4,0)</f>
        <v>0</v>
      </c>
      <c r="EG85">
        <f ca="1">OFFSET(Objects!$HW$6,EG$1+(Objects!$Y$4-$A85-1)*Objects!$X$4,0)</f>
        <v>0</v>
      </c>
      <c r="EH85">
        <f ca="1">OFFSET(Objects!$HW$6,EH$1+(Objects!$Y$4-$A85-1)*Objects!$X$4,0)</f>
        <v>0</v>
      </c>
      <c r="EI85">
        <f ca="1">OFFSET(Objects!$HW$6,EI$1+(Objects!$Y$4-$A85-1)*Objects!$X$4,0)</f>
        <v>0</v>
      </c>
      <c r="EJ85">
        <f ca="1">OFFSET(Objects!$HW$6,EJ$1+(Objects!$Y$4-$A85-1)*Objects!$X$4,0)</f>
        <v>0</v>
      </c>
      <c r="EK85">
        <f ca="1">OFFSET(Objects!$HW$6,EK$1+(Objects!$Y$4-$A85-1)*Objects!$X$4,0)</f>
        <v>0</v>
      </c>
      <c r="EL85">
        <f ca="1">OFFSET(Objects!$HW$6,EL$1+(Objects!$Y$4-$A85-1)*Objects!$X$4,0)</f>
        <v>0</v>
      </c>
      <c r="EM85">
        <f ca="1">OFFSET(Objects!$HW$6,EM$1+(Objects!$Y$4-$A85-1)*Objects!$X$4,0)</f>
        <v>0</v>
      </c>
      <c r="EN85">
        <f ca="1">OFFSET(Objects!$HW$6,EN$1+(Objects!$Y$4-$A85-1)*Objects!$X$4,0)</f>
        <v>0</v>
      </c>
      <c r="EO85">
        <f ca="1">OFFSET(Objects!$HW$6,EO$1+(Objects!$Y$4-$A85-1)*Objects!$X$4,0)</f>
        <v>0</v>
      </c>
      <c r="EP85">
        <f ca="1">OFFSET(Objects!$HW$6,EP$1+(Objects!$Y$4-$A85-1)*Objects!$X$4,0)</f>
        <v>0</v>
      </c>
      <c r="EQ85">
        <f ca="1">OFFSET(Objects!$HW$6,EQ$1+(Objects!$Y$4-$A85-1)*Objects!$X$4,0)</f>
        <v>0</v>
      </c>
      <c r="ER85">
        <f ca="1">OFFSET(Objects!$HW$6,ER$1+(Objects!$Y$4-$A85-1)*Objects!$X$4,0)</f>
        <v>0</v>
      </c>
      <c r="ES85">
        <f ca="1">OFFSET(Objects!$HW$6,ES$1+(Objects!$Y$4-$A85-1)*Objects!$X$4,0)</f>
        <v>0</v>
      </c>
      <c r="ET85">
        <f ca="1">OFFSET(Objects!$HW$6,ET$1+(Objects!$Y$4-$A85-1)*Objects!$X$4,0)</f>
        <v>0</v>
      </c>
      <c r="EU85">
        <f ca="1">OFFSET(Objects!$HW$6,EU$1+(Objects!$Y$4-$A85-1)*Objects!$X$4,0)</f>
        <v>0</v>
      </c>
      <c r="EV85">
        <f ca="1">OFFSET(Objects!$HW$6,EV$1+(Objects!$Y$4-$A85-1)*Objects!$X$4,0)</f>
        <v>0</v>
      </c>
      <c r="EW85">
        <f ca="1">OFFSET(Objects!$HW$6,EW$1+(Objects!$Y$4-$A85-1)*Objects!$X$4,0)</f>
        <v>0</v>
      </c>
      <c r="EX85">
        <f ca="1">OFFSET(Objects!$HW$6,EX$1+(Objects!$Y$4-$A85-1)*Objects!$X$4,0)</f>
        <v>0</v>
      </c>
      <c r="EY85">
        <f ca="1">OFFSET(Objects!$HW$6,EY$1+(Objects!$Y$4-$A85-1)*Objects!$X$4,0)</f>
        <v>0</v>
      </c>
      <c r="EZ85">
        <f ca="1">OFFSET(Objects!$HW$6,EZ$1+(Objects!$Y$4-$A85-1)*Objects!$X$4,0)</f>
        <v>0</v>
      </c>
      <c r="FA85">
        <f ca="1">OFFSET(Objects!$HW$6,FA$1+(Objects!$Y$4-$A85-1)*Objects!$X$4,0)</f>
        <v>0</v>
      </c>
      <c r="FB85">
        <f ca="1">OFFSET(Objects!$HW$6,FB$1+(Objects!$Y$4-$A85-1)*Objects!$X$4,0)</f>
        <v>0</v>
      </c>
      <c r="FC85">
        <f ca="1">OFFSET(Objects!$HW$6,FC$1+(Objects!$Y$4-$A85-1)*Objects!$X$4,0)</f>
        <v>0</v>
      </c>
      <c r="FD85">
        <f ca="1">OFFSET(Objects!$HW$6,FD$1+(Objects!$Y$4-$A85-1)*Objects!$X$4,0)</f>
        <v>0</v>
      </c>
      <c r="FE85" s="22">
        <f ca="1">OFFSET(Objects!$HW$6,FE$1+(Objects!$Y$4-$A85-1)*Objects!$X$4,0)</f>
        <v>0</v>
      </c>
    </row>
    <row r="86" spans="1:200" ht="4.5" customHeight="1" x14ac:dyDescent="0.25">
      <c r="A86">
        <v>84</v>
      </c>
      <c r="B86" s="21">
        <f ca="1">OFFSET(Objects!$HW$6,B$1+(Objects!$Y$4-$A86-1)*Objects!$X$4,0)</f>
        <v>0</v>
      </c>
      <c r="C86">
        <f ca="1">OFFSET(Objects!$HW$6,C$1+(Objects!$Y$4-$A86-1)*Objects!$X$4,0)</f>
        <v>0</v>
      </c>
      <c r="D86">
        <f ca="1">OFFSET(Objects!$HW$6,D$1+(Objects!$Y$4-$A86-1)*Objects!$X$4,0)</f>
        <v>0</v>
      </c>
      <c r="E86">
        <f ca="1">OFFSET(Objects!$HW$6,E$1+(Objects!$Y$4-$A86-1)*Objects!$X$4,0)</f>
        <v>0</v>
      </c>
      <c r="F86">
        <f ca="1">OFFSET(Objects!$HW$6,F$1+(Objects!$Y$4-$A86-1)*Objects!$X$4,0)</f>
        <v>0</v>
      </c>
      <c r="G86">
        <f ca="1">OFFSET(Objects!$HW$6,G$1+(Objects!$Y$4-$A86-1)*Objects!$X$4,0)</f>
        <v>0</v>
      </c>
      <c r="H86">
        <f ca="1">OFFSET(Objects!$HW$6,H$1+(Objects!$Y$4-$A86-1)*Objects!$X$4,0)</f>
        <v>0</v>
      </c>
      <c r="I86">
        <f ca="1">OFFSET(Objects!$HW$6,I$1+(Objects!$Y$4-$A86-1)*Objects!$X$4,0)</f>
        <v>0</v>
      </c>
      <c r="J86">
        <f ca="1">OFFSET(Objects!$HW$6,J$1+(Objects!$Y$4-$A86-1)*Objects!$X$4,0)</f>
        <v>0</v>
      </c>
      <c r="K86">
        <f ca="1">OFFSET(Objects!$HW$6,K$1+(Objects!$Y$4-$A86-1)*Objects!$X$4,0)</f>
        <v>0</v>
      </c>
      <c r="L86">
        <f ca="1">OFFSET(Objects!$HW$6,L$1+(Objects!$Y$4-$A86-1)*Objects!$X$4,0)</f>
        <v>0</v>
      </c>
      <c r="M86">
        <f ca="1">OFFSET(Objects!$HW$6,M$1+(Objects!$Y$4-$A86-1)*Objects!$X$4,0)</f>
        <v>0</v>
      </c>
      <c r="N86">
        <f ca="1">OFFSET(Objects!$HW$6,N$1+(Objects!$Y$4-$A86-1)*Objects!$X$4,0)</f>
        <v>0</v>
      </c>
      <c r="O86">
        <f ca="1">OFFSET(Objects!$HW$6,O$1+(Objects!$Y$4-$A86-1)*Objects!$X$4,0)</f>
        <v>0</v>
      </c>
      <c r="P86">
        <f ca="1">OFFSET(Objects!$HW$6,P$1+(Objects!$Y$4-$A86-1)*Objects!$X$4,0)</f>
        <v>0</v>
      </c>
      <c r="Q86">
        <f ca="1">OFFSET(Objects!$HW$6,Q$1+(Objects!$Y$4-$A86-1)*Objects!$X$4,0)</f>
        <v>0</v>
      </c>
      <c r="R86">
        <f ca="1">OFFSET(Objects!$HW$6,R$1+(Objects!$Y$4-$A86-1)*Objects!$X$4,0)</f>
        <v>0</v>
      </c>
      <c r="S86">
        <f ca="1">OFFSET(Objects!$HW$6,S$1+(Objects!$Y$4-$A86-1)*Objects!$X$4,0)</f>
        <v>0</v>
      </c>
      <c r="T86">
        <f ca="1">OFFSET(Objects!$HW$6,T$1+(Objects!$Y$4-$A86-1)*Objects!$X$4,0)</f>
        <v>0</v>
      </c>
      <c r="U86">
        <f ca="1">OFFSET(Objects!$HW$6,U$1+(Objects!$Y$4-$A86-1)*Objects!$X$4,0)</f>
        <v>0</v>
      </c>
      <c r="V86">
        <f ca="1">OFFSET(Objects!$HW$6,V$1+(Objects!$Y$4-$A86-1)*Objects!$X$4,0)</f>
        <v>0</v>
      </c>
      <c r="W86">
        <f ca="1">OFFSET(Objects!$HW$6,W$1+(Objects!$Y$4-$A86-1)*Objects!$X$4,0)</f>
        <v>0</v>
      </c>
      <c r="X86">
        <f ca="1">OFFSET(Objects!$HW$6,X$1+(Objects!$Y$4-$A86-1)*Objects!$X$4,0)</f>
        <v>0</v>
      </c>
      <c r="Y86">
        <f ca="1">OFFSET(Objects!$HW$6,Y$1+(Objects!$Y$4-$A86-1)*Objects!$X$4,0)</f>
        <v>0</v>
      </c>
      <c r="Z86">
        <f ca="1">OFFSET(Objects!$HW$6,Z$1+(Objects!$Y$4-$A86-1)*Objects!$X$4,0)</f>
        <v>0</v>
      </c>
      <c r="AA86">
        <f ca="1">OFFSET(Objects!$HW$6,AA$1+(Objects!$Y$4-$A86-1)*Objects!$X$4,0)</f>
        <v>0</v>
      </c>
      <c r="AB86">
        <f ca="1">OFFSET(Objects!$HW$6,AB$1+(Objects!$Y$4-$A86-1)*Objects!$X$4,0)</f>
        <v>0</v>
      </c>
      <c r="AC86">
        <f ca="1">OFFSET(Objects!$HW$6,AC$1+(Objects!$Y$4-$A86-1)*Objects!$X$4,0)</f>
        <v>0</v>
      </c>
      <c r="AD86">
        <f ca="1">OFFSET(Objects!$HW$6,AD$1+(Objects!$Y$4-$A86-1)*Objects!$X$4,0)</f>
        <v>0</v>
      </c>
      <c r="AE86">
        <f ca="1">OFFSET(Objects!$HW$6,AE$1+(Objects!$Y$4-$A86-1)*Objects!$X$4,0)</f>
        <v>0</v>
      </c>
      <c r="AF86">
        <f ca="1">OFFSET(Objects!$HW$6,AF$1+(Objects!$Y$4-$A86-1)*Objects!$X$4,0)</f>
        <v>0</v>
      </c>
      <c r="AG86">
        <f ca="1">OFFSET(Objects!$HW$6,AG$1+(Objects!$Y$4-$A86-1)*Objects!$X$4,0)</f>
        <v>0</v>
      </c>
      <c r="AH86">
        <f ca="1">OFFSET(Objects!$HW$6,AH$1+(Objects!$Y$4-$A86-1)*Objects!$X$4,0)</f>
        <v>0</v>
      </c>
      <c r="AI86">
        <f ca="1">OFFSET(Objects!$HW$6,AI$1+(Objects!$Y$4-$A86-1)*Objects!$X$4,0)</f>
        <v>0</v>
      </c>
      <c r="AJ86">
        <f ca="1">OFFSET(Objects!$HW$6,AJ$1+(Objects!$Y$4-$A86-1)*Objects!$X$4,0)</f>
        <v>0</v>
      </c>
      <c r="AK86">
        <f ca="1">OFFSET(Objects!$HW$6,AK$1+(Objects!$Y$4-$A86-1)*Objects!$X$4,0)</f>
        <v>0</v>
      </c>
      <c r="AL86">
        <f ca="1">OFFSET(Objects!$HW$6,AL$1+(Objects!$Y$4-$A86-1)*Objects!$X$4,0)</f>
        <v>0</v>
      </c>
      <c r="AM86">
        <f ca="1">OFFSET(Objects!$HW$6,AM$1+(Objects!$Y$4-$A86-1)*Objects!$X$4,0)</f>
        <v>0</v>
      </c>
      <c r="AN86">
        <f ca="1">OFFSET(Objects!$HW$6,AN$1+(Objects!$Y$4-$A86-1)*Objects!$X$4,0)</f>
        <v>0</v>
      </c>
      <c r="AO86">
        <f ca="1">OFFSET(Objects!$HW$6,AO$1+(Objects!$Y$4-$A86-1)*Objects!$X$4,0)</f>
        <v>0</v>
      </c>
      <c r="AP86">
        <f ca="1">OFFSET(Objects!$HW$6,AP$1+(Objects!$Y$4-$A86-1)*Objects!$X$4,0)</f>
        <v>0</v>
      </c>
      <c r="AQ86">
        <f ca="1">OFFSET(Objects!$HW$6,AQ$1+(Objects!$Y$4-$A86-1)*Objects!$X$4,0)</f>
        <v>0</v>
      </c>
      <c r="AR86">
        <f ca="1">OFFSET(Objects!$HW$6,AR$1+(Objects!$Y$4-$A86-1)*Objects!$X$4,0)</f>
        <v>0</v>
      </c>
      <c r="AS86">
        <f ca="1">OFFSET(Objects!$HW$6,AS$1+(Objects!$Y$4-$A86-1)*Objects!$X$4,0)</f>
        <v>0</v>
      </c>
      <c r="AT86">
        <f ca="1">OFFSET(Objects!$HW$6,AT$1+(Objects!$Y$4-$A86-1)*Objects!$X$4,0)</f>
        <v>0</v>
      </c>
      <c r="AU86">
        <f ca="1">OFFSET(Objects!$HW$6,AU$1+(Objects!$Y$4-$A86-1)*Objects!$X$4,0)</f>
        <v>0</v>
      </c>
      <c r="AV86">
        <f ca="1">OFFSET(Objects!$HW$6,AV$1+(Objects!$Y$4-$A86-1)*Objects!$X$4,0)</f>
        <v>0</v>
      </c>
      <c r="AW86">
        <f ca="1">OFFSET(Objects!$HW$6,AW$1+(Objects!$Y$4-$A86-1)*Objects!$X$4,0)</f>
        <v>0</v>
      </c>
      <c r="AX86">
        <f ca="1">OFFSET(Objects!$HW$6,AX$1+(Objects!$Y$4-$A86-1)*Objects!$X$4,0)</f>
        <v>0</v>
      </c>
      <c r="AY86">
        <f ca="1">OFFSET(Objects!$HW$6,AY$1+(Objects!$Y$4-$A86-1)*Objects!$X$4,0)</f>
        <v>0</v>
      </c>
      <c r="AZ86">
        <f ca="1">OFFSET(Objects!$HW$6,AZ$1+(Objects!$Y$4-$A86-1)*Objects!$X$4,0)</f>
        <v>0</v>
      </c>
      <c r="BA86">
        <f ca="1">OFFSET(Objects!$HW$6,BA$1+(Objects!$Y$4-$A86-1)*Objects!$X$4,0)</f>
        <v>0</v>
      </c>
      <c r="BB86">
        <f ca="1">OFFSET(Objects!$HW$6,BB$1+(Objects!$Y$4-$A86-1)*Objects!$X$4,0)</f>
        <v>0</v>
      </c>
      <c r="BC86">
        <f ca="1">OFFSET(Objects!$HW$6,BC$1+(Objects!$Y$4-$A86-1)*Objects!$X$4,0)</f>
        <v>0</v>
      </c>
      <c r="BD86">
        <f ca="1">OFFSET(Objects!$HW$6,BD$1+(Objects!$Y$4-$A86-1)*Objects!$X$4,0)</f>
        <v>0</v>
      </c>
      <c r="BE86">
        <f ca="1">OFFSET(Objects!$HW$6,BE$1+(Objects!$Y$4-$A86-1)*Objects!$X$4,0)</f>
        <v>0</v>
      </c>
      <c r="BF86">
        <f ca="1">OFFSET(Objects!$HW$6,BF$1+(Objects!$Y$4-$A86-1)*Objects!$X$4,0)</f>
        <v>0</v>
      </c>
      <c r="BG86">
        <f ca="1">OFFSET(Objects!$HW$6,BG$1+(Objects!$Y$4-$A86-1)*Objects!$X$4,0)</f>
        <v>0</v>
      </c>
      <c r="BH86">
        <f ca="1">OFFSET(Objects!$HW$6,BH$1+(Objects!$Y$4-$A86-1)*Objects!$X$4,0)</f>
        <v>0</v>
      </c>
      <c r="BI86">
        <f ca="1">OFFSET(Objects!$HW$6,BI$1+(Objects!$Y$4-$A86-1)*Objects!$X$4,0)</f>
        <v>0</v>
      </c>
      <c r="BJ86">
        <f ca="1">OFFSET(Objects!$HW$6,BJ$1+(Objects!$Y$4-$A86-1)*Objects!$X$4,0)</f>
        <v>0</v>
      </c>
      <c r="BK86">
        <f ca="1">OFFSET(Objects!$HW$6,BK$1+(Objects!$Y$4-$A86-1)*Objects!$X$4,0)</f>
        <v>0</v>
      </c>
      <c r="BL86">
        <f ca="1">OFFSET(Objects!$HW$6,BL$1+(Objects!$Y$4-$A86-1)*Objects!$X$4,0)</f>
        <v>0</v>
      </c>
      <c r="BM86">
        <f ca="1">OFFSET(Objects!$HW$6,BM$1+(Objects!$Y$4-$A86-1)*Objects!$X$4,0)</f>
        <v>0</v>
      </c>
      <c r="BN86">
        <f ca="1">OFFSET(Objects!$HW$6,BN$1+(Objects!$Y$4-$A86-1)*Objects!$X$4,0)</f>
        <v>0</v>
      </c>
      <c r="BO86">
        <f ca="1">OFFSET(Objects!$HW$6,BO$1+(Objects!$Y$4-$A86-1)*Objects!$X$4,0)</f>
        <v>0</v>
      </c>
      <c r="BP86">
        <f ca="1">OFFSET(Objects!$HW$6,BP$1+(Objects!$Y$4-$A86-1)*Objects!$X$4,0)</f>
        <v>0</v>
      </c>
      <c r="BQ86">
        <f ca="1">OFFSET(Objects!$HW$6,BQ$1+(Objects!$Y$4-$A86-1)*Objects!$X$4,0)</f>
        <v>0</v>
      </c>
      <c r="BR86">
        <f ca="1">OFFSET(Objects!$HW$6,BR$1+(Objects!$Y$4-$A86-1)*Objects!$X$4,0)</f>
        <v>0</v>
      </c>
      <c r="BS86">
        <f ca="1">OFFSET(Objects!$HW$6,BS$1+(Objects!$Y$4-$A86-1)*Objects!$X$4,0)</f>
        <v>0</v>
      </c>
      <c r="BT86">
        <f ca="1">OFFSET(Objects!$HW$6,BT$1+(Objects!$Y$4-$A86-1)*Objects!$X$4,0)</f>
        <v>0</v>
      </c>
      <c r="BU86">
        <f ca="1">OFFSET(Objects!$HW$6,BU$1+(Objects!$Y$4-$A86-1)*Objects!$X$4,0)</f>
        <v>0</v>
      </c>
      <c r="BV86">
        <f ca="1">OFFSET(Objects!$HW$6,BV$1+(Objects!$Y$4-$A86-1)*Objects!$X$4,0)</f>
        <v>0</v>
      </c>
      <c r="BW86">
        <f ca="1">OFFSET(Objects!$HW$6,BW$1+(Objects!$Y$4-$A86-1)*Objects!$X$4,0)</f>
        <v>0</v>
      </c>
      <c r="BX86">
        <f ca="1">OFFSET(Objects!$HW$6,BX$1+(Objects!$Y$4-$A86-1)*Objects!$X$4,0)</f>
        <v>0</v>
      </c>
      <c r="BY86">
        <f ca="1">OFFSET(Objects!$HW$6,BY$1+(Objects!$Y$4-$A86-1)*Objects!$X$4,0)</f>
        <v>0</v>
      </c>
      <c r="BZ86">
        <f ca="1">OFFSET(Objects!$HW$6,BZ$1+(Objects!$Y$4-$A86-1)*Objects!$X$4,0)</f>
        <v>0</v>
      </c>
      <c r="CA86">
        <f ca="1">OFFSET(Objects!$HW$6,CA$1+(Objects!$Y$4-$A86-1)*Objects!$X$4,0)</f>
        <v>0</v>
      </c>
      <c r="CB86">
        <f ca="1">OFFSET(Objects!$HW$6,CB$1+(Objects!$Y$4-$A86-1)*Objects!$X$4,0)</f>
        <v>0</v>
      </c>
      <c r="CC86">
        <f ca="1">OFFSET(Objects!$HW$6,CC$1+(Objects!$Y$4-$A86-1)*Objects!$X$4,0)</f>
        <v>0</v>
      </c>
      <c r="CD86">
        <f ca="1">OFFSET(Objects!$HW$6,CD$1+(Objects!$Y$4-$A86-1)*Objects!$X$4,0)</f>
        <v>0</v>
      </c>
      <c r="CE86">
        <f ca="1">OFFSET(Objects!$HW$6,CE$1+(Objects!$Y$4-$A86-1)*Objects!$X$4,0)</f>
        <v>0</v>
      </c>
      <c r="CF86">
        <f ca="1">OFFSET(Objects!$HW$6,CF$1+(Objects!$Y$4-$A86-1)*Objects!$X$4,0)</f>
        <v>0</v>
      </c>
      <c r="CG86">
        <f ca="1">OFFSET(Objects!$HW$6,CG$1+(Objects!$Y$4-$A86-1)*Objects!$X$4,0)</f>
        <v>0</v>
      </c>
      <c r="CH86">
        <f ca="1">OFFSET(Objects!$HW$6,CH$1+(Objects!$Y$4-$A86-1)*Objects!$X$4,0)</f>
        <v>0</v>
      </c>
      <c r="CI86">
        <f ca="1">OFFSET(Objects!$HW$6,CI$1+(Objects!$Y$4-$A86-1)*Objects!$X$4,0)</f>
        <v>0</v>
      </c>
      <c r="CJ86">
        <f ca="1">OFFSET(Objects!$HW$6,CJ$1+(Objects!$Y$4-$A86-1)*Objects!$X$4,0)</f>
        <v>0</v>
      </c>
      <c r="CK86">
        <f ca="1">OFFSET(Objects!$HW$6,CK$1+(Objects!$Y$4-$A86-1)*Objects!$X$4,0)</f>
        <v>0</v>
      </c>
      <c r="CL86">
        <f ca="1">OFFSET(Objects!$HW$6,CL$1+(Objects!$Y$4-$A86-1)*Objects!$X$4,0)</f>
        <v>0</v>
      </c>
      <c r="CM86">
        <f ca="1">OFFSET(Objects!$HW$6,CM$1+(Objects!$Y$4-$A86-1)*Objects!$X$4,0)</f>
        <v>0</v>
      </c>
      <c r="CN86">
        <f ca="1">OFFSET(Objects!$HW$6,CN$1+(Objects!$Y$4-$A86-1)*Objects!$X$4,0)</f>
        <v>0</v>
      </c>
      <c r="CO86">
        <f ca="1">OFFSET(Objects!$HW$6,CO$1+(Objects!$Y$4-$A86-1)*Objects!$X$4,0)</f>
        <v>0</v>
      </c>
      <c r="CP86">
        <f ca="1">OFFSET(Objects!$HW$6,CP$1+(Objects!$Y$4-$A86-1)*Objects!$X$4,0)</f>
        <v>0</v>
      </c>
      <c r="CQ86">
        <f ca="1">OFFSET(Objects!$HW$6,CQ$1+(Objects!$Y$4-$A86-1)*Objects!$X$4,0)</f>
        <v>0</v>
      </c>
      <c r="CR86">
        <f ca="1">OFFSET(Objects!$HW$6,CR$1+(Objects!$Y$4-$A86-1)*Objects!$X$4,0)</f>
        <v>0</v>
      </c>
      <c r="CS86">
        <f ca="1">OFFSET(Objects!$HW$6,CS$1+(Objects!$Y$4-$A86-1)*Objects!$X$4,0)</f>
        <v>0</v>
      </c>
      <c r="CT86">
        <f ca="1">OFFSET(Objects!$HW$6,CT$1+(Objects!$Y$4-$A86-1)*Objects!$X$4,0)</f>
        <v>0</v>
      </c>
      <c r="CU86">
        <f ca="1">OFFSET(Objects!$HW$6,CU$1+(Objects!$Y$4-$A86-1)*Objects!$X$4,0)</f>
        <v>0</v>
      </c>
      <c r="CV86">
        <f ca="1">OFFSET(Objects!$HW$6,CV$1+(Objects!$Y$4-$A86-1)*Objects!$X$4,0)</f>
        <v>0</v>
      </c>
      <c r="CW86">
        <f ca="1">OFFSET(Objects!$HW$6,CW$1+(Objects!$Y$4-$A86-1)*Objects!$X$4,0)</f>
        <v>0</v>
      </c>
      <c r="CX86">
        <f ca="1">OFFSET(Objects!$HW$6,CX$1+(Objects!$Y$4-$A86-1)*Objects!$X$4,0)</f>
        <v>0</v>
      </c>
      <c r="CY86">
        <f ca="1">OFFSET(Objects!$HW$6,CY$1+(Objects!$Y$4-$A86-1)*Objects!$X$4,0)</f>
        <v>0</v>
      </c>
      <c r="CZ86">
        <f ca="1">OFFSET(Objects!$HW$6,CZ$1+(Objects!$Y$4-$A86-1)*Objects!$X$4,0)</f>
        <v>0</v>
      </c>
      <c r="DA86">
        <f ca="1">OFFSET(Objects!$HW$6,DA$1+(Objects!$Y$4-$A86-1)*Objects!$X$4,0)</f>
        <v>0</v>
      </c>
      <c r="DB86">
        <f ca="1">OFFSET(Objects!$HW$6,DB$1+(Objects!$Y$4-$A86-1)*Objects!$X$4,0)</f>
        <v>0</v>
      </c>
      <c r="DC86">
        <f ca="1">OFFSET(Objects!$HW$6,DC$1+(Objects!$Y$4-$A86-1)*Objects!$X$4,0)</f>
        <v>0</v>
      </c>
      <c r="DD86">
        <f ca="1">OFFSET(Objects!$HW$6,DD$1+(Objects!$Y$4-$A86-1)*Objects!$X$4,0)</f>
        <v>0</v>
      </c>
      <c r="DE86">
        <f ca="1">OFFSET(Objects!$HW$6,DE$1+(Objects!$Y$4-$A86-1)*Objects!$X$4,0)</f>
        <v>0</v>
      </c>
      <c r="DF86">
        <f ca="1">OFFSET(Objects!$HW$6,DF$1+(Objects!$Y$4-$A86-1)*Objects!$X$4,0)</f>
        <v>0</v>
      </c>
      <c r="DG86">
        <f ca="1">OFFSET(Objects!$HW$6,DG$1+(Objects!$Y$4-$A86-1)*Objects!$X$4,0)</f>
        <v>0</v>
      </c>
      <c r="DH86">
        <f ca="1">OFFSET(Objects!$HW$6,DH$1+(Objects!$Y$4-$A86-1)*Objects!$X$4,0)</f>
        <v>0</v>
      </c>
      <c r="DI86">
        <f ca="1">OFFSET(Objects!$HW$6,DI$1+(Objects!$Y$4-$A86-1)*Objects!$X$4,0)</f>
        <v>0</v>
      </c>
      <c r="DJ86">
        <f ca="1">OFFSET(Objects!$HW$6,DJ$1+(Objects!$Y$4-$A86-1)*Objects!$X$4,0)</f>
        <v>0</v>
      </c>
      <c r="DK86">
        <f ca="1">OFFSET(Objects!$HW$6,DK$1+(Objects!$Y$4-$A86-1)*Objects!$X$4,0)</f>
        <v>0</v>
      </c>
      <c r="DL86">
        <f ca="1">OFFSET(Objects!$HW$6,DL$1+(Objects!$Y$4-$A86-1)*Objects!$X$4,0)</f>
        <v>0</v>
      </c>
      <c r="DM86">
        <f ca="1">OFFSET(Objects!$HW$6,DM$1+(Objects!$Y$4-$A86-1)*Objects!$X$4,0)</f>
        <v>0</v>
      </c>
      <c r="DN86">
        <f ca="1">OFFSET(Objects!$HW$6,DN$1+(Objects!$Y$4-$A86-1)*Objects!$X$4,0)</f>
        <v>0</v>
      </c>
      <c r="DO86">
        <f ca="1">OFFSET(Objects!$HW$6,DO$1+(Objects!$Y$4-$A86-1)*Objects!$X$4,0)</f>
        <v>0</v>
      </c>
      <c r="DP86">
        <f ca="1">OFFSET(Objects!$HW$6,DP$1+(Objects!$Y$4-$A86-1)*Objects!$X$4,0)</f>
        <v>0</v>
      </c>
      <c r="DQ86">
        <f ca="1">OFFSET(Objects!$HW$6,DQ$1+(Objects!$Y$4-$A86-1)*Objects!$X$4,0)</f>
        <v>0</v>
      </c>
      <c r="DR86">
        <f ca="1">OFFSET(Objects!$HW$6,DR$1+(Objects!$Y$4-$A86-1)*Objects!$X$4,0)</f>
        <v>0</v>
      </c>
      <c r="DS86">
        <f ca="1">OFFSET(Objects!$HW$6,DS$1+(Objects!$Y$4-$A86-1)*Objects!$X$4,0)</f>
        <v>0</v>
      </c>
      <c r="DT86">
        <f ca="1">OFFSET(Objects!$HW$6,DT$1+(Objects!$Y$4-$A86-1)*Objects!$X$4,0)</f>
        <v>0</v>
      </c>
      <c r="DU86">
        <f ca="1">OFFSET(Objects!$HW$6,DU$1+(Objects!$Y$4-$A86-1)*Objects!$X$4,0)</f>
        <v>0</v>
      </c>
      <c r="DV86">
        <f ca="1">OFFSET(Objects!$HW$6,DV$1+(Objects!$Y$4-$A86-1)*Objects!$X$4,0)</f>
        <v>0</v>
      </c>
      <c r="DW86">
        <f ca="1">OFFSET(Objects!$HW$6,DW$1+(Objects!$Y$4-$A86-1)*Objects!$X$4,0)</f>
        <v>0</v>
      </c>
      <c r="DX86">
        <f ca="1">OFFSET(Objects!$HW$6,DX$1+(Objects!$Y$4-$A86-1)*Objects!$X$4,0)</f>
        <v>0</v>
      </c>
      <c r="DY86">
        <f ca="1">OFFSET(Objects!$HW$6,DY$1+(Objects!$Y$4-$A86-1)*Objects!$X$4,0)</f>
        <v>0</v>
      </c>
      <c r="DZ86">
        <f ca="1">OFFSET(Objects!$HW$6,DZ$1+(Objects!$Y$4-$A86-1)*Objects!$X$4,0)</f>
        <v>0</v>
      </c>
      <c r="EA86">
        <f ca="1">OFFSET(Objects!$HW$6,EA$1+(Objects!$Y$4-$A86-1)*Objects!$X$4,0)</f>
        <v>0</v>
      </c>
      <c r="EB86">
        <f ca="1">OFFSET(Objects!$HW$6,EB$1+(Objects!$Y$4-$A86-1)*Objects!$X$4,0)</f>
        <v>0</v>
      </c>
      <c r="EC86">
        <f ca="1">OFFSET(Objects!$HW$6,EC$1+(Objects!$Y$4-$A86-1)*Objects!$X$4,0)</f>
        <v>0</v>
      </c>
      <c r="ED86">
        <f ca="1">OFFSET(Objects!$HW$6,ED$1+(Objects!$Y$4-$A86-1)*Objects!$X$4,0)</f>
        <v>0</v>
      </c>
      <c r="EE86">
        <f ca="1">OFFSET(Objects!$HW$6,EE$1+(Objects!$Y$4-$A86-1)*Objects!$X$4,0)</f>
        <v>0</v>
      </c>
      <c r="EF86">
        <f ca="1">OFFSET(Objects!$HW$6,EF$1+(Objects!$Y$4-$A86-1)*Objects!$X$4,0)</f>
        <v>0</v>
      </c>
      <c r="EG86">
        <f ca="1">OFFSET(Objects!$HW$6,EG$1+(Objects!$Y$4-$A86-1)*Objects!$X$4,0)</f>
        <v>0</v>
      </c>
      <c r="EH86">
        <f ca="1">OFFSET(Objects!$HW$6,EH$1+(Objects!$Y$4-$A86-1)*Objects!$X$4,0)</f>
        <v>0</v>
      </c>
      <c r="EI86">
        <f ca="1">OFFSET(Objects!$HW$6,EI$1+(Objects!$Y$4-$A86-1)*Objects!$X$4,0)</f>
        <v>0</v>
      </c>
      <c r="EJ86">
        <f ca="1">OFFSET(Objects!$HW$6,EJ$1+(Objects!$Y$4-$A86-1)*Objects!$X$4,0)</f>
        <v>0</v>
      </c>
      <c r="EK86">
        <f ca="1">OFFSET(Objects!$HW$6,EK$1+(Objects!$Y$4-$A86-1)*Objects!$X$4,0)</f>
        <v>0</v>
      </c>
      <c r="EL86">
        <f ca="1">OFFSET(Objects!$HW$6,EL$1+(Objects!$Y$4-$A86-1)*Objects!$X$4,0)</f>
        <v>0</v>
      </c>
      <c r="EM86">
        <f ca="1">OFFSET(Objects!$HW$6,EM$1+(Objects!$Y$4-$A86-1)*Objects!$X$4,0)</f>
        <v>0</v>
      </c>
      <c r="EN86">
        <f ca="1">OFFSET(Objects!$HW$6,EN$1+(Objects!$Y$4-$A86-1)*Objects!$X$4,0)</f>
        <v>0</v>
      </c>
      <c r="EO86">
        <f ca="1">OFFSET(Objects!$HW$6,EO$1+(Objects!$Y$4-$A86-1)*Objects!$X$4,0)</f>
        <v>0</v>
      </c>
      <c r="EP86">
        <f ca="1">OFFSET(Objects!$HW$6,EP$1+(Objects!$Y$4-$A86-1)*Objects!$X$4,0)</f>
        <v>0</v>
      </c>
      <c r="EQ86">
        <f ca="1">OFFSET(Objects!$HW$6,EQ$1+(Objects!$Y$4-$A86-1)*Objects!$X$4,0)</f>
        <v>0</v>
      </c>
      <c r="ER86">
        <f ca="1">OFFSET(Objects!$HW$6,ER$1+(Objects!$Y$4-$A86-1)*Objects!$X$4,0)</f>
        <v>0</v>
      </c>
      <c r="ES86">
        <f ca="1">OFFSET(Objects!$HW$6,ES$1+(Objects!$Y$4-$A86-1)*Objects!$X$4,0)</f>
        <v>0</v>
      </c>
      <c r="ET86">
        <f ca="1">OFFSET(Objects!$HW$6,ET$1+(Objects!$Y$4-$A86-1)*Objects!$X$4,0)</f>
        <v>0</v>
      </c>
      <c r="EU86">
        <f ca="1">OFFSET(Objects!$HW$6,EU$1+(Objects!$Y$4-$A86-1)*Objects!$X$4,0)</f>
        <v>0</v>
      </c>
      <c r="EV86">
        <f ca="1">OFFSET(Objects!$HW$6,EV$1+(Objects!$Y$4-$A86-1)*Objects!$X$4,0)</f>
        <v>0</v>
      </c>
      <c r="EW86">
        <f ca="1">OFFSET(Objects!$HW$6,EW$1+(Objects!$Y$4-$A86-1)*Objects!$X$4,0)</f>
        <v>0</v>
      </c>
      <c r="EX86">
        <f ca="1">OFFSET(Objects!$HW$6,EX$1+(Objects!$Y$4-$A86-1)*Objects!$X$4,0)</f>
        <v>0</v>
      </c>
      <c r="EY86">
        <f ca="1">OFFSET(Objects!$HW$6,EY$1+(Objects!$Y$4-$A86-1)*Objects!$X$4,0)</f>
        <v>0</v>
      </c>
      <c r="EZ86">
        <f ca="1">OFFSET(Objects!$HW$6,EZ$1+(Objects!$Y$4-$A86-1)*Objects!$X$4,0)</f>
        <v>0</v>
      </c>
      <c r="FA86">
        <f ca="1">OFFSET(Objects!$HW$6,FA$1+(Objects!$Y$4-$A86-1)*Objects!$X$4,0)</f>
        <v>0</v>
      </c>
      <c r="FB86">
        <f ca="1">OFFSET(Objects!$HW$6,FB$1+(Objects!$Y$4-$A86-1)*Objects!$X$4,0)</f>
        <v>0</v>
      </c>
      <c r="FC86">
        <f ca="1">OFFSET(Objects!$HW$6,FC$1+(Objects!$Y$4-$A86-1)*Objects!$X$4,0)</f>
        <v>0</v>
      </c>
      <c r="FD86">
        <f ca="1">OFFSET(Objects!$HW$6,FD$1+(Objects!$Y$4-$A86-1)*Objects!$X$4,0)</f>
        <v>0</v>
      </c>
      <c r="FE86" s="22">
        <f ca="1">OFFSET(Objects!$HW$6,FE$1+(Objects!$Y$4-$A86-1)*Objects!$X$4,0)</f>
        <v>0</v>
      </c>
    </row>
    <row r="87" spans="1:200" ht="4.5" customHeight="1" x14ac:dyDescent="0.25">
      <c r="A87">
        <v>85</v>
      </c>
      <c r="B87" s="21">
        <f ca="1">OFFSET(Objects!$HW$6,B$1+(Objects!$Y$4-$A87-1)*Objects!$X$4,0)</f>
        <v>0</v>
      </c>
      <c r="C87">
        <f ca="1">OFFSET(Objects!$HW$6,C$1+(Objects!$Y$4-$A87-1)*Objects!$X$4,0)</f>
        <v>0</v>
      </c>
      <c r="D87">
        <f ca="1">OFFSET(Objects!$HW$6,D$1+(Objects!$Y$4-$A87-1)*Objects!$X$4,0)</f>
        <v>0</v>
      </c>
      <c r="E87">
        <f ca="1">OFFSET(Objects!$HW$6,E$1+(Objects!$Y$4-$A87-1)*Objects!$X$4,0)</f>
        <v>0</v>
      </c>
      <c r="F87">
        <f ca="1">OFFSET(Objects!$HW$6,F$1+(Objects!$Y$4-$A87-1)*Objects!$X$4,0)</f>
        <v>0</v>
      </c>
      <c r="G87">
        <f ca="1">OFFSET(Objects!$HW$6,G$1+(Objects!$Y$4-$A87-1)*Objects!$X$4,0)</f>
        <v>0</v>
      </c>
      <c r="H87">
        <f ca="1">OFFSET(Objects!$HW$6,H$1+(Objects!$Y$4-$A87-1)*Objects!$X$4,0)</f>
        <v>0</v>
      </c>
      <c r="I87">
        <f ca="1">OFFSET(Objects!$HW$6,I$1+(Objects!$Y$4-$A87-1)*Objects!$X$4,0)</f>
        <v>0</v>
      </c>
      <c r="J87">
        <f ca="1">OFFSET(Objects!$HW$6,J$1+(Objects!$Y$4-$A87-1)*Objects!$X$4,0)</f>
        <v>0</v>
      </c>
      <c r="K87">
        <f ca="1">OFFSET(Objects!$HW$6,K$1+(Objects!$Y$4-$A87-1)*Objects!$X$4,0)</f>
        <v>0</v>
      </c>
      <c r="L87">
        <f ca="1">OFFSET(Objects!$HW$6,L$1+(Objects!$Y$4-$A87-1)*Objects!$X$4,0)</f>
        <v>0</v>
      </c>
      <c r="M87">
        <f ca="1">OFFSET(Objects!$HW$6,M$1+(Objects!$Y$4-$A87-1)*Objects!$X$4,0)</f>
        <v>0</v>
      </c>
      <c r="N87">
        <f ca="1">OFFSET(Objects!$HW$6,N$1+(Objects!$Y$4-$A87-1)*Objects!$X$4,0)</f>
        <v>0</v>
      </c>
      <c r="O87">
        <f ca="1">OFFSET(Objects!$HW$6,O$1+(Objects!$Y$4-$A87-1)*Objects!$X$4,0)</f>
        <v>0</v>
      </c>
      <c r="P87">
        <f ca="1">OFFSET(Objects!$HW$6,P$1+(Objects!$Y$4-$A87-1)*Objects!$X$4,0)</f>
        <v>0</v>
      </c>
      <c r="Q87">
        <f ca="1">OFFSET(Objects!$HW$6,Q$1+(Objects!$Y$4-$A87-1)*Objects!$X$4,0)</f>
        <v>0</v>
      </c>
      <c r="R87">
        <f ca="1">OFFSET(Objects!$HW$6,R$1+(Objects!$Y$4-$A87-1)*Objects!$X$4,0)</f>
        <v>0</v>
      </c>
      <c r="S87">
        <f ca="1">OFFSET(Objects!$HW$6,S$1+(Objects!$Y$4-$A87-1)*Objects!$X$4,0)</f>
        <v>0</v>
      </c>
      <c r="T87">
        <f ca="1">OFFSET(Objects!$HW$6,T$1+(Objects!$Y$4-$A87-1)*Objects!$X$4,0)</f>
        <v>0</v>
      </c>
      <c r="U87">
        <f ca="1">OFFSET(Objects!$HW$6,U$1+(Objects!$Y$4-$A87-1)*Objects!$X$4,0)</f>
        <v>0</v>
      </c>
      <c r="V87">
        <f ca="1">OFFSET(Objects!$HW$6,V$1+(Objects!$Y$4-$A87-1)*Objects!$X$4,0)</f>
        <v>0</v>
      </c>
      <c r="W87">
        <f ca="1">OFFSET(Objects!$HW$6,W$1+(Objects!$Y$4-$A87-1)*Objects!$X$4,0)</f>
        <v>0</v>
      </c>
      <c r="X87">
        <f ca="1">OFFSET(Objects!$HW$6,X$1+(Objects!$Y$4-$A87-1)*Objects!$X$4,0)</f>
        <v>0</v>
      </c>
      <c r="Y87">
        <f ca="1">OFFSET(Objects!$HW$6,Y$1+(Objects!$Y$4-$A87-1)*Objects!$X$4,0)</f>
        <v>0</v>
      </c>
      <c r="Z87">
        <f ca="1">OFFSET(Objects!$HW$6,Z$1+(Objects!$Y$4-$A87-1)*Objects!$X$4,0)</f>
        <v>0</v>
      </c>
      <c r="AA87">
        <f ca="1">OFFSET(Objects!$HW$6,AA$1+(Objects!$Y$4-$A87-1)*Objects!$X$4,0)</f>
        <v>0</v>
      </c>
      <c r="AB87">
        <f ca="1">OFFSET(Objects!$HW$6,AB$1+(Objects!$Y$4-$A87-1)*Objects!$X$4,0)</f>
        <v>0</v>
      </c>
      <c r="AC87">
        <f ca="1">OFFSET(Objects!$HW$6,AC$1+(Objects!$Y$4-$A87-1)*Objects!$X$4,0)</f>
        <v>0</v>
      </c>
      <c r="AD87">
        <f ca="1">OFFSET(Objects!$HW$6,AD$1+(Objects!$Y$4-$A87-1)*Objects!$X$4,0)</f>
        <v>0</v>
      </c>
      <c r="AE87">
        <f ca="1">OFFSET(Objects!$HW$6,AE$1+(Objects!$Y$4-$A87-1)*Objects!$X$4,0)</f>
        <v>0</v>
      </c>
      <c r="AF87">
        <f ca="1">OFFSET(Objects!$HW$6,AF$1+(Objects!$Y$4-$A87-1)*Objects!$X$4,0)</f>
        <v>0</v>
      </c>
      <c r="AG87">
        <f ca="1">OFFSET(Objects!$HW$6,AG$1+(Objects!$Y$4-$A87-1)*Objects!$X$4,0)</f>
        <v>0</v>
      </c>
      <c r="AH87">
        <f ca="1">OFFSET(Objects!$HW$6,AH$1+(Objects!$Y$4-$A87-1)*Objects!$X$4,0)</f>
        <v>0</v>
      </c>
      <c r="AI87">
        <f ca="1">OFFSET(Objects!$HW$6,AI$1+(Objects!$Y$4-$A87-1)*Objects!$X$4,0)</f>
        <v>0</v>
      </c>
      <c r="AJ87">
        <f ca="1">OFFSET(Objects!$HW$6,AJ$1+(Objects!$Y$4-$A87-1)*Objects!$X$4,0)</f>
        <v>0</v>
      </c>
      <c r="AK87">
        <f ca="1">OFFSET(Objects!$HW$6,AK$1+(Objects!$Y$4-$A87-1)*Objects!$X$4,0)</f>
        <v>0</v>
      </c>
      <c r="AL87">
        <f ca="1">OFFSET(Objects!$HW$6,AL$1+(Objects!$Y$4-$A87-1)*Objects!$X$4,0)</f>
        <v>0</v>
      </c>
      <c r="AM87">
        <f ca="1">OFFSET(Objects!$HW$6,AM$1+(Objects!$Y$4-$A87-1)*Objects!$X$4,0)</f>
        <v>0</v>
      </c>
      <c r="AN87">
        <f ca="1">OFFSET(Objects!$HW$6,AN$1+(Objects!$Y$4-$A87-1)*Objects!$X$4,0)</f>
        <v>0</v>
      </c>
      <c r="AO87">
        <f ca="1">OFFSET(Objects!$HW$6,AO$1+(Objects!$Y$4-$A87-1)*Objects!$X$4,0)</f>
        <v>0</v>
      </c>
      <c r="AP87">
        <f ca="1">OFFSET(Objects!$HW$6,AP$1+(Objects!$Y$4-$A87-1)*Objects!$X$4,0)</f>
        <v>0</v>
      </c>
      <c r="AQ87">
        <f ca="1">OFFSET(Objects!$HW$6,AQ$1+(Objects!$Y$4-$A87-1)*Objects!$X$4,0)</f>
        <v>0</v>
      </c>
      <c r="AR87">
        <f ca="1">OFFSET(Objects!$HW$6,AR$1+(Objects!$Y$4-$A87-1)*Objects!$X$4,0)</f>
        <v>0</v>
      </c>
      <c r="AS87">
        <f ca="1">OFFSET(Objects!$HW$6,AS$1+(Objects!$Y$4-$A87-1)*Objects!$X$4,0)</f>
        <v>0</v>
      </c>
      <c r="AT87">
        <f ca="1">OFFSET(Objects!$HW$6,AT$1+(Objects!$Y$4-$A87-1)*Objects!$X$4,0)</f>
        <v>0</v>
      </c>
      <c r="AU87">
        <f ca="1">OFFSET(Objects!$HW$6,AU$1+(Objects!$Y$4-$A87-1)*Objects!$X$4,0)</f>
        <v>0</v>
      </c>
      <c r="AV87">
        <f ca="1">OFFSET(Objects!$HW$6,AV$1+(Objects!$Y$4-$A87-1)*Objects!$X$4,0)</f>
        <v>0</v>
      </c>
      <c r="AW87">
        <f ca="1">OFFSET(Objects!$HW$6,AW$1+(Objects!$Y$4-$A87-1)*Objects!$X$4,0)</f>
        <v>0</v>
      </c>
      <c r="AX87">
        <f ca="1">OFFSET(Objects!$HW$6,AX$1+(Objects!$Y$4-$A87-1)*Objects!$X$4,0)</f>
        <v>0</v>
      </c>
      <c r="AY87">
        <f ca="1">OFFSET(Objects!$HW$6,AY$1+(Objects!$Y$4-$A87-1)*Objects!$X$4,0)</f>
        <v>0</v>
      </c>
      <c r="AZ87">
        <f ca="1">OFFSET(Objects!$HW$6,AZ$1+(Objects!$Y$4-$A87-1)*Objects!$X$4,0)</f>
        <v>0</v>
      </c>
      <c r="BA87">
        <f ca="1">OFFSET(Objects!$HW$6,BA$1+(Objects!$Y$4-$A87-1)*Objects!$X$4,0)</f>
        <v>0</v>
      </c>
      <c r="BB87">
        <f ca="1">OFFSET(Objects!$HW$6,BB$1+(Objects!$Y$4-$A87-1)*Objects!$X$4,0)</f>
        <v>0</v>
      </c>
      <c r="BC87">
        <f ca="1">OFFSET(Objects!$HW$6,BC$1+(Objects!$Y$4-$A87-1)*Objects!$X$4,0)</f>
        <v>0</v>
      </c>
      <c r="BD87">
        <f ca="1">OFFSET(Objects!$HW$6,BD$1+(Objects!$Y$4-$A87-1)*Objects!$X$4,0)</f>
        <v>0</v>
      </c>
      <c r="BE87">
        <f ca="1">OFFSET(Objects!$HW$6,BE$1+(Objects!$Y$4-$A87-1)*Objects!$X$4,0)</f>
        <v>0</v>
      </c>
      <c r="BF87">
        <f ca="1">OFFSET(Objects!$HW$6,BF$1+(Objects!$Y$4-$A87-1)*Objects!$X$4,0)</f>
        <v>0</v>
      </c>
      <c r="BG87">
        <f ca="1">OFFSET(Objects!$HW$6,BG$1+(Objects!$Y$4-$A87-1)*Objects!$X$4,0)</f>
        <v>0</v>
      </c>
      <c r="BH87">
        <f ca="1">OFFSET(Objects!$HW$6,BH$1+(Objects!$Y$4-$A87-1)*Objects!$X$4,0)</f>
        <v>0</v>
      </c>
      <c r="BI87">
        <f ca="1">OFFSET(Objects!$HW$6,BI$1+(Objects!$Y$4-$A87-1)*Objects!$X$4,0)</f>
        <v>0</v>
      </c>
      <c r="BJ87">
        <f ca="1">OFFSET(Objects!$HW$6,BJ$1+(Objects!$Y$4-$A87-1)*Objects!$X$4,0)</f>
        <v>0</v>
      </c>
      <c r="BK87">
        <f ca="1">OFFSET(Objects!$HW$6,BK$1+(Objects!$Y$4-$A87-1)*Objects!$X$4,0)</f>
        <v>0</v>
      </c>
      <c r="BL87">
        <f ca="1">OFFSET(Objects!$HW$6,BL$1+(Objects!$Y$4-$A87-1)*Objects!$X$4,0)</f>
        <v>0</v>
      </c>
      <c r="BM87">
        <f ca="1">OFFSET(Objects!$HW$6,BM$1+(Objects!$Y$4-$A87-1)*Objects!$X$4,0)</f>
        <v>0</v>
      </c>
      <c r="BN87">
        <f ca="1">OFFSET(Objects!$HW$6,BN$1+(Objects!$Y$4-$A87-1)*Objects!$X$4,0)</f>
        <v>0</v>
      </c>
      <c r="BO87">
        <f ca="1">OFFSET(Objects!$HW$6,BO$1+(Objects!$Y$4-$A87-1)*Objects!$X$4,0)</f>
        <v>0</v>
      </c>
      <c r="BP87">
        <f ca="1">OFFSET(Objects!$HW$6,BP$1+(Objects!$Y$4-$A87-1)*Objects!$X$4,0)</f>
        <v>0</v>
      </c>
      <c r="BQ87">
        <f ca="1">OFFSET(Objects!$HW$6,BQ$1+(Objects!$Y$4-$A87-1)*Objects!$X$4,0)</f>
        <v>0</v>
      </c>
      <c r="BR87">
        <f ca="1">OFFSET(Objects!$HW$6,BR$1+(Objects!$Y$4-$A87-1)*Objects!$X$4,0)</f>
        <v>0</v>
      </c>
      <c r="BS87">
        <f ca="1">OFFSET(Objects!$HW$6,BS$1+(Objects!$Y$4-$A87-1)*Objects!$X$4,0)</f>
        <v>0</v>
      </c>
      <c r="BT87">
        <f ca="1">OFFSET(Objects!$HW$6,BT$1+(Objects!$Y$4-$A87-1)*Objects!$X$4,0)</f>
        <v>0</v>
      </c>
      <c r="BU87">
        <f ca="1">OFFSET(Objects!$HW$6,BU$1+(Objects!$Y$4-$A87-1)*Objects!$X$4,0)</f>
        <v>0</v>
      </c>
      <c r="BV87">
        <f ca="1">OFFSET(Objects!$HW$6,BV$1+(Objects!$Y$4-$A87-1)*Objects!$X$4,0)</f>
        <v>0</v>
      </c>
      <c r="BW87">
        <f ca="1">OFFSET(Objects!$HW$6,BW$1+(Objects!$Y$4-$A87-1)*Objects!$X$4,0)</f>
        <v>0</v>
      </c>
      <c r="BX87">
        <f ca="1">OFFSET(Objects!$HW$6,BX$1+(Objects!$Y$4-$A87-1)*Objects!$X$4,0)</f>
        <v>0</v>
      </c>
      <c r="BY87">
        <f ca="1">OFFSET(Objects!$HW$6,BY$1+(Objects!$Y$4-$A87-1)*Objects!$X$4,0)</f>
        <v>0</v>
      </c>
      <c r="BZ87">
        <f ca="1">OFFSET(Objects!$HW$6,BZ$1+(Objects!$Y$4-$A87-1)*Objects!$X$4,0)</f>
        <v>0</v>
      </c>
      <c r="CA87">
        <f ca="1">OFFSET(Objects!$HW$6,CA$1+(Objects!$Y$4-$A87-1)*Objects!$X$4,0)</f>
        <v>0</v>
      </c>
      <c r="CB87">
        <f ca="1">OFFSET(Objects!$HW$6,CB$1+(Objects!$Y$4-$A87-1)*Objects!$X$4,0)</f>
        <v>0</v>
      </c>
      <c r="CC87">
        <f ca="1">OFFSET(Objects!$HW$6,CC$1+(Objects!$Y$4-$A87-1)*Objects!$X$4,0)</f>
        <v>0</v>
      </c>
      <c r="CD87">
        <f ca="1">OFFSET(Objects!$HW$6,CD$1+(Objects!$Y$4-$A87-1)*Objects!$X$4,0)</f>
        <v>0</v>
      </c>
      <c r="CE87">
        <f ca="1">OFFSET(Objects!$HW$6,CE$1+(Objects!$Y$4-$A87-1)*Objects!$X$4,0)</f>
        <v>0</v>
      </c>
      <c r="CF87">
        <f ca="1">OFFSET(Objects!$HW$6,CF$1+(Objects!$Y$4-$A87-1)*Objects!$X$4,0)</f>
        <v>0</v>
      </c>
      <c r="CG87">
        <f ca="1">OFFSET(Objects!$HW$6,CG$1+(Objects!$Y$4-$A87-1)*Objects!$X$4,0)</f>
        <v>0</v>
      </c>
      <c r="CH87">
        <f ca="1">OFFSET(Objects!$HW$6,CH$1+(Objects!$Y$4-$A87-1)*Objects!$X$4,0)</f>
        <v>0</v>
      </c>
      <c r="CI87">
        <f ca="1">OFFSET(Objects!$HW$6,CI$1+(Objects!$Y$4-$A87-1)*Objects!$X$4,0)</f>
        <v>0</v>
      </c>
      <c r="CJ87">
        <f ca="1">OFFSET(Objects!$HW$6,CJ$1+(Objects!$Y$4-$A87-1)*Objects!$X$4,0)</f>
        <v>0</v>
      </c>
      <c r="CK87">
        <f ca="1">OFFSET(Objects!$HW$6,CK$1+(Objects!$Y$4-$A87-1)*Objects!$X$4,0)</f>
        <v>0</v>
      </c>
      <c r="CL87">
        <f ca="1">OFFSET(Objects!$HW$6,CL$1+(Objects!$Y$4-$A87-1)*Objects!$X$4,0)</f>
        <v>0</v>
      </c>
      <c r="CM87">
        <f ca="1">OFFSET(Objects!$HW$6,CM$1+(Objects!$Y$4-$A87-1)*Objects!$X$4,0)</f>
        <v>0</v>
      </c>
      <c r="CN87">
        <f ca="1">OFFSET(Objects!$HW$6,CN$1+(Objects!$Y$4-$A87-1)*Objects!$X$4,0)</f>
        <v>0</v>
      </c>
      <c r="CO87">
        <f ca="1">OFFSET(Objects!$HW$6,CO$1+(Objects!$Y$4-$A87-1)*Objects!$X$4,0)</f>
        <v>0</v>
      </c>
      <c r="CP87">
        <f ca="1">OFFSET(Objects!$HW$6,CP$1+(Objects!$Y$4-$A87-1)*Objects!$X$4,0)</f>
        <v>0</v>
      </c>
      <c r="CQ87">
        <f ca="1">OFFSET(Objects!$HW$6,CQ$1+(Objects!$Y$4-$A87-1)*Objects!$X$4,0)</f>
        <v>0</v>
      </c>
      <c r="CR87">
        <f ca="1">OFFSET(Objects!$HW$6,CR$1+(Objects!$Y$4-$A87-1)*Objects!$X$4,0)</f>
        <v>0</v>
      </c>
      <c r="CS87">
        <f ca="1">OFFSET(Objects!$HW$6,CS$1+(Objects!$Y$4-$A87-1)*Objects!$X$4,0)</f>
        <v>0</v>
      </c>
      <c r="CT87">
        <f ca="1">OFFSET(Objects!$HW$6,CT$1+(Objects!$Y$4-$A87-1)*Objects!$X$4,0)</f>
        <v>0</v>
      </c>
      <c r="CU87">
        <f ca="1">OFFSET(Objects!$HW$6,CU$1+(Objects!$Y$4-$A87-1)*Objects!$X$4,0)</f>
        <v>0</v>
      </c>
      <c r="CV87">
        <f ca="1">OFFSET(Objects!$HW$6,CV$1+(Objects!$Y$4-$A87-1)*Objects!$X$4,0)</f>
        <v>0</v>
      </c>
      <c r="CW87">
        <f ca="1">OFFSET(Objects!$HW$6,CW$1+(Objects!$Y$4-$A87-1)*Objects!$X$4,0)</f>
        <v>0</v>
      </c>
      <c r="CX87">
        <f ca="1">OFFSET(Objects!$HW$6,CX$1+(Objects!$Y$4-$A87-1)*Objects!$X$4,0)</f>
        <v>0</v>
      </c>
      <c r="CY87">
        <f ca="1">OFFSET(Objects!$HW$6,CY$1+(Objects!$Y$4-$A87-1)*Objects!$X$4,0)</f>
        <v>0</v>
      </c>
      <c r="CZ87">
        <f ca="1">OFFSET(Objects!$HW$6,CZ$1+(Objects!$Y$4-$A87-1)*Objects!$X$4,0)</f>
        <v>0</v>
      </c>
      <c r="DA87">
        <f ca="1">OFFSET(Objects!$HW$6,DA$1+(Objects!$Y$4-$A87-1)*Objects!$X$4,0)</f>
        <v>0</v>
      </c>
      <c r="DB87">
        <f ca="1">OFFSET(Objects!$HW$6,DB$1+(Objects!$Y$4-$A87-1)*Objects!$X$4,0)</f>
        <v>0</v>
      </c>
      <c r="DC87">
        <f ca="1">OFFSET(Objects!$HW$6,DC$1+(Objects!$Y$4-$A87-1)*Objects!$X$4,0)</f>
        <v>0</v>
      </c>
      <c r="DD87">
        <f ca="1">OFFSET(Objects!$HW$6,DD$1+(Objects!$Y$4-$A87-1)*Objects!$X$4,0)</f>
        <v>0</v>
      </c>
      <c r="DE87">
        <f ca="1">OFFSET(Objects!$HW$6,DE$1+(Objects!$Y$4-$A87-1)*Objects!$X$4,0)</f>
        <v>0</v>
      </c>
      <c r="DF87">
        <f ca="1">OFFSET(Objects!$HW$6,DF$1+(Objects!$Y$4-$A87-1)*Objects!$X$4,0)</f>
        <v>0</v>
      </c>
      <c r="DG87">
        <f ca="1">OFFSET(Objects!$HW$6,DG$1+(Objects!$Y$4-$A87-1)*Objects!$X$4,0)</f>
        <v>0</v>
      </c>
      <c r="DH87">
        <f ca="1">OFFSET(Objects!$HW$6,DH$1+(Objects!$Y$4-$A87-1)*Objects!$X$4,0)</f>
        <v>0</v>
      </c>
      <c r="DI87">
        <f ca="1">OFFSET(Objects!$HW$6,DI$1+(Objects!$Y$4-$A87-1)*Objects!$X$4,0)</f>
        <v>0</v>
      </c>
      <c r="DJ87">
        <f ca="1">OFFSET(Objects!$HW$6,DJ$1+(Objects!$Y$4-$A87-1)*Objects!$X$4,0)</f>
        <v>0</v>
      </c>
      <c r="DK87">
        <f ca="1">OFFSET(Objects!$HW$6,DK$1+(Objects!$Y$4-$A87-1)*Objects!$X$4,0)</f>
        <v>0</v>
      </c>
      <c r="DL87">
        <f ca="1">OFFSET(Objects!$HW$6,DL$1+(Objects!$Y$4-$A87-1)*Objects!$X$4,0)</f>
        <v>0</v>
      </c>
      <c r="DM87">
        <f ca="1">OFFSET(Objects!$HW$6,DM$1+(Objects!$Y$4-$A87-1)*Objects!$X$4,0)</f>
        <v>0</v>
      </c>
      <c r="DN87">
        <f ca="1">OFFSET(Objects!$HW$6,DN$1+(Objects!$Y$4-$A87-1)*Objects!$X$4,0)</f>
        <v>0</v>
      </c>
      <c r="DO87">
        <f ca="1">OFFSET(Objects!$HW$6,DO$1+(Objects!$Y$4-$A87-1)*Objects!$X$4,0)</f>
        <v>0</v>
      </c>
      <c r="DP87">
        <f ca="1">OFFSET(Objects!$HW$6,DP$1+(Objects!$Y$4-$A87-1)*Objects!$X$4,0)</f>
        <v>0</v>
      </c>
      <c r="DQ87">
        <f ca="1">OFFSET(Objects!$HW$6,DQ$1+(Objects!$Y$4-$A87-1)*Objects!$X$4,0)</f>
        <v>0</v>
      </c>
      <c r="DR87">
        <f ca="1">OFFSET(Objects!$HW$6,DR$1+(Objects!$Y$4-$A87-1)*Objects!$X$4,0)</f>
        <v>0</v>
      </c>
      <c r="DS87">
        <f ca="1">OFFSET(Objects!$HW$6,DS$1+(Objects!$Y$4-$A87-1)*Objects!$X$4,0)</f>
        <v>0</v>
      </c>
      <c r="DT87">
        <f ca="1">OFFSET(Objects!$HW$6,DT$1+(Objects!$Y$4-$A87-1)*Objects!$X$4,0)</f>
        <v>0</v>
      </c>
      <c r="DU87">
        <f ca="1">OFFSET(Objects!$HW$6,DU$1+(Objects!$Y$4-$A87-1)*Objects!$X$4,0)</f>
        <v>0</v>
      </c>
      <c r="DV87">
        <f ca="1">OFFSET(Objects!$HW$6,DV$1+(Objects!$Y$4-$A87-1)*Objects!$X$4,0)</f>
        <v>0</v>
      </c>
      <c r="DW87">
        <f ca="1">OFFSET(Objects!$HW$6,DW$1+(Objects!$Y$4-$A87-1)*Objects!$X$4,0)</f>
        <v>0</v>
      </c>
      <c r="DX87">
        <f ca="1">OFFSET(Objects!$HW$6,DX$1+(Objects!$Y$4-$A87-1)*Objects!$X$4,0)</f>
        <v>0</v>
      </c>
      <c r="DY87">
        <f ca="1">OFFSET(Objects!$HW$6,DY$1+(Objects!$Y$4-$A87-1)*Objects!$X$4,0)</f>
        <v>0</v>
      </c>
      <c r="DZ87">
        <f ca="1">OFFSET(Objects!$HW$6,DZ$1+(Objects!$Y$4-$A87-1)*Objects!$X$4,0)</f>
        <v>0</v>
      </c>
      <c r="EA87">
        <f ca="1">OFFSET(Objects!$HW$6,EA$1+(Objects!$Y$4-$A87-1)*Objects!$X$4,0)</f>
        <v>0</v>
      </c>
      <c r="EB87">
        <f ca="1">OFFSET(Objects!$HW$6,EB$1+(Objects!$Y$4-$A87-1)*Objects!$X$4,0)</f>
        <v>0</v>
      </c>
      <c r="EC87">
        <f ca="1">OFFSET(Objects!$HW$6,EC$1+(Objects!$Y$4-$A87-1)*Objects!$X$4,0)</f>
        <v>0</v>
      </c>
      <c r="ED87">
        <f ca="1">OFFSET(Objects!$HW$6,ED$1+(Objects!$Y$4-$A87-1)*Objects!$X$4,0)</f>
        <v>0</v>
      </c>
      <c r="EE87">
        <f ca="1">OFFSET(Objects!$HW$6,EE$1+(Objects!$Y$4-$A87-1)*Objects!$X$4,0)</f>
        <v>0</v>
      </c>
      <c r="EF87">
        <f ca="1">OFFSET(Objects!$HW$6,EF$1+(Objects!$Y$4-$A87-1)*Objects!$X$4,0)</f>
        <v>0</v>
      </c>
      <c r="EG87">
        <f ca="1">OFFSET(Objects!$HW$6,EG$1+(Objects!$Y$4-$A87-1)*Objects!$X$4,0)</f>
        <v>0</v>
      </c>
      <c r="EH87">
        <f ca="1">OFFSET(Objects!$HW$6,EH$1+(Objects!$Y$4-$A87-1)*Objects!$X$4,0)</f>
        <v>0</v>
      </c>
      <c r="EI87">
        <f ca="1">OFFSET(Objects!$HW$6,EI$1+(Objects!$Y$4-$A87-1)*Objects!$X$4,0)</f>
        <v>0</v>
      </c>
      <c r="EJ87">
        <f ca="1">OFFSET(Objects!$HW$6,EJ$1+(Objects!$Y$4-$A87-1)*Objects!$X$4,0)</f>
        <v>0</v>
      </c>
      <c r="EK87">
        <f ca="1">OFFSET(Objects!$HW$6,EK$1+(Objects!$Y$4-$A87-1)*Objects!$X$4,0)</f>
        <v>0</v>
      </c>
      <c r="EL87">
        <f ca="1">OFFSET(Objects!$HW$6,EL$1+(Objects!$Y$4-$A87-1)*Objects!$X$4,0)</f>
        <v>0</v>
      </c>
      <c r="EM87">
        <f ca="1">OFFSET(Objects!$HW$6,EM$1+(Objects!$Y$4-$A87-1)*Objects!$X$4,0)</f>
        <v>0</v>
      </c>
      <c r="EN87">
        <f ca="1">OFFSET(Objects!$HW$6,EN$1+(Objects!$Y$4-$A87-1)*Objects!$X$4,0)</f>
        <v>0</v>
      </c>
      <c r="EO87">
        <f ca="1">OFFSET(Objects!$HW$6,EO$1+(Objects!$Y$4-$A87-1)*Objects!$X$4,0)</f>
        <v>0</v>
      </c>
      <c r="EP87">
        <f ca="1">OFFSET(Objects!$HW$6,EP$1+(Objects!$Y$4-$A87-1)*Objects!$X$4,0)</f>
        <v>0</v>
      </c>
      <c r="EQ87">
        <f ca="1">OFFSET(Objects!$HW$6,EQ$1+(Objects!$Y$4-$A87-1)*Objects!$X$4,0)</f>
        <v>0</v>
      </c>
      <c r="ER87">
        <f ca="1">OFFSET(Objects!$HW$6,ER$1+(Objects!$Y$4-$A87-1)*Objects!$X$4,0)</f>
        <v>0</v>
      </c>
      <c r="ES87">
        <f ca="1">OFFSET(Objects!$HW$6,ES$1+(Objects!$Y$4-$A87-1)*Objects!$X$4,0)</f>
        <v>0</v>
      </c>
      <c r="ET87">
        <f ca="1">OFFSET(Objects!$HW$6,ET$1+(Objects!$Y$4-$A87-1)*Objects!$X$4,0)</f>
        <v>0</v>
      </c>
      <c r="EU87">
        <f ca="1">OFFSET(Objects!$HW$6,EU$1+(Objects!$Y$4-$A87-1)*Objects!$X$4,0)</f>
        <v>0</v>
      </c>
      <c r="EV87">
        <f ca="1">OFFSET(Objects!$HW$6,EV$1+(Objects!$Y$4-$A87-1)*Objects!$X$4,0)</f>
        <v>0</v>
      </c>
      <c r="EW87">
        <f ca="1">OFFSET(Objects!$HW$6,EW$1+(Objects!$Y$4-$A87-1)*Objects!$X$4,0)</f>
        <v>0</v>
      </c>
      <c r="EX87">
        <f ca="1">OFFSET(Objects!$HW$6,EX$1+(Objects!$Y$4-$A87-1)*Objects!$X$4,0)</f>
        <v>0</v>
      </c>
      <c r="EY87">
        <f ca="1">OFFSET(Objects!$HW$6,EY$1+(Objects!$Y$4-$A87-1)*Objects!$X$4,0)</f>
        <v>0</v>
      </c>
      <c r="EZ87">
        <f ca="1">OFFSET(Objects!$HW$6,EZ$1+(Objects!$Y$4-$A87-1)*Objects!$X$4,0)</f>
        <v>0</v>
      </c>
      <c r="FA87">
        <f ca="1">OFFSET(Objects!$HW$6,FA$1+(Objects!$Y$4-$A87-1)*Objects!$X$4,0)</f>
        <v>0</v>
      </c>
      <c r="FB87">
        <f ca="1">OFFSET(Objects!$HW$6,FB$1+(Objects!$Y$4-$A87-1)*Objects!$X$4,0)</f>
        <v>0</v>
      </c>
      <c r="FC87">
        <f ca="1">OFFSET(Objects!$HW$6,FC$1+(Objects!$Y$4-$A87-1)*Objects!$X$4,0)</f>
        <v>0</v>
      </c>
      <c r="FD87">
        <f ca="1">OFFSET(Objects!$HW$6,FD$1+(Objects!$Y$4-$A87-1)*Objects!$X$4,0)</f>
        <v>0</v>
      </c>
      <c r="FE87" s="22">
        <f ca="1">OFFSET(Objects!$HW$6,FE$1+(Objects!$Y$4-$A87-1)*Objects!$X$4,0)</f>
        <v>0</v>
      </c>
    </row>
    <row r="88" spans="1:200" ht="4.5" customHeight="1" x14ac:dyDescent="0.25">
      <c r="A88">
        <v>86</v>
      </c>
      <c r="B88" s="21">
        <f ca="1">OFFSET(Objects!$HW$6,B$1+(Objects!$Y$4-$A88-1)*Objects!$X$4,0)</f>
        <v>0</v>
      </c>
      <c r="C88">
        <f ca="1">OFFSET(Objects!$HW$6,C$1+(Objects!$Y$4-$A88-1)*Objects!$X$4,0)</f>
        <v>0</v>
      </c>
      <c r="D88">
        <f ca="1">OFFSET(Objects!$HW$6,D$1+(Objects!$Y$4-$A88-1)*Objects!$X$4,0)</f>
        <v>0</v>
      </c>
      <c r="E88">
        <f ca="1">OFFSET(Objects!$HW$6,E$1+(Objects!$Y$4-$A88-1)*Objects!$X$4,0)</f>
        <v>0</v>
      </c>
      <c r="F88">
        <f ca="1">OFFSET(Objects!$HW$6,F$1+(Objects!$Y$4-$A88-1)*Objects!$X$4,0)</f>
        <v>0</v>
      </c>
      <c r="G88">
        <f ca="1">OFFSET(Objects!$HW$6,G$1+(Objects!$Y$4-$A88-1)*Objects!$X$4,0)</f>
        <v>0</v>
      </c>
      <c r="H88">
        <f ca="1">OFFSET(Objects!$HW$6,H$1+(Objects!$Y$4-$A88-1)*Objects!$X$4,0)</f>
        <v>0</v>
      </c>
      <c r="I88">
        <f ca="1">OFFSET(Objects!$HW$6,I$1+(Objects!$Y$4-$A88-1)*Objects!$X$4,0)</f>
        <v>0</v>
      </c>
      <c r="J88">
        <f ca="1">OFFSET(Objects!$HW$6,J$1+(Objects!$Y$4-$A88-1)*Objects!$X$4,0)</f>
        <v>0</v>
      </c>
      <c r="K88">
        <f ca="1">OFFSET(Objects!$HW$6,K$1+(Objects!$Y$4-$A88-1)*Objects!$X$4,0)</f>
        <v>0</v>
      </c>
      <c r="L88">
        <f ca="1">OFFSET(Objects!$HW$6,L$1+(Objects!$Y$4-$A88-1)*Objects!$X$4,0)</f>
        <v>0</v>
      </c>
      <c r="M88">
        <f ca="1">OFFSET(Objects!$HW$6,M$1+(Objects!$Y$4-$A88-1)*Objects!$X$4,0)</f>
        <v>0</v>
      </c>
      <c r="N88">
        <f ca="1">OFFSET(Objects!$HW$6,N$1+(Objects!$Y$4-$A88-1)*Objects!$X$4,0)</f>
        <v>0</v>
      </c>
      <c r="O88">
        <f ca="1">OFFSET(Objects!$HW$6,O$1+(Objects!$Y$4-$A88-1)*Objects!$X$4,0)</f>
        <v>0</v>
      </c>
      <c r="P88">
        <f ca="1">OFFSET(Objects!$HW$6,P$1+(Objects!$Y$4-$A88-1)*Objects!$X$4,0)</f>
        <v>0</v>
      </c>
      <c r="Q88">
        <f ca="1">OFFSET(Objects!$HW$6,Q$1+(Objects!$Y$4-$A88-1)*Objects!$X$4,0)</f>
        <v>0</v>
      </c>
      <c r="R88">
        <f ca="1">OFFSET(Objects!$HW$6,R$1+(Objects!$Y$4-$A88-1)*Objects!$X$4,0)</f>
        <v>0</v>
      </c>
      <c r="S88">
        <f ca="1">OFFSET(Objects!$HW$6,S$1+(Objects!$Y$4-$A88-1)*Objects!$X$4,0)</f>
        <v>0</v>
      </c>
      <c r="T88">
        <f ca="1">OFFSET(Objects!$HW$6,T$1+(Objects!$Y$4-$A88-1)*Objects!$X$4,0)</f>
        <v>0</v>
      </c>
      <c r="U88">
        <f ca="1">OFFSET(Objects!$HW$6,U$1+(Objects!$Y$4-$A88-1)*Objects!$X$4,0)</f>
        <v>0</v>
      </c>
      <c r="V88">
        <f ca="1">OFFSET(Objects!$HW$6,V$1+(Objects!$Y$4-$A88-1)*Objects!$X$4,0)</f>
        <v>0</v>
      </c>
      <c r="W88">
        <f ca="1">OFFSET(Objects!$HW$6,W$1+(Objects!$Y$4-$A88-1)*Objects!$X$4,0)</f>
        <v>0</v>
      </c>
      <c r="X88">
        <f ca="1">OFFSET(Objects!$HW$6,X$1+(Objects!$Y$4-$A88-1)*Objects!$X$4,0)</f>
        <v>0</v>
      </c>
      <c r="Y88">
        <f ca="1">OFFSET(Objects!$HW$6,Y$1+(Objects!$Y$4-$A88-1)*Objects!$X$4,0)</f>
        <v>0</v>
      </c>
      <c r="Z88">
        <f ca="1">OFFSET(Objects!$HW$6,Z$1+(Objects!$Y$4-$A88-1)*Objects!$X$4,0)</f>
        <v>0</v>
      </c>
      <c r="AA88">
        <f ca="1">OFFSET(Objects!$HW$6,AA$1+(Objects!$Y$4-$A88-1)*Objects!$X$4,0)</f>
        <v>0</v>
      </c>
      <c r="AB88">
        <f ca="1">OFFSET(Objects!$HW$6,AB$1+(Objects!$Y$4-$A88-1)*Objects!$X$4,0)</f>
        <v>0</v>
      </c>
      <c r="AC88">
        <f ca="1">OFFSET(Objects!$HW$6,AC$1+(Objects!$Y$4-$A88-1)*Objects!$X$4,0)</f>
        <v>0</v>
      </c>
      <c r="AD88">
        <f ca="1">OFFSET(Objects!$HW$6,AD$1+(Objects!$Y$4-$A88-1)*Objects!$X$4,0)</f>
        <v>0</v>
      </c>
      <c r="AE88">
        <f ca="1">OFFSET(Objects!$HW$6,AE$1+(Objects!$Y$4-$A88-1)*Objects!$X$4,0)</f>
        <v>0</v>
      </c>
      <c r="AF88">
        <f ca="1">OFFSET(Objects!$HW$6,AF$1+(Objects!$Y$4-$A88-1)*Objects!$X$4,0)</f>
        <v>0</v>
      </c>
      <c r="AG88">
        <f ca="1">OFFSET(Objects!$HW$6,AG$1+(Objects!$Y$4-$A88-1)*Objects!$X$4,0)</f>
        <v>0</v>
      </c>
      <c r="AH88">
        <f ca="1">OFFSET(Objects!$HW$6,AH$1+(Objects!$Y$4-$A88-1)*Objects!$X$4,0)</f>
        <v>0</v>
      </c>
      <c r="AI88">
        <f ca="1">OFFSET(Objects!$HW$6,AI$1+(Objects!$Y$4-$A88-1)*Objects!$X$4,0)</f>
        <v>0</v>
      </c>
      <c r="AJ88">
        <f ca="1">OFFSET(Objects!$HW$6,AJ$1+(Objects!$Y$4-$A88-1)*Objects!$X$4,0)</f>
        <v>0</v>
      </c>
      <c r="AK88">
        <f ca="1">OFFSET(Objects!$HW$6,AK$1+(Objects!$Y$4-$A88-1)*Objects!$X$4,0)</f>
        <v>0</v>
      </c>
      <c r="AL88">
        <f ca="1">OFFSET(Objects!$HW$6,AL$1+(Objects!$Y$4-$A88-1)*Objects!$X$4,0)</f>
        <v>0</v>
      </c>
      <c r="AM88">
        <f ca="1">OFFSET(Objects!$HW$6,AM$1+(Objects!$Y$4-$A88-1)*Objects!$X$4,0)</f>
        <v>0</v>
      </c>
      <c r="AN88">
        <f ca="1">OFFSET(Objects!$HW$6,AN$1+(Objects!$Y$4-$A88-1)*Objects!$X$4,0)</f>
        <v>0</v>
      </c>
      <c r="AO88">
        <f ca="1">OFFSET(Objects!$HW$6,AO$1+(Objects!$Y$4-$A88-1)*Objects!$X$4,0)</f>
        <v>0</v>
      </c>
      <c r="AP88">
        <f ca="1">OFFSET(Objects!$HW$6,AP$1+(Objects!$Y$4-$A88-1)*Objects!$X$4,0)</f>
        <v>0</v>
      </c>
      <c r="AQ88">
        <f ca="1">OFFSET(Objects!$HW$6,AQ$1+(Objects!$Y$4-$A88-1)*Objects!$X$4,0)</f>
        <v>0</v>
      </c>
      <c r="AR88">
        <f ca="1">OFFSET(Objects!$HW$6,AR$1+(Objects!$Y$4-$A88-1)*Objects!$X$4,0)</f>
        <v>0</v>
      </c>
      <c r="AS88">
        <f ca="1">OFFSET(Objects!$HW$6,AS$1+(Objects!$Y$4-$A88-1)*Objects!$X$4,0)</f>
        <v>0</v>
      </c>
      <c r="AT88">
        <f ca="1">OFFSET(Objects!$HW$6,AT$1+(Objects!$Y$4-$A88-1)*Objects!$X$4,0)</f>
        <v>0</v>
      </c>
      <c r="AU88">
        <f ca="1">OFFSET(Objects!$HW$6,AU$1+(Objects!$Y$4-$A88-1)*Objects!$X$4,0)</f>
        <v>0</v>
      </c>
      <c r="AV88">
        <f ca="1">OFFSET(Objects!$HW$6,AV$1+(Objects!$Y$4-$A88-1)*Objects!$X$4,0)</f>
        <v>0</v>
      </c>
      <c r="AW88">
        <f ca="1">OFFSET(Objects!$HW$6,AW$1+(Objects!$Y$4-$A88-1)*Objects!$X$4,0)</f>
        <v>0</v>
      </c>
      <c r="AX88">
        <f ca="1">OFFSET(Objects!$HW$6,AX$1+(Objects!$Y$4-$A88-1)*Objects!$X$4,0)</f>
        <v>0</v>
      </c>
      <c r="AY88">
        <f ca="1">OFFSET(Objects!$HW$6,AY$1+(Objects!$Y$4-$A88-1)*Objects!$X$4,0)</f>
        <v>0</v>
      </c>
      <c r="AZ88">
        <f ca="1">OFFSET(Objects!$HW$6,AZ$1+(Objects!$Y$4-$A88-1)*Objects!$X$4,0)</f>
        <v>0</v>
      </c>
      <c r="BA88">
        <f ca="1">OFFSET(Objects!$HW$6,BA$1+(Objects!$Y$4-$A88-1)*Objects!$X$4,0)</f>
        <v>0</v>
      </c>
      <c r="BB88">
        <f ca="1">OFFSET(Objects!$HW$6,BB$1+(Objects!$Y$4-$A88-1)*Objects!$X$4,0)</f>
        <v>0</v>
      </c>
      <c r="BC88">
        <f ca="1">OFFSET(Objects!$HW$6,BC$1+(Objects!$Y$4-$A88-1)*Objects!$X$4,0)</f>
        <v>0</v>
      </c>
      <c r="BD88">
        <f ca="1">OFFSET(Objects!$HW$6,BD$1+(Objects!$Y$4-$A88-1)*Objects!$X$4,0)</f>
        <v>0</v>
      </c>
      <c r="BE88">
        <f ca="1">OFFSET(Objects!$HW$6,BE$1+(Objects!$Y$4-$A88-1)*Objects!$X$4,0)</f>
        <v>0</v>
      </c>
      <c r="BF88">
        <f ca="1">OFFSET(Objects!$HW$6,BF$1+(Objects!$Y$4-$A88-1)*Objects!$X$4,0)</f>
        <v>0</v>
      </c>
      <c r="BG88">
        <f ca="1">OFFSET(Objects!$HW$6,BG$1+(Objects!$Y$4-$A88-1)*Objects!$X$4,0)</f>
        <v>0</v>
      </c>
      <c r="BH88">
        <f ca="1">OFFSET(Objects!$HW$6,BH$1+(Objects!$Y$4-$A88-1)*Objects!$X$4,0)</f>
        <v>0</v>
      </c>
      <c r="BI88">
        <f ca="1">OFFSET(Objects!$HW$6,BI$1+(Objects!$Y$4-$A88-1)*Objects!$X$4,0)</f>
        <v>0</v>
      </c>
      <c r="BJ88">
        <f ca="1">OFFSET(Objects!$HW$6,BJ$1+(Objects!$Y$4-$A88-1)*Objects!$X$4,0)</f>
        <v>0</v>
      </c>
      <c r="BK88">
        <f ca="1">OFFSET(Objects!$HW$6,BK$1+(Objects!$Y$4-$A88-1)*Objects!$X$4,0)</f>
        <v>0</v>
      </c>
      <c r="BL88">
        <f ca="1">OFFSET(Objects!$HW$6,BL$1+(Objects!$Y$4-$A88-1)*Objects!$X$4,0)</f>
        <v>0</v>
      </c>
      <c r="BM88">
        <f ca="1">OFFSET(Objects!$HW$6,BM$1+(Objects!$Y$4-$A88-1)*Objects!$X$4,0)</f>
        <v>0</v>
      </c>
      <c r="BN88">
        <f ca="1">OFFSET(Objects!$HW$6,BN$1+(Objects!$Y$4-$A88-1)*Objects!$X$4,0)</f>
        <v>0</v>
      </c>
      <c r="BO88">
        <f ca="1">OFFSET(Objects!$HW$6,BO$1+(Objects!$Y$4-$A88-1)*Objects!$X$4,0)</f>
        <v>0</v>
      </c>
      <c r="BP88">
        <f ca="1">OFFSET(Objects!$HW$6,BP$1+(Objects!$Y$4-$A88-1)*Objects!$X$4,0)</f>
        <v>0</v>
      </c>
      <c r="BQ88">
        <f ca="1">OFFSET(Objects!$HW$6,BQ$1+(Objects!$Y$4-$A88-1)*Objects!$X$4,0)</f>
        <v>0</v>
      </c>
      <c r="BR88">
        <f ca="1">OFFSET(Objects!$HW$6,BR$1+(Objects!$Y$4-$A88-1)*Objects!$X$4,0)</f>
        <v>0</v>
      </c>
      <c r="BS88">
        <f ca="1">OFFSET(Objects!$HW$6,BS$1+(Objects!$Y$4-$A88-1)*Objects!$X$4,0)</f>
        <v>0</v>
      </c>
      <c r="BT88">
        <f ca="1">OFFSET(Objects!$HW$6,BT$1+(Objects!$Y$4-$A88-1)*Objects!$X$4,0)</f>
        <v>0</v>
      </c>
      <c r="BU88">
        <f ca="1">OFFSET(Objects!$HW$6,BU$1+(Objects!$Y$4-$A88-1)*Objects!$X$4,0)</f>
        <v>0</v>
      </c>
      <c r="BV88">
        <f ca="1">OFFSET(Objects!$HW$6,BV$1+(Objects!$Y$4-$A88-1)*Objects!$X$4,0)</f>
        <v>0</v>
      </c>
      <c r="BW88">
        <f ca="1">OFFSET(Objects!$HW$6,BW$1+(Objects!$Y$4-$A88-1)*Objects!$X$4,0)</f>
        <v>0</v>
      </c>
      <c r="BX88">
        <f ca="1">OFFSET(Objects!$HW$6,BX$1+(Objects!$Y$4-$A88-1)*Objects!$X$4,0)</f>
        <v>0</v>
      </c>
      <c r="BY88">
        <f ca="1">OFFSET(Objects!$HW$6,BY$1+(Objects!$Y$4-$A88-1)*Objects!$X$4,0)</f>
        <v>0</v>
      </c>
      <c r="BZ88">
        <f ca="1">OFFSET(Objects!$HW$6,BZ$1+(Objects!$Y$4-$A88-1)*Objects!$X$4,0)</f>
        <v>0</v>
      </c>
      <c r="CA88">
        <f ca="1">OFFSET(Objects!$HW$6,CA$1+(Objects!$Y$4-$A88-1)*Objects!$X$4,0)</f>
        <v>0</v>
      </c>
      <c r="CB88">
        <f ca="1">OFFSET(Objects!$HW$6,CB$1+(Objects!$Y$4-$A88-1)*Objects!$X$4,0)</f>
        <v>0</v>
      </c>
      <c r="CC88">
        <f ca="1">OFFSET(Objects!$HW$6,CC$1+(Objects!$Y$4-$A88-1)*Objects!$X$4,0)</f>
        <v>0</v>
      </c>
      <c r="CD88">
        <f ca="1">OFFSET(Objects!$HW$6,CD$1+(Objects!$Y$4-$A88-1)*Objects!$X$4,0)</f>
        <v>0</v>
      </c>
      <c r="CE88">
        <f ca="1">OFFSET(Objects!$HW$6,CE$1+(Objects!$Y$4-$A88-1)*Objects!$X$4,0)</f>
        <v>0</v>
      </c>
      <c r="CF88">
        <f ca="1">OFFSET(Objects!$HW$6,CF$1+(Objects!$Y$4-$A88-1)*Objects!$X$4,0)</f>
        <v>0</v>
      </c>
      <c r="CG88">
        <f ca="1">OFFSET(Objects!$HW$6,CG$1+(Objects!$Y$4-$A88-1)*Objects!$X$4,0)</f>
        <v>0</v>
      </c>
      <c r="CH88">
        <f ca="1">OFFSET(Objects!$HW$6,CH$1+(Objects!$Y$4-$A88-1)*Objects!$X$4,0)</f>
        <v>0</v>
      </c>
      <c r="CI88">
        <f ca="1">OFFSET(Objects!$HW$6,CI$1+(Objects!$Y$4-$A88-1)*Objects!$X$4,0)</f>
        <v>0</v>
      </c>
      <c r="CJ88">
        <f ca="1">OFFSET(Objects!$HW$6,CJ$1+(Objects!$Y$4-$A88-1)*Objects!$X$4,0)</f>
        <v>0</v>
      </c>
      <c r="CK88">
        <f ca="1">OFFSET(Objects!$HW$6,CK$1+(Objects!$Y$4-$A88-1)*Objects!$X$4,0)</f>
        <v>0</v>
      </c>
      <c r="CL88">
        <f ca="1">OFFSET(Objects!$HW$6,CL$1+(Objects!$Y$4-$A88-1)*Objects!$X$4,0)</f>
        <v>0</v>
      </c>
      <c r="CM88">
        <f ca="1">OFFSET(Objects!$HW$6,CM$1+(Objects!$Y$4-$A88-1)*Objects!$X$4,0)</f>
        <v>0</v>
      </c>
      <c r="CN88">
        <f ca="1">OFFSET(Objects!$HW$6,CN$1+(Objects!$Y$4-$A88-1)*Objects!$X$4,0)</f>
        <v>0</v>
      </c>
      <c r="CO88">
        <f ca="1">OFFSET(Objects!$HW$6,CO$1+(Objects!$Y$4-$A88-1)*Objects!$X$4,0)</f>
        <v>0</v>
      </c>
      <c r="CP88">
        <f ca="1">OFFSET(Objects!$HW$6,CP$1+(Objects!$Y$4-$A88-1)*Objects!$X$4,0)</f>
        <v>0</v>
      </c>
      <c r="CQ88">
        <f ca="1">OFFSET(Objects!$HW$6,CQ$1+(Objects!$Y$4-$A88-1)*Objects!$X$4,0)</f>
        <v>0</v>
      </c>
      <c r="CR88">
        <f ca="1">OFFSET(Objects!$HW$6,CR$1+(Objects!$Y$4-$A88-1)*Objects!$X$4,0)</f>
        <v>0</v>
      </c>
      <c r="CS88">
        <f ca="1">OFFSET(Objects!$HW$6,CS$1+(Objects!$Y$4-$A88-1)*Objects!$X$4,0)</f>
        <v>0</v>
      </c>
      <c r="CT88">
        <f ca="1">OFFSET(Objects!$HW$6,CT$1+(Objects!$Y$4-$A88-1)*Objects!$X$4,0)</f>
        <v>0</v>
      </c>
      <c r="CU88">
        <f ca="1">OFFSET(Objects!$HW$6,CU$1+(Objects!$Y$4-$A88-1)*Objects!$X$4,0)</f>
        <v>0</v>
      </c>
      <c r="CV88">
        <f ca="1">OFFSET(Objects!$HW$6,CV$1+(Objects!$Y$4-$A88-1)*Objects!$X$4,0)</f>
        <v>0</v>
      </c>
      <c r="CW88">
        <f ca="1">OFFSET(Objects!$HW$6,CW$1+(Objects!$Y$4-$A88-1)*Objects!$X$4,0)</f>
        <v>0</v>
      </c>
      <c r="CX88">
        <f ca="1">OFFSET(Objects!$HW$6,CX$1+(Objects!$Y$4-$A88-1)*Objects!$X$4,0)</f>
        <v>0</v>
      </c>
      <c r="CY88">
        <f ca="1">OFFSET(Objects!$HW$6,CY$1+(Objects!$Y$4-$A88-1)*Objects!$X$4,0)</f>
        <v>0</v>
      </c>
      <c r="CZ88">
        <f ca="1">OFFSET(Objects!$HW$6,CZ$1+(Objects!$Y$4-$A88-1)*Objects!$X$4,0)</f>
        <v>0</v>
      </c>
      <c r="DA88">
        <f ca="1">OFFSET(Objects!$HW$6,DA$1+(Objects!$Y$4-$A88-1)*Objects!$X$4,0)</f>
        <v>0</v>
      </c>
      <c r="DB88">
        <f ca="1">OFFSET(Objects!$HW$6,DB$1+(Objects!$Y$4-$A88-1)*Objects!$X$4,0)</f>
        <v>0</v>
      </c>
      <c r="DC88">
        <f ca="1">OFFSET(Objects!$HW$6,DC$1+(Objects!$Y$4-$A88-1)*Objects!$X$4,0)</f>
        <v>0</v>
      </c>
      <c r="DD88">
        <f ca="1">OFFSET(Objects!$HW$6,DD$1+(Objects!$Y$4-$A88-1)*Objects!$X$4,0)</f>
        <v>0</v>
      </c>
      <c r="DE88">
        <f ca="1">OFFSET(Objects!$HW$6,DE$1+(Objects!$Y$4-$A88-1)*Objects!$X$4,0)</f>
        <v>0</v>
      </c>
      <c r="DF88">
        <f ca="1">OFFSET(Objects!$HW$6,DF$1+(Objects!$Y$4-$A88-1)*Objects!$X$4,0)</f>
        <v>0</v>
      </c>
      <c r="DG88">
        <f ca="1">OFFSET(Objects!$HW$6,DG$1+(Objects!$Y$4-$A88-1)*Objects!$X$4,0)</f>
        <v>0</v>
      </c>
      <c r="DH88">
        <f ca="1">OFFSET(Objects!$HW$6,DH$1+(Objects!$Y$4-$A88-1)*Objects!$X$4,0)</f>
        <v>0</v>
      </c>
      <c r="DI88">
        <f ca="1">OFFSET(Objects!$HW$6,DI$1+(Objects!$Y$4-$A88-1)*Objects!$X$4,0)</f>
        <v>0</v>
      </c>
      <c r="DJ88">
        <f ca="1">OFFSET(Objects!$HW$6,DJ$1+(Objects!$Y$4-$A88-1)*Objects!$X$4,0)</f>
        <v>0</v>
      </c>
      <c r="DK88">
        <f ca="1">OFFSET(Objects!$HW$6,DK$1+(Objects!$Y$4-$A88-1)*Objects!$X$4,0)</f>
        <v>0</v>
      </c>
      <c r="DL88">
        <f ca="1">OFFSET(Objects!$HW$6,DL$1+(Objects!$Y$4-$A88-1)*Objects!$X$4,0)</f>
        <v>0</v>
      </c>
      <c r="DM88">
        <f ca="1">OFFSET(Objects!$HW$6,DM$1+(Objects!$Y$4-$A88-1)*Objects!$X$4,0)</f>
        <v>0</v>
      </c>
      <c r="DN88">
        <f ca="1">OFFSET(Objects!$HW$6,DN$1+(Objects!$Y$4-$A88-1)*Objects!$X$4,0)</f>
        <v>0</v>
      </c>
      <c r="DO88">
        <f ca="1">OFFSET(Objects!$HW$6,DO$1+(Objects!$Y$4-$A88-1)*Objects!$X$4,0)</f>
        <v>0</v>
      </c>
      <c r="DP88">
        <f ca="1">OFFSET(Objects!$HW$6,DP$1+(Objects!$Y$4-$A88-1)*Objects!$X$4,0)</f>
        <v>0</v>
      </c>
      <c r="DQ88">
        <f ca="1">OFFSET(Objects!$HW$6,DQ$1+(Objects!$Y$4-$A88-1)*Objects!$X$4,0)</f>
        <v>0</v>
      </c>
      <c r="DR88">
        <f ca="1">OFFSET(Objects!$HW$6,DR$1+(Objects!$Y$4-$A88-1)*Objects!$X$4,0)</f>
        <v>0</v>
      </c>
      <c r="DS88">
        <f ca="1">OFFSET(Objects!$HW$6,DS$1+(Objects!$Y$4-$A88-1)*Objects!$X$4,0)</f>
        <v>0</v>
      </c>
      <c r="DT88">
        <f ca="1">OFFSET(Objects!$HW$6,DT$1+(Objects!$Y$4-$A88-1)*Objects!$X$4,0)</f>
        <v>0</v>
      </c>
      <c r="DU88">
        <f ca="1">OFFSET(Objects!$HW$6,DU$1+(Objects!$Y$4-$A88-1)*Objects!$X$4,0)</f>
        <v>0</v>
      </c>
      <c r="DV88">
        <f ca="1">OFFSET(Objects!$HW$6,DV$1+(Objects!$Y$4-$A88-1)*Objects!$X$4,0)</f>
        <v>0</v>
      </c>
      <c r="DW88">
        <f ca="1">OFFSET(Objects!$HW$6,DW$1+(Objects!$Y$4-$A88-1)*Objects!$X$4,0)</f>
        <v>0</v>
      </c>
      <c r="DX88">
        <f ca="1">OFFSET(Objects!$HW$6,DX$1+(Objects!$Y$4-$A88-1)*Objects!$X$4,0)</f>
        <v>0</v>
      </c>
      <c r="DY88">
        <f ca="1">OFFSET(Objects!$HW$6,DY$1+(Objects!$Y$4-$A88-1)*Objects!$X$4,0)</f>
        <v>0</v>
      </c>
      <c r="DZ88">
        <f ca="1">OFFSET(Objects!$HW$6,DZ$1+(Objects!$Y$4-$A88-1)*Objects!$X$4,0)</f>
        <v>0</v>
      </c>
      <c r="EA88">
        <f ca="1">OFFSET(Objects!$HW$6,EA$1+(Objects!$Y$4-$A88-1)*Objects!$X$4,0)</f>
        <v>0</v>
      </c>
      <c r="EB88">
        <f ca="1">OFFSET(Objects!$HW$6,EB$1+(Objects!$Y$4-$A88-1)*Objects!$X$4,0)</f>
        <v>0</v>
      </c>
      <c r="EC88">
        <f ca="1">OFFSET(Objects!$HW$6,EC$1+(Objects!$Y$4-$A88-1)*Objects!$X$4,0)</f>
        <v>0</v>
      </c>
      <c r="ED88">
        <f ca="1">OFFSET(Objects!$HW$6,ED$1+(Objects!$Y$4-$A88-1)*Objects!$X$4,0)</f>
        <v>0</v>
      </c>
      <c r="EE88">
        <f ca="1">OFFSET(Objects!$HW$6,EE$1+(Objects!$Y$4-$A88-1)*Objects!$X$4,0)</f>
        <v>0</v>
      </c>
      <c r="EF88">
        <f ca="1">OFFSET(Objects!$HW$6,EF$1+(Objects!$Y$4-$A88-1)*Objects!$X$4,0)</f>
        <v>0</v>
      </c>
      <c r="EG88">
        <f ca="1">OFFSET(Objects!$HW$6,EG$1+(Objects!$Y$4-$A88-1)*Objects!$X$4,0)</f>
        <v>0</v>
      </c>
      <c r="EH88">
        <f ca="1">OFFSET(Objects!$HW$6,EH$1+(Objects!$Y$4-$A88-1)*Objects!$X$4,0)</f>
        <v>0</v>
      </c>
      <c r="EI88">
        <f ca="1">OFFSET(Objects!$HW$6,EI$1+(Objects!$Y$4-$A88-1)*Objects!$X$4,0)</f>
        <v>0</v>
      </c>
      <c r="EJ88">
        <f ca="1">OFFSET(Objects!$HW$6,EJ$1+(Objects!$Y$4-$A88-1)*Objects!$X$4,0)</f>
        <v>0</v>
      </c>
      <c r="EK88">
        <f ca="1">OFFSET(Objects!$HW$6,EK$1+(Objects!$Y$4-$A88-1)*Objects!$X$4,0)</f>
        <v>0</v>
      </c>
      <c r="EL88">
        <f ca="1">OFFSET(Objects!$HW$6,EL$1+(Objects!$Y$4-$A88-1)*Objects!$X$4,0)</f>
        <v>0</v>
      </c>
      <c r="EM88">
        <f ca="1">OFFSET(Objects!$HW$6,EM$1+(Objects!$Y$4-$A88-1)*Objects!$X$4,0)</f>
        <v>0</v>
      </c>
      <c r="EN88">
        <f ca="1">OFFSET(Objects!$HW$6,EN$1+(Objects!$Y$4-$A88-1)*Objects!$X$4,0)</f>
        <v>0</v>
      </c>
      <c r="EO88">
        <f ca="1">OFFSET(Objects!$HW$6,EO$1+(Objects!$Y$4-$A88-1)*Objects!$X$4,0)</f>
        <v>0</v>
      </c>
      <c r="EP88">
        <f ca="1">OFFSET(Objects!$HW$6,EP$1+(Objects!$Y$4-$A88-1)*Objects!$X$4,0)</f>
        <v>0</v>
      </c>
      <c r="EQ88">
        <f ca="1">OFFSET(Objects!$HW$6,EQ$1+(Objects!$Y$4-$A88-1)*Objects!$X$4,0)</f>
        <v>0</v>
      </c>
      <c r="ER88">
        <f ca="1">OFFSET(Objects!$HW$6,ER$1+(Objects!$Y$4-$A88-1)*Objects!$X$4,0)</f>
        <v>0</v>
      </c>
      <c r="ES88">
        <f ca="1">OFFSET(Objects!$HW$6,ES$1+(Objects!$Y$4-$A88-1)*Objects!$X$4,0)</f>
        <v>0</v>
      </c>
      <c r="ET88">
        <f ca="1">OFFSET(Objects!$HW$6,ET$1+(Objects!$Y$4-$A88-1)*Objects!$X$4,0)</f>
        <v>0</v>
      </c>
      <c r="EU88">
        <f ca="1">OFFSET(Objects!$HW$6,EU$1+(Objects!$Y$4-$A88-1)*Objects!$X$4,0)</f>
        <v>0</v>
      </c>
      <c r="EV88">
        <f ca="1">OFFSET(Objects!$HW$6,EV$1+(Objects!$Y$4-$A88-1)*Objects!$X$4,0)</f>
        <v>0</v>
      </c>
      <c r="EW88">
        <f ca="1">OFFSET(Objects!$HW$6,EW$1+(Objects!$Y$4-$A88-1)*Objects!$X$4,0)</f>
        <v>0</v>
      </c>
      <c r="EX88">
        <f ca="1">OFFSET(Objects!$HW$6,EX$1+(Objects!$Y$4-$A88-1)*Objects!$X$4,0)</f>
        <v>0</v>
      </c>
      <c r="EY88">
        <f ca="1">OFFSET(Objects!$HW$6,EY$1+(Objects!$Y$4-$A88-1)*Objects!$X$4,0)</f>
        <v>0</v>
      </c>
      <c r="EZ88">
        <f ca="1">OFFSET(Objects!$HW$6,EZ$1+(Objects!$Y$4-$A88-1)*Objects!$X$4,0)</f>
        <v>0</v>
      </c>
      <c r="FA88">
        <f ca="1">OFFSET(Objects!$HW$6,FA$1+(Objects!$Y$4-$A88-1)*Objects!$X$4,0)</f>
        <v>0</v>
      </c>
      <c r="FB88">
        <f ca="1">OFFSET(Objects!$HW$6,FB$1+(Objects!$Y$4-$A88-1)*Objects!$X$4,0)</f>
        <v>0</v>
      </c>
      <c r="FC88">
        <f ca="1">OFFSET(Objects!$HW$6,FC$1+(Objects!$Y$4-$A88-1)*Objects!$X$4,0)</f>
        <v>0</v>
      </c>
      <c r="FD88">
        <f ca="1">OFFSET(Objects!$HW$6,FD$1+(Objects!$Y$4-$A88-1)*Objects!$X$4,0)</f>
        <v>0</v>
      </c>
      <c r="FE88" s="22">
        <f ca="1">OFFSET(Objects!$HW$6,FE$1+(Objects!$Y$4-$A88-1)*Objects!$X$4,0)</f>
        <v>0</v>
      </c>
    </row>
    <row r="89" spans="1:200" ht="4.5" customHeight="1" x14ac:dyDescent="0.25">
      <c r="A89">
        <v>87</v>
      </c>
      <c r="B89" s="21">
        <f ca="1">OFFSET(Objects!$HW$6,B$1+(Objects!$Y$4-$A89-1)*Objects!$X$4,0)</f>
        <v>0</v>
      </c>
      <c r="C89">
        <f ca="1">OFFSET(Objects!$HW$6,C$1+(Objects!$Y$4-$A89-1)*Objects!$X$4,0)</f>
        <v>0</v>
      </c>
      <c r="D89">
        <f ca="1">OFFSET(Objects!$HW$6,D$1+(Objects!$Y$4-$A89-1)*Objects!$X$4,0)</f>
        <v>0</v>
      </c>
      <c r="E89">
        <f ca="1">OFFSET(Objects!$HW$6,E$1+(Objects!$Y$4-$A89-1)*Objects!$X$4,0)</f>
        <v>0</v>
      </c>
      <c r="F89">
        <f ca="1">OFFSET(Objects!$HW$6,F$1+(Objects!$Y$4-$A89-1)*Objects!$X$4,0)</f>
        <v>0</v>
      </c>
      <c r="G89">
        <f ca="1">OFFSET(Objects!$HW$6,G$1+(Objects!$Y$4-$A89-1)*Objects!$X$4,0)</f>
        <v>0</v>
      </c>
      <c r="H89">
        <f ca="1">OFFSET(Objects!$HW$6,H$1+(Objects!$Y$4-$A89-1)*Objects!$X$4,0)</f>
        <v>0</v>
      </c>
      <c r="I89">
        <f ca="1">OFFSET(Objects!$HW$6,I$1+(Objects!$Y$4-$A89-1)*Objects!$X$4,0)</f>
        <v>0</v>
      </c>
      <c r="J89">
        <f ca="1">OFFSET(Objects!$HW$6,J$1+(Objects!$Y$4-$A89-1)*Objects!$X$4,0)</f>
        <v>0</v>
      </c>
      <c r="K89">
        <f ca="1">OFFSET(Objects!$HW$6,K$1+(Objects!$Y$4-$A89-1)*Objects!$X$4,0)</f>
        <v>0</v>
      </c>
      <c r="L89">
        <f ca="1">OFFSET(Objects!$HW$6,L$1+(Objects!$Y$4-$A89-1)*Objects!$X$4,0)</f>
        <v>0</v>
      </c>
      <c r="M89">
        <f ca="1">OFFSET(Objects!$HW$6,M$1+(Objects!$Y$4-$A89-1)*Objects!$X$4,0)</f>
        <v>0</v>
      </c>
      <c r="N89">
        <f ca="1">OFFSET(Objects!$HW$6,N$1+(Objects!$Y$4-$A89-1)*Objects!$X$4,0)</f>
        <v>0</v>
      </c>
      <c r="O89">
        <f ca="1">OFFSET(Objects!$HW$6,O$1+(Objects!$Y$4-$A89-1)*Objects!$X$4,0)</f>
        <v>0</v>
      </c>
      <c r="P89">
        <f ca="1">OFFSET(Objects!$HW$6,P$1+(Objects!$Y$4-$A89-1)*Objects!$X$4,0)</f>
        <v>0</v>
      </c>
      <c r="Q89">
        <f ca="1">OFFSET(Objects!$HW$6,Q$1+(Objects!$Y$4-$A89-1)*Objects!$X$4,0)</f>
        <v>0</v>
      </c>
      <c r="R89">
        <f ca="1">OFFSET(Objects!$HW$6,R$1+(Objects!$Y$4-$A89-1)*Objects!$X$4,0)</f>
        <v>0</v>
      </c>
      <c r="S89">
        <f ca="1">OFFSET(Objects!$HW$6,S$1+(Objects!$Y$4-$A89-1)*Objects!$X$4,0)</f>
        <v>0</v>
      </c>
      <c r="T89">
        <f ca="1">OFFSET(Objects!$HW$6,T$1+(Objects!$Y$4-$A89-1)*Objects!$X$4,0)</f>
        <v>0</v>
      </c>
      <c r="U89">
        <f ca="1">OFFSET(Objects!$HW$6,U$1+(Objects!$Y$4-$A89-1)*Objects!$X$4,0)</f>
        <v>0</v>
      </c>
      <c r="V89">
        <f ca="1">OFFSET(Objects!$HW$6,V$1+(Objects!$Y$4-$A89-1)*Objects!$X$4,0)</f>
        <v>0</v>
      </c>
      <c r="W89">
        <f ca="1">OFFSET(Objects!$HW$6,W$1+(Objects!$Y$4-$A89-1)*Objects!$X$4,0)</f>
        <v>0</v>
      </c>
      <c r="X89">
        <f ca="1">OFFSET(Objects!$HW$6,X$1+(Objects!$Y$4-$A89-1)*Objects!$X$4,0)</f>
        <v>0</v>
      </c>
      <c r="Y89">
        <f ca="1">OFFSET(Objects!$HW$6,Y$1+(Objects!$Y$4-$A89-1)*Objects!$X$4,0)</f>
        <v>0</v>
      </c>
      <c r="Z89">
        <f ca="1">OFFSET(Objects!$HW$6,Z$1+(Objects!$Y$4-$A89-1)*Objects!$X$4,0)</f>
        <v>0</v>
      </c>
      <c r="AA89">
        <f ca="1">OFFSET(Objects!$HW$6,AA$1+(Objects!$Y$4-$A89-1)*Objects!$X$4,0)</f>
        <v>0</v>
      </c>
      <c r="AB89">
        <f ca="1">OFFSET(Objects!$HW$6,AB$1+(Objects!$Y$4-$A89-1)*Objects!$X$4,0)</f>
        <v>0</v>
      </c>
      <c r="AC89">
        <f ca="1">OFFSET(Objects!$HW$6,AC$1+(Objects!$Y$4-$A89-1)*Objects!$X$4,0)</f>
        <v>0</v>
      </c>
      <c r="AD89">
        <f ca="1">OFFSET(Objects!$HW$6,AD$1+(Objects!$Y$4-$A89-1)*Objects!$X$4,0)</f>
        <v>0</v>
      </c>
      <c r="AE89">
        <f ca="1">OFFSET(Objects!$HW$6,AE$1+(Objects!$Y$4-$A89-1)*Objects!$X$4,0)</f>
        <v>0</v>
      </c>
      <c r="AF89">
        <f ca="1">OFFSET(Objects!$HW$6,AF$1+(Objects!$Y$4-$A89-1)*Objects!$X$4,0)</f>
        <v>0</v>
      </c>
      <c r="AG89">
        <f ca="1">OFFSET(Objects!$HW$6,AG$1+(Objects!$Y$4-$A89-1)*Objects!$X$4,0)</f>
        <v>0</v>
      </c>
      <c r="AH89">
        <f ca="1">OFFSET(Objects!$HW$6,AH$1+(Objects!$Y$4-$A89-1)*Objects!$X$4,0)</f>
        <v>0</v>
      </c>
      <c r="AI89">
        <f ca="1">OFFSET(Objects!$HW$6,AI$1+(Objects!$Y$4-$A89-1)*Objects!$X$4,0)</f>
        <v>0</v>
      </c>
      <c r="AJ89">
        <f ca="1">OFFSET(Objects!$HW$6,AJ$1+(Objects!$Y$4-$A89-1)*Objects!$X$4,0)</f>
        <v>0</v>
      </c>
      <c r="AK89">
        <f ca="1">OFFSET(Objects!$HW$6,AK$1+(Objects!$Y$4-$A89-1)*Objects!$X$4,0)</f>
        <v>0</v>
      </c>
      <c r="AL89">
        <f ca="1">OFFSET(Objects!$HW$6,AL$1+(Objects!$Y$4-$A89-1)*Objects!$X$4,0)</f>
        <v>0</v>
      </c>
      <c r="AM89">
        <f ca="1">OFFSET(Objects!$HW$6,AM$1+(Objects!$Y$4-$A89-1)*Objects!$X$4,0)</f>
        <v>0</v>
      </c>
      <c r="AN89">
        <f ca="1">OFFSET(Objects!$HW$6,AN$1+(Objects!$Y$4-$A89-1)*Objects!$X$4,0)</f>
        <v>0</v>
      </c>
      <c r="AO89">
        <f ca="1">OFFSET(Objects!$HW$6,AO$1+(Objects!$Y$4-$A89-1)*Objects!$X$4,0)</f>
        <v>0</v>
      </c>
      <c r="AP89">
        <f ca="1">OFFSET(Objects!$HW$6,AP$1+(Objects!$Y$4-$A89-1)*Objects!$X$4,0)</f>
        <v>0</v>
      </c>
      <c r="AQ89">
        <f ca="1">OFFSET(Objects!$HW$6,AQ$1+(Objects!$Y$4-$A89-1)*Objects!$X$4,0)</f>
        <v>0</v>
      </c>
      <c r="AR89">
        <f ca="1">OFFSET(Objects!$HW$6,AR$1+(Objects!$Y$4-$A89-1)*Objects!$X$4,0)</f>
        <v>0</v>
      </c>
      <c r="AS89">
        <f ca="1">OFFSET(Objects!$HW$6,AS$1+(Objects!$Y$4-$A89-1)*Objects!$X$4,0)</f>
        <v>0</v>
      </c>
      <c r="AT89">
        <f ca="1">OFFSET(Objects!$HW$6,AT$1+(Objects!$Y$4-$A89-1)*Objects!$X$4,0)</f>
        <v>0</v>
      </c>
      <c r="AU89">
        <f ca="1">OFFSET(Objects!$HW$6,AU$1+(Objects!$Y$4-$A89-1)*Objects!$X$4,0)</f>
        <v>0</v>
      </c>
      <c r="AV89">
        <f ca="1">OFFSET(Objects!$HW$6,AV$1+(Objects!$Y$4-$A89-1)*Objects!$X$4,0)</f>
        <v>0</v>
      </c>
      <c r="AW89">
        <f ca="1">OFFSET(Objects!$HW$6,AW$1+(Objects!$Y$4-$A89-1)*Objects!$X$4,0)</f>
        <v>0</v>
      </c>
      <c r="AX89">
        <f ca="1">OFFSET(Objects!$HW$6,AX$1+(Objects!$Y$4-$A89-1)*Objects!$X$4,0)</f>
        <v>0</v>
      </c>
      <c r="AY89">
        <f ca="1">OFFSET(Objects!$HW$6,AY$1+(Objects!$Y$4-$A89-1)*Objects!$X$4,0)</f>
        <v>0</v>
      </c>
      <c r="AZ89">
        <f ca="1">OFFSET(Objects!$HW$6,AZ$1+(Objects!$Y$4-$A89-1)*Objects!$X$4,0)</f>
        <v>0</v>
      </c>
      <c r="BA89">
        <f ca="1">OFFSET(Objects!$HW$6,BA$1+(Objects!$Y$4-$A89-1)*Objects!$X$4,0)</f>
        <v>0</v>
      </c>
      <c r="BB89">
        <f ca="1">OFFSET(Objects!$HW$6,BB$1+(Objects!$Y$4-$A89-1)*Objects!$X$4,0)</f>
        <v>0</v>
      </c>
      <c r="BC89">
        <f ca="1">OFFSET(Objects!$HW$6,BC$1+(Objects!$Y$4-$A89-1)*Objects!$X$4,0)</f>
        <v>0</v>
      </c>
      <c r="BD89">
        <f ca="1">OFFSET(Objects!$HW$6,BD$1+(Objects!$Y$4-$A89-1)*Objects!$X$4,0)</f>
        <v>0</v>
      </c>
      <c r="BE89">
        <f ca="1">OFFSET(Objects!$HW$6,BE$1+(Objects!$Y$4-$A89-1)*Objects!$X$4,0)</f>
        <v>0</v>
      </c>
      <c r="BF89">
        <f ca="1">OFFSET(Objects!$HW$6,BF$1+(Objects!$Y$4-$A89-1)*Objects!$X$4,0)</f>
        <v>0</v>
      </c>
      <c r="BG89">
        <f ca="1">OFFSET(Objects!$HW$6,BG$1+(Objects!$Y$4-$A89-1)*Objects!$X$4,0)</f>
        <v>0</v>
      </c>
      <c r="BH89">
        <f ca="1">OFFSET(Objects!$HW$6,BH$1+(Objects!$Y$4-$A89-1)*Objects!$X$4,0)</f>
        <v>0</v>
      </c>
      <c r="BI89">
        <f ca="1">OFFSET(Objects!$HW$6,BI$1+(Objects!$Y$4-$A89-1)*Objects!$X$4,0)</f>
        <v>0</v>
      </c>
      <c r="BJ89">
        <f ca="1">OFFSET(Objects!$HW$6,BJ$1+(Objects!$Y$4-$A89-1)*Objects!$X$4,0)</f>
        <v>0</v>
      </c>
      <c r="BK89">
        <f ca="1">OFFSET(Objects!$HW$6,BK$1+(Objects!$Y$4-$A89-1)*Objects!$X$4,0)</f>
        <v>0</v>
      </c>
      <c r="BL89">
        <f ca="1">OFFSET(Objects!$HW$6,BL$1+(Objects!$Y$4-$A89-1)*Objects!$X$4,0)</f>
        <v>0</v>
      </c>
      <c r="BM89">
        <f ca="1">OFFSET(Objects!$HW$6,BM$1+(Objects!$Y$4-$A89-1)*Objects!$X$4,0)</f>
        <v>0</v>
      </c>
      <c r="BN89">
        <f ca="1">OFFSET(Objects!$HW$6,BN$1+(Objects!$Y$4-$A89-1)*Objects!$X$4,0)</f>
        <v>0</v>
      </c>
      <c r="BO89">
        <f ca="1">OFFSET(Objects!$HW$6,BO$1+(Objects!$Y$4-$A89-1)*Objects!$X$4,0)</f>
        <v>0</v>
      </c>
      <c r="BP89">
        <f ca="1">OFFSET(Objects!$HW$6,BP$1+(Objects!$Y$4-$A89-1)*Objects!$X$4,0)</f>
        <v>0</v>
      </c>
      <c r="BQ89">
        <f ca="1">OFFSET(Objects!$HW$6,BQ$1+(Objects!$Y$4-$A89-1)*Objects!$X$4,0)</f>
        <v>0</v>
      </c>
      <c r="BR89">
        <f ca="1">OFFSET(Objects!$HW$6,BR$1+(Objects!$Y$4-$A89-1)*Objects!$X$4,0)</f>
        <v>0</v>
      </c>
      <c r="BS89">
        <f ca="1">OFFSET(Objects!$HW$6,BS$1+(Objects!$Y$4-$A89-1)*Objects!$X$4,0)</f>
        <v>0</v>
      </c>
      <c r="BT89">
        <f ca="1">OFFSET(Objects!$HW$6,BT$1+(Objects!$Y$4-$A89-1)*Objects!$X$4,0)</f>
        <v>0</v>
      </c>
      <c r="BU89">
        <f ca="1">OFFSET(Objects!$HW$6,BU$1+(Objects!$Y$4-$A89-1)*Objects!$X$4,0)</f>
        <v>0</v>
      </c>
      <c r="BV89">
        <f ca="1">OFFSET(Objects!$HW$6,BV$1+(Objects!$Y$4-$A89-1)*Objects!$X$4,0)</f>
        <v>0</v>
      </c>
      <c r="BW89">
        <f ca="1">OFFSET(Objects!$HW$6,BW$1+(Objects!$Y$4-$A89-1)*Objects!$X$4,0)</f>
        <v>0</v>
      </c>
      <c r="BX89">
        <f ca="1">OFFSET(Objects!$HW$6,BX$1+(Objects!$Y$4-$A89-1)*Objects!$X$4,0)</f>
        <v>0</v>
      </c>
      <c r="BY89">
        <f ca="1">OFFSET(Objects!$HW$6,BY$1+(Objects!$Y$4-$A89-1)*Objects!$X$4,0)</f>
        <v>0</v>
      </c>
      <c r="BZ89">
        <f ca="1">OFFSET(Objects!$HW$6,BZ$1+(Objects!$Y$4-$A89-1)*Objects!$X$4,0)</f>
        <v>0</v>
      </c>
      <c r="CA89">
        <f ca="1">OFFSET(Objects!$HW$6,CA$1+(Objects!$Y$4-$A89-1)*Objects!$X$4,0)</f>
        <v>0</v>
      </c>
      <c r="CB89">
        <f ca="1">OFFSET(Objects!$HW$6,CB$1+(Objects!$Y$4-$A89-1)*Objects!$X$4,0)</f>
        <v>0</v>
      </c>
      <c r="CC89">
        <f ca="1">OFFSET(Objects!$HW$6,CC$1+(Objects!$Y$4-$A89-1)*Objects!$X$4,0)</f>
        <v>0</v>
      </c>
      <c r="CD89">
        <f ca="1">OFFSET(Objects!$HW$6,CD$1+(Objects!$Y$4-$A89-1)*Objects!$X$4,0)</f>
        <v>0</v>
      </c>
      <c r="CE89">
        <f ca="1">OFFSET(Objects!$HW$6,CE$1+(Objects!$Y$4-$A89-1)*Objects!$X$4,0)</f>
        <v>0</v>
      </c>
      <c r="CF89">
        <f ca="1">OFFSET(Objects!$HW$6,CF$1+(Objects!$Y$4-$A89-1)*Objects!$X$4,0)</f>
        <v>0</v>
      </c>
      <c r="CG89">
        <f ca="1">OFFSET(Objects!$HW$6,CG$1+(Objects!$Y$4-$A89-1)*Objects!$X$4,0)</f>
        <v>0</v>
      </c>
      <c r="CH89">
        <f ca="1">OFFSET(Objects!$HW$6,CH$1+(Objects!$Y$4-$A89-1)*Objects!$X$4,0)</f>
        <v>0</v>
      </c>
      <c r="CI89">
        <f ca="1">OFFSET(Objects!$HW$6,CI$1+(Objects!$Y$4-$A89-1)*Objects!$X$4,0)</f>
        <v>0</v>
      </c>
      <c r="CJ89">
        <f ca="1">OFFSET(Objects!$HW$6,CJ$1+(Objects!$Y$4-$A89-1)*Objects!$X$4,0)</f>
        <v>0</v>
      </c>
      <c r="CK89">
        <f ca="1">OFFSET(Objects!$HW$6,CK$1+(Objects!$Y$4-$A89-1)*Objects!$X$4,0)</f>
        <v>0</v>
      </c>
      <c r="CL89">
        <f ca="1">OFFSET(Objects!$HW$6,CL$1+(Objects!$Y$4-$A89-1)*Objects!$X$4,0)</f>
        <v>0</v>
      </c>
      <c r="CM89">
        <f ca="1">OFFSET(Objects!$HW$6,CM$1+(Objects!$Y$4-$A89-1)*Objects!$X$4,0)</f>
        <v>0</v>
      </c>
      <c r="CN89">
        <f ca="1">OFFSET(Objects!$HW$6,CN$1+(Objects!$Y$4-$A89-1)*Objects!$X$4,0)</f>
        <v>0</v>
      </c>
      <c r="CO89">
        <f ca="1">OFFSET(Objects!$HW$6,CO$1+(Objects!$Y$4-$A89-1)*Objects!$X$4,0)</f>
        <v>0</v>
      </c>
      <c r="CP89">
        <f ca="1">OFFSET(Objects!$HW$6,CP$1+(Objects!$Y$4-$A89-1)*Objects!$X$4,0)</f>
        <v>0</v>
      </c>
      <c r="CQ89">
        <f ca="1">OFFSET(Objects!$HW$6,CQ$1+(Objects!$Y$4-$A89-1)*Objects!$X$4,0)</f>
        <v>0</v>
      </c>
      <c r="CR89">
        <f ca="1">OFFSET(Objects!$HW$6,CR$1+(Objects!$Y$4-$A89-1)*Objects!$X$4,0)</f>
        <v>0</v>
      </c>
      <c r="CS89">
        <f ca="1">OFFSET(Objects!$HW$6,CS$1+(Objects!$Y$4-$A89-1)*Objects!$X$4,0)</f>
        <v>0</v>
      </c>
      <c r="CT89">
        <f ca="1">OFFSET(Objects!$HW$6,CT$1+(Objects!$Y$4-$A89-1)*Objects!$X$4,0)</f>
        <v>0</v>
      </c>
      <c r="CU89">
        <f ca="1">OFFSET(Objects!$HW$6,CU$1+(Objects!$Y$4-$A89-1)*Objects!$X$4,0)</f>
        <v>0</v>
      </c>
      <c r="CV89">
        <f ca="1">OFFSET(Objects!$HW$6,CV$1+(Objects!$Y$4-$A89-1)*Objects!$X$4,0)</f>
        <v>0</v>
      </c>
      <c r="CW89">
        <f ca="1">OFFSET(Objects!$HW$6,CW$1+(Objects!$Y$4-$A89-1)*Objects!$X$4,0)</f>
        <v>0</v>
      </c>
      <c r="CX89">
        <f ca="1">OFFSET(Objects!$HW$6,CX$1+(Objects!$Y$4-$A89-1)*Objects!$X$4,0)</f>
        <v>0</v>
      </c>
      <c r="CY89">
        <f ca="1">OFFSET(Objects!$HW$6,CY$1+(Objects!$Y$4-$A89-1)*Objects!$X$4,0)</f>
        <v>0</v>
      </c>
      <c r="CZ89">
        <f ca="1">OFFSET(Objects!$HW$6,CZ$1+(Objects!$Y$4-$A89-1)*Objects!$X$4,0)</f>
        <v>0</v>
      </c>
      <c r="DA89">
        <f ca="1">OFFSET(Objects!$HW$6,DA$1+(Objects!$Y$4-$A89-1)*Objects!$X$4,0)</f>
        <v>0</v>
      </c>
      <c r="DB89">
        <f ca="1">OFFSET(Objects!$HW$6,DB$1+(Objects!$Y$4-$A89-1)*Objects!$X$4,0)</f>
        <v>0</v>
      </c>
      <c r="DC89">
        <f ca="1">OFFSET(Objects!$HW$6,DC$1+(Objects!$Y$4-$A89-1)*Objects!$X$4,0)</f>
        <v>0</v>
      </c>
      <c r="DD89">
        <f ca="1">OFFSET(Objects!$HW$6,DD$1+(Objects!$Y$4-$A89-1)*Objects!$X$4,0)</f>
        <v>0</v>
      </c>
      <c r="DE89">
        <f ca="1">OFFSET(Objects!$HW$6,DE$1+(Objects!$Y$4-$A89-1)*Objects!$X$4,0)</f>
        <v>0</v>
      </c>
      <c r="DF89">
        <f ca="1">OFFSET(Objects!$HW$6,DF$1+(Objects!$Y$4-$A89-1)*Objects!$X$4,0)</f>
        <v>0</v>
      </c>
      <c r="DG89">
        <f ca="1">OFFSET(Objects!$HW$6,DG$1+(Objects!$Y$4-$A89-1)*Objects!$X$4,0)</f>
        <v>0</v>
      </c>
      <c r="DH89">
        <f ca="1">OFFSET(Objects!$HW$6,DH$1+(Objects!$Y$4-$A89-1)*Objects!$X$4,0)</f>
        <v>0</v>
      </c>
      <c r="DI89">
        <f ca="1">OFFSET(Objects!$HW$6,DI$1+(Objects!$Y$4-$A89-1)*Objects!$X$4,0)</f>
        <v>0</v>
      </c>
      <c r="DJ89">
        <f ca="1">OFFSET(Objects!$HW$6,DJ$1+(Objects!$Y$4-$A89-1)*Objects!$X$4,0)</f>
        <v>0</v>
      </c>
      <c r="DK89">
        <f ca="1">OFFSET(Objects!$HW$6,DK$1+(Objects!$Y$4-$A89-1)*Objects!$X$4,0)</f>
        <v>0</v>
      </c>
      <c r="DL89">
        <f ca="1">OFFSET(Objects!$HW$6,DL$1+(Objects!$Y$4-$A89-1)*Objects!$X$4,0)</f>
        <v>0</v>
      </c>
      <c r="DM89">
        <f ca="1">OFFSET(Objects!$HW$6,DM$1+(Objects!$Y$4-$A89-1)*Objects!$X$4,0)</f>
        <v>0</v>
      </c>
      <c r="DN89">
        <f ca="1">OFFSET(Objects!$HW$6,DN$1+(Objects!$Y$4-$A89-1)*Objects!$X$4,0)</f>
        <v>0</v>
      </c>
      <c r="DO89">
        <f ca="1">OFFSET(Objects!$HW$6,DO$1+(Objects!$Y$4-$A89-1)*Objects!$X$4,0)</f>
        <v>0</v>
      </c>
      <c r="DP89">
        <f ca="1">OFFSET(Objects!$HW$6,DP$1+(Objects!$Y$4-$A89-1)*Objects!$X$4,0)</f>
        <v>0</v>
      </c>
      <c r="DQ89">
        <f ca="1">OFFSET(Objects!$HW$6,DQ$1+(Objects!$Y$4-$A89-1)*Objects!$X$4,0)</f>
        <v>0</v>
      </c>
      <c r="DR89">
        <f ca="1">OFFSET(Objects!$HW$6,DR$1+(Objects!$Y$4-$A89-1)*Objects!$X$4,0)</f>
        <v>0</v>
      </c>
      <c r="DS89">
        <f ca="1">OFFSET(Objects!$HW$6,DS$1+(Objects!$Y$4-$A89-1)*Objects!$X$4,0)</f>
        <v>0</v>
      </c>
      <c r="DT89">
        <f ca="1">OFFSET(Objects!$HW$6,DT$1+(Objects!$Y$4-$A89-1)*Objects!$X$4,0)</f>
        <v>0</v>
      </c>
      <c r="DU89">
        <f ca="1">OFFSET(Objects!$HW$6,DU$1+(Objects!$Y$4-$A89-1)*Objects!$X$4,0)</f>
        <v>0</v>
      </c>
      <c r="DV89">
        <f ca="1">OFFSET(Objects!$HW$6,DV$1+(Objects!$Y$4-$A89-1)*Objects!$X$4,0)</f>
        <v>0</v>
      </c>
      <c r="DW89">
        <f ca="1">OFFSET(Objects!$HW$6,DW$1+(Objects!$Y$4-$A89-1)*Objects!$X$4,0)</f>
        <v>0</v>
      </c>
      <c r="DX89">
        <f ca="1">OFFSET(Objects!$HW$6,DX$1+(Objects!$Y$4-$A89-1)*Objects!$X$4,0)</f>
        <v>0</v>
      </c>
      <c r="DY89">
        <f ca="1">OFFSET(Objects!$HW$6,DY$1+(Objects!$Y$4-$A89-1)*Objects!$X$4,0)</f>
        <v>0</v>
      </c>
      <c r="DZ89">
        <f ca="1">OFFSET(Objects!$HW$6,DZ$1+(Objects!$Y$4-$A89-1)*Objects!$X$4,0)</f>
        <v>0</v>
      </c>
      <c r="EA89">
        <f ca="1">OFFSET(Objects!$HW$6,EA$1+(Objects!$Y$4-$A89-1)*Objects!$X$4,0)</f>
        <v>0</v>
      </c>
      <c r="EB89">
        <f ca="1">OFFSET(Objects!$HW$6,EB$1+(Objects!$Y$4-$A89-1)*Objects!$X$4,0)</f>
        <v>0</v>
      </c>
      <c r="EC89">
        <f ca="1">OFFSET(Objects!$HW$6,EC$1+(Objects!$Y$4-$A89-1)*Objects!$X$4,0)</f>
        <v>0</v>
      </c>
      <c r="ED89">
        <f ca="1">OFFSET(Objects!$HW$6,ED$1+(Objects!$Y$4-$A89-1)*Objects!$X$4,0)</f>
        <v>0</v>
      </c>
      <c r="EE89">
        <f ca="1">OFFSET(Objects!$HW$6,EE$1+(Objects!$Y$4-$A89-1)*Objects!$X$4,0)</f>
        <v>0</v>
      </c>
      <c r="EF89">
        <f ca="1">OFFSET(Objects!$HW$6,EF$1+(Objects!$Y$4-$A89-1)*Objects!$X$4,0)</f>
        <v>0</v>
      </c>
      <c r="EG89">
        <f ca="1">OFFSET(Objects!$HW$6,EG$1+(Objects!$Y$4-$A89-1)*Objects!$X$4,0)</f>
        <v>0</v>
      </c>
      <c r="EH89">
        <f ca="1">OFFSET(Objects!$HW$6,EH$1+(Objects!$Y$4-$A89-1)*Objects!$X$4,0)</f>
        <v>0</v>
      </c>
      <c r="EI89">
        <f ca="1">OFFSET(Objects!$HW$6,EI$1+(Objects!$Y$4-$A89-1)*Objects!$X$4,0)</f>
        <v>0</v>
      </c>
      <c r="EJ89">
        <f ca="1">OFFSET(Objects!$HW$6,EJ$1+(Objects!$Y$4-$A89-1)*Objects!$X$4,0)</f>
        <v>0</v>
      </c>
      <c r="EK89">
        <f ca="1">OFFSET(Objects!$HW$6,EK$1+(Objects!$Y$4-$A89-1)*Objects!$X$4,0)</f>
        <v>0</v>
      </c>
      <c r="EL89">
        <f ca="1">OFFSET(Objects!$HW$6,EL$1+(Objects!$Y$4-$A89-1)*Objects!$X$4,0)</f>
        <v>0</v>
      </c>
      <c r="EM89">
        <f ca="1">OFFSET(Objects!$HW$6,EM$1+(Objects!$Y$4-$A89-1)*Objects!$X$4,0)</f>
        <v>0</v>
      </c>
      <c r="EN89">
        <f ca="1">OFFSET(Objects!$HW$6,EN$1+(Objects!$Y$4-$A89-1)*Objects!$X$4,0)</f>
        <v>0</v>
      </c>
      <c r="EO89">
        <f ca="1">OFFSET(Objects!$HW$6,EO$1+(Objects!$Y$4-$A89-1)*Objects!$X$4,0)</f>
        <v>0</v>
      </c>
      <c r="EP89">
        <f ca="1">OFFSET(Objects!$HW$6,EP$1+(Objects!$Y$4-$A89-1)*Objects!$X$4,0)</f>
        <v>0</v>
      </c>
      <c r="EQ89">
        <f ca="1">OFFSET(Objects!$HW$6,EQ$1+(Objects!$Y$4-$A89-1)*Objects!$X$4,0)</f>
        <v>0</v>
      </c>
      <c r="ER89">
        <f ca="1">OFFSET(Objects!$HW$6,ER$1+(Objects!$Y$4-$A89-1)*Objects!$X$4,0)</f>
        <v>0</v>
      </c>
      <c r="ES89">
        <f ca="1">OFFSET(Objects!$HW$6,ES$1+(Objects!$Y$4-$A89-1)*Objects!$X$4,0)</f>
        <v>0</v>
      </c>
      <c r="ET89">
        <f ca="1">OFFSET(Objects!$HW$6,ET$1+(Objects!$Y$4-$A89-1)*Objects!$X$4,0)</f>
        <v>0</v>
      </c>
      <c r="EU89">
        <f ca="1">OFFSET(Objects!$HW$6,EU$1+(Objects!$Y$4-$A89-1)*Objects!$X$4,0)</f>
        <v>0</v>
      </c>
      <c r="EV89">
        <f ca="1">OFFSET(Objects!$HW$6,EV$1+(Objects!$Y$4-$A89-1)*Objects!$X$4,0)</f>
        <v>0</v>
      </c>
      <c r="EW89">
        <f ca="1">OFFSET(Objects!$HW$6,EW$1+(Objects!$Y$4-$A89-1)*Objects!$X$4,0)</f>
        <v>0</v>
      </c>
      <c r="EX89">
        <f ca="1">OFFSET(Objects!$HW$6,EX$1+(Objects!$Y$4-$A89-1)*Objects!$X$4,0)</f>
        <v>0</v>
      </c>
      <c r="EY89">
        <f ca="1">OFFSET(Objects!$HW$6,EY$1+(Objects!$Y$4-$A89-1)*Objects!$X$4,0)</f>
        <v>0</v>
      </c>
      <c r="EZ89">
        <f ca="1">OFFSET(Objects!$HW$6,EZ$1+(Objects!$Y$4-$A89-1)*Objects!$X$4,0)</f>
        <v>0</v>
      </c>
      <c r="FA89">
        <f ca="1">OFFSET(Objects!$HW$6,FA$1+(Objects!$Y$4-$A89-1)*Objects!$X$4,0)</f>
        <v>0</v>
      </c>
      <c r="FB89">
        <f ca="1">OFFSET(Objects!$HW$6,FB$1+(Objects!$Y$4-$A89-1)*Objects!$X$4,0)</f>
        <v>0</v>
      </c>
      <c r="FC89">
        <f ca="1">OFFSET(Objects!$HW$6,FC$1+(Objects!$Y$4-$A89-1)*Objects!$X$4,0)</f>
        <v>0</v>
      </c>
      <c r="FD89">
        <f ca="1">OFFSET(Objects!$HW$6,FD$1+(Objects!$Y$4-$A89-1)*Objects!$X$4,0)</f>
        <v>0</v>
      </c>
      <c r="FE89" s="22">
        <f ca="1">OFFSET(Objects!$HW$6,FE$1+(Objects!$Y$4-$A89-1)*Objects!$X$4,0)</f>
        <v>0</v>
      </c>
    </row>
    <row r="90" spans="1:200" ht="4.5" customHeight="1" x14ac:dyDescent="0.25">
      <c r="A90">
        <v>88</v>
      </c>
      <c r="B90" s="21">
        <f ca="1">OFFSET(Objects!$HW$6,B$1+(Objects!$Y$4-$A90-1)*Objects!$X$4,0)</f>
        <v>0</v>
      </c>
      <c r="C90">
        <f ca="1">OFFSET(Objects!$HW$6,C$1+(Objects!$Y$4-$A90-1)*Objects!$X$4,0)</f>
        <v>0</v>
      </c>
      <c r="D90">
        <f ca="1">OFFSET(Objects!$HW$6,D$1+(Objects!$Y$4-$A90-1)*Objects!$X$4,0)</f>
        <v>0</v>
      </c>
      <c r="E90">
        <f ca="1">OFFSET(Objects!$HW$6,E$1+(Objects!$Y$4-$A90-1)*Objects!$X$4,0)</f>
        <v>0</v>
      </c>
      <c r="F90">
        <f ca="1">OFFSET(Objects!$HW$6,F$1+(Objects!$Y$4-$A90-1)*Objects!$X$4,0)</f>
        <v>0</v>
      </c>
      <c r="G90">
        <f ca="1">OFFSET(Objects!$HW$6,G$1+(Objects!$Y$4-$A90-1)*Objects!$X$4,0)</f>
        <v>0</v>
      </c>
      <c r="H90">
        <f ca="1">OFFSET(Objects!$HW$6,H$1+(Objects!$Y$4-$A90-1)*Objects!$X$4,0)</f>
        <v>0</v>
      </c>
      <c r="I90">
        <f ca="1">OFFSET(Objects!$HW$6,I$1+(Objects!$Y$4-$A90-1)*Objects!$X$4,0)</f>
        <v>0</v>
      </c>
      <c r="J90">
        <f ca="1">OFFSET(Objects!$HW$6,J$1+(Objects!$Y$4-$A90-1)*Objects!$X$4,0)</f>
        <v>0</v>
      </c>
      <c r="K90">
        <f ca="1">OFFSET(Objects!$HW$6,K$1+(Objects!$Y$4-$A90-1)*Objects!$X$4,0)</f>
        <v>0</v>
      </c>
      <c r="L90">
        <f ca="1">OFFSET(Objects!$HW$6,L$1+(Objects!$Y$4-$A90-1)*Objects!$X$4,0)</f>
        <v>0</v>
      </c>
      <c r="M90">
        <f ca="1">OFFSET(Objects!$HW$6,M$1+(Objects!$Y$4-$A90-1)*Objects!$X$4,0)</f>
        <v>0</v>
      </c>
      <c r="N90">
        <f ca="1">OFFSET(Objects!$HW$6,N$1+(Objects!$Y$4-$A90-1)*Objects!$X$4,0)</f>
        <v>0</v>
      </c>
      <c r="O90">
        <f ca="1">OFFSET(Objects!$HW$6,O$1+(Objects!$Y$4-$A90-1)*Objects!$X$4,0)</f>
        <v>0</v>
      </c>
      <c r="P90">
        <f ca="1">OFFSET(Objects!$HW$6,P$1+(Objects!$Y$4-$A90-1)*Objects!$X$4,0)</f>
        <v>0</v>
      </c>
      <c r="Q90">
        <f ca="1">OFFSET(Objects!$HW$6,Q$1+(Objects!$Y$4-$A90-1)*Objects!$X$4,0)</f>
        <v>0</v>
      </c>
      <c r="R90">
        <f ca="1">OFFSET(Objects!$HW$6,R$1+(Objects!$Y$4-$A90-1)*Objects!$X$4,0)</f>
        <v>0</v>
      </c>
      <c r="S90">
        <f ca="1">OFFSET(Objects!$HW$6,S$1+(Objects!$Y$4-$A90-1)*Objects!$X$4,0)</f>
        <v>0</v>
      </c>
      <c r="T90">
        <f ca="1">OFFSET(Objects!$HW$6,T$1+(Objects!$Y$4-$A90-1)*Objects!$X$4,0)</f>
        <v>0</v>
      </c>
      <c r="U90">
        <f ca="1">OFFSET(Objects!$HW$6,U$1+(Objects!$Y$4-$A90-1)*Objects!$X$4,0)</f>
        <v>0</v>
      </c>
      <c r="V90">
        <f ca="1">OFFSET(Objects!$HW$6,V$1+(Objects!$Y$4-$A90-1)*Objects!$X$4,0)</f>
        <v>0</v>
      </c>
      <c r="W90">
        <f ca="1">OFFSET(Objects!$HW$6,W$1+(Objects!$Y$4-$A90-1)*Objects!$X$4,0)</f>
        <v>0</v>
      </c>
      <c r="X90">
        <f ca="1">OFFSET(Objects!$HW$6,X$1+(Objects!$Y$4-$A90-1)*Objects!$X$4,0)</f>
        <v>0</v>
      </c>
      <c r="Y90">
        <f ca="1">OFFSET(Objects!$HW$6,Y$1+(Objects!$Y$4-$A90-1)*Objects!$X$4,0)</f>
        <v>0</v>
      </c>
      <c r="Z90">
        <f ca="1">OFFSET(Objects!$HW$6,Z$1+(Objects!$Y$4-$A90-1)*Objects!$X$4,0)</f>
        <v>0</v>
      </c>
      <c r="AA90">
        <f ca="1">OFFSET(Objects!$HW$6,AA$1+(Objects!$Y$4-$A90-1)*Objects!$X$4,0)</f>
        <v>0</v>
      </c>
      <c r="AB90">
        <f ca="1">OFFSET(Objects!$HW$6,AB$1+(Objects!$Y$4-$A90-1)*Objects!$X$4,0)</f>
        <v>0</v>
      </c>
      <c r="AC90">
        <f ca="1">OFFSET(Objects!$HW$6,AC$1+(Objects!$Y$4-$A90-1)*Objects!$X$4,0)</f>
        <v>0</v>
      </c>
      <c r="AD90">
        <f ca="1">OFFSET(Objects!$HW$6,AD$1+(Objects!$Y$4-$A90-1)*Objects!$X$4,0)</f>
        <v>0</v>
      </c>
      <c r="AE90">
        <f ca="1">OFFSET(Objects!$HW$6,AE$1+(Objects!$Y$4-$A90-1)*Objects!$X$4,0)</f>
        <v>0</v>
      </c>
      <c r="AF90">
        <f ca="1">OFFSET(Objects!$HW$6,AF$1+(Objects!$Y$4-$A90-1)*Objects!$X$4,0)</f>
        <v>0</v>
      </c>
      <c r="AG90">
        <f ca="1">OFFSET(Objects!$HW$6,AG$1+(Objects!$Y$4-$A90-1)*Objects!$X$4,0)</f>
        <v>0</v>
      </c>
      <c r="AH90">
        <f ca="1">OFFSET(Objects!$HW$6,AH$1+(Objects!$Y$4-$A90-1)*Objects!$X$4,0)</f>
        <v>0</v>
      </c>
      <c r="AI90">
        <f ca="1">OFFSET(Objects!$HW$6,AI$1+(Objects!$Y$4-$A90-1)*Objects!$X$4,0)</f>
        <v>0</v>
      </c>
      <c r="AJ90">
        <f ca="1">OFFSET(Objects!$HW$6,AJ$1+(Objects!$Y$4-$A90-1)*Objects!$X$4,0)</f>
        <v>0</v>
      </c>
      <c r="AK90">
        <f ca="1">OFFSET(Objects!$HW$6,AK$1+(Objects!$Y$4-$A90-1)*Objects!$X$4,0)</f>
        <v>0</v>
      </c>
      <c r="AL90">
        <f ca="1">OFFSET(Objects!$HW$6,AL$1+(Objects!$Y$4-$A90-1)*Objects!$X$4,0)</f>
        <v>0</v>
      </c>
      <c r="AM90">
        <f ca="1">OFFSET(Objects!$HW$6,AM$1+(Objects!$Y$4-$A90-1)*Objects!$X$4,0)</f>
        <v>0</v>
      </c>
      <c r="AN90">
        <f ca="1">OFFSET(Objects!$HW$6,AN$1+(Objects!$Y$4-$A90-1)*Objects!$X$4,0)</f>
        <v>0</v>
      </c>
      <c r="AO90">
        <f ca="1">OFFSET(Objects!$HW$6,AO$1+(Objects!$Y$4-$A90-1)*Objects!$X$4,0)</f>
        <v>0</v>
      </c>
      <c r="AP90">
        <f ca="1">OFFSET(Objects!$HW$6,AP$1+(Objects!$Y$4-$A90-1)*Objects!$X$4,0)</f>
        <v>0</v>
      </c>
      <c r="AQ90">
        <f ca="1">OFFSET(Objects!$HW$6,AQ$1+(Objects!$Y$4-$A90-1)*Objects!$X$4,0)</f>
        <v>0</v>
      </c>
      <c r="AR90">
        <f ca="1">OFFSET(Objects!$HW$6,AR$1+(Objects!$Y$4-$A90-1)*Objects!$X$4,0)</f>
        <v>0</v>
      </c>
      <c r="AS90">
        <f ca="1">OFFSET(Objects!$HW$6,AS$1+(Objects!$Y$4-$A90-1)*Objects!$X$4,0)</f>
        <v>0</v>
      </c>
      <c r="AT90">
        <f ca="1">OFFSET(Objects!$HW$6,AT$1+(Objects!$Y$4-$A90-1)*Objects!$X$4,0)</f>
        <v>0</v>
      </c>
      <c r="AU90">
        <f ca="1">OFFSET(Objects!$HW$6,AU$1+(Objects!$Y$4-$A90-1)*Objects!$X$4,0)</f>
        <v>0</v>
      </c>
      <c r="AV90">
        <f ca="1">OFFSET(Objects!$HW$6,AV$1+(Objects!$Y$4-$A90-1)*Objects!$X$4,0)</f>
        <v>0</v>
      </c>
      <c r="AW90">
        <f ca="1">OFFSET(Objects!$HW$6,AW$1+(Objects!$Y$4-$A90-1)*Objects!$X$4,0)</f>
        <v>0</v>
      </c>
      <c r="AX90">
        <f ca="1">OFFSET(Objects!$HW$6,AX$1+(Objects!$Y$4-$A90-1)*Objects!$X$4,0)</f>
        <v>0</v>
      </c>
      <c r="AY90">
        <f ca="1">OFFSET(Objects!$HW$6,AY$1+(Objects!$Y$4-$A90-1)*Objects!$X$4,0)</f>
        <v>0</v>
      </c>
      <c r="AZ90">
        <f ca="1">OFFSET(Objects!$HW$6,AZ$1+(Objects!$Y$4-$A90-1)*Objects!$X$4,0)</f>
        <v>0</v>
      </c>
      <c r="BA90">
        <f ca="1">OFFSET(Objects!$HW$6,BA$1+(Objects!$Y$4-$A90-1)*Objects!$X$4,0)</f>
        <v>0</v>
      </c>
      <c r="BB90">
        <f ca="1">OFFSET(Objects!$HW$6,BB$1+(Objects!$Y$4-$A90-1)*Objects!$X$4,0)</f>
        <v>0</v>
      </c>
      <c r="BC90">
        <f ca="1">OFFSET(Objects!$HW$6,BC$1+(Objects!$Y$4-$A90-1)*Objects!$X$4,0)</f>
        <v>0</v>
      </c>
      <c r="BD90">
        <f ca="1">OFFSET(Objects!$HW$6,BD$1+(Objects!$Y$4-$A90-1)*Objects!$X$4,0)</f>
        <v>0</v>
      </c>
      <c r="BE90">
        <f ca="1">OFFSET(Objects!$HW$6,BE$1+(Objects!$Y$4-$A90-1)*Objects!$X$4,0)</f>
        <v>0</v>
      </c>
      <c r="BF90">
        <f ca="1">OFFSET(Objects!$HW$6,BF$1+(Objects!$Y$4-$A90-1)*Objects!$X$4,0)</f>
        <v>0</v>
      </c>
      <c r="BG90">
        <f ca="1">OFFSET(Objects!$HW$6,BG$1+(Objects!$Y$4-$A90-1)*Objects!$X$4,0)</f>
        <v>0</v>
      </c>
      <c r="BH90">
        <f ca="1">OFFSET(Objects!$HW$6,BH$1+(Objects!$Y$4-$A90-1)*Objects!$X$4,0)</f>
        <v>0</v>
      </c>
      <c r="BI90">
        <f ca="1">OFFSET(Objects!$HW$6,BI$1+(Objects!$Y$4-$A90-1)*Objects!$X$4,0)</f>
        <v>0</v>
      </c>
      <c r="BJ90">
        <f ca="1">OFFSET(Objects!$HW$6,BJ$1+(Objects!$Y$4-$A90-1)*Objects!$X$4,0)</f>
        <v>0</v>
      </c>
      <c r="BK90">
        <f ca="1">OFFSET(Objects!$HW$6,BK$1+(Objects!$Y$4-$A90-1)*Objects!$X$4,0)</f>
        <v>0</v>
      </c>
      <c r="BL90">
        <f ca="1">OFFSET(Objects!$HW$6,BL$1+(Objects!$Y$4-$A90-1)*Objects!$X$4,0)</f>
        <v>0</v>
      </c>
      <c r="BM90">
        <f ca="1">OFFSET(Objects!$HW$6,BM$1+(Objects!$Y$4-$A90-1)*Objects!$X$4,0)</f>
        <v>0</v>
      </c>
      <c r="BN90">
        <f ca="1">OFFSET(Objects!$HW$6,BN$1+(Objects!$Y$4-$A90-1)*Objects!$X$4,0)</f>
        <v>0</v>
      </c>
      <c r="BO90">
        <f ca="1">OFFSET(Objects!$HW$6,BO$1+(Objects!$Y$4-$A90-1)*Objects!$X$4,0)</f>
        <v>0</v>
      </c>
      <c r="BP90">
        <f ca="1">OFFSET(Objects!$HW$6,BP$1+(Objects!$Y$4-$A90-1)*Objects!$X$4,0)</f>
        <v>0</v>
      </c>
      <c r="BQ90">
        <f ca="1">OFFSET(Objects!$HW$6,BQ$1+(Objects!$Y$4-$A90-1)*Objects!$X$4,0)</f>
        <v>0</v>
      </c>
      <c r="BR90">
        <f ca="1">OFFSET(Objects!$HW$6,BR$1+(Objects!$Y$4-$A90-1)*Objects!$X$4,0)</f>
        <v>0</v>
      </c>
      <c r="BS90">
        <f ca="1">OFFSET(Objects!$HW$6,BS$1+(Objects!$Y$4-$A90-1)*Objects!$X$4,0)</f>
        <v>0</v>
      </c>
      <c r="BT90">
        <f ca="1">OFFSET(Objects!$HW$6,BT$1+(Objects!$Y$4-$A90-1)*Objects!$X$4,0)</f>
        <v>0</v>
      </c>
      <c r="BU90">
        <f ca="1">OFFSET(Objects!$HW$6,BU$1+(Objects!$Y$4-$A90-1)*Objects!$X$4,0)</f>
        <v>0</v>
      </c>
      <c r="BV90">
        <f ca="1">OFFSET(Objects!$HW$6,BV$1+(Objects!$Y$4-$A90-1)*Objects!$X$4,0)</f>
        <v>0</v>
      </c>
      <c r="BW90">
        <f ca="1">OFFSET(Objects!$HW$6,BW$1+(Objects!$Y$4-$A90-1)*Objects!$X$4,0)</f>
        <v>0</v>
      </c>
      <c r="BX90">
        <f ca="1">OFFSET(Objects!$HW$6,BX$1+(Objects!$Y$4-$A90-1)*Objects!$X$4,0)</f>
        <v>0</v>
      </c>
      <c r="BY90">
        <f ca="1">OFFSET(Objects!$HW$6,BY$1+(Objects!$Y$4-$A90-1)*Objects!$X$4,0)</f>
        <v>0</v>
      </c>
      <c r="BZ90">
        <f ca="1">OFFSET(Objects!$HW$6,BZ$1+(Objects!$Y$4-$A90-1)*Objects!$X$4,0)</f>
        <v>0</v>
      </c>
      <c r="CA90">
        <f ca="1">OFFSET(Objects!$HW$6,CA$1+(Objects!$Y$4-$A90-1)*Objects!$X$4,0)</f>
        <v>0</v>
      </c>
      <c r="CB90">
        <f ca="1">OFFSET(Objects!$HW$6,CB$1+(Objects!$Y$4-$A90-1)*Objects!$X$4,0)</f>
        <v>0</v>
      </c>
      <c r="CC90">
        <f ca="1">OFFSET(Objects!$HW$6,CC$1+(Objects!$Y$4-$A90-1)*Objects!$X$4,0)</f>
        <v>0</v>
      </c>
      <c r="CD90">
        <f ca="1">OFFSET(Objects!$HW$6,CD$1+(Objects!$Y$4-$A90-1)*Objects!$X$4,0)</f>
        <v>0</v>
      </c>
      <c r="CE90">
        <f ca="1">OFFSET(Objects!$HW$6,CE$1+(Objects!$Y$4-$A90-1)*Objects!$X$4,0)</f>
        <v>0</v>
      </c>
      <c r="CF90">
        <f ca="1">OFFSET(Objects!$HW$6,CF$1+(Objects!$Y$4-$A90-1)*Objects!$X$4,0)</f>
        <v>0</v>
      </c>
      <c r="CG90">
        <f ca="1">OFFSET(Objects!$HW$6,CG$1+(Objects!$Y$4-$A90-1)*Objects!$X$4,0)</f>
        <v>0</v>
      </c>
      <c r="CH90">
        <f ca="1">OFFSET(Objects!$HW$6,CH$1+(Objects!$Y$4-$A90-1)*Objects!$X$4,0)</f>
        <v>0</v>
      </c>
      <c r="CI90">
        <f ca="1">OFFSET(Objects!$HW$6,CI$1+(Objects!$Y$4-$A90-1)*Objects!$X$4,0)</f>
        <v>0</v>
      </c>
      <c r="CJ90">
        <f ca="1">OFFSET(Objects!$HW$6,CJ$1+(Objects!$Y$4-$A90-1)*Objects!$X$4,0)</f>
        <v>0</v>
      </c>
      <c r="CK90">
        <f ca="1">OFFSET(Objects!$HW$6,CK$1+(Objects!$Y$4-$A90-1)*Objects!$X$4,0)</f>
        <v>0</v>
      </c>
      <c r="CL90">
        <f ca="1">OFFSET(Objects!$HW$6,CL$1+(Objects!$Y$4-$A90-1)*Objects!$X$4,0)</f>
        <v>0</v>
      </c>
      <c r="CM90">
        <f ca="1">OFFSET(Objects!$HW$6,CM$1+(Objects!$Y$4-$A90-1)*Objects!$X$4,0)</f>
        <v>0</v>
      </c>
      <c r="CN90">
        <f ca="1">OFFSET(Objects!$HW$6,CN$1+(Objects!$Y$4-$A90-1)*Objects!$X$4,0)</f>
        <v>0</v>
      </c>
      <c r="CO90">
        <f ca="1">OFFSET(Objects!$HW$6,CO$1+(Objects!$Y$4-$A90-1)*Objects!$X$4,0)</f>
        <v>0</v>
      </c>
      <c r="CP90">
        <f ca="1">OFFSET(Objects!$HW$6,CP$1+(Objects!$Y$4-$A90-1)*Objects!$X$4,0)</f>
        <v>0</v>
      </c>
      <c r="CQ90">
        <f ca="1">OFFSET(Objects!$HW$6,CQ$1+(Objects!$Y$4-$A90-1)*Objects!$X$4,0)</f>
        <v>0</v>
      </c>
      <c r="CR90">
        <f ca="1">OFFSET(Objects!$HW$6,CR$1+(Objects!$Y$4-$A90-1)*Objects!$X$4,0)</f>
        <v>0</v>
      </c>
      <c r="CS90">
        <f ca="1">OFFSET(Objects!$HW$6,CS$1+(Objects!$Y$4-$A90-1)*Objects!$X$4,0)</f>
        <v>0</v>
      </c>
      <c r="CT90">
        <f ca="1">OFFSET(Objects!$HW$6,CT$1+(Objects!$Y$4-$A90-1)*Objects!$X$4,0)</f>
        <v>0</v>
      </c>
      <c r="CU90">
        <f ca="1">OFFSET(Objects!$HW$6,CU$1+(Objects!$Y$4-$A90-1)*Objects!$X$4,0)</f>
        <v>0</v>
      </c>
      <c r="CV90">
        <f ca="1">OFFSET(Objects!$HW$6,CV$1+(Objects!$Y$4-$A90-1)*Objects!$X$4,0)</f>
        <v>0</v>
      </c>
      <c r="CW90">
        <f ca="1">OFFSET(Objects!$HW$6,CW$1+(Objects!$Y$4-$A90-1)*Objects!$X$4,0)</f>
        <v>0</v>
      </c>
      <c r="CX90">
        <f ca="1">OFFSET(Objects!$HW$6,CX$1+(Objects!$Y$4-$A90-1)*Objects!$X$4,0)</f>
        <v>0</v>
      </c>
      <c r="CY90">
        <f ca="1">OFFSET(Objects!$HW$6,CY$1+(Objects!$Y$4-$A90-1)*Objects!$X$4,0)</f>
        <v>0</v>
      </c>
      <c r="CZ90">
        <f ca="1">OFFSET(Objects!$HW$6,CZ$1+(Objects!$Y$4-$A90-1)*Objects!$X$4,0)</f>
        <v>0</v>
      </c>
      <c r="DA90">
        <f ca="1">OFFSET(Objects!$HW$6,DA$1+(Objects!$Y$4-$A90-1)*Objects!$X$4,0)</f>
        <v>0</v>
      </c>
      <c r="DB90">
        <f ca="1">OFFSET(Objects!$HW$6,DB$1+(Objects!$Y$4-$A90-1)*Objects!$X$4,0)</f>
        <v>0</v>
      </c>
      <c r="DC90">
        <f ca="1">OFFSET(Objects!$HW$6,DC$1+(Objects!$Y$4-$A90-1)*Objects!$X$4,0)</f>
        <v>0</v>
      </c>
      <c r="DD90">
        <f ca="1">OFFSET(Objects!$HW$6,DD$1+(Objects!$Y$4-$A90-1)*Objects!$X$4,0)</f>
        <v>0</v>
      </c>
      <c r="DE90">
        <f ca="1">OFFSET(Objects!$HW$6,DE$1+(Objects!$Y$4-$A90-1)*Objects!$X$4,0)</f>
        <v>0</v>
      </c>
      <c r="DF90">
        <f ca="1">OFFSET(Objects!$HW$6,DF$1+(Objects!$Y$4-$A90-1)*Objects!$X$4,0)</f>
        <v>0</v>
      </c>
      <c r="DG90">
        <f ca="1">OFFSET(Objects!$HW$6,DG$1+(Objects!$Y$4-$A90-1)*Objects!$X$4,0)</f>
        <v>0</v>
      </c>
      <c r="DH90">
        <f ca="1">OFFSET(Objects!$HW$6,DH$1+(Objects!$Y$4-$A90-1)*Objects!$X$4,0)</f>
        <v>0</v>
      </c>
      <c r="DI90">
        <f ca="1">OFFSET(Objects!$HW$6,DI$1+(Objects!$Y$4-$A90-1)*Objects!$X$4,0)</f>
        <v>0</v>
      </c>
      <c r="DJ90">
        <f ca="1">OFFSET(Objects!$HW$6,DJ$1+(Objects!$Y$4-$A90-1)*Objects!$X$4,0)</f>
        <v>0</v>
      </c>
      <c r="DK90">
        <f ca="1">OFFSET(Objects!$HW$6,DK$1+(Objects!$Y$4-$A90-1)*Objects!$X$4,0)</f>
        <v>0</v>
      </c>
      <c r="DL90">
        <f ca="1">OFFSET(Objects!$HW$6,DL$1+(Objects!$Y$4-$A90-1)*Objects!$X$4,0)</f>
        <v>0</v>
      </c>
      <c r="DM90">
        <f ca="1">OFFSET(Objects!$HW$6,DM$1+(Objects!$Y$4-$A90-1)*Objects!$X$4,0)</f>
        <v>0</v>
      </c>
      <c r="DN90">
        <f ca="1">OFFSET(Objects!$HW$6,DN$1+(Objects!$Y$4-$A90-1)*Objects!$X$4,0)</f>
        <v>0</v>
      </c>
      <c r="DO90">
        <f ca="1">OFFSET(Objects!$HW$6,DO$1+(Objects!$Y$4-$A90-1)*Objects!$X$4,0)</f>
        <v>0</v>
      </c>
      <c r="DP90">
        <f ca="1">OFFSET(Objects!$HW$6,DP$1+(Objects!$Y$4-$A90-1)*Objects!$X$4,0)</f>
        <v>0</v>
      </c>
      <c r="DQ90">
        <f ca="1">OFFSET(Objects!$HW$6,DQ$1+(Objects!$Y$4-$A90-1)*Objects!$X$4,0)</f>
        <v>0</v>
      </c>
      <c r="DR90">
        <f ca="1">OFFSET(Objects!$HW$6,DR$1+(Objects!$Y$4-$A90-1)*Objects!$X$4,0)</f>
        <v>0</v>
      </c>
      <c r="DS90">
        <f ca="1">OFFSET(Objects!$HW$6,DS$1+(Objects!$Y$4-$A90-1)*Objects!$X$4,0)</f>
        <v>0</v>
      </c>
      <c r="DT90">
        <f ca="1">OFFSET(Objects!$HW$6,DT$1+(Objects!$Y$4-$A90-1)*Objects!$X$4,0)</f>
        <v>0</v>
      </c>
      <c r="DU90">
        <f ca="1">OFFSET(Objects!$HW$6,DU$1+(Objects!$Y$4-$A90-1)*Objects!$X$4,0)</f>
        <v>0</v>
      </c>
      <c r="DV90">
        <f ca="1">OFFSET(Objects!$HW$6,DV$1+(Objects!$Y$4-$A90-1)*Objects!$X$4,0)</f>
        <v>0</v>
      </c>
      <c r="DW90">
        <f ca="1">OFFSET(Objects!$HW$6,DW$1+(Objects!$Y$4-$A90-1)*Objects!$X$4,0)</f>
        <v>0</v>
      </c>
      <c r="DX90">
        <f ca="1">OFFSET(Objects!$HW$6,DX$1+(Objects!$Y$4-$A90-1)*Objects!$X$4,0)</f>
        <v>0</v>
      </c>
      <c r="DY90">
        <f ca="1">OFFSET(Objects!$HW$6,DY$1+(Objects!$Y$4-$A90-1)*Objects!$X$4,0)</f>
        <v>0</v>
      </c>
      <c r="DZ90">
        <f ca="1">OFFSET(Objects!$HW$6,DZ$1+(Objects!$Y$4-$A90-1)*Objects!$X$4,0)</f>
        <v>0</v>
      </c>
      <c r="EA90">
        <f ca="1">OFFSET(Objects!$HW$6,EA$1+(Objects!$Y$4-$A90-1)*Objects!$X$4,0)</f>
        <v>0</v>
      </c>
      <c r="EB90">
        <f ca="1">OFFSET(Objects!$HW$6,EB$1+(Objects!$Y$4-$A90-1)*Objects!$X$4,0)</f>
        <v>0</v>
      </c>
      <c r="EC90">
        <f ca="1">OFFSET(Objects!$HW$6,EC$1+(Objects!$Y$4-$A90-1)*Objects!$X$4,0)</f>
        <v>0</v>
      </c>
      <c r="ED90">
        <f ca="1">OFFSET(Objects!$HW$6,ED$1+(Objects!$Y$4-$A90-1)*Objects!$X$4,0)</f>
        <v>0</v>
      </c>
      <c r="EE90">
        <f ca="1">OFFSET(Objects!$HW$6,EE$1+(Objects!$Y$4-$A90-1)*Objects!$X$4,0)</f>
        <v>0</v>
      </c>
      <c r="EF90">
        <f ca="1">OFFSET(Objects!$HW$6,EF$1+(Objects!$Y$4-$A90-1)*Objects!$X$4,0)</f>
        <v>0</v>
      </c>
      <c r="EG90">
        <f ca="1">OFFSET(Objects!$HW$6,EG$1+(Objects!$Y$4-$A90-1)*Objects!$X$4,0)</f>
        <v>0</v>
      </c>
      <c r="EH90">
        <f ca="1">OFFSET(Objects!$HW$6,EH$1+(Objects!$Y$4-$A90-1)*Objects!$X$4,0)</f>
        <v>0</v>
      </c>
      <c r="EI90">
        <f ca="1">OFFSET(Objects!$HW$6,EI$1+(Objects!$Y$4-$A90-1)*Objects!$X$4,0)</f>
        <v>0</v>
      </c>
      <c r="EJ90">
        <f ca="1">OFFSET(Objects!$HW$6,EJ$1+(Objects!$Y$4-$A90-1)*Objects!$X$4,0)</f>
        <v>0</v>
      </c>
      <c r="EK90">
        <f ca="1">OFFSET(Objects!$HW$6,EK$1+(Objects!$Y$4-$A90-1)*Objects!$X$4,0)</f>
        <v>0</v>
      </c>
      <c r="EL90">
        <f ca="1">OFFSET(Objects!$HW$6,EL$1+(Objects!$Y$4-$A90-1)*Objects!$X$4,0)</f>
        <v>0</v>
      </c>
      <c r="EM90">
        <f ca="1">OFFSET(Objects!$HW$6,EM$1+(Objects!$Y$4-$A90-1)*Objects!$X$4,0)</f>
        <v>0</v>
      </c>
      <c r="EN90">
        <f ca="1">OFFSET(Objects!$HW$6,EN$1+(Objects!$Y$4-$A90-1)*Objects!$X$4,0)</f>
        <v>0</v>
      </c>
      <c r="EO90">
        <f ca="1">OFFSET(Objects!$HW$6,EO$1+(Objects!$Y$4-$A90-1)*Objects!$X$4,0)</f>
        <v>0</v>
      </c>
      <c r="EP90">
        <f ca="1">OFFSET(Objects!$HW$6,EP$1+(Objects!$Y$4-$A90-1)*Objects!$X$4,0)</f>
        <v>0</v>
      </c>
      <c r="EQ90">
        <f ca="1">OFFSET(Objects!$HW$6,EQ$1+(Objects!$Y$4-$A90-1)*Objects!$X$4,0)</f>
        <v>0</v>
      </c>
      <c r="ER90">
        <f ca="1">OFFSET(Objects!$HW$6,ER$1+(Objects!$Y$4-$A90-1)*Objects!$X$4,0)</f>
        <v>0</v>
      </c>
      <c r="ES90">
        <f ca="1">OFFSET(Objects!$HW$6,ES$1+(Objects!$Y$4-$A90-1)*Objects!$X$4,0)</f>
        <v>0</v>
      </c>
      <c r="ET90">
        <f ca="1">OFFSET(Objects!$HW$6,ET$1+(Objects!$Y$4-$A90-1)*Objects!$X$4,0)</f>
        <v>0</v>
      </c>
      <c r="EU90">
        <f ca="1">OFFSET(Objects!$HW$6,EU$1+(Objects!$Y$4-$A90-1)*Objects!$X$4,0)</f>
        <v>0</v>
      </c>
      <c r="EV90">
        <f ca="1">OFFSET(Objects!$HW$6,EV$1+(Objects!$Y$4-$A90-1)*Objects!$X$4,0)</f>
        <v>0</v>
      </c>
      <c r="EW90">
        <f ca="1">OFFSET(Objects!$HW$6,EW$1+(Objects!$Y$4-$A90-1)*Objects!$X$4,0)</f>
        <v>0</v>
      </c>
      <c r="EX90">
        <f ca="1">OFFSET(Objects!$HW$6,EX$1+(Objects!$Y$4-$A90-1)*Objects!$X$4,0)</f>
        <v>0</v>
      </c>
      <c r="EY90">
        <f ca="1">OFFSET(Objects!$HW$6,EY$1+(Objects!$Y$4-$A90-1)*Objects!$X$4,0)</f>
        <v>0</v>
      </c>
      <c r="EZ90">
        <f ca="1">OFFSET(Objects!$HW$6,EZ$1+(Objects!$Y$4-$A90-1)*Objects!$X$4,0)</f>
        <v>0</v>
      </c>
      <c r="FA90">
        <f ca="1">OFFSET(Objects!$HW$6,FA$1+(Objects!$Y$4-$A90-1)*Objects!$X$4,0)</f>
        <v>0</v>
      </c>
      <c r="FB90">
        <f ca="1">OFFSET(Objects!$HW$6,FB$1+(Objects!$Y$4-$A90-1)*Objects!$X$4,0)</f>
        <v>0</v>
      </c>
      <c r="FC90">
        <f ca="1">OFFSET(Objects!$HW$6,FC$1+(Objects!$Y$4-$A90-1)*Objects!$X$4,0)</f>
        <v>0</v>
      </c>
      <c r="FD90">
        <f ca="1">OFFSET(Objects!$HW$6,FD$1+(Objects!$Y$4-$A90-1)*Objects!$X$4,0)</f>
        <v>0</v>
      </c>
      <c r="FE90" s="22">
        <f ca="1">OFFSET(Objects!$HW$6,FE$1+(Objects!$Y$4-$A90-1)*Objects!$X$4,0)</f>
        <v>0</v>
      </c>
    </row>
    <row r="91" spans="1:200" ht="4.5" customHeight="1" thickBot="1" x14ac:dyDescent="0.3">
      <c r="A91">
        <v>89</v>
      </c>
      <c r="B91" s="23">
        <f ca="1">OFFSET(Objects!$HW$6,B$1+(Objects!$Y$4-$A91-1)*Objects!$X$4,0)</f>
        <v>0.73735724778202061</v>
      </c>
      <c r="C91" s="24">
        <f ca="1">OFFSET(Objects!$HW$6,C$1+(Objects!$Y$4-$A91-1)*Objects!$X$4,0)</f>
        <v>0.73646222248648008</v>
      </c>
      <c r="D91" s="24">
        <f ca="1">OFFSET(Objects!$HW$6,D$1+(Objects!$Y$4-$A91-1)*Objects!$X$4,0)</f>
        <v>0.73556722038945144</v>
      </c>
      <c r="E91" s="24">
        <f ca="1">OFFSET(Objects!$HW$6,E$1+(Objects!$Y$4-$A91-1)*Objects!$X$4,0)</f>
        <v>0.73467225606907272</v>
      </c>
      <c r="F91" s="24">
        <f ca="1">OFFSET(Objects!$HW$6,F$1+(Objects!$Y$4-$A91-1)*Objects!$X$4,0)</f>
        <v>0.73377734396263872</v>
      </c>
      <c r="G91" s="24">
        <f ca="1">OFFSET(Objects!$HW$6,G$1+(Objects!$Y$4-$A91-1)*Objects!$X$4,0)</f>
        <v>0.73288249836730979</v>
      </c>
      <c r="H91" s="24">
        <f ca="1">OFFSET(Objects!$HW$6,H$1+(Objects!$Y$4-$A91-1)*Objects!$X$4,0)</f>
        <v>0.7319877334407946</v>
      </c>
      <c r="I91" s="24">
        <f ca="1">OFFSET(Objects!$HW$6,I$1+(Objects!$Y$4-$A91-1)*Objects!$X$4,0)</f>
        <v>0.73109306320203837</v>
      </c>
      <c r="J91" s="24">
        <f ca="1">OFFSET(Objects!$HW$6,J$1+(Objects!$Y$4-$A91-1)*Objects!$X$4,0)</f>
        <v>0.73019850153192878</v>
      </c>
      <c r="K91" s="24">
        <f ca="1">OFFSET(Objects!$HW$6,K$1+(Objects!$Y$4-$A91-1)*Objects!$X$4,0)</f>
        <v>0.72930406217399479</v>
      </c>
      <c r="L91" s="24">
        <f ca="1">OFFSET(Objects!$HW$6,L$1+(Objects!$Y$4-$A91-1)*Objects!$X$4,0)</f>
        <v>0.72840975873512781</v>
      </c>
      <c r="M91" s="24">
        <f ca="1">OFFSET(Objects!$HW$6,M$1+(Objects!$Y$4-$A91-1)*Objects!$X$4,0)</f>
        <v>0.72751560468627519</v>
      </c>
      <c r="N91" s="24">
        <f ca="1">OFFSET(Objects!$HW$6,N$1+(Objects!$Y$4-$A91-1)*Objects!$X$4,0)</f>
        <v>0.72662161336316888</v>
      </c>
      <c r="O91" s="24">
        <f ca="1">OFFSET(Objects!$HW$6,O$1+(Objects!$Y$4-$A91-1)*Objects!$X$4,0)</f>
        <v>0.72572779796705211</v>
      </c>
      <c r="P91" s="24">
        <f ca="1">OFFSET(Objects!$HW$6,P$1+(Objects!$Y$4-$A91-1)*Objects!$X$4,0)</f>
        <v>0.72483417156538765</v>
      </c>
      <c r="Q91" s="24">
        <f ca="1">OFFSET(Objects!$HW$6,Q$1+(Objects!$Y$4-$A91-1)*Objects!$X$4,0)</f>
        <v>0.72394074709258527</v>
      </c>
      <c r="R91" s="24">
        <f ca="1">OFFSET(Objects!$HW$6,R$1+(Objects!$Y$4-$A91-1)*Objects!$X$4,0)</f>
        <v>0.72304753735074845</v>
      </c>
      <c r="S91" s="24">
        <f ca="1">OFFSET(Objects!$HW$6,S$1+(Objects!$Y$4-$A91-1)*Objects!$X$4,0)</f>
        <v>0.72215455501040227</v>
      </c>
      <c r="T91" s="24">
        <f ca="1">OFFSET(Objects!$HW$6,T$1+(Objects!$Y$4-$A91-1)*Objects!$X$4,0)</f>
        <v>0.7212618126112178</v>
      </c>
      <c r="U91" s="24">
        <f ca="1">OFFSET(Objects!$HW$6,U$1+(Objects!$Y$4-$A91-1)*Objects!$X$4,0)</f>
        <v>0</v>
      </c>
      <c r="V91" s="24">
        <f ca="1">OFFSET(Objects!$HW$6,V$1+(Objects!$Y$4-$A91-1)*Objects!$X$4,0)</f>
        <v>0</v>
      </c>
      <c r="W91" s="24">
        <f ca="1">OFFSET(Objects!$HW$6,W$1+(Objects!$Y$4-$A91-1)*Objects!$X$4,0)</f>
        <v>0</v>
      </c>
      <c r="X91" s="24">
        <f ca="1">OFFSET(Objects!$HW$6,X$1+(Objects!$Y$4-$A91-1)*Objects!$X$4,0)</f>
        <v>0</v>
      </c>
      <c r="Y91" s="24">
        <f ca="1">OFFSET(Objects!$HW$6,Y$1+(Objects!$Y$4-$A91-1)*Objects!$X$4,0)</f>
        <v>0</v>
      </c>
      <c r="Z91" s="24">
        <f ca="1">OFFSET(Objects!$HW$6,Z$1+(Objects!$Y$4-$A91-1)*Objects!$X$4,0)</f>
        <v>0</v>
      </c>
      <c r="AA91" s="24">
        <f ca="1">OFFSET(Objects!$HW$6,AA$1+(Objects!$Y$4-$A91-1)*Objects!$X$4,0)</f>
        <v>0</v>
      </c>
      <c r="AB91" s="24">
        <f ca="1">OFFSET(Objects!$HW$6,AB$1+(Objects!$Y$4-$A91-1)*Objects!$X$4,0)</f>
        <v>0</v>
      </c>
      <c r="AC91" s="24">
        <f ca="1">OFFSET(Objects!$HW$6,AC$1+(Objects!$Y$4-$A91-1)*Objects!$X$4,0)</f>
        <v>0</v>
      </c>
      <c r="AD91" s="24">
        <f ca="1">OFFSET(Objects!$HW$6,AD$1+(Objects!$Y$4-$A91-1)*Objects!$X$4,0)</f>
        <v>0</v>
      </c>
      <c r="AE91" s="24">
        <f ca="1">OFFSET(Objects!$HW$6,AE$1+(Objects!$Y$4-$A91-1)*Objects!$X$4,0)</f>
        <v>0</v>
      </c>
      <c r="AF91" s="24">
        <f ca="1">OFFSET(Objects!$HW$6,AF$1+(Objects!$Y$4-$A91-1)*Objects!$X$4,0)</f>
        <v>0</v>
      </c>
      <c r="AG91" s="24">
        <f ca="1">OFFSET(Objects!$HW$6,AG$1+(Objects!$Y$4-$A91-1)*Objects!$X$4,0)</f>
        <v>0</v>
      </c>
      <c r="AH91" s="24">
        <f ca="1">OFFSET(Objects!$HW$6,AH$1+(Objects!$Y$4-$A91-1)*Objects!$X$4,0)</f>
        <v>0</v>
      </c>
      <c r="AI91" s="24">
        <f ca="1">OFFSET(Objects!$HW$6,AI$1+(Objects!$Y$4-$A91-1)*Objects!$X$4,0)</f>
        <v>0</v>
      </c>
      <c r="AJ91" s="24">
        <f ca="1">OFFSET(Objects!$HW$6,AJ$1+(Objects!$Y$4-$A91-1)*Objects!$X$4,0)</f>
        <v>0</v>
      </c>
      <c r="AK91" s="24">
        <f ca="1">OFFSET(Objects!$HW$6,AK$1+(Objects!$Y$4-$A91-1)*Objects!$X$4,0)</f>
        <v>0</v>
      </c>
      <c r="AL91" s="24">
        <f ca="1">OFFSET(Objects!$HW$6,AL$1+(Objects!$Y$4-$A91-1)*Objects!$X$4,0)</f>
        <v>0</v>
      </c>
      <c r="AM91" s="24">
        <f ca="1">OFFSET(Objects!$HW$6,AM$1+(Objects!$Y$4-$A91-1)*Objects!$X$4,0)</f>
        <v>0</v>
      </c>
      <c r="AN91" s="24">
        <f ca="1">OFFSET(Objects!$HW$6,AN$1+(Objects!$Y$4-$A91-1)*Objects!$X$4,0)</f>
        <v>0</v>
      </c>
      <c r="AO91" s="24">
        <f ca="1">OFFSET(Objects!$HW$6,AO$1+(Objects!$Y$4-$A91-1)*Objects!$X$4,0)</f>
        <v>0</v>
      </c>
      <c r="AP91" s="24">
        <f ca="1">OFFSET(Objects!$HW$6,AP$1+(Objects!$Y$4-$A91-1)*Objects!$X$4,0)</f>
        <v>0</v>
      </c>
      <c r="AQ91" s="24">
        <f ca="1">OFFSET(Objects!$HW$6,AQ$1+(Objects!$Y$4-$A91-1)*Objects!$X$4,0)</f>
        <v>0</v>
      </c>
      <c r="AR91" s="24">
        <f ca="1">OFFSET(Objects!$HW$6,AR$1+(Objects!$Y$4-$A91-1)*Objects!$X$4,0)</f>
        <v>0</v>
      </c>
      <c r="AS91" s="24">
        <f ca="1">OFFSET(Objects!$HW$6,AS$1+(Objects!$Y$4-$A91-1)*Objects!$X$4,0)</f>
        <v>0</v>
      </c>
      <c r="AT91" s="24">
        <f ca="1">OFFSET(Objects!$HW$6,AT$1+(Objects!$Y$4-$A91-1)*Objects!$X$4,0)</f>
        <v>0</v>
      </c>
      <c r="AU91" s="24">
        <f ca="1">OFFSET(Objects!$HW$6,AU$1+(Objects!$Y$4-$A91-1)*Objects!$X$4,0)</f>
        <v>0</v>
      </c>
      <c r="AV91" s="24">
        <f ca="1">OFFSET(Objects!$HW$6,AV$1+(Objects!$Y$4-$A91-1)*Objects!$X$4,0)</f>
        <v>0</v>
      </c>
      <c r="AW91" s="24">
        <f ca="1">OFFSET(Objects!$HW$6,AW$1+(Objects!$Y$4-$A91-1)*Objects!$X$4,0)</f>
        <v>0</v>
      </c>
      <c r="AX91" s="24">
        <f ca="1">OFFSET(Objects!$HW$6,AX$1+(Objects!$Y$4-$A91-1)*Objects!$X$4,0)</f>
        <v>0</v>
      </c>
      <c r="AY91" s="24">
        <f ca="1">OFFSET(Objects!$HW$6,AY$1+(Objects!$Y$4-$A91-1)*Objects!$X$4,0)</f>
        <v>0</v>
      </c>
      <c r="AZ91" s="24">
        <f ca="1">OFFSET(Objects!$HW$6,AZ$1+(Objects!$Y$4-$A91-1)*Objects!$X$4,0)</f>
        <v>0</v>
      </c>
      <c r="BA91" s="24">
        <f ca="1">OFFSET(Objects!$HW$6,BA$1+(Objects!$Y$4-$A91-1)*Objects!$X$4,0)</f>
        <v>0</v>
      </c>
      <c r="BB91" s="24">
        <f ca="1">OFFSET(Objects!$HW$6,BB$1+(Objects!$Y$4-$A91-1)*Objects!$X$4,0)</f>
        <v>0</v>
      </c>
      <c r="BC91" s="24">
        <f ca="1">OFFSET(Objects!$HW$6,BC$1+(Objects!$Y$4-$A91-1)*Objects!$X$4,0)</f>
        <v>0</v>
      </c>
      <c r="BD91" s="24">
        <f ca="1">OFFSET(Objects!$HW$6,BD$1+(Objects!$Y$4-$A91-1)*Objects!$X$4,0)</f>
        <v>0</v>
      </c>
      <c r="BE91" s="24">
        <f ca="1">OFFSET(Objects!$HW$6,BE$1+(Objects!$Y$4-$A91-1)*Objects!$X$4,0)</f>
        <v>0</v>
      </c>
      <c r="BF91" s="24">
        <f ca="1">OFFSET(Objects!$HW$6,BF$1+(Objects!$Y$4-$A91-1)*Objects!$X$4,0)</f>
        <v>0</v>
      </c>
      <c r="BG91" s="24">
        <f ca="1">OFFSET(Objects!$HW$6,BG$1+(Objects!$Y$4-$A91-1)*Objects!$X$4,0)</f>
        <v>0</v>
      </c>
      <c r="BH91" s="24">
        <f ca="1">OFFSET(Objects!$HW$6,BH$1+(Objects!$Y$4-$A91-1)*Objects!$X$4,0)</f>
        <v>0</v>
      </c>
      <c r="BI91" s="24">
        <f ca="1">OFFSET(Objects!$HW$6,BI$1+(Objects!$Y$4-$A91-1)*Objects!$X$4,0)</f>
        <v>0</v>
      </c>
      <c r="BJ91" s="24">
        <f ca="1">OFFSET(Objects!$HW$6,BJ$1+(Objects!$Y$4-$A91-1)*Objects!$X$4,0)</f>
        <v>0</v>
      </c>
      <c r="BK91" s="24">
        <f ca="1">OFFSET(Objects!$HW$6,BK$1+(Objects!$Y$4-$A91-1)*Objects!$X$4,0)</f>
        <v>0</v>
      </c>
      <c r="BL91" s="24">
        <f ca="1">OFFSET(Objects!$HW$6,BL$1+(Objects!$Y$4-$A91-1)*Objects!$X$4,0)</f>
        <v>0</v>
      </c>
      <c r="BM91" s="24">
        <f ca="1">OFFSET(Objects!$HW$6,BM$1+(Objects!$Y$4-$A91-1)*Objects!$X$4,0)</f>
        <v>0</v>
      </c>
      <c r="BN91" s="24">
        <f ca="1">OFFSET(Objects!$HW$6,BN$1+(Objects!$Y$4-$A91-1)*Objects!$X$4,0)</f>
        <v>0</v>
      </c>
      <c r="BO91" s="24">
        <f ca="1">OFFSET(Objects!$HW$6,BO$1+(Objects!$Y$4-$A91-1)*Objects!$X$4,0)</f>
        <v>0</v>
      </c>
      <c r="BP91" s="24">
        <f ca="1">OFFSET(Objects!$HW$6,BP$1+(Objects!$Y$4-$A91-1)*Objects!$X$4,0)</f>
        <v>0</v>
      </c>
      <c r="BQ91" s="24">
        <f ca="1">OFFSET(Objects!$HW$6,BQ$1+(Objects!$Y$4-$A91-1)*Objects!$X$4,0)</f>
        <v>0</v>
      </c>
      <c r="BR91" s="24">
        <f ca="1">OFFSET(Objects!$HW$6,BR$1+(Objects!$Y$4-$A91-1)*Objects!$X$4,0)</f>
        <v>0</v>
      </c>
      <c r="BS91" s="24">
        <f ca="1">OFFSET(Objects!$HW$6,BS$1+(Objects!$Y$4-$A91-1)*Objects!$X$4,0)</f>
        <v>0</v>
      </c>
      <c r="BT91" s="24">
        <f ca="1">OFFSET(Objects!$HW$6,BT$1+(Objects!$Y$4-$A91-1)*Objects!$X$4,0)</f>
        <v>0</v>
      </c>
      <c r="BU91" s="24">
        <f ca="1">OFFSET(Objects!$HW$6,BU$1+(Objects!$Y$4-$A91-1)*Objects!$X$4,0)</f>
        <v>0</v>
      </c>
      <c r="BV91" s="24">
        <f ca="1">OFFSET(Objects!$HW$6,BV$1+(Objects!$Y$4-$A91-1)*Objects!$X$4,0)</f>
        <v>0</v>
      </c>
      <c r="BW91" s="24">
        <f ca="1">OFFSET(Objects!$HW$6,BW$1+(Objects!$Y$4-$A91-1)*Objects!$X$4,0)</f>
        <v>0</v>
      </c>
      <c r="BX91" s="24">
        <f ca="1">OFFSET(Objects!$HW$6,BX$1+(Objects!$Y$4-$A91-1)*Objects!$X$4,0)</f>
        <v>0</v>
      </c>
      <c r="BY91" s="24">
        <f ca="1">OFFSET(Objects!$HW$6,BY$1+(Objects!$Y$4-$A91-1)*Objects!$X$4,0)</f>
        <v>0</v>
      </c>
      <c r="BZ91" s="24">
        <f ca="1">OFFSET(Objects!$HW$6,BZ$1+(Objects!$Y$4-$A91-1)*Objects!$X$4,0)</f>
        <v>0</v>
      </c>
      <c r="CA91" s="24">
        <f ca="1">OFFSET(Objects!$HW$6,CA$1+(Objects!$Y$4-$A91-1)*Objects!$X$4,0)</f>
        <v>0</v>
      </c>
      <c r="CB91" s="24">
        <f ca="1">OFFSET(Objects!$HW$6,CB$1+(Objects!$Y$4-$A91-1)*Objects!$X$4,0)</f>
        <v>0</v>
      </c>
      <c r="CC91" s="24">
        <f ca="1">OFFSET(Objects!$HW$6,CC$1+(Objects!$Y$4-$A91-1)*Objects!$X$4,0)</f>
        <v>0</v>
      </c>
      <c r="CD91" s="24">
        <f ca="1">OFFSET(Objects!$HW$6,CD$1+(Objects!$Y$4-$A91-1)*Objects!$X$4,0)</f>
        <v>0</v>
      </c>
      <c r="CE91" s="24">
        <f ca="1">OFFSET(Objects!$HW$6,CE$1+(Objects!$Y$4-$A91-1)*Objects!$X$4,0)</f>
        <v>0</v>
      </c>
      <c r="CF91" s="24">
        <f ca="1">OFFSET(Objects!$HW$6,CF$1+(Objects!$Y$4-$A91-1)*Objects!$X$4,0)</f>
        <v>0</v>
      </c>
      <c r="CG91" s="24">
        <f ca="1">OFFSET(Objects!$HW$6,CG$1+(Objects!$Y$4-$A91-1)*Objects!$X$4,0)</f>
        <v>0</v>
      </c>
      <c r="CH91" s="24">
        <f ca="1">OFFSET(Objects!$HW$6,CH$1+(Objects!$Y$4-$A91-1)*Objects!$X$4,0)</f>
        <v>0</v>
      </c>
      <c r="CI91" s="24">
        <f ca="1">OFFSET(Objects!$HW$6,CI$1+(Objects!$Y$4-$A91-1)*Objects!$X$4,0)</f>
        <v>0</v>
      </c>
      <c r="CJ91" s="24">
        <f ca="1">OFFSET(Objects!$HW$6,CJ$1+(Objects!$Y$4-$A91-1)*Objects!$X$4,0)</f>
        <v>0</v>
      </c>
      <c r="CK91" s="24">
        <f ca="1">OFFSET(Objects!$HW$6,CK$1+(Objects!$Y$4-$A91-1)*Objects!$X$4,0)</f>
        <v>0</v>
      </c>
      <c r="CL91" s="24">
        <f ca="1">OFFSET(Objects!$HW$6,CL$1+(Objects!$Y$4-$A91-1)*Objects!$X$4,0)</f>
        <v>0</v>
      </c>
      <c r="CM91" s="24">
        <f ca="1">OFFSET(Objects!$HW$6,CM$1+(Objects!$Y$4-$A91-1)*Objects!$X$4,0)</f>
        <v>0</v>
      </c>
      <c r="CN91" s="24">
        <f ca="1">OFFSET(Objects!$HW$6,CN$1+(Objects!$Y$4-$A91-1)*Objects!$X$4,0)</f>
        <v>0</v>
      </c>
      <c r="CO91" s="24">
        <f ca="1">OFFSET(Objects!$HW$6,CO$1+(Objects!$Y$4-$A91-1)*Objects!$X$4,0)</f>
        <v>0</v>
      </c>
      <c r="CP91" s="24">
        <f ca="1">OFFSET(Objects!$HW$6,CP$1+(Objects!$Y$4-$A91-1)*Objects!$X$4,0)</f>
        <v>0</v>
      </c>
      <c r="CQ91" s="24">
        <f ca="1">OFFSET(Objects!$HW$6,CQ$1+(Objects!$Y$4-$A91-1)*Objects!$X$4,0)</f>
        <v>0</v>
      </c>
      <c r="CR91" s="24">
        <f ca="1">OFFSET(Objects!$HW$6,CR$1+(Objects!$Y$4-$A91-1)*Objects!$X$4,0)</f>
        <v>0</v>
      </c>
      <c r="CS91" s="24">
        <f ca="1">OFFSET(Objects!$HW$6,CS$1+(Objects!$Y$4-$A91-1)*Objects!$X$4,0)</f>
        <v>0</v>
      </c>
      <c r="CT91" s="24">
        <f ca="1">OFFSET(Objects!$HW$6,CT$1+(Objects!$Y$4-$A91-1)*Objects!$X$4,0)</f>
        <v>0</v>
      </c>
      <c r="CU91" s="24">
        <f ca="1">OFFSET(Objects!$HW$6,CU$1+(Objects!$Y$4-$A91-1)*Objects!$X$4,0)</f>
        <v>0</v>
      </c>
      <c r="CV91" s="24">
        <f ca="1">OFFSET(Objects!$HW$6,CV$1+(Objects!$Y$4-$A91-1)*Objects!$X$4,0)</f>
        <v>0</v>
      </c>
      <c r="CW91" s="24">
        <f ca="1">OFFSET(Objects!$HW$6,CW$1+(Objects!$Y$4-$A91-1)*Objects!$X$4,0)</f>
        <v>0</v>
      </c>
      <c r="CX91" s="24">
        <f ca="1">OFFSET(Objects!$HW$6,CX$1+(Objects!$Y$4-$A91-1)*Objects!$X$4,0)</f>
        <v>0</v>
      </c>
      <c r="CY91" s="24">
        <f ca="1">OFFSET(Objects!$HW$6,CY$1+(Objects!$Y$4-$A91-1)*Objects!$X$4,0)</f>
        <v>0</v>
      </c>
      <c r="CZ91" s="24">
        <f ca="1">OFFSET(Objects!$HW$6,CZ$1+(Objects!$Y$4-$A91-1)*Objects!$X$4,0)</f>
        <v>0</v>
      </c>
      <c r="DA91" s="24">
        <f ca="1">OFFSET(Objects!$HW$6,DA$1+(Objects!$Y$4-$A91-1)*Objects!$X$4,0)</f>
        <v>0</v>
      </c>
      <c r="DB91" s="24">
        <f ca="1">OFFSET(Objects!$HW$6,DB$1+(Objects!$Y$4-$A91-1)*Objects!$X$4,0)</f>
        <v>0</v>
      </c>
      <c r="DC91" s="24">
        <f ca="1">OFFSET(Objects!$HW$6,DC$1+(Objects!$Y$4-$A91-1)*Objects!$X$4,0)</f>
        <v>0</v>
      </c>
      <c r="DD91" s="24">
        <f ca="1">OFFSET(Objects!$HW$6,DD$1+(Objects!$Y$4-$A91-1)*Objects!$X$4,0)</f>
        <v>0</v>
      </c>
      <c r="DE91" s="24">
        <f ca="1">OFFSET(Objects!$HW$6,DE$1+(Objects!$Y$4-$A91-1)*Objects!$X$4,0)</f>
        <v>0</v>
      </c>
      <c r="DF91" s="24">
        <f ca="1">OFFSET(Objects!$HW$6,DF$1+(Objects!$Y$4-$A91-1)*Objects!$X$4,0)</f>
        <v>0</v>
      </c>
      <c r="DG91" s="24">
        <f ca="1">OFFSET(Objects!$HW$6,DG$1+(Objects!$Y$4-$A91-1)*Objects!$X$4,0)</f>
        <v>0</v>
      </c>
      <c r="DH91" s="24">
        <f ca="1">OFFSET(Objects!$HW$6,DH$1+(Objects!$Y$4-$A91-1)*Objects!$X$4,0)</f>
        <v>0</v>
      </c>
      <c r="DI91" s="24">
        <f ca="1">OFFSET(Objects!$HW$6,DI$1+(Objects!$Y$4-$A91-1)*Objects!$X$4,0)</f>
        <v>0</v>
      </c>
      <c r="DJ91" s="24">
        <f ca="1">OFFSET(Objects!$HW$6,DJ$1+(Objects!$Y$4-$A91-1)*Objects!$X$4,0)</f>
        <v>0</v>
      </c>
      <c r="DK91" s="24">
        <f ca="1">OFFSET(Objects!$HW$6,DK$1+(Objects!$Y$4-$A91-1)*Objects!$X$4,0)</f>
        <v>0</v>
      </c>
      <c r="DL91" s="24">
        <f ca="1">OFFSET(Objects!$HW$6,DL$1+(Objects!$Y$4-$A91-1)*Objects!$X$4,0)</f>
        <v>0</v>
      </c>
      <c r="DM91" s="24">
        <f ca="1">OFFSET(Objects!$HW$6,DM$1+(Objects!$Y$4-$A91-1)*Objects!$X$4,0)</f>
        <v>0</v>
      </c>
      <c r="DN91" s="24">
        <f ca="1">OFFSET(Objects!$HW$6,DN$1+(Objects!$Y$4-$A91-1)*Objects!$X$4,0)</f>
        <v>0</v>
      </c>
      <c r="DO91" s="24">
        <f ca="1">OFFSET(Objects!$HW$6,DO$1+(Objects!$Y$4-$A91-1)*Objects!$X$4,0)</f>
        <v>0</v>
      </c>
      <c r="DP91" s="24">
        <f ca="1">OFFSET(Objects!$HW$6,DP$1+(Objects!$Y$4-$A91-1)*Objects!$X$4,0)</f>
        <v>0</v>
      </c>
      <c r="DQ91" s="24">
        <f ca="1">OFFSET(Objects!$HW$6,DQ$1+(Objects!$Y$4-$A91-1)*Objects!$X$4,0)</f>
        <v>0</v>
      </c>
      <c r="DR91" s="24">
        <f ca="1">OFFSET(Objects!$HW$6,DR$1+(Objects!$Y$4-$A91-1)*Objects!$X$4,0)</f>
        <v>0</v>
      </c>
      <c r="DS91" s="24">
        <f ca="1">OFFSET(Objects!$HW$6,DS$1+(Objects!$Y$4-$A91-1)*Objects!$X$4,0)</f>
        <v>0</v>
      </c>
      <c r="DT91" s="24">
        <f ca="1">OFFSET(Objects!$HW$6,DT$1+(Objects!$Y$4-$A91-1)*Objects!$X$4,0)</f>
        <v>0</v>
      </c>
      <c r="DU91" s="24">
        <f ca="1">OFFSET(Objects!$HW$6,DU$1+(Objects!$Y$4-$A91-1)*Objects!$X$4,0)</f>
        <v>0</v>
      </c>
      <c r="DV91" s="24">
        <f ca="1">OFFSET(Objects!$HW$6,DV$1+(Objects!$Y$4-$A91-1)*Objects!$X$4,0)</f>
        <v>0</v>
      </c>
      <c r="DW91" s="24">
        <f ca="1">OFFSET(Objects!$HW$6,DW$1+(Objects!$Y$4-$A91-1)*Objects!$X$4,0)</f>
        <v>0</v>
      </c>
      <c r="DX91" s="24">
        <f ca="1">OFFSET(Objects!$HW$6,DX$1+(Objects!$Y$4-$A91-1)*Objects!$X$4,0)</f>
        <v>0</v>
      </c>
      <c r="DY91" s="24">
        <f ca="1">OFFSET(Objects!$HW$6,DY$1+(Objects!$Y$4-$A91-1)*Objects!$X$4,0)</f>
        <v>0</v>
      </c>
      <c r="DZ91" s="24">
        <f ca="1">OFFSET(Objects!$HW$6,DZ$1+(Objects!$Y$4-$A91-1)*Objects!$X$4,0)</f>
        <v>0</v>
      </c>
      <c r="EA91" s="24">
        <f ca="1">OFFSET(Objects!$HW$6,EA$1+(Objects!$Y$4-$A91-1)*Objects!$X$4,0)</f>
        <v>0</v>
      </c>
      <c r="EB91" s="24">
        <f ca="1">OFFSET(Objects!$HW$6,EB$1+(Objects!$Y$4-$A91-1)*Objects!$X$4,0)</f>
        <v>0</v>
      </c>
      <c r="EC91" s="24">
        <f ca="1">OFFSET(Objects!$HW$6,EC$1+(Objects!$Y$4-$A91-1)*Objects!$X$4,0)</f>
        <v>0</v>
      </c>
      <c r="ED91" s="24">
        <f ca="1">OFFSET(Objects!$HW$6,ED$1+(Objects!$Y$4-$A91-1)*Objects!$X$4,0)</f>
        <v>0</v>
      </c>
      <c r="EE91" s="24">
        <f ca="1">OFFSET(Objects!$HW$6,EE$1+(Objects!$Y$4-$A91-1)*Objects!$X$4,0)</f>
        <v>0</v>
      </c>
      <c r="EF91" s="24">
        <f ca="1">OFFSET(Objects!$HW$6,EF$1+(Objects!$Y$4-$A91-1)*Objects!$X$4,0)</f>
        <v>0</v>
      </c>
      <c r="EG91" s="24">
        <f ca="1">OFFSET(Objects!$HW$6,EG$1+(Objects!$Y$4-$A91-1)*Objects!$X$4,0)</f>
        <v>0</v>
      </c>
      <c r="EH91" s="24">
        <f ca="1">OFFSET(Objects!$HW$6,EH$1+(Objects!$Y$4-$A91-1)*Objects!$X$4,0)</f>
        <v>0</v>
      </c>
      <c r="EI91" s="24">
        <f ca="1">OFFSET(Objects!$HW$6,EI$1+(Objects!$Y$4-$A91-1)*Objects!$X$4,0)</f>
        <v>0</v>
      </c>
      <c r="EJ91" s="24">
        <f ca="1">OFFSET(Objects!$HW$6,EJ$1+(Objects!$Y$4-$A91-1)*Objects!$X$4,0)</f>
        <v>0</v>
      </c>
      <c r="EK91" s="24">
        <f ca="1">OFFSET(Objects!$HW$6,EK$1+(Objects!$Y$4-$A91-1)*Objects!$X$4,0)</f>
        <v>0</v>
      </c>
      <c r="EL91" s="24">
        <f ca="1">OFFSET(Objects!$HW$6,EL$1+(Objects!$Y$4-$A91-1)*Objects!$X$4,0)</f>
        <v>0</v>
      </c>
      <c r="EM91" s="24">
        <f ca="1">OFFSET(Objects!$HW$6,EM$1+(Objects!$Y$4-$A91-1)*Objects!$X$4,0)</f>
        <v>0</v>
      </c>
      <c r="EN91" s="24">
        <f ca="1">OFFSET(Objects!$HW$6,EN$1+(Objects!$Y$4-$A91-1)*Objects!$X$4,0)</f>
        <v>0</v>
      </c>
      <c r="EO91" s="24">
        <f ca="1">OFFSET(Objects!$HW$6,EO$1+(Objects!$Y$4-$A91-1)*Objects!$X$4,0)</f>
        <v>0</v>
      </c>
      <c r="EP91" s="24">
        <f ca="1">OFFSET(Objects!$HW$6,EP$1+(Objects!$Y$4-$A91-1)*Objects!$X$4,0)</f>
        <v>0</v>
      </c>
      <c r="EQ91" s="24">
        <f ca="1">OFFSET(Objects!$HW$6,EQ$1+(Objects!$Y$4-$A91-1)*Objects!$X$4,0)</f>
        <v>0</v>
      </c>
      <c r="ER91" s="24">
        <f ca="1">OFFSET(Objects!$HW$6,ER$1+(Objects!$Y$4-$A91-1)*Objects!$X$4,0)</f>
        <v>0</v>
      </c>
      <c r="ES91" s="24">
        <f ca="1">OFFSET(Objects!$HW$6,ES$1+(Objects!$Y$4-$A91-1)*Objects!$X$4,0)</f>
        <v>0</v>
      </c>
      <c r="ET91" s="24">
        <f ca="1">OFFSET(Objects!$HW$6,ET$1+(Objects!$Y$4-$A91-1)*Objects!$X$4,0)</f>
        <v>0</v>
      </c>
      <c r="EU91" s="24">
        <f ca="1">OFFSET(Objects!$HW$6,EU$1+(Objects!$Y$4-$A91-1)*Objects!$X$4,0)</f>
        <v>0</v>
      </c>
      <c r="EV91" s="24">
        <f ca="1">OFFSET(Objects!$HW$6,EV$1+(Objects!$Y$4-$A91-1)*Objects!$X$4,0)</f>
        <v>0</v>
      </c>
      <c r="EW91" s="24">
        <f ca="1">OFFSET(Objects!$HW$6,EW$1+(Objects!$Y$4-$A91-1)*Objects!$X$4,0)</f>
        <v>0</v>
      </c>
      <c r="EX91" s="24">
        <f ca="1">OFFSET(Objects!$HW$6,EX$1+(Objects!$Y$4-$A91-1)*Objects!$X$4,0)</f>
        <v>0</v>
      </c>
      <c r="EY91" s="24">
        <f ca="1">OFFSET(Objects!$HW$6,EY$1+(Objects!$Y$4-$A91-1)*Objects!$X$4,0)</f>
        <v>0</v>
      </c>
      <c r="EZ91" s="24">
        <f ca="1">OFFSET(Objects!$HW$6,EZ$1+(Objects!$Y$4-$A91-1)*Objects!$X$4,0)</f>
        <v>0</v>
      </c>
      <c r="FA91" s="24">
        <f ca="1">OFFSET(Objects!$HW$6,FA$1+(Objects!$Y$4-$A91-1)*Objects!$X$4,0)</f>
        <v>0</v>
      </c>
      <c r="FB91" s="24">
        <f ca="1">OFFSET(Objects!$HW$6,FB$1+(Objects!$Y$4-$A91-1)*Objects!$X$4,0)</f>
        <v>0</v>
      </c>
      <c r="FC91" s="24">
        <f ca="1">OFFSET(Objects!$HW$6,FC$1+(Objects!$Y$4-$A91-1)*Objects!$X$4,0)</f>
        <v>0</v>
      </c>
      <c r="FD91" s="24">
        <f ca="1">OFFSET(Objects!$HW$6,FD$1+(Objects!$Y$4-$A91-1)*Objects!$X$4,0)</f>
        <v>0</v>
      </c>
      <c r="FE91" s="25">
        <f ca="1">OFFSET(Objects!$HW$6,FE$1+(Objects!$Y$4-$A91-1)*Objects!$X$4,0)</f>
        <v>0</v>
      </c>
    </row>
    <row r="93" spans="1:200" x14ac:dyDescent="0.25">
      <c r="FI93" s="31" t="s">
        <v>62</v>
      </c>
      <c r="FJ93" s="31"/>
      <c r="FK93" s="31"/>
    </row>
    <row r="94" spans="1:200" x14ac:dyDescent="0.25">
      <c r="GB94" s="2" t="s">
        <v>36</v>
      </c>
      <c r="GN94" s="2" t="s">
        <v>59</v>
      </c>
      <c r="GO94" s="2"/>
      <c r="GP94" s="2"/>
      <c r="GQ94" s="2"/>
      <c r="GR94" s="2" t="s">
        <v>63</v>
      </c>
    </row>
    <row r="95" spans="1:200" x14ac:dyDescent="0.25">
      <c r="FI95" s="30" t="s">
        <v>60</v>
      </c>
      <c r="FJ95" s="29"/>
      <c r="FK95" s="32">
        <v>0</v>
      </c>
      <c r="FV95" s="2" t="s">
        <v>51</v>
      </c>
      <c r="GH95" s="2" t="s">
        <v>43</v>
      </c>
      <c r="GN95" s="2" t="s">
        <v>58</v>
      </c>
      <c r="GQ95">
        <f>Screen!FK95</f>
        <v>0</v>
      </c>
      <c r="GR95">
        <f>Screen!FK96</f>
        <v>1200</v>
      </c>
    </row>
    <row r="96" spans="1:200" x14ac:dyDescent="0.25">
      <c r="FI96" s="30" t="s">
        <v>61</v>
      </c>
      <c r="FJ96" s="29"/>
      <c r="FK96" s="2">
        <v>1200</v>
      </c>
      <c r="FV96" s="2" t="s">
        <v>9</v>
      </c>
      <c r="GB96" s="2" t="s">
        <v>34</v>
      </c>
      <c r="GC96" s="26" t="s">
        <v>44</v>
      </c>
      <c r="GF96" s="26">
        <f>IFERROR(MATCH(GC96,$GB$105:$GB$193,0),0)</f>
        <v>0</v>
      </c>
      <c r="GH96" s="2" t="s">
        <v>9</v>
      </c>
      <c r="GN96" s="2" t="s">
        <v>9</v>
      </c>
    </row>
    <row r="97" spans="178:200" x14ac:dyDescent="0.25">
      <c r="FW97" s="1" t="s">
        <v>1</v>
      </c>
      <c r="FX97" s="1" t="s">
        <v>2</v>
      </c>
      <c r="FY97" s="1" t="s">
        <v>3</v>
      </c>
      <c r="FZ97" s="1" t="s">
        <v>5</v>
      </c>
      <c r="GC97" s="1" t="s">
        <v>1</v>
      </c>
      <c r="GD97" s="1" t="s">
        <v>2</v>
      </c>
      <c r="GE97" s="1" t="s">
        <v>3</v>
      </c>
      <c r="GF97" s="1" t="s">
        <v>5</v>
      </c>
      <c r="GI97" s="1" t="s">
        <v>1</v>
      </c>
      <c r="GJ97" s="1" t="s">
        <v>2</v>
      </c>
      <c r="GK97" s="1" t="s">
        <v>3</v>
      </c>
      <c r="GL97" s="1" t="s">
        <v>5</v>
      </c>
      <c r="GO97" s="1" t="s">
        <v>1</v>
      </c>
      <c r="GP97" s="1" t="s">
        <v>2</v>
      </c>
      <c r="GQ97" s="1" t="s">
        <v>3</v>
      </c>
      <c r="GR97" s="1" t="s">
        <v>5</v>
      </c>
    </row>
    <row r="98" spans="178:200" x14ac:dyDescent="0.25">
      <c r="FV98" s="1" t="s">
        <v>1</v>
      </c>
      <c r="FW98" s="10">
        <v>1</v>
      </c>
      <c r="FX98" s="10">
        <v>0</v>
      </c>
      <c r="FY98" s="10">
        <v>0</v>
      </c>
      <c r="FZ98" s="10">
        <v>0</v>
      </c>
      <c r="GB98" s="1" t="s">
        <v>1</v>
      </c>
      <c r="GC98" s="10">
        <f t="shared" ref="GC98:GF101" ca="1" si="0">OFFSET(GC106,$GF$96,0)</f>
        <v>1</v>
      </c>
      <c r="GD98" s="10">
        <f t="shared" ca="1" si="0"/>
        <v>0</v>
      </c>
      <c r="GE98" s="10">
        <f t="shared" ca="1" si="0"/>
        <v>0</v>
      </c>
      <c r="GF98" s="10">
        <f t="shared" ca="1" si="0"/>
        <v>0</v>
      </c>
      <c r="GH98" s="1" t="s">
        <v>1</v>
      </c>
      <c r="GI98" s="10">
        <f t="array" aca="1" ref="GI98:GL101" ca="1">IF(GR94="On",GO98:GR101,MINVERSE(MMULT(GC98:GF101,MINVERSE(FW98:FZ101))))</f>
        <v>1</v>
      </c>
      <c r="GJ98" s="10">
        <f ca="1"/>
        <v>0</v>
      </c>
      <c r="GK98" s="10">
        <f ca="1"/>
        <v>0</v>
      </c>
      <c r="GL98" s="10">
        <f ca="1"/>
        <v>0</v>
      </c>
      <c r="GN98" s="1" t="s">
        <v>1</v>
      </c>
      <c r="GO98" s="10">
        <f>COS(2*PI()*$GQ$95/$GR$95)</f>
        <v>1</v>
      </c>
      <c r="GP98" s="10">
        <v>0</v>
      </c>
      <c r="GQ98" s="10">
        <f>-SIN(2*PI()*$GQ$95/$GR$95)</f>
        <v>0</v>
      </c>
      <c r="GR98" s="10">
        <f>15*SIN(2*PI()*$GQ$95/$GR$95)</f>
        <v>0</v>
      </c>
    </row>
    <row r="99" spans="178:200" x14ac:dyDescent="0.25">
      <c r="FV99" s="1" t="s">
        <v>2</v>
      </c>
      <c r="FW99" s="10">
        <v>0</v>
      </c>
      <c r="FX99" s="10">
        <v>0.99820053993520419</v>
      </c>
      <c r="FY99" s="10">
        <v>-5.9964006479444609E-2</v>
      </c>
      <c r="FZ99" s="10">
        <v>0.50000000000000022</v>
      </c>
      <c r="GB99" s="1" t="s">
        <v>2</v>
      </c>
      <c r="GC99" s="10">
        <f t="shared" ca="1" si="0"/>
        <v>0</v>
      </c>
      <c r="GD99" s="10">
        <f t="shared" ca="1" si="0"/>
        <v>1</v>
      </c>
      <c r="GE99" s="10">
        <f t="shared" ca="1" si="0"/>
        <v>0</v>
      </c>
      <c r="GF99" s="10">
        <f t="shared" ca="1" si="0"/>
        <v>0</v>
      </c>
      <c r="GH99" s="1" t="s">
        <v>2</v>
      </c>
      <c r="GI99" s="10">
        <f ca="1"/>
        <v>0</v>
      </c>
      <c r="GJ99" s="10">
        <f ca="1"/>
        <v>0.99820053993520419</v>
      </c>
      <c r="GK99" s="10">
        <f ca="1"/>
        <v>-5.9964006479444609E-2</v>
      </c>
      <c r="GL99" s="10">
        <f ca="1"/>
        <v>0.50000000000000033</v>
      </c>
      <c r="GN99" s="1" t="s">
        <v>2</v>
      </c>
      <c r="GO99" s="10">
        <v>0</v>
      </c>
      <c r="GP99" s="10">
        <v>0.99820053993520419</v>
      </c>
      <c r="GQ99" s="10">
        <v>-5.9964006479444609E-2</v>
      </c>
      <c r="GR99" s="10">
        <v>0.50000000000000022</v>
      </c>
    </row>
    <row r="100" spans="178:200" x14ac:dyDescent="0.25">
      <c r="FV100" s="1" t="s">
        <v>3</v>
      </c>
      <c r="FW100" s="10">
        <v>0</v>
      </c>
      <c r="FX100" s="10">
        <v>5.9964006479444595E-2</v>
      </c>
      <c r="FY100" s="10">
        <v>1</v>
      </c>
      <c r="FZ100" s="10">
        <v>-15</v>
      </c>
      <c r="GB100" s="1" t="s">
        <v>3</v>
      </c>
      <c r="GC100" s="10">
        <f t="shared" ca="1" si="0"/>
        <v>0</v>
      </c>
      <c r="GD100" s="10">
        <f t="shared" ca="1" si="0"/>
        <v>0</v>
      </c>
      <c r="GE100" s="10">
        <f t="shared" ca="1" si="0"/>
        <v>1</v>
      </c>
      <c r="GF100" s="10">
        <f t="shared" ca="1" si="0"/>
        <v>0</v>
      </c>
      <c r="GH100" s="1" t="s">
        <v>3</v>
      </c>
      <c r="GI100" s="10">
        <f ca="1"/>
        <v>0</v>
      </c>
      <c r="GJ100" s="10">
        <f ca="1"/>
        <v>5.9964006479444595E-2</v>
      </c>
      <c r="GK100" s="10">
        <f ca="1"/>
        <v>1</v>
      </c>
      <c r="GL100" s="10">
        <f ca="1"/>
        <v>-15</v>
      </c>
      <c r="GN100" s="1" t="s">
        <v>3</v>
      </c>
      <c r="GO100" s="10">
        <f>SIN(2*PI()*$GQ$95/$GR$95)</f>
        <v>0</v>
      </c>
      <c r="GP100" s="10">
        <v>5.9964006479444595E-2</v>
      </c>
      <c r="GQ100" s="10">
        <f>COS(2*PI()*$GQ$95/$GR$95)</f>
        <v>1</v>
      </c>
      <c r="GR100" s="10">
        <f>-15*COS(2*PI()*$GQ$95/$GR$95)</f>
        <v>-15</v>
      </c>
    </row>
    <row r="101" spans="178:200" x14ac:dyDescent="0.25">
      <c r="FV101" s="1" t="s">
        <v>5</v>
      </c>
      <c r="FW101" s="10">
        <v>0</v>
      </c>
      <c r="FX101" s="10">
        <v>0</v>
      </c>
      <c r="FY101" s="10">
        <v>0</v>
      </c>
      <c r="FZ101" s="10">
        <v>1</v>
      </c>
      <c r="GB101" s="1" t="s">
        <v>5</v>
      </c>
      <c r="GC101" s="10">
        <f t="shared" ca="1" si="0"/>
        <v>0</v>
      </c>
      <c r="GD101" s="10">
        <f t="shared" ca="1" si="0"/>
        <v>0</v>
      </c>
      <c r="GE101" s="10">
        <f t="shared" ca="1" si="0"/>
        <v>0</v>
      </c>
      <c r="GF101" s="10">
        <f t="shared" ca="1" si="0"/>
        <v>1</v>
      </c>
      <c r="GH101" s="1" t="s">
        <v>5</v>
      </c>
      <c r="GI101" s="10">
        <f ca="1"/>
        <v>0</v>
      </c>
      <c r="GJ101" s="10">
        <f ca="1"/>
        <v>0</v>
      </c>
      <c r="GK101" s="10">
        <f ca="1"/>
        <v>0</v>
      </c>
      <c r="GL101" s="10">
        <f ca="1"/>
        <v>1</v>
      </c>
      <c r="GN101" s="1" t="s">
        <v>5</v>
      </c>
      <c r="GO101" s="10">
        <v>0</v>
      </c>
      <c r="GP101" s="10">
        <v>0</v>
      </c>
      <c r="GQ101" s="10">
        <v>0</v>
      </c>
      <c r="GR101" s="10">
        <v>1</v>
      </c>
    </row>
    <row r="104" spans="178:200" x14ac:dyDescent="0.25">
      <c r="GB104" s="2" t="s">
        <v>44</v>
      </c>
    </row>
    <row r="105" spans="178:200" x14ac:dyDescent="0.25">
      <c r="GC105" s="1" t="s">
        <v>1</v>
      </c>
      <c r="GD105" s="1" t="s">
        <v>2</v>
      </c>
      <c r="GE105" s="1" t="s">
        <v>3</v>
      </c>
      <c r="GF105" s="1" t="s">
        <v>5</v>
      </c>
    </row>
    <row r="106" spans="178:200" x14ac:dyDescent="0.25">
      <c r="GB106" s="1" t="s">
        <v>1</v>
      </c>
      <c r="GC106" s="10">
        <v>1</v>
      </c>
      <c r="GD106" s="10">
        <v>0</v>
      </c>
      <c r="GE106" s="10">
        <v>0</v>
      </c>
      <c r="GF106" s="10">
        <v>0</v>
      </c>
    </row>
    <row r="107" spans="178:200" x14ac:dyDescent="0.25">
      <c r="GB107" s="1" t="s">
        <v>2</v>
      </c>
      <c r="GC107" s="10">
        <v>0</v>
      </c>
      <c r="GD107" s="10">
        <v>1</v>
      </c>
      <c r="GE107" s="10">
        <v>0</v>
      </c>
      <c r="GF107" s="10">
        <v>0</v>
      </c>
    </row>
    <row r="108" spans="178:200" x14ac:dyDescent="0.25">
      <c r="GB108" s="1" t="s">
        <v>3</v>
      </c>
      <c r="GC108" s="10">
        <v>0</v>
      </c>
      <c r="GD108" s="10">
        <v>0</v>
      </c>
      <c r="GE108" s="10">
        <v>1</v>
      </c>
      <c r="GF108" s="10">
        <v>0</v>
      </c>
    </row>
    <row r="109" spans="178:200" x14ac:dyDescent="0.25">
      <c r="GB109" s="1" t="s">
        <v>5</v>
      </c>
      <c r="GC109" s="10">
        <v>0</v>
      </c>
      <c r="GD109" s="10">
        <v>0</v>
      </c>
      <c r="GE109" s="10">
        <v>0</v>
      </c>
      <c r="GF109" s="10">
        <v>1</v>
      </c>
    </row>
    <row r="111" spans="178:200" x14ac:dyDescent="0.25">
      <c r="GB111" s="2" t="s">
        <v>37</v>
      </c>
    </row>
    <row r="112" spans="178:200" x14ac:dyDescent="0.25">
      <c r="GC112" s="1" t="s">
        <v>1</v>
      </c>
      <c r="GD112" s="1" t="s">
        <v>2</v>
      </c>
      <c r="GE112" s="1" t="s">
        <v>3</v>
      </c>
      <c r="GF112" s="1" t="s">
        <v>5</v>
      </c>
    </row>
    <row r="113" spans="184:188" x14ac:dyDescent="0.25">
      <c r="GB113" s="1" t="s">
        <v>1</v>
      </c>
      <c r="GC113" s="10">
        <v>1</v>
      </c>
      <c r="GD113" s="10">
        <v>0</v>
      </c>
      <c r="GE113" s="10">
        <v>0</v>
      </c>
      <c r="GF113" s="10">
        <v>0</v>
      </c>
    </row>
    <row r="114" spans="184:188" x14ac:dyDescent="0.25">
      <c r="GB114" s="1" t="s">
        <v>2</v>
      </c>
      <c r="GC114" s="10">
        <v>0</v>
      </c>
      <c r="GD114" s="10">
        <v>1</v>
      </c>
      <c r="GE114" s="10">
        <v>0</v>
      </c>
      <c r="GF114" s="10">
        <v>0</v>
      </c>
    </row>
    <row r="115" spans="184:188" x14ac:dyDescent="0.25">
      <c r="GB115" s="1" t="s">
        <v>3</v>
      </c>
      <c r="GC115" s="10">
        <v>0</v>
      </c>
      <c r="GD115" s="10">
        <v>0</v>
      </c>
      <c r="GE115" s="10">
        <v>1</v>
      </c>
      <c r="GF115" s="10">
        <v>-0.4</v>
      </c>
    </row>
    <row r="116" spans="184:188" x14ac:dyDescent="0.25">
      <c r="GB116" s="1" t="s">
        <v>5</v>
      </c>
      <c r="GC116" s="10">
        <v>0</v>
      </c>
      <c r="GD116" s="10">
        <v>0</v>
      </c>
      <c r="GE116" s="10">
        <v>0</v>
      </c>
      <c r="GF116" s="10">
        <v>1</v>
      </c>
    </row>
    <row r="118" spans="184:188" x14ac:dyDescent="0.25">
      <c r="GB118" s="2" t="s">
        <v>38</v>
      </c>
    </row>
    <row r="119" spans="184:188" x14ac:dyDescent="0.25">
      <c r="GC119" s="1" t="s">
        <v>1</v>
      </c>
      <c r="GD119" s="1" t="s">
        <v>2</v>
      </c>
      <c r="GE119" s="1" t="s">
        <v>3</v>
      </c>
      <c r="GF119" s="1" t="s">
        <v>5</v>
      </c>
    </row>
    <row r="120" spans="184:188" x14ac:dyDescent="0.25">
      <c r="GB120" s="1" t="s">
        <v>1</v>
      </c>
      <c r="GC120" s="10">
        <v>1</v>
      </c>
      <c r="GD120" s="10">
        <v>0</v>
      </c>
      <c r="GE120" s="10">
        <v>0</v>
      </c>
      <c r="GF120" s="10">
        <v>0</v>
      </c>
    </row>
    <row r="121" spans="184:188" x14ac:dyDescent="0.25">
      <c r="GB121" s="1" t="s">
        <v>2</v>
      </c>
      <c r="GC121" s="10">
        <v>0</v>
      </c>
      <c r="GD121" s="10">
        <v>1</v>
      </c>
      <c r="GE121" s="10">
        <v>0</v>
      </c>
      <c r="GF121" s="10">
        <v>0</v>
      </c>
    </row>
    <row r="122" spans="184:188" x14ac:dyDescent="0.25">
      <c r="GB122" s="1" t="s">
        <v>3</v>
      </c>
      <c r="GC122" s="10">
        <v>0</v>
      </c>
      <c r="GD122" s="10">
        <v>0</v>
      </c>
      <c r="GE122" s="10">
        <v>1</v>
      </c>
      <c r="GF122" s="10">
        <v>0.4</v>
      </c>
    </row>
    <row r="123" spans="184:188" x14ac:dyDescent="0.25">
      <c r="GB123" s="1" t="s">
        <v>5</v>
      </c>
      <c r="GC123" s="10">
        <v>0</v>
      </c>
      <c r="GD123" s="10">
        <v>0</v>
      </c>
      <c r="GE123" s="10">
        <v>0</v>
      </c>
      <c r="GF123" s="10">
        <v>1</v>
      </c>
    </row>
    <row r="125" spans="184:188" x14ac:dyDescent="0.25">
      <c r="GB125" s="2" t="s">
        <v>39</v>
      </c>
    </row>
    <row r="126" spans="184:188" x14ac:dyDescent="0.25">
      <c r="GC126" s="1" t="s">
        <v>1</v>
      </c>
      <c r="GD126" s="1" t="s">
        <v>2</v>
      </c>
      <c r="GE126" s="1" t="s">
        <v>3</v>
      </c>
      <c r="GF126" s="1" t="s">
        <v>5</v>
      </c>
    </row>
    <row r="127" spans="184:188" x14ac:dyDescent="0.25">
      <c r="GB127" s="1" t="s">
        <v>1</v>
      </c>
      <c r="GC127" s="10">
        <v>1</v>
      </c>
      <c r="GD127" s="10">
        <v>0</v>
      </c>
      <c r="GE127" s="10">
        <v>0</v>
      </c>
      <c r="GF127" s="10">
        <v>0.4</v>
      </c>
    </row>
    <row r="128" spans="184:188" x14ac:dyDescent="0.25">
      <c r="GB128" s="1" t="s">
        <v>2</v>
      </c>
      <c r="GC128" s="10">
        <v>0</v>
      </c>
      <c r="GD128" s="10">
        <v>1</v>
      </c>
      <c r="GE128" s="10">
        <v>0</v>
      </c>
      <c r="GF128" s="10">
        <v>0</v>
      </c>
    </row>
    <row r="129" spans="184:188" x14ac:dyDescent="0.25">
      <c r="GB129" s="1" t="s">
        <v>3</v>
      </c>
      <c r="GC129" s="10">
        <v>0</v>
      </c>
      <c r="GD129" s="10">
        <v>0</v>
      </c>
      <c r="GE129" s="10">
        <v>1</v>
      </c>
      <c r="GF129" s="10">
        <v>0</v>
      </c>
    </row>
    <row r="130" spans="184:188" x14ac:dyDescent="0.25">
      <c r="GB130" s="1" t="s">
        <v>5</v>
      </c>
      <c r="GC130" s="10">
        <v>0</v>
      </c>
      <c r="GD130" s="10">
        <v>0</v>
      </c>
      <c r="GE130" s="10">
        <v>0</v>
      </c>
      <c r="GF130" s="10">
        <v>1</v>
      </c>
    </row>
    <row r="132" spans="184:188" x14ac:dyDescent="0.25">
      <c r="GB132" s="2" t="s">
        <v>40</v>
      </c>
    </row>
    <row r="133" spans="184:188" x14ac:dyDescent="0.25">
      <c r="GC133" s="1" t="s">
        <v>1</v>
      </c>
      <c r="GD133" s="1" t="s">
        <v>2</v>
      </c>
      <c r="GE133" s="1" t="s">
        <v>3</v>
      </c>
      <c r="GF133" s="1" t="s">
        <v>5</v>
      </c>
    </row>
    <row r="134" spans="184:188" x14ac:dyDescent="0.25">
      <c r="GB134" s="1" t="s">
        <v>1</v>
      </c>
      <c r="GC134" s="10">
        <v>1</v>
      </c>
      <c r="GD134" s="10">
        <v>0</v>
      </c>
      <c r="GE134" s="10">
        <v>0</v>
      </c>
      <c r="GF134" s="10">
        <v>-0.4</v>
      </c>
    </row>
    <row r="135" spans="184:188" x14ac:dyDescent="0.25">
      <c r="GB135" s="1" t="s">
        <v>2</v>
      </c>
      <c r="GC135" s="10">
        <v>0</v>
      </c>
      <c r="GD135" s="10">
        <v>1</v>
      </c>
      <c r="GE135" s="10">
        <v>0</v>
      </c>
      <c r="GF135" s="10">
        <v>0</v>
      </c>
    </row>
    <row r="136" spans="184:188" x14ac:dyDescent="0.25">
      <c r="GB136" s="1" t="s">
        <v>3</v>
      </c>
      <c r="GC136" s="10">
        <v>0</v>
      </c>
      <c r="GD136" s="10">
        <v>0</v>
      </c>
      <c r="GE136" s="10">
        <v>1</v>
      </c>
      <c r="GF136" s="10">
        <v>0</v>
      </c>
    </row>
    <row r="137" spans="184:188" x14ac:dyDescent="0.25">
      <c r="GB137" s="1" t="s">
        <v>5</v>
      </c>
      <c r="GC137" s="10">
        <v>0</v>
      </c>
      <c r="GD137" s="10">
        <v>0</v>
      </c>
      <c r="GE137" s="10">
        <v>0</v>
      </c>
      <c r="GF137" s="10">
        <v>1</v>
      </c>
    </row>
    <row r="139" spans="184:188" x14ac:dyDescent="0.25">
      <c r="GB139" s="2" t="s">
        <v>41</v>
      </c>
    </row>
    <row r="140" spans="184:188" x14ac:dyDescent="0.25">
      <c r="GC140" s="1" t="s">
        <v>1</v>
      </c>
      <c r="GD140" s="1" t="s">
        <v>2</v>
      </c>
      <c r="GE140" s="1" t="s">
        <v>3</v>
      </c>
      <c r="GF140" s="1" t="s">
        <v>5</v>
      </c>
    </row>
    <row r="141" spans="184:188" x14ac:dyDescent="0.25">
      <c r="GB141" s="1" t="s">
        <v>1</v>
      </c>
      <c r="GC141" s="10">
        <v>1</v>
      </c>
      <c r="GD141" s="10">
        <v>0</v>
      </c>
      <c r="GE141" s="10">
        <v>0</v>
      </c>
      <c r="GF141" s="10">
        <v>0</v>
      </c>
    </row>
    <row r="142" spans="184:188" x14ac:dyDescent="0.25">
      <c r="GB142" s="1" t="s">
        <v>2</v>
      </c>
      <c r="GC142" s="10">
        <v>0</v>
      </c>
      <c r="GD142" s="10">
        <v>1</v>
      </c>
      <c r="GE142" s="10">
        <v>0</v>
      </c>
      <c r="GF142" s="10">
        <v>-0.4</v>
      </c>
    </row>
    <row r="143" spans="184:188" x14ac:dyDescent="0.25">
      <c r="GB143" s="1" t="s">
        <v>3</v>
      </c>
      <c r="GC143" s="10">
        <v>0</v>
      </c>
      <c r="GD143" s="10">
        <v>0</v>
      </c>
      <c r="GE143" s="10">
        <v>1</v>
      </c>
      <c r="GF143" s="10">
        <v>0</v>
      </c>
    </row>
    <row r="144" spans="184:188" x14ac:dyDescent="0.25">
      <c r="GB144" s="1" t="s">
        <v>5</v>
      </c>
      <c r="GC144" s="10">
        <v>0</v>
      </c>
      <c r="GD144" s="10">
        <v>0</v>
      </c>
      <c r="GE144" s="10">
        <v>0</v>
      </c>
      <c r="GF144" s="10">
        <v>1</v>
      </c>
    </row>
    <row r="146" spans="184:188" x14ac:dyDescent="0.25">
      <c r="GB146" s="2" t="s">
        <v>42</v>
      </c>
    </row>
    <row r="147" spans="184:188" x14ac:dyDescent="0.25">
      <c r="GC147" s="1" t="s">
        <v>1</v>
      </c>
      <c r="GD147" s="1" t="s">
        <v>2</v>
      </c>
      <c r="GE147" s="1" t="s">
        <v>3</v>
      </c>
      <c r="GF147" s="1" t="s">
        <v>5</v>
      </c>
    </row>
    <row r="148" spans="184:188" x14ac:dyDescent="0.25">
      <c r="GB148" s="1" t="s">
        <v>1</v>
      </c>
      <c r="GC148" s="10">
        <v>1</v>
      </c>
      <c r="GD148" s="10">
        <v>0</v>
      </c>
      <c r="GE148" s="10">
        <v>0</v>
      </c>
      <c r="GF148" s="10">
        <v>0</v>
      </c>
    </row>
    <row r="149" spans="184:188" x14ac:dyDescent="0.25">
      <c r="GB149" s="1" t="s">
        <v>2</v>
      </c>
      <c r="GC149" s="10">
        <v>0</v>
      </c>
      <c r="GD149" s="10">
        <v>1</v>
      </c>
      <c r="GE149" s="10">
        <v>0</v>
      </c>
      <c r="GF149" s="10">
        <v>0.4</v>
      </c>
    </row>
    <row r="150" spans="184:188" x14ac:dyDescent="0.25">
      <c r="GB150" s="1" t="s">
        <v>3</v>
      </c>
      <c r="GC150" s="10">
        <v>0</v>
      </c>
      <c r="GD150" s="10">
        <v>0</v>
      </c>
      <c r="GE150" s="10">
        <v>1</v>
      </c>
      <c r="GF150" s="10">
        <v>0</v>
      </c>
    </row>
    <row r="151" spans="184:188" x14ac:dyDescent="0.25">
      <c r="GB151" s="1" t="s">
        <v>5</v>
      </c>
      <c r="GC151" s="10">
        <v>0</v>
      </c>
      <c r="GD151" s="10">
        <v>0</v>
      </c>
      <c r="GE151" s="10">
        <v>0</v>
      </c>
      <c r="GF151" s="10">
        <v>1</v>
      </c>
    </row>
    <row r="153" spans="184:188" x14ac:dyDescent="0.25">
      <c r="GB153" s="2" t="s">
        <v>45</v>
      </c>
    </row>
    <row r="154" spans="184:188" x14ac:dyDescent="0.25">
      <c r="GC154" s="1" t="s">
        <v>1</v>
      </c>
      <c r="GD154" s="1" t="s">
        <v>2</v>
      </c>
      <c r="GE154" s="1" t="s">
        <v>3</v>
      </c>
      <c r="GF154" s="1" t="s">
        <v>5</v>
      </c>
    </row>
    <row r="155" spans="184:188" x14ac:dyDescent="0.25">
      <c r="GB155" s="1" t="s">
        <v>1</v>
      </c>
      <c r="GC155" s="10">
        <f>COS(-0.03)</f>
        <v>0.99955003374898754</v>
      </c>
      <c r="GD155" s="10">
        <v>0</v>
      </c>
      <c r="GE155" s="10">
        <f>-SIN(-0.03)</f>
        <v>2.999550020249566E-2</v>
      </c>
      <c r="GF155" s="10">
        <v>0</v>
      </c>
    </row>
    <row r="156" spans="184:188" x14ac:dyDescent="0.25">
      <c r="GB156" s="1" t="s">
        <v>2</v>
      </c>
      <c r="GC156" s="10">
        <v>0</v>
      </c>
      <c r="GD156" s="10">
        <v>1</v>
      </c>
      <c r="GE156" s="10">
        <v>0</v>
      </c>
      <c r="GF156" s="10">
        <v>0</v>
      </c>
    </row>
    <row r="157" spans="184:188" x14ac:dyDescent="0.25">
      <c r="GB157" s="1" t="s">
        <v>3</v>
      </c>
      <c r="GC157" s="10">
        <f>SIN(-0.03)</f>
        <v>-2.999550020249566E-2</v>
      </c>
      <c r="GD157" s="10">
        <v>0</v>
      </c>
      <c r="GE157" s="10">
        <f>COS(-0.03)</f>
        <v>0.99955003374898754</v>
      </c>
      <c r="GF157" s="10">
        <v>0</v>
      </c>
    </row>
    <row r="158" spans="184:188" x14ac:dyDescent="0.25">
      <c r="GB158" s="1" t="s">
        <v>5</v>
      </c>
      <c r="GC158" s="10">
        <v>0</v>
      </c>
      <c r="GD158" s="10">
        <v>0</v>
      </c>
      <c r="GE158" s="10">
        <v>0</v>
      </c>
      <c r="GF158" s="10">
        <v>1</v>
      </c>
    </row>
    <row r="160" spans="184:188" x14ac:dyDescent="0.25">
      <c r="GB160" s="2" t="s">
        <v>46</v>
      </c>
    </row>
    <row r="161" spans="184:188" x14ac:dyDescent="0.25">
      <c r="GC161" s="1" t="s">
        <v>1</v>
      </c>
      <c r="GD161" s="1" t="s">
        <v>2</v>
      </c>
      <c r="GE161" s="1" t="s">
        <v>3</v>
      </c>
      <c r="GF161" s="1" t="s">
        <v>5</v>
      </c>
    </row>
    <row r="162" spans="184:188" x14ac:dyDescent="0.25">
      <c r="GB162" s="1" t="s">
        <v>1</v>
      </c>
      <c r="GC162" s="10">
        <f>COS(0.03)</f>
        <v>0.99955003374898754</v>
      </c>
      <c r="GD162" s="10">
        <v>0</v>
      </c>
      <c r="GE162" s="10">
        <f>-SIN(0.03)</f>
        <v>-2.999550020249566E-2</v>
      </c>
      <c r="GF162" s="10">
        <v>0</v>
      </c>
    </row>
    <row r="163" spans="184:188" x14ac:dyDescent="0.25">
      <c r="GB163" s="1" t="s">
        <v>2</v>
      </c>
      <c r="GC163" s="10">
        <v>0</v>
      </c>
      <c r="GD163" s="10">
        <v>1</v>
      </c>
      <c r="GE163" s="10">
        <v>0</v>
      </c>
      <c r="GF163" s="10">
        <v>0</v>
      </c>
    </row>
    <row r="164" spans="184:188" x14ac:dyDescent="0.25">
      <c r="GB164" s="1" t="s">
        <v>3</v>
      </c>
      <c r="GC164" s="10">
        <f>SIN(0.03)</f>
        <v>2.999550020249566E-2</v>
      </c>
      <c r="GD164" s="10">
        <v>0</v>
      </c>
      <c r="GE164" s="10">
        <f>COS(0.03)</f>
        <v>0.99955003374898754</v>
      </c>
      <c r="GF164" s="10">
        <v>0</v>
      </c>
    </row>
    <row r="165" spans="184:188" x14ac:dyDescent="0.25">
      <c r="GB165" s="1" t="s">
        <v>5</v>
      </c>
      <c r="GC165" s="10">
        <v>0</v>
      </c>
      <c r="GD165" s="10">
        <v>0</v>
      </c>
      <c r="GE165" s="10">
        <v>0</v>
      </c>
      <c r="GF165" s="10">
        <v>1</v>
      </c>
    </row>
    <row r="167" spans="184:188" x14ac:dyDescent="0.25">
      <c r="GB167" s="2" t="s">
        <v>47</v>
      </c>
    </row>
    <row r="168" spans="184:188" x14ac:dyDescent="0.25">
      <c r="GC168" s="1" t="s">
        <v>1</v>
      </c>
      <c r="GD168" s="1" t="s">
        <v>2</v>
      </c>
      <c r="GE168" s="1" t="s">
        <v>3</v>
      </c>
      <c r="GF168" s="1" t="s">
        <v>5</v>
      </c>
    </row>
    <row r="169" spans="184:188" x14ac:dyDescent="0.25">
      <c r="GB169" s="1" t="s">
        <v>1</v>
      </c>
      <c r="GC169" s="10">
        <v>1</v>
      </c>
      <c r="GD169" s="10">
        <v>0</v>
      </c>
      <c r="GE169" s="10">
        <v>0</v>
      </c>
      <c r="GF169" s="10">
        <v>0</v>
      </c>
    </row>
    <row r="170" spans="184:188" x14ac:dyDescent="0.25">
      <c r="GB170" s="1" t="s">
        <v>2</v>
      </c>
      <c r="GC170" s="10">
        <v>0</v>
      </c>
      <c r="GD170" s="10">
        <f>COS(0.03)</f>
        <v>0.99955003374898754</v>
      </c>
      <c r="GE170" s="10">
        <f>-SIN(0.03)</f>
        <v>-2.999550020249566E-2</v>
      </c>
      <c r="GF170" s="10">
        <v>0</v>
      </c>
    </row>
    <row r="171" spans="184:188" x14ac:dyDescent="0.25">
      <c r="GB171" s="1" t="s">
        <v>3</v>
      </c>
      <c r="GC171" s="10">
        <v>0</v>
      </c>
      <c r="GD171" s="10">
        <f>SIN(0.03)</f>
        <v>2.999550020249566E-2</v>
      </c>
      <c r="GE171" s="10">
        <f>COS(0.03)</f>
        <v>0.99955003374898754</v>
      </c>
      <c r="GF171" s="10">
        <v>0</v>
      </c>
    </row>
    <row r="172" spans="184:188" x14ac:dyDescent="0.25">
      <c r="GB172" s="1" t="s">
        <v>5</v>
      </c>
      <c r="GC172" s="10">
        <v>0</v>
      </c>
      <c r="GD172" s="10">
        <v>0</v>
      </c>
      <c r="GE172" s="10">
        <v>0</v>
      </c>
      <c r="GF172" s="10">
        <v>1</v>
      </c>
    </row>
    <row r="174" spans="184:188" x14ac:dyDescent="0.25">
      <c r="GB174" s="2" t="s">
        <v>48</v>
      </c>
    </row>
    <row r="175" spans="184:188" x14ac:dyDescent="0.25">
      <c r="GC175" s="1" t="s">
        <v>1</v>
      </c>
      <c r="GD175" s="1" t="s">
        <v>2</v>
      </c>
      <c r="GE175" s="1" t="s">
        <v>3</v>
      </c>
      <c r="GF175" s="1" t="s">
        <v>5</v>
      </c>
    </row>
    <row r="176" spans="184:188" x14ac:dyDescent="0.25">
      <c r="GB176" s="1" t="s">
        <v>1</v>
      </c>
      <c r="GC176" s="10">
        <v>1</v>
      </c>
      <c r="GD176" s="10">
        <v>0</v>
      </c>
      <c r="GE176" s="10">
        <v>0</v>
      </c>
      <c r="GF176" s="10">
        <v>0</v>
      </c>
    </row>
    <row r="177" spans="184:188" x14ac:dyDescent="0.25">
      <c r="GB177" s="1" t="s">
        <v>2</v>
      </c>
      <c r="GC177" s="10">
        <v>0</v>
      </c>
      <c r="GD177" s="10">
        <f>COS(-0.03)</f>
        <v>0.99955003374898754</v>
      </c>
      <c r="GE177" s="10">
        <f>-SIN(-0.03)</f>
        <v>2.999550020249566E-2</v>
      </c>
      <c r="GF177" s="10">
        <v>0</v>
      </c>
    </row>
    <row r="178" spans="184:188" x14ac:dyDescent="0.25">
      <c r="GB178" s="1" t="s">
        <v>3</v>
      </c>
      <c r="GC178" s="10">
        <v>0</v>
      </c>
      <c r="GD178" s="10">
        <f>SIN(-0.03)</f>
        <v>-2.999550020249566E-2</v>
      </c>
      <c r="GE178" s="10">
        <f>COS(-0.03)</f>
        <v>0.99955003374898754</v>
      </c>
      <c r="GF178" s="10">
        <v>0</v>
      </c>
    </row>
    <row r="179" spans="184:188" x14ac:dyDescent="0.25">
      <c r="GB179" s="1" t="s">
        <v>5</v>
      </c>
      <c r="GC179" s="10">
        <v>0</v>
      </c>
      <c r="GD179" s="10">
        <v>0</v>
      </c>
      <c r="GE179" s="10">
        <v>0</v>
      </c>
      <c r="GF179" s="10">
        <v>1</v>
      </c>
    </row>
    <row r="181" spans="184:188" x14ac:dyDescent="0.25">
      <c r="GB181" s="2" t="s">
        <v>49</v>
      </c>
    </row>
    <row r="182" spans="184:188" x14ac:dyDescent="0.25">
      <c r="GC182" s="1" t="s">
        <v>1</v>
      </c>
      <c r="GD182" s="1" t="s">
        <v>2</v>
      </c>
      <c r="GE182" s="1" t="s">
        <v>3</v>
      </c>
      <c r="GF182" s="1" t="s">
        <v>5</v>
      </c>
    </row>
    <row r="183" spans="184:188" x14ac:dyDescent="0.25">
      <c r="GB183" s="1" t="s">
        <v>1</v>
      </c>
      <c r="GC183" s="10">
        <f>COS(-0.03)</f>
        <v>0.99955003374898754</v>
      </c>
      <c r="GD183" s="10">
        <f>-SIN(-0.03)</f>
        <v>2.999550020249566E-2</v>
      </c>
      <c r="GE183" s="10">
        <v>0</v>
      </c>
      <c r="GF183" s="10">
        <v>0</v>
      </c>
    </row>
    <row r="184" spans="184:188" x14ac:dyDescent="0.25">
      <c r="GB184" s="1" t="s">
        <v>2</v>
      </c>
      <c r="GC184" s="10">
        <f>SIN(-0.03)</f>
        <v>-2.999550020249566E-2</v>
      </c>
      <c r="GD184" s="10">
        <f>COS(-0.03)</f>
        <v>0.99955003374898754</v>
      </c>
      <c r="GE184" s="10">
        <v>0</v>
      </c>
      <c r="GF184" s="10">
        <v>0</v>
      </c>
    </row>
    <row r="185" spans="184:188" x14ac:dyDescent="0.25">
      <c r="GB185" s="1" t="s">
        <v>3</v>
      </c>
      <c r="GC185" s="10">
        <v>0</v>
      </c>
      <c r="GD185" s="10">
        <v>0</v>
      </c>
      <c r="GE185" s="10">
        <v>1</v>
      </c>
      <c r="GF185" s="10">
        <v>0</v>
      </c>
    </row>
    <row r="186" spans="184:188" x14ac:dyDescent="0.25">
      <c r="GB186" s="1" t="s">
        <v>5</v>
      </c>
      <c r="GC186" s="10">
        <v>0</v>
      </c>
      <c r="GD186" s="10">
        <v>0</v>
      </c>
      <c r="GE186" s="10">
        <v>0</v>
      </c>
      <c r="GF186" s="10">
        <v>1</v>
      </c>
    </row>
    <row r="188" spans="184:188" x14ac:dyDescent="0.25">
      <c r="GB188" s="2" t="s">
        <v>50</v>
      </c>
    </row>
    <row r="189" spans="184:188" x14ac:dyDescent="0.25">
      <c r="GC189" s="1" t="s">
        <v>1</v>
      </c>
      <c r="GD189" s="1" t="s">
        <v>2</v>
      </c>
      <c r="GE189" s="1" t="s">
        <v>3</v>
      </c>
      <c r="GF189" s="1" t="s">
        <v>5</v>
      </c>
    </row>
    <row r="190" spans="184:188" x14ac:dyDescent="0.25">
      <c r="GB190" s="1" t="s">
        <v>1</v>
      </c>
      <c r="GC190" s="10">
        <f>COS(0.03)</f>
        <v>0.99955003374898754</v>
      </c>
      <c r="GD190" s="10">
        <f>-SIN(0.03)</f>
        <v>-2.999550020249566E-2</v>
      </c>
      <c r="GE190" s="10">
        <v>0</v>
      </c>
      <c r="GF190" s="10">
        <v>0</v>
      </c>
    </row>
    <row r="191" spans="184:188" x14ac:dyDescent="0.25">
      <c r="GB191" s="1" t="s">
        <v>2</v>
      </c>
      <c r="GC191" s="10">
        <f>SIN(0.03)</f>
        <v>2.999550020249566E-2</v>
      </c>
      <c r="GD191" s="10">
        <f>COS(0.03)</f>
        <v>0.99955003374898754</v>
      </c>
      <c r="GE191" s="10">
        <v>0</v>
      </c>
      <c r="GF191" s="10">
        <v>0</v>
      </c>
    </row>
    <row r="192" spans="184:188" x14ac:dyDescent="0.25">
      <c r="GB192" s="1" t="s">
        <v>3</v>
      </c>
      <c r="GC192" s="10">
        <v>0</v>
      </c>
      <c r="GD192" s="10">
        <v>0</v>
      </c>
      <c r="GE192" s="10">
        <v>1</v>
      </c>
      <c r="GF192" s="10">
        <v>0</v>
      </c>
    </row>
    <row r="193" spans="184:188" x14ac:dyDescent="0.25">
      <c r="GB193" s="1" t="s">
        <v>5</v>
      </c>
      <c r="GC193" s="10">
        <v>0</v>
      </c>
      <c r="GD193" s="10">
        <v>0</v>
      </c>
      <c r="GE193" s="10">
        <v>0</v>
      </c>
      <c r="GF193" s="10">
        <v>1</v>
      </c>
    </row>
  </sheetData>
  <conditionalFormatting sqref="B2:FE91">
    <cfRule type="colorScale" priority="1">
      <colorScale>
        <cfvo type="num" val="0"/>
        <cfvo type="num" val="1"/>
        <color theme="1" tint="4.9989318521683403E-2"/>
        <color theme="0"/>
      </colorScale>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Front Page</vt:lpstr>
      <vt:lpstr>ReadMe</vt:lpstr>
      <vt:lpstr>Objects</vt:lpstr>
      <vt:lpstr>Screen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s0lly</dc:creator>
  <cp:lastModifiedBy>Arvind Sagar</cp:lastModifiedBy>
  <dcterms:created xsi:type="dcterms:W3CDTF">2019-07-06T23:00:10Z</dcterms:created>
  <dcterms:modified xsi:type="dcterms:W3CDTF">2023-07-31T04:09:04Z</dcterms:modified>
</cp:coreProperties>
</file>